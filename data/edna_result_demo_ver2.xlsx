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woo/Library/CloudStorage/GoogleDrive-jinwoo.park.office@gmail.com/다른 컴퓨터/내 노트북/Documents/Cursor/3. CitizenScience/data/"/>
    </mc:Choice>
  </mc:AlternateContent>
  <xr:revisionPtr revIDLastSave="0" documentId="13_ncr:1_{B0E8B44C-9A37-C943-8E16-3764C7CD7CD1}" xr6:coauthVersionLast="47" xr6:coauthVersionMax="47" xr10:uidLastSave="{00000000-0000-0000-0000-000000000000}"/>
  <bookViews>
    <workbookView xWindow="0" yWindow="740" windowWidth="29400" windowHeight="17160" xr2:uid="{43A6E44A-B7C1-204D-A1B3-286840829DA6}"/>
  </bookViews>
  <sheets>
    <sheet name="eDNA" sheetId="1" r:id="rId1"/>
    <sheet name="env Parameter" sheetId="3" r:id="rId2"/>
    <sheet name="Common name (master file)" sheetId="2" r:id="rId3"/>
    <sheet name="전체 정리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25" i="4" l="1"/>
  <c r="K1725" i="4"/>
  <c r="I1725" i="4"/>
  <c r="G1725" i="4"/>
  <c r="H1725" i="4" s="1"/>
  <c r="F1725" i="4"/>
  <c r="D1725" i="4" a="1"/>
  <c r="D1725" i="4" s="1"/>
  <c r="C1725" i="4" a="1"/>
  <c r="C1725" i="4" s="1"/>
  <c r="A1725" i="4"/>
  <c r="N1725" i="4" s="1" a="1"/>
  <c r="N1725" i="4" s="1"/>
  <c r="L1724" i="4"/>
  <c r="K1724" i="4"/>
  <c r="J1724" i="4"/>
  <c r="I1724" i="4"/>
  <c r="H1724" i="4"/>
  <c r="G1724" i="4"/>
  <c r="F1724" i="4"/>
  <c r="E1724" i="4" a="1"/>
  <c r="E1724" i="4" s="1"/>
  <c r="D1724" i="4" a="1"/>
  <c r="D1724" i="4" s="1"/>
  <c r="C1724" i="4" a="1"/>
  <c r="C1724" i="4" s="1"/>
  <c r="B1724" i="4" a="1"/>
  <c r="B1724" i="4" s="1"/>
  <c r="A1724" i="4"/>
  <c r="N1724" i="4" s="1" a="1"/>
  <c r="N1724" i="4" s="1"/>
  <c r="M1723" i="4" a="1"/>
  <c r="M1723" i="4" s="1"/>
  <c r="L1723" i="4"/>
  <c r="K1723" i="4"/>
  <c r="J1723" i="4"/>
  <c r="I1723" i="4"/>
  <c r="H1723" i="4"/>
  <c r="G1723" i="4"/>
  <c r="F1723" i="4"/>
  <c r="E1723" i="4" a="1"/>
  <c r="E1723" i="4" s="1"/>
  <c r="D1723" i="4" a="1"/>
  <c r="D1723" i="4" s="1"/>
  <c r="C1723" i="4" a="1"/>
  <c r="C1723" i="4" s="1"/>
  <c r="A1723" i="4"/>
  <c r="N1723" i="4" s="1" a="1"/>
  <c r="N1723" i="4" s="1"/>
  <c r="L1722" i="4"/>
  <c r="K1722" i="4"/>
  <c r="I1722" i="4"/>
  <c r="G1722" i="4"/>
  <c r="J1722" i="4" s="1"/>
  <c r="F1722" i="4"/>
  <c r="A1722" i="4"/>
  <c r="L1721" i="4"/>
  <c r="K1721" i="4"/>
  <c r="C1721" i="4" s="1" a="1"/>
  <c r="C1721" i="4" s="1"/>
  <c r="I1721" i="4"/>
  <c r="G1721" i="4"/>
  <c r="J1721" i="4" s="1"/>
  <c r="F1721" i="4"/>
  <c r="A1721" i="4"/>
  <c r="M1721" i="4" s="1" a="1"/>
  <c r="M1721" i="4" s="1"/>
  <c r="L1720" i="4"/>
  <c r="K1720" i="4"/>
  <c r="I1720" i="4"/>
  <c r="G1720" i="4"/>
  <c r="F1720" i="4"/>
  <c r="A1720" i="4"/>
  <c r="E1720" i="4" s="1" a="1"/>
  <c r="E1720" i="4" s="1"/>
  <c r="L1719" i="4"/>
  <c r="N1719" i="4" s="1" a="1"/>
  <c r="N1719" i="4" s="1"/>
  <c r="K1719" i="4"/>
  <c r="I1719" i="4"/>
  <c r="G1719" i="4"/>
  <c r="J1719" i="4" s="1"/>
  <c r="F1719" i="4"/>
  <c r="E1719" i="4" a="1"/>
  <c r="E1719" i="4" s="1"/>
  <c r="B1719" i="4" a="1"/>
  <c r="B1719" i="4" s="1"/>
  <c r="A1719" i="4"/>
  <c r="L1718" i="4"/>
  <c r="K1718" i="4"/>
  <c r="I1718" i="4"/>
  <c r="H1718" i="4"/>
  <c r="G1718" i="4"/>
  <c r="J1718" i="4" s="1"/>
  <c r="F1718" i="4"/>
  <c r="C1718" i="4" a="1"/>
  <c r="C1718" i="4" s="1"/>
  <c r="A1718" i="4"/>
  <c r="E1718" i="4" s="1" a="1"/>
  <c r="E1718" i="4" s="1"/>
  <c r="N1717" i="4" a="1"/>
  <c r="N1717" i="4" s="1"/>
  <c r="L1717" i="4"/>
  <c r="K1717" i="4"/>
  <c r="J1717" i="4"/>
  <c r="I1717" i="4"/>
  <c r="H1717" i="4"/>
  <c r="G1717" i="4"/>
  <c r="F1717" i="4"/>
  <c r="D1717" i="4" a="1"/>
  <c r="D1717" i="4" s="1"/>
  <c r="A1717" i="4"/>
  <c r="L1716" i="4"/>
  <c r="K1716" i="4"/>
  <c r="B1716" i="4" s="1" a="1"/>
  <c r="B1716" i="4" s="1"/>
  <c r="I1716" i="4"/>
  <c r="G1716" i="4"/>
  <c r="J1716" i="4" s="1"/>
  <c r="F1716" i="4"/>
  <c r="C1716" i="4" a="1"/>
  <c r="C1716" i="4" s="1"/>
  <c r="A1716" i="4"/>
  <c r="L1715" i="4"/>
  <c r="K1715" i="4"/>
  <c r="N1715" i="4" s="1" a="1"/>
  <c r="N1715" i="4" s="1"/>
  <c r="J1715" i="4"/>
  <c r="I1715" i="4"/>
  <c r="H1715" i="4"/>
  <c r="G1715" i="4"/>
  <c r="F1715" i="4"/>
  <c r="E1715" i="4" a="1"/>
  <c r="E1715" i="4" s="1"/>
  <c r="C1715" i="4" a="1"/>
  <c r="C1715" i="4" s="1"/>
  <c r="A1715" i="4"/>
  <c r="L1714" i="4"/>
  <c r="K1714" i="4"/>
  <c r="I1714" i="4"/>
  <c r="G1714" i="4"/>
  <c r="F1714" i="4"/>
  <c r="A1714" i="4"/>
  <c r="N1713" i="4" a="1"/>
  <c r="N1713" i="4" s="1"/>
  <c r="L1713" i="4"/>
  <c r="D1713" i="4" s="1" a="1"/>
  <c r="D1713" i="4" s="1"/>
  <c r="K1713" i="4"/>
  <c r="I1713" i="4"/>
  <c r="G1713" i="4"/>
  <c r="J1713" i="4" s="1"/>
  <c r="F1713" i="4"/>
  <c r="E1713" i="4" a="1"/>
  <c r="E1713" i="4" s="1"/>
  <c r="B1713" i="4" a="1"/>
  <c r="B1713" i="4" s="1"/>
  <c r="A1713" i="4"/>
  <c r="N1712" i="4" a="1"/>
  <c r="N1712" i="4" s="1"/>
  <c r="L1712" i="4"/>
  <c r="K1712" i="4"/>
  <c r="D1712" i="4" s="1" a="1"/>
  <c r="D1712" i="4" s="1"/>
  <c r="I1712" i="4"/>
  <c r="G1712" i="4"/>
  <c r="J1712" i="4" s="1"/>
  <c r="F1712" i="4"/>
  <c r="A1712" i="4"/>
  <c r="L1711" i="4"/>
  <c r="K1711" i="4"/>
  <c r="I1711" i="4"/>
  <c r="G1711" i="4"/>
  <c r="H1711" i="4" s="1"/>
  <c r="F1711" i="4"/>
  <c r="E1711" i="4" a="1"/>
  <c r="E1711" i="4" s="1"/>
  <c r="B1711" i="4" a="1"/>
  <c r="B1711" i="4" s="1"/>
  <c r="A1711" i="4"/>
  <c r="L1710" i="4"/>
  <c r="K1710" i="4"/>
  <c r="I1710" i="4"/>
  <c r="G1710" i="4"/>
  <c r="H1710" i="4" s="1"/>
  <c r="F1710" i="4"/>
  <c r="A1710" i="4"/>
  <c r="N1710" i="4" s="1" a="1"/>
  <c r="N1710" i="4" s="1"/>
  <c r="L1709" i="4"/>
  <c r="K1709" i="4"/>
  <c r="I1709" i="4"/>
  <c r="G1709" i="4"/>
  <c r="J1709" i="4" s="1"/>
  <c r="F1709" i="4"/>
  <c r="C1709" i="4" a="1"/>
  <c r="C1709" i="4" s="1"/>
  <c r="A1709" i="4"/>
  <c r="B1709" i="4" s="1" a="1"/>
  <c r="B1709" i="4" s="1"/>
  <c r="M1708" i="4" a="1"/>
  <c r="M1708" i="4" s="1"/>
  <c r="L1708" i="4"/>
  <c r="K1708" i="4"/>
  <c r="B1708" i="4" s="1" a="1"/>
  <c r="B1708" i="4" s="1"/>
  <c r="I1708" i="4"/>
  <c r="G1708" i="4"/>
  <c r="H1708" i="4" s="1"/>
  <c r="F1708" i="4"/>
  <c r="E1708" i="4" a="1"/>
  <c r="E1708" i="4" s="1"/>
  <c r="C1708" i="4" a="1"/>
  <c r="C1708" i="4" s="1"/>
  <c r="A1708" i="4"/>
  <c r="L1707" i="4"/>
  <c r="K1707" i="4"/>
  <c r="E1707" i="4" s="1" a="1"/>
  <c r="E1707" i="4" s="1"/>
  <c r="I1707" i="4"/>
  <c r="G1707" i="4"/>
  <c r="F1707" i="4"/>
  <c r="C1707" i="4" a="1"/>
  <c r="C1707" i="4" s="1"/>
  <c r="A1707" i="4"/>
  <c r="L1706" i="4"/>
  <c r="K1706" i="4"/>
  <c r="I1706" i="4"/>
  <c r="G1706" i="4"/>
  <c r="H1706" i="4" s="1"/>
  <c r="F1706" i="4"/>
  <c r="C1706" i="4" a="1"/>
  <c r="C1706" i="4" s="1"/>
  <c r="A1706" i="4"/>
  <c r="N1706" i="4" s="1" a="1"/>
  <c r="N1706" i="4" s="1"/>
  <c r="L1705" i="4"/>
  <c r="K1705" i="4"/>
  <c r="J1705" i="4"/>
  <c r="I1705" i="4"/>
  <c r="H1705" i="4"/>
  <c r="G1705" i="4"/>
  <c r="F1705" i="4"/>
  <c r="C1705" i="4" a="1"/>
  <c r="C1705" i="4" s="1"/>
  <c r="A1705" i="4"/>
  <c r="L1704" i="4"/>
  <c r="K1704" i="4"/>
  <c r="I1704" i="4"/>
  <c r="G1704" i="4"/>
  <c r="F1704" i="4"/>
  <c r="A1704" i="4"/>
  <c r="E1704" i="4" s="1" a="1"/>
  <c r="E1704" i="4" s="1"/>
  <c r="L1703" i="4"/>
  <c r="K1703" i="4"/>
  <c r="I1703" i="4"/>
  <c r="G1703" i="4"/>
  <c r="F1703" i="4"/>
  <c r="E1703" i="4" a="1"/>
  <c r="E1703" i="4" s="1"/>
  <c r="C1703" i="4" a="1"/>
  <c r="C1703" i="4" s="1"/>
  <c r="B1703" i="4" a="1"/>
  <c r="B1703" i="4" s="1"/>
  <c r="A1703" i="4"/>
  <c r="L1702" i="4"/>
  <c r="C1702" i="4" s="1" a="1"/>
  <c r="C1702" i="4" s="1"/>
  <c r="K1702" i="4"/>
  <c r="I1702" i="4"/>
  <c r="G1702" i="4"/>
  <c r="H1702" i="4" s="1"/>
  <c r="F1702" i="4"/>
  <c r="A1702" i="4"/>
  <c r="L1701" i="4"/>
  <c r="E1701" i="4" s="1" a="1"/>
  <c r="E1701" i="4" s="1"/>
  <c r="K1701" i="4"/>
  <c r="J1701" i="4"/>
  <c r="I1701" i="4"/>
  <c r="H1701" i="4"/>
  <c r="G1701" i="4"/>
  <c r="F1701" i="4"/>
  <c r="A1701" i="4"/>
  <c r="L1700" i="4"/>
  <c r="K1700" i="4"/>
  <c r="I1700" i="4"/>
  <c r="G1700" i="4"/>
  <c r="F1700" i="4"/>
  <c r="A1700" i="4"/>
  <c r="C1700" i="4" s="1" a="1"/>
  <c r="C1700" i="4" s="1"/>
  <c r="L1699" i="4"/>
  <c r="K1699" i="4"/>
  <c r="D1699" i="4" s="1" a="1"/>
  <c r="D1699" i="4" s="1"/>
  <c r="J1699" i="4"/>
  <c r="I1699" i="4"/>
  <c r="H1699" i="4"/>
  <c r="G1699" i="4"/>
  <c r="F1699" i="4"/>
  <c r="A1699" i="4"/>
  <c r="L1698" i="4"/>
  <c r="K1698" i="4"/>
  <c r="J1698" i="4"/>
  <c r="I1698" i="4"/>
  <c r="H1698" i="4"/>
  <c r="G1698" i="4"/>
  <c r="F1698" i="4"/>
  <c r="A1698" i="4"/>
  <c r="E1698" i="4" s="1" a="1"/>
  <c r="E1698" i="4" s="1"/>
  <c r="L1697" i="4"/>
  <c r="K1697" i="4"/>
  <c r="B1697" i="4" s="1" a="1"/>
  <c r="B1697" i="4" s="1"/>
  <c r="I1697" i="4"/>
  <c r="G1697" i="4"/>
  <c r="F1697" i="4"/>
  <c r="A1697" i="4"/>
  <c r="L1696" i="4"/>
  <c r="K1696" i="4"/>
  <c r="I1696" i="4"/>
  <c r="G1696" i="4"/>
  <c r="H1696" i="4" s="1"/>
  <c r="F1696" i="4"/>
  <c r="A1696" i="4"/>
  <c r="L1695" i="4"/>
  <c r="K1695" i="4"/>
  <c r="J1695" i="4"/>
  <c r="I1695" i="4"/>
  <c r="H1695" i="4"/>
  <c r="G1695" i="4"/>
  <c r="F1695" i="4"/>
  <c r="D1695" i="4" a="1"/>
  <c r="D1695" i="4" s="1"/>
  <c r="A1695" i="4"/>
  <c r="L1694" i="4"/>
  <c r="K1694" i="4"/>
  <c r="I1694" i="4"/>
  <c r="H1694" i="4"/>
  <c r="G1694" i="4"/>
  <c r="J1694" i="4" s="1"/>
  <c r="F1694" i="4"/>
  <c r="A1694" i="4"/>
  <c r="N1694" i="4" s="1" a="1"/>
  <c r="N1694" i="4" s="1"/>
  <c r="L1693" i="4"/>
  <c r="K1693" i="4"/>
  <c r="I1693" i="4"/>
  <c r="G1693" i="4"/>
  <c r="J1693" i="4" s="1"/>
  <c r="F1693" i="4"/>
  <c r="A1693" i="4"/>
  <c r="M1692" i="4" a="1"/>
  <c r="M1692" i="4" s="1"/>
  <c r="L1692" i="4"/>
  <c r="K1692" i="4"/>
  <c r="I1692" i="4"/>
  <c r="G1692" i="4"/>
  <c r="J1692" i="4" s="1"/>
  <c r="F1692" i="4"/>
  <c r="D1692" i="4" a="1"/>
  <c r="D1692" i="4" s="1"/>
  <c r="C1692" i="4" a="1"/>
  <c r="C1692" i="4" s="1"/>
  <c r="B1692" i="4" a="1"/>
  <c r="B1692" i="4" s="1"/>
  <c r="A1692" i="4"/>
  <c r="L1691" i="4"/>
  <c r="E1691" i="4" s="1" a="1"/>
  <c r="E1691" i="4" s="1"/>
  <c r="K1691" i="4"/>
  <c r="I1691" i="4"/>
  <c r="G1691" i="4"/>
  <c r="F1691" i="4"/>
  <c r="A1691" i="4"/>
  <c r="L1690" i="4"/>
  <c r="K1690" i="4"/>
  <c r="E1690" i="4" s="1" a="1"/>
  <c r="E1690" i="4" s="1"/>
  <c r="I1690" i="4"/>
  <c r="G1690" i="4"/>
  <c r="F1690" i="4"/>
  <c r="A1690" i="4"/>
  <c r="L1689" i="4"/>
  <c r="K1689" i="4"/>
  <c r="J1689" i="4"/>
  <c r="I1689" i="4"/>
  <c r="H1689" i="4"/>
  <c r="G1689" i="4"/>
  <c r="F1689" i="4"/>
  <c r="A1689" i="4"/>
  <c r="N1689" i="4" s="1" a="1"/>
  <c r="N1689" i="4" s="1"/>
  <c r="L1688" i="4"/>
  <c r="K1688" i="4"/>
  <c r="I1688" i="4"/>
  <c r="G1688" i="4"/>
  <c r="F1688" i="4"/>
  <c r="A1688" i="4"/>
  <c r="L1687" i="4"/>
  <c r="K1687" i="4"/>
  <c r="I1687" i="4"/>
  <c r="G1687" i="4"/>
  <c r="F1687" i="4"/>
  <c r="A1687" i="4"/>
  <c r="L1686" i="4"/>
  <c r="K1686" i="4"/>
  <c r="I1686" i="4"/>
  <c r="G1686" i="4"/>
  <c r="F1686" i="4"/>
  <c r="A1686" i="4"/>
  <c r="E1686" i="4" s="1" a="1"/>
  <c r="E1686" i="4" s="1"/>
  <c r="L1685" i="4"/>
  <c r="K1685" i="4"/>
  <c r="I1685" i="4"/>
  <c r="G1685" i="4"/>
  <c r="F1685" i="4"/>
  <c r="A1685" i="4"/>
  <c r="N1684" i="4" a="1"/>
  <c r="N1684" i="4" s="1"/>
  <c r="L1684" i="4"/>
  <c r="K1684" i="4"/>
  <c r="I1684" i="4"/>
  <c r="H1684" i="4"/>
  <c r="G1684" i="4"/>
  <c r="J1684" i="4" s="1"/>
  <c r="F1684" i="4"/>
  <c r="D1684" i="4" a="1"/>
  <c r="D1684" i="4" s="1"/>
  <c r="B1684" i="4" a="1"/>
  <c r="B1684" i="4" s="1"/>
  <c r="A1684" i="4"/>
  <c r="E1684" i="4" s="1" a="1"/>
  <c r="E1684" i="4" s="1"/>
  <c r="L1683" i="4"/>
  <c r="K1683" i="4"/>
  <c r="I1683" i="4"/>
  <c r="H1683" i="4"/>
  <c r="G1683" i="4"/>
  <c r="J1683" i="4" s="1"/>
  <c r="F1683" i="4"/>
  <c r="A1683" i="4"/>
  <c r="L1682" i="4"/>
  <c r="K1682" i="4"/>
  <c r="I1682" i="4"/>
  <c r="G1682" i="4"/>
  <c r="F1682" i="4"/>
  <c r="A1682" i="4"/>
  <c r="L1681" i="4"/>
  <c r="K1681" i="4"/>
  <c r="J1681" i="4"/>
  <c r="I1681" i="4"/>
  <c r="H1681" i="4"/>
  <c r="G1681" i="4"/>
  <c r="F1681" i="4"/>
  <c r="E1681" i="4" a="1"/>
  <c r="E1681" i="4" s="1"/>
  <c r="C1681" i="4" a="1"/>
  <c r="C1681" i="4" s="1"/>
  <c r="B1681" i="4" a="1"/>
  <c r="B1681" i="4" s="1"/>
  <c r="A1681" i="4"/>
  <c r="L1680" i="4"/>
  <c r="K1680" i="4"/>
  <c r="I1680" i="4"/>
  <c r="G1680" i="4"/>
  <c r="H1680" i="4" s="1"/>
  <c r="F1680" i="4"/>
  <c r="A1680" i="4"/>
  <c r="N1679" i="4" a="1"/>
  <c r="N1679" i="4" s="1"/>
  <c r="L1679" i="4"/>
  <c r="K1679" i="4"/>
  <c r="J1679" i="4"/>
  <c r="I1679" i="4"/>
  <c r="G1679" i="4"/>
  <c r="H1679" i="4" s="1"/>
  <c r="F1679" i="4"/>
  <c r="D1679" i="4" a="1"/>
  <c r="D1679" i="4" s="1"/>
  <c r="A1679" i="4"/>
  <c r="M1679" i="4" s="1" a="1"/>
  <c r="M1679" i="4" s="1"/>
  <c r="M1678" i="4" a="1"/>
  <c r="M1678" i="4" s="1"/>
  <c r="L1678" i="4"/>
  <c r="K1678" i="4"/>
  <c r="C1678" i="4" s="1" a="1"/>
  <c r="C1678" i="4" s="1"/>
  <c r="I1678" i="4"/>
  <c r="G1678" i="4"/>
  <c r="J1678" i="4" s="1"/>
  <c r="F1678" i="4"/>
  <c r="B1678" i="4" a="1"/>
  <c r="B1678" i="4" s="1"/>
  <c r="A1678" i="4"/>
  <c r="L1677" i="4"/>
  <c r="K1677" i="4"/>
  <c r="I1677" i="4"/>
  <c r="G1677" i="4"/>
  <c r="F1677" i="4"/>
  <c r="A1677" i="4"/>
  <c r="L1676" i="4"/>
  <c r="K1676" i="4"/>
  <c r="I1676" i="4"/>
  <c r="H1676" i="4"/>
  <c r="G1676" i="4"/>
  <c r="J1676" i="4" s="1"/>
  <c r="F1676" i="4"/>
  <c r="A1676" i="4"/>
  <c r="E1676" i="4" s="1" a="1"/>
  <c r="E1676" i="4" s="1"/>
  <c r="L1675" i="4"/>
  <c r="K1675" i="4"/>
  <c r="J1675" i="4"/>
  <c r="I1675" i="4"/>
  <c r="G1675" i="4"/>
  <c r="H1675" i="4" s="1"/>
  <c r="F1675" i="4"/>
  <c r="C1675" i="4" a="1"/>
  <c r="C1675" i="4" s="1"/>
  <c r="A1675" i="4"/>
  <c r="L1674" i="4"/>
  <c r="K1674" i="4"/>
  <c r="N1674" i="4" s="1" a="1"/>
  <c r="N1674" i="4" s="1"/>
  <c r="J1674" i="4"/>
  <c r="I1674" i="4"/>
  <c r="H1674" i="4"/>
  <c r="G1674" i="4"/>
  <c r="F1674" i="4"/>
  <c r="C1674" i="4" a="1"/>
  <c r="C1674" i="4" s="1"/>
  <c r="A1674" i="4"/>
  <c r="L1673" i="4"/>
  <c r="K1673" i="4"/>
  <c r="J1673" i="4"/>
  <c r="I1673" i="4"/>
  <c r="G1673" i="4"/>
  <c r="H1673" i="4" s="1"/>
  <c r="F1673" i="4"/>
  <c r="A1673" i="4"/>
  <c r="L1672" i="4"/>
  <c r="M1672" i="4" s="1" a="1"/>
  <c r="M1672" i="4" s="1"/>
  <c r="K1672" i="4"/>
  <c r="J1672" i="4"/>
  <c r="I1672" i="4"/>
  <c r="H1672" i="4"/>
  <c r="G1672" i="4"/>
  <c r="F1672" i="4"/>
  <c r="C1672" i="4" a="1"/>
  <c r="C1672" i="4" s="1"/>
  <c r="B1672" i="4" a="1"/>
  <c r="B1672" i="4" s="1"/>
  <c r="A1672" i="4"/>
  <c r="L1671" i="4"/>
  <c r="K1671" i="4"/>
  <c r="J1671" i="4"/>
  <c r="I1671" i="4"/>
  <c r="H1671" i="4"/>
  <c r="G1671" i="4"/>
  <c r="F1671" i="4"/>
  <c r="A1671" i="4"/>
  <c r="L1670" i="4"/>
  <c r="K1670" i="4"/>
  <c r="I1670" i="4"/>
  <c r="G1670" i="4"/>
  <c r="F1670" i="4"/>
  <c r="A1670" i="4"/>
  <c r="N1669" i="4" a="1"/>
  <c r="N1669" i="4" s="1"/>
  <c r="L1669" i="4"/>
  <c r="K1669" i="4"/>
  <c r="I1669" i="4"/>
  <c r="G1669" i="4"/>
  <c r="F1669" i="4"/>
  <c r="E1669" i="4" a="1"/>
  <c r="E1669" i="4" s="1"/>
  <c r="B1669" i="4" a="1"/>
  <c r="B1669" i="4" s="1"/>
  <c r="A1669" i="4"/>
  <c r="L1668" i="4"/>
  <c r="K1668" i="4"/>
  <c r="J1668" i="4"/>
  <c r="I1668" i="4"/>
  <c r="G1668" i="4"/>
  <c r="H1668" i="4" s="1"/>
  <c r="F1668" i="4"/>
  <c r="A1668" i="4"/>
  <c r="E1668" i="4" s="1" a="1"/>
  <c r="E1668" i="4" s="1"/>
  <c r="L1667" i="4"/>
  <c r="C1667" i="4" s="1" a="1"/>
  <c r="C1667" i="4" s="1"/>
  <c r="K1667" i="4"/>
  <c r="I1667" i="4"/>
  <c r="G1667" i="4"/>
  <c r="J1667" i="4" s="1"/>
  <c r="F1667" i="4"/>
  <c r="B1667" i="4" a="1"/>
  <c r="B1667" i="4" s="1"/>
  <c r="A1667" i="4"/>
  <c r="L1666" i="4"/>
  <c r="K1666" i="4"/>
  <c r="I1666" i="4"/>
  <c r="G1666" i="4"/>
  <c r="H1666" i="4" s="1"/>
  <c r="F1666" i="4"/>
  <c r="A1666" i="4"/>
  <c r="N1666" i="4" s="1" a="1"/>
  <c r="N1666" i="4" s="1"/>
  <c r="L1665" i="4"/>
  <c r="K1665" i="4"/>
  <c r="I1665" i="4"/>
  <c r="G1665" i="4"/>
  <c r="F1665" i="4"/>
  <c r="E1665" i="4" a="1"/>
  <c r="E1665" i="4" s="1"/>
  <c r="D1665" i="4" a="1"/>
  <c r="D1665" i="4" s="1"/>
  <c r="A1665" i="4"/>
  <c r="L1664" i="4"/>
  <c r="K1664" i="4"/>
  <c r="J1664" i="4"/>
  <c r="I1664" i="4"/>
  <c r="H1664" i="4"/>
  <c r="G1664" i="4"/>
  <c r="F1664" i="4"/>
  <c r="B1664" i="4" a="1"/>
  <c r="B1664" i="4" s="1"/>
  <c r="A1664" i="4"/>
  <c r="L1663" i="4"/>
  <c r="K1663" i="4"/>
  <c r="B1663" i="4" s="1" a="1"/>
  <c r="B1663" i="4" s="1"/>
  <c r="I1663" i="4"/>
  <c r="G1663" i="4"/>
  <c r="J1663" i="4" s="1"/>
  <c r="F1663" i="4"/>
  <c r="A1663" i="4"/>
  <c r="N1662" i="4" a="1"/>
  <c r="N1662" i="4" s="1"/>
  <c r="L1662" i="4"/>
  <c r="K1662" i="4"/>
  <c r="I1662" i="4"/>
  <c r="G1662" i="4"/>
  <c r="J1662" i="4" s="1"/>
  <c r="F1662" i="4"/>
  <c r="E1662" i="4" a="1"/>
  <c r="E1662" i="4" s="1"/>
  <c r="B1662" i="4" a="1"/>
  <c r="B1662" i="4" s="1"/>
  <c r="A1662" i="4"/>
  <c r="D1662" i="4" s="1" a="1"/>
  <c r="D1662" i="4" s="1"/>
  <c r="N1661" i="4" a="1"/>
  <c r="N1661" i="4" s="1"/>
  <c r="L1661" i="4"/>
  <c r="K1661" i="4"/>
  <c r="J1661" i="4"/>
  <c r="I1661" i="4"/>
  <c r="H1661" i="4"/>
  <c r="G1661" i="4"/>
  <c r="F1661" i="4"/>
  <c r="D1661" i="4" a="1"/>
  <c r="D1661" i="4" s="1"/>
  <c r="B1661" i="4" a="1"/>
  <c r="B1661" i="4" s="1"/>
  <c r="A1661" i="4"/>
  <c r="L1660" i="4"/>
  <c r="C1660" i="4" s="1" a="1"/>
  <c r="C1660" i="4" s="1"/>
  <c r="K1660" i="4"/>
  <c r="J1660" i="4"/>
  <c r="I1660" i="4"/>
  <c r="G1660" i="4"/>
  <c r="H1660" i="4" s="1"/>
  <c r="F1660" i="4"/>
  <c r="A1660" i="4"/>
  <c r="N1659" i="4" a="1"/>
  <c r="N1659" i="4" s="1"/>
  <c r="L1659" i="4"/>
  <c r="K1659" i="4"/>
  <c r="I1659" i="4"/>
  <c r="G1659" i="4"/>
  <c r="H1659" i="4" s="1"/>
  <c r="F1659" i="4"/>
  <c r="A1659" i="4"/>
  <c r="N1658" i="4"/>
  <c r="N1658" i="4" a="1"/>
  <c r="L1658" i="4"/>
  <c r="K1658" i="4"/>
  <c r="I1658" i="4"/>
  <c r="G1658" i="4"/>
  <c r="J1658" i="4" s="1"/>
  <c r="F1658" i="4"/>
  <c r="A1658" i="4"/>
  <c r="L1657" i="4"/>
  <c r="K1657" i="4"/>
  <c r="I1657" i="4"/>
  <c r="H1657" i="4"/>
  <c r="G1657" i="4"/>
  <c r="J1657" i="4" s="1"/>
  <c r="F1657" i="4"/>
  <c r="A1657" i="4"/>
  <c r="L1656" i="4"/>
  <c r="K1656" i="4"/>
  <c r="I1656" i="4"/>
  <c r="G1656" i="4"/>
  <c r="F1656" i="4"/>
  <c r="B1656" i="4" a="1"/>
  <c r="B1656" i="4" s="1"/>
  <c r="A1656" i="4"/>
  <c r="E1656" i="4" s="1" a="1"/>
  <c r="E1656" i="4" s="1"/>
  <c r="L1655" i="4"/>
  <c r="K1655" i="4"/>
  <c r="I1655" i="4"/>
  <c r="G1655" i="4"/>
  <c r="F1655" i="4"/>
  <c r="A1655" i="4"/>
  <c r="M1654" i="4" a="1"/>
  <c r="M1654" i="4" s="1"/>
  <c r="L1654" i="4"/>
  <c r="K1654" i="4"/>
  <c r="B1654" i="4" s="1" a="1"/>
  <c r="B1654" i="4" s="1"/>
  <c r="I1654" i="4"/>
  <c r="G1654" i="4"/>
  <c r="H1654" i="4" s="1"/>
  <c r="F1654" i="4"/>
  <c r="E1654" i="4" a="1"/>
  <c r="E1654" i="4" s="1"/>
  <c r="D1654" i="4" a="1"/>
  <c r="D1654" i="4" s="1"/>
  <c r="A1654" i="4"/>
  <c r="L1653" i="4"/>
  <c r="K1653" i="4"/>
  <c r="I1653" i="4"/>
  <c r="G1653" i="4"/>
  <c r="F1653" i="4"/>
  <c r="D1653" i="4" a="1"/>
  <c r="D1653" i="4" s="1"/>
  <c r="A1653" i="4"/>
  <c r="L1652" i="4"/>
  <c r="K1652" i="4"/>
  <c r="B1652" i="4" s="1" a="1"/>
  <c r="B1652" i="4" s="1"/>
  <c r="I1652" i="4"/>
  <c r="G1652" i="4"/>
  <c r="F1652" i="4"/>
  <c r="E1652" i="4" a="1"/>
  <c r="E1652" i="4" s="1"/>
  <c r="D1652" i="4" a="1"/>
  <c r="D1652" i="4" s="1"/>
  <c r="A1652" i="4"/>
  <c r="L1651" i="4"/>
  <c r="B1651" i="4" s="1" a="1"/>
  <c r="B1651" i="4" s="1"/>
  <c r="K1651" i="4"/>
  <c r="I1651" i="4"/>
  <c r="G1651" i="4"/>
  <c r="F1651" i="4"/>
  <c r="A1651" i="4"/>
  <c r="L1650" i="4"/>
  <c r="K1650" i="4"/>
  <c r="I1650" i="4"/>
  <c r="G1650" i="4"/>
  <c r="H1650" i="4" s="1"/>
  <c r="F1650" i="4"/>
  <c r="B1650" i="4" a="1"/>
  <c r="B1650" i="4" s="1"/>
  <c r="A1650" i="4"/>
  <c r="L1649" i="4"/>
  <c r="K1649" i="4"/>
  <c r="I1649" i="4"/>
  <c r="H1649" i="4"/>
  <c r="G1649" i="4"/>
  <c r="J1649" i="4" s="1"/>
  <c r="F1649" i="4"/>
  <c r="D1649" i="4" a="1"/>
  <c r="D1649" i="4" s="1"/>
  <c r="A1649" i="4"/>
  <c r="L1648" i="4"/>
  <c r="K1648" i="4"/>
  <c r="I1648" i="4"/>
  <c r="H1648" i="4"/>
  <c r="G1648" i="4"/>
  <c r="J1648" i="4" s="1"/>
  <c r="F1648" i="4"/>
  <c r="C1648" i="4" a="1"/>
  <c r="C1648" i="4" s="1"/>
  <c r="A1648" i="4"/>
  <c r="N1648" i="4" s="1" a="1"/>
  <c r="N1648" i="4" s="1"/>
  <c r="L1647" i="4"/>
  <c r="K1647" i="4"/>
  <c r="I1647" i="4"/>
  <c r="H1647" i="4"/>
  <c r="G1647" i="4"/>
  <c r="J1647" i="4" s="1"/>
  <c r="F1647" i="4"/>
  <c r="C1647" i="4" a="1"/>
  <c r="C1647" i="4" s="1"/>
  <c r="A1647" i="4"/>
  <c r="L1646" i="4"/>
  <c r="K1646" i="4"/>
  <c r="I1646" i="4"/>
  <c r="G1646" i="4"/>
  <c r="F1646" i="4"/>
  <c r="A1646" i="4"/>
  <c r="N1645" i="4" a="1"/>
  <c r="N1645" i="4" s="1"/>
  <c r="L1645" i="4"/>
  <c r="K1645" i="4"/>
  <c r="B1645" i="4" s="1" a="1"/>
  <c r="B1645" i="4" s="1"/>
  <c r="J1645" i="4"/>
  <c r="I1645" i="4"/>
  <c r="H1645" i="4"/>
  <c r="G1645" i="4"/>
  <c r="F1645" i="4"/>
  <c r="D1645" i="4" a="1"/>
  <c r="D1645" i="4" s="1"/>
  <c r="A1645" i="4"/>
  <c r="L1644" i="4"/>
  <c r="K1644" i="4"/>
  <c r="J1644" i="4"/>
  <c r="I1644" i="4"/>
  <c r="G1644" i="4"/>
  <c r="H1644" i="4" s="1"/>
  <c r="F1644" i="4"/>
  <c r="A1644" i="4"/>
  <c r="C1644" i="4" s="1" a="1"/>
  <c r="C1644" i="4" s="1"/>
  <c r="L1643" i="4"/>
  <c r="K1643" i="4"/>
  <c r="I1643" i="4"/>
  <c r="G1643" i="4"/>
  <c r="F1643" i="4"/>
  <c r="A1643" i="4"/>
  <c r="L1642" i="4"/>
  <c r="M1642" i="4" s="1" a="1"/>
  <c r="M1642" i="4" s="1"/>
  <c r="K1642" i="4"/>
  <c r="I1642" i="4"/>
  <c r="G1642" i="4"/>
  <c r="F1642" i="4"/>
  <c r="A1642" i="4"/>
  <c r="L1641" i="4"/>
  <c r="K1641" i="4"/>
  <c r="I1641" i="4"/>
  <c r="G1641" i="4"/>
  <c r="F1641" i="4"/>
  <c r="C1641" i="4"/>
  <c r="C1641" i="4" a="1"/>
  <c r="A1641" i="4"/>
  <c r="N1640" i="4" a="1"/>
  <c r="N1640" i="4" s="1"/>
  <c r="L1640" i="4"/>
  <c r="K1640" i="4"/>
  <c r="I1640" i="4"/>
  <c r="G1640" i="4"/>
  <c r="F1640" i="4"/>
  <c r="A1640" i="4"/>
  <c r="L1639" i="4"/>
  <c r="K1639" i="4"/>
  <c r="I1639" i="4"/>
  <c r="G1639" i="4"/>
  <c r="F1639" i="4"/>
  <c r="A1639" i="4"/>
  <c r="E1639" i="4" s="1" a="1"/>
  <c r="E1639" i="4" s="1"/>
  <c r="L1638" i="4"/>
  <c r="K1638" i="4"/>
  <c r="I1638" i="4"/>
  <c r="G1638" i="4"/>
  <c r="F1638" i="4"/>
  <c r="C1638" i="4" a="1"/>
  <c r="C1638" i="4" s="1"/>
  <c r="A1638" i="4"/>
  <c r="E1638" i="4" s="1" a="1"/>
  <c r="E1638" i="4" s="1"/>
  <c r="L1637" i="4"/>
  <c r="K1637" i="4"/>
  <c r="I1637" i="4"/>
  <c r="G1637" i="4"/>
  <c r="F1637" i="4"/>
  <c r="E1637" i="4" a="1"/>
  <c r="E1637" i="4" s="1"/>
  <c r="C1637" i="4" a="1"/>
  <c r="C1637" i="4" s="1"/>
  <c r="A1637" i="4"/>
  <c r="N1637" i="4" s="1" a="1"/>
  <c r="N1637" i="4" s="1"/>
  <c r="L1636" i="4"/>
  <c r="K1636" i="4"/>
  <c r="C1636" i="4" s="1" a="1"/>
  <c r="I1636" i="4"/>
  <c r="G1636" i="4"/>
  <c r="F1636" i="4"/>
  <c r="C1636" i="4"/>
  <c r="A1636" i="4"/>
  <c r="M1635" i="4" a="1"/>
  <c r="M1635" i="4" s="1"/>
  <c r="L1635" i="4"/>
  <c r="K1635" i="4"/>
  <c r="I1635" i="4"/>
  <c r="G1635" i="4"/>
  <c r="H1635" i="4" s="1"/>
  <c r="F1635" i="4"/>
  <c r="A1635" i="4"/>
  <c r="L1634" i="4"/>
  <c r="K1634" i="4"/>
  <c r="I1634" i="4"/>
  <c r="G1634" i="4"/>
  <c r="F1634" i="4"/>
  <c r="B1634" i="4" a="1"/>
  <c r="B1634" i="4" s="1"/>
  <c r="A1634" i="4"/>
  <c r="L1633" i="4"/>
  <c r="K1633" i="4"/>
  <c r="I1633" i="4"/>
  <c r="H1633" i="4"/>
  <c r="G1633" i="4"/>
  <c r="J1633" i="4" s="1"/>
  <c r="F1633" i="4"/>
  <c r="E1633" i="4" a="1"/>
  <c r="E1633" i="4" s="1"/>
  <c r="A1633" i="4"/>
  <c r="L1632" i="4"/>
  <c r="K1632" i="4"/>
  <c r="I1632" i="4"/>
  <c r="H1632" i="4"/>
  <c r="G1632" i="4"/>
  <c r="J1632" i="4" s="1"/>
  <c r="F1632" i="4"/>
  <c r="A1632" i="4"/>
  <c r="N1632" i="4" s="1" a="1"/>
  <c r="N1632" i="4" s="1"/>
  <c r="L1631" i="4"/>
  <c r="K1631" i="4"/>
  <c r="J1631" i="4"/>
  <c r="I1631" i="4"/>
  <c r="H1631" i="4"/>
  <c r="G1631" i="4"/>
  <c r="F1631" i="4"/>
  <c r="D1631" i="4" a="1"/>
  <c r="D1631" i="4" s="1"/>
  <c r="A1631" i="4"/>
  <c r="E1631" i="4" s="1" a="1"/>
  <c r="E1631" i="4" s="1"/>
  <c r="L1630" i="4"/>
  <c r="K1630" i="4"/>
  <c r="I1630" i="4"/>
  <c r="G1630" i="4"/>
  <c r="F1630" i="4"/>
  <c r="E1630" i="4"/>
  <c r="E1630" i="4" a="1"/>
  <c r="A1630" i="4"/>
  <c r="N1630" i="4" s="1" a="1"/>
  <c r="N1630" i="4" s="1"/>
  <c r="N1629" i="4" a="1"/>
  <c r="N1629" i="4" s="1"/>
  <c r="L1629" i="4"/>
  <c r="K1629" i="4"/>
  <c r="I1629" i="4"/>
  <c r="G1629" i="4"/>
  <c r="J1629" i="4" s="1"/>
  <c r="F1629" i="4"/>
  <c r="C1629" i="4" a="1"/>
  <c r="C1629" i="4" s="1"/>
  <c r="A1629" i="4"/>
  <c r="L1628" i="4"/>
  <c r="K1628" i="4"/>
  <c r="I1628" i="4"/>
  <c r="H1628" i="4"/>
  <c r="G1628" i="4"/>
  <c r="J1628" i="4" s="1"/>
  <c r="F1628" i="4"/>
  <c r="C1628" i="4" a="1"/>
  <c r="C1628" i="4" s="1"/>
  <c r="A1628" i="4"/>
  <c r="L1627" i="4"/>
  <c r="K1627" i="4"/>
  <c r="I1627" i="4"/>
  <c r="H1627" i="4"/>
  <c r="G1627" i="4"/>
  <c r="J1627" i="4" s="1"/>
  <c r="F1627" i="4"/>
  <c r="C1627" i="4" a="1"/>
  <c r="C1627" i="4" s="1"/>
  <c r="A1627" i="4"/>
  <c r="L1626" i="4"/>
  <c r="K1626" i="4"/>
  <c r="I1626" i="4"/>
  <c r="G1626" i="4"/>
  <c r="F1626" i="4"/>
  <c r="A1626" i="4"/>
  <c r="L1625" i="4"/>
  <c r="K1625" i="4"/>
  <c r="I1625" i="4"/>
  <c r="G1625" i="4"/>
  <c r="F1625" i="4"/>
  <c r="A1625" i="4"/>
  <c r="E1625" i="4" s="1" a="1"/>
  <c r="E1625" i="4" s="1"/>
  <c r="L1624" i="4"/>
  <c r="K1624" i="4"/>
  <c r="I1624" i="4"/>
  <c r="H1624" i="4"/>
  <c r="G1624" i="4"/>
  <c r="J1624" i="4" s="1"/>
  <c r="F1624" i="4"/>
  <c r="A1624" i="4"/>
  <c r="L1623" i="4"/>
  <c r="K1623" i="4"/>
  <c r="D1623" i="4" s="1" a="1"/>
  <c r="D1623" i="4" s="1"/>
  <c r="I1623" i="4"/>
  <c r="G1623" i="4"/>
  <c r="F1623" i="4"/>
  <c r="A1623" i="4"/>
  <c r="L1622" i="4"/>
  <c r="K1622" i="4"/>
  <c r="I1622" i="4"/>
  <c r="G1622" i="4"/>
  <c r="F1622" i="4"/>
  <c r="E1622" i="4" a="1"/>
  <c r="E1622" i="4" s="1"/>
  <c r="A1622" i="4"/>
  <c r="C1622" i="4" s="1" a="1"/>
  <c r="C1622" i="4" s="1"/>
  <c r="L1621" i="4"/>
  <c r="C1621" i="4" s="1" a="1"/>
  <c r="C1621" i="4" s="1"/>
  <c r="K1621" i="4"/>
  <c r="I1621" i="4"/>
  <c r="G1621" i="4"/>
  <c r="F1621" i="4"/>
  <c r="E1621" i="4" a="1"/>
  <c r="E1621" i="4" s="1"/>
  <c r="A1621" i="4"/>
  <c r="L1620" i="4"/>
  <c r="K1620" i="4"/>
  <c r="I1620" i="4"/>
  <c r="H1620" i="4"/>
  <c r="G1620" i="4"/>
  <c r="J1620" i="4" s="1"/>
  <c r="F1620" i="4"/>
  <c r="A1620" i="4"/>
  <c r="M1620" i="4" s="1" a="1"/>
  <c r="M1620" i="4" s="1"/>
  <c r="L1619" i="4"/>
  <c r="K1619" i="4"/>
  <c r="J1619" i="4"/>
  <c r="I1619" i="4"/>
  <c r="G1619" i="4"/>
  <c r="H1619" i="4" s="1"/>
  <c r="F1619" i="4"/>
  <c r="C1619" i="4" a="1"/>
  <c r="C1619" i="4" s="1"/>
  <c r="A1619" i="4"/>
  <c r="L1618" i="4"/>
  <c r="K1618" i="4"/>
  <c r="I1618" i="4"/>
  <c r="G1618" i="4"/>
  <c r="F1618" i="4"/>
  <c r="A1618" i="4"/>
  <c r="N1617" i="4" a="1"/>
  <c r="N1617" i="4" s="1"/>
  <c r="L1617" i="4"/>
  <c r="E1617" i="4" s="1" a="1"/>
  <c r="E1617" i="4" s="1"/>
  <c r="K1617" i="4"/>
  <c r="I1617" i="4"/>
  <c r="G1617" i="4"/>
  <c r="F1617" i="4"/>
  <c r="D1617" i="4" a="1"/>
  <c r="D1617" i="4" s="1"/>
  <c r="C1617" i="4" a="1"/>
  <c r="C1617" i="4" s="1"/>
  <c r="A1617" i="4"/>
  <c r="L1616" i="4"/>
  <c r="K1616" i="4"/>
  <c r="I1616" i="4"/>
  <c r="G1616" i="4"/>
  <c r="J1616" i="4" s="1"/>
  <c r="F1616" i="4"/>
  <c r="A1616" i="4"/>
  <c r="L1615" i="4"/>
  <c r="K1615" i="4"/>
  <c r="I1615" i="4"/>
  <c r="G1615" i="4"/>
  <c r="F1615" i="4"/>
  <c r="A1615" i="4"/>
  <c r="L1614" i="4"/>
  <c r="K1614" i="4"/>
  <c r="I1614" i="4"/>
  <c r="G1614" i="4"/>
  <c r="F1614" i="4"/>
  <c r="A1614" i="4"/>
  <c r="M1614" i="4" s="1" a="1"/>
  <c r="M1614" i="4" s="1"/>
  <c r="N1613" i="4" a="1"/>
  <c r="N1613" i="4" s="1"/>
  <c r="L1613" i="4"/>
  <c r="K1613" i="4"/>
  <c r="I1613" i="4"/>
  <c r="H1613" i="4"/>
  <c r="G1613" i="4"/>
  <c r="J1613" i="4" s="1"/>
  <c r="F1613" i="4"/>
  <c r="C1613" i="4" a="1"/>
  <c r="C1613" i="4" s="1"/>
  <c r="B1613" i="4"/>
  <c r="A1613" i="4"/>
  <c r="B1613" i="4" s="1" a="1"/>
  <c r="L1612" i="4"/>
  <c r="K1612" i="4"/>
  <c r="I1612" i="4"/>
  <c r="H1612" i="4"/>
  <c r="G1612" i="4"/>
  <c r="J1612" i="4" s="1"/>
  <c r="F1612" i="4"/>
  <c r="C1612" i="4" a="1"/>
  <c r="C1612" i="4" s="1"/>
  <c r="A1612" i="4"/>
  <c r="L1611" i="4"/>
  <c r="K1611" i="4"/>
  <c r="J1611" i="4"/>
  <c r="I1611" i="4"/>
  <c r="G1611" i="4"/>
  <c r="H1611" i="4" s="1"/>
  <c r="F1611" i="4"/>
  <c r="A1611" i="4"/>
  <c r="N1610" i="4" a="1"/>
  <c r="N1610" i="4" s="1"/>
  <c r="M1610" i="4" a="1"/>
  <c r="M1610" i="4" s="1"/>
  <c r="L1610" i="4"/>
  <c r="K1610" i="4"/>
  <c r="C1610" i="4" s="1" a="1"/>
  <c r="C1610" i="4" s="1"/>
  <c r="I1610" i="4"/>
  <c r="G1610" i="4"/>
  <c r="J1610" i="4" s="1"/>
  <c r="F1610" i="4"/>
  <c r="E1610" i="4" a="1"/>
  <c r="E1610" i="4" s="1"/>
  <c r="B1610" i="4" a="1"/>
  <c r="B1610" i="4" s="1"/>
  <c r="A1610" i="4"/>
  <c r="L1609" i="4"/>
  <c r="K1609" i="4"/>
  <c r="I1609" i="4"/>
  <c r="G1609" i="4"/>
  <c r="F1609" i="4"/>
  <c r="C1609" i="4"/>
  <c r="C1609" i="4" a="1"/>
  <c r="A1609" i="4"/>
  <c r="L1608" i="4"/>
  <c r="K1608" i="4"/>
  <c r="I1608" i="4"/>
  <c r="G1608" i="4"/>
  <c r="F1608" i="4"/>
  <c r="E1608" i="4" a="1"/>
  <c r="E1608" i="4" s="1"/>
  <c r="D1608" i="4" a="1"/>
  <c r="D1608" i="4" s="1"/>
  <c r="A1608" i="4"/>
  <c r="N1607" i="4" a="1"/>
  <c r="N1607" i="4" s="1"/>
  <c r="L1607" i="4"/>
  <c r="K1607" i="4"/>
  <c r="I1607" i="4"/>
  <c r="H1607" i="4"/>
  <c r="G1607" i="4"/>
  <c r="J1607" i="4" s="1"/>
  <c r="F1607" i="4"/>
  <c r="E1607" i="4" a="1"/>
  <c r="E1607" i="4" s="1"/>
  <c r="B1607" i="4"/>
  <c r="B1607" i="4" a="1"/>
  <c r="A1607" i="4"/>
  <c r="N1606" i="4" a="1"/>
  <c r="N1606" i="4" s="1"/>
  <c r="L1606" i="4"/>
  <c r="K1606" i="4"/>
  <c r="J1606" i="4"/>
  <c r="I1606" i="4"/>
  <c r="G1606" i="4"/>
  <c r="H1606" i="4" s="1"/>
  <c r="F1606" i="4"/>
  <c r="B1606" i="4" a="1"/>
  <c r="B1606" i="4" s="1"/>
  <c r="A1606" i="4"/>
  <c r="L1605" i="4"/>
  <c r="K1605" i="4"/>
  <c r="J1605" i="4"/>
  <c r="I1605" i="4"/>
  <c r="G1605" i="4"/>
  <c r="H1605" i="4" s="1"/>
  <c r="F1605" i="4"/>
  <c r="E1605" i="4" a="1"/>
  <c r="E1605" i="4" s="1"/>
  <c r="D1605" i="4" a="1"/>
  <c r="D1605" i="4" s="1"/>
  <c r="B1605" i="4" a="1"/>
  <c r="B1605" i="4" s="1"/>
  <c r="A1605" i="4"/>
  <c r="L1604" i="4"/>
  <c r="K1604" i="4"/>
  <c r="J1604" i="4"/>
  <c r="I1604" i="4"/>
  <c r="H1604" i="4"/>
  <c r="G1604" i="4"/>
  <c r="F1604" i="4"/>
  <c r="B1604" i="4" a="1"/>
  <c r="B1604" i="4" s="1"/>
  <c r="A1604" i="4"/>
  <c r="N1603" i="4" a="1"/>
  <c r="N1603" i="4" s="1"/>
  <c r="L1603" i="4"/>
  <c r="D1603" i="4" s="1" a="1"/>
  <c r="K1603" i="4"/>
  <c r="I1603" i="4"/>
  <c r="G1603" i="4"/>
  <c r="F1603" i="4"/>
  <c r="E1603" i="4" a="1"/>
  <c r="E1603" i="4" s="1"/>
  <c r="D1603" i="4"/>
  <c r="C1603" i="4"/>
  <c r="C1603" i="4" a="1"/>
  <c r="A1603" i="4"/>
  <c r="N1602" i="4" a="1"/>
  <c r="N1602" i="4" s="1"/>
  <c r="L1602" i="4"/>
  <c r="K1602" i="4"/>
  <c r="J1602" i="4"/>
  <c r="I1602" i="4"/>
  <c r="H1602" i="4"/>
  <c r="G1602" i="4"/>
  <c r="F1602" i="4"/>
  <c r="E1602" i="4" a="1"/>
  <c r="E1602" i="4" s="1"/>
  <c r="A1602" i="4"/>
  <c r="L1601" i="4"/>
  <c r="K1601" i="4"/>
  <c r="B1601" i="4" s="1" a="1"/>
  <c r="B1601" i="4" s="1"/>
  <c r="I1601" i="4"/>
  <c r="G1601" i="4"/>
  <c r="F1601" i="4"/>
  <c r="A1601" i="4"/>
  <c r="N1600" i="4"/>
  <c r="N1600" i="4" a="1"/>
  <c r="M1600" i="4" a="1"/>
  <c r="M1600" i="4" s="1"/>
  <c r="L1600" i="4"/>
  <c r="K1600" i="4"/>
  <c r="I1600" i="4"/>
  <c r="H1600" i="4"/>
  <c r="G1600" i="4"/>
  <c r="J1600" i="4" s="1"/>
  <c r="F1600" i="4"/>
  <c r="C1600" i="4" a="1"/>
  <c r="C1600" i="4" s="1"/>
  <c r="A1600" i="4"/>
  <c r="L1599" i="4"/>
  <c r="K1599" i="4"/>
  <c r="E1599" i="4" s="1" a="1"/>
  <c r="E1599" i="4" s="1"/>
  <c r="I1599" i="4"/>
  <c r="G1599" i="4"/>
  <c r="F1599" i="4"/>
  <c r="A1599" i="4"/>
  <c r="L1598" i="4"/>
  <c r="K1598" i="4"/>
  <c r="I1598" i="4"/>
  <c r="G1598" i="4"/>
  <c r="F1598" i="4"/>
  <c r="C1598" i="4" a="1"/>
  <c r="C1598" i="4" s="1"/>
  <c r="A1598" i="4"/>
  <c r="L1597" i="4"/>
  <c r="E1597" i="4" s="1" a="1"/>
  <c r="E1597" i="4" s="1"/>
  <c r="K1597" i="4"/>
  <c r="I1597" i="4"/>
  <c r="H1597" i="4"/>
  <c r="G1597" i="4"/>
  <c r="J1597" i="4" s="1"/>
  <c r="F1597" i="4"/>
  <c r="C1597" i="4" a="1"/>
  <c r="C1597" i="4" s="1"/>
  <c r="A1597" i="4"/>
  <c r="L1596" i="4"/>
  <c r="K1596" i="4"/>
  <c r="J1596" i="4"/>
  <c r="I1596" i="4"/>
  <c r="G1596" i="4"/>
  <c r="H1596" i="4" s="1"/>
  <c r="F1596" i="4"/>
  <c r="B1596" i="4"/>
  <c r="B1596" i="4" a="1"/>
  <c r="A1596" i="4"/>
  <c r="L1595" i="4"/>
  <c r="K1595" i="4"/>
  <c r="I1595" i="4"/>
  <c r="G1595" i="4"/>
  <c r="F1595" i="4"/>
  <c r="A1595" i="4"/>
  <c r="L1594" i="4"/>
  <c r="K1594" i="4"/>
  <c r="C1594" i="4" s="1" a="1"/>
  <c r="C1594" i="4" s="1"/>
  <c r="I1594" i="4"/>
  <c r="G1594" i="4"/>
  <c r="F1594" i="4"/>
  <c r="A1594" i="4"/>
  <c r="L1593" i="4"/>
  <c r="K1593" i="4"/>
  <c r="I1593" i="4"/>
  <c r="H1593" i="4"/>
  <c r="G1593" i="4"/>
  <c r="J1593" i="4" s="1"/>
  <c r="F1593" i="4"/>
  <c r="A1593" i="4"/>
  <c r="B1593" i="4" s="1" a="1"/>
  <c r="B1593" i="4" s="1"/>
  <c r="L1592" i="4"/>
  <c r="K1592" i="4"/>
  <c r="I1592" i="4"/>
  <c r="G1592" i="4"/>
  <c r="J1592" i="4" s="1"/>
  <c r="F1592" i="4"/>
  <c r="E1592" i="4" a="1"/>
  <c r="E1592" i="4" s="1"/>
  <c r="A1592" i="4"/>
  <c r="L1591" i="4"/>
  <c r="K1591" i="4"/>
  <c r="I1591" i="4"/>
  <c r="G1591" i="4"/>
  <c r="J1591" i="4" s="1"/>
  <c r="F1591" i="4"/>
  <c r="A1591" i="4"/>
  <c r="L1590" i="4"/>
  <c r="K1590" i="4"/>
  <c r="I1590" i="4"/>
  <c r="G1590" i="4"/>
  <c r="F1590" i="4"/>
  <c r="A1590" i="4"/>
  <c r="L1589" i="4"/>
  <c r="K1589" i="4"/>
  <c r="E1589" i="4" s="1" a="1"/>
  <c r="E1589" i="4" s="1"/>
  <c r="I1589" i="4"/>
  <c r="G1589" i="4"/>
  <c r="H1589" i="4" s="1"/>
  <c r="F1589" i="4"/>
  <c r="A1589" i="4"/>
  <c r="L1588" i="4"/>
  <c r="K1588" i="4"/>
  <c r="N1588" i="4" s="1" a="1"/>
  <c r="N1588" i="4" s="1"/>
  <c r="J1588" i="4"/>
  <c r="I1588" i="4"/>
  <c r="G1588" i="4"/>
  <c r="H1588" i="4" s="1"/>
  <c r="F1588" i="4"/>
  <c r="A1588" i="4"/>
  <c r="L1587" i="4"/>
  <c r="K1587" i="4"/>
  <c r="C1587" i="4" s="1" a="1"/>
  <c r="C1587" i="4" s="1"/>
  <c r="J1587" i="4"/>
  <c r="I1587" i="4"/>
  <c r="G1587" i="4"/>
  <c r="H1587" i="4" s="1"/>
  <c r="F1587" i="4"/>
  <c r="A1587" i="4"/>
  <c r="L1586" i="4"/>
  <c r="K1586" i="4"/>
  <c r="E1586" i="4" s="1" a="1"/>
  <c r="E1586" i="4" s="1"/>
  <c r="I1586" i="4"/>
  <c r="G1586" i="4"/>
  <c r="F1586" i="4"/>
  <c r="A1586" i="4"/>
  <c r="L1585" i="4"/>
  <c r="K1585" i="4"/>
  <c r="I1585" i="4"/>
  <c r="G1585" i="4"/>
  <c r="H1585" i="4" s="1"/>
  <c r="F1585" i="4"/>
  <c r="A1585" i="4"/>
  <c r="L1584" i="4"/>
  <c r="K1584" i="4"/>
  <c r="I1584" i="4"/>
  <c r="H1584" i="4"/>
  <c r="G1584" i="4"/>
  <c r="J1584" i="4" s="1"/>
  <c r="F1584" i="4"/>
  <c r="A1584" i="4"/>
  <c r="N1583" i="4" a="1"/>
  <c r="N1583" i="4" s="1"/>
  <c r="L1583" i="4"/>
  <c r="D1583" i="4" s="1" a="1"/>
  <c r="D1583" i="4" s="1"/>
  <c r="K1583" i="4"/>
  <c r="J1583" i="4"/>
  <c r="I1583" i="4"/>
  <c r="G1583" i="4"/>
  <c r="H1583" i="4" s="1"/>
  <c r="F1583" i="4"/>
  <c r="B1583" i="4" a="1"/>
  <c r="B1583" i="4" s="1"/>
  <c r="A1583" i="4"/>
  <c r="L1582" i="4"/>
  <c r="K1582" i="4"/>
  <c r="C1582" i="4" s="1" a="1"/>
  <c r="C1582" i="4" s="1"/>
  <c r="I1582" i="4"/>
  <c r="G1582" i="4"/>
  <c r="F1582" i="4"/>
  <c r="A1582" i="4"/>
  <c r="L1581" i="4"/>
  <c r="K1581" i="4"/>
  <c r="I1581" i="4"/>
  <c r="G1581" i="4"/>
  <c r="H1581" i="4" s="1"/>
  <c r="F1581" i="4"/>
  <c r="A1581" i="4"/>
  <c r="L1580" i="4"/>
  <c r="K1580" i="4"/>
  <c r="J1580" i="4"/>
  <c r="I1580" i="4"/>
  <c r="H1580" i="4"/>
  <c r="G1580" i="4"/>
  <c r="F1580" i="4"/>
  <c r="A1580" i="4"/>
  <c r="N1580" i="4" s="1" a="1"/>
  <c r="N1580" i="4" s="1"/>
  <c r="L1579" i="4"/>
  <c r="K1579" i="4"/>
  <c r="J1579" i="4"/>
  <c r="I1579" i="4"/>
  <c r="G1579" i="4"/>
  <c r="H1579" i="4" s="1"/>
  <c r="F1579" i="4"/>
  <c r="C1579" i="4" a="1"/>
  <c r="C1579" i="4" s="1"/>
  <c r="A1579" i="4"/>
  <c r="M1579" i="4" s="1" a="1"/>
  <c r="M1579" i="4" s="1"/>
  <c r="L1578" i="4"/>
  <c r="K1578" i="4"/>
  <c r="I1578" i="4"/>
  <c r="G1578" i="4"/>
  <c r="F1578" i="4"/>
  <c r="B1578" i="4" a="1"/>
  <c r="B1578" i="4" s="1"/>
  <c r="A1578" i="4"/>
  <c r="M1578" i="4" s="1" a="1"/>
  <c r="M1578" i="4" s="1"/>
  <c r="L1577" i="4"/>
  <c r="K1577" i="4"/>
  <c r="I1577" i="4"/>
  <c r="G1577" i="4"/>
  <c r="F1577" i="4"/>
  <c r="A1577" i="4"/>
  <c r="M1577" i="4" s="1" a="1"/>
  <c r="M1577" i="4" s="1"/>
  <c r="L1576" i="4"/>
  <c r="K1576" i="4"/>
  <c r="J1576" i="4"/>
  <c r="I1576" i="4"/>
  <c r="H1576" i="4"/>
  <c r="G1576" i="4"/>
  <c r="F1576" i="4"/>
  <c r="D1576" i="4" a="1"/>
  <c r="D1576" i="4" s="1"/>
  <c r="A1576" i="4"/>
  <c r="E1576" i="4" s="1" a="1"/>
  <c r="E1576" i="4" s="1"/>
  <c r="L1575" i="4"/>
  <c r="K1575" i="4"/>
  <c r="I1575" i="4"/>
  <c r="G1575" i="4"/>
  <c r="F1575" i="4"/>
  <c r="A1575" i="4"/>
  <c r="L1574" i="4"/>
  <c r="K1574" i="4"/>
  <c r="I1574" i="4"/>
  <c r="G1574" i="4"/>
  <c r="F1574" i="4"/>
  <c r="A1574" i="4"/>
  <c r="L1573" i="4"/>
  <c r="K1573" i="4"/>
  <c r="I1573" i="4"/>
  <c r="G1573" i="4"/>
  <c r="F1573" i="4"/>
  <c r="A1573" i="4"/>
  <c r="L1572" i="4"/>
  <c r="K1572" i="4"/>
  <c r="I1572" i="4"/>
  <c r="G1572" i="4"/>
  <c r="J1572" i="4" s="1"/>
  <c r="F1572" i="4"/>
  <c r="A1572" i="4"/>
  <c r="L1571" i="4"/>
  <c r="K1571" i="4"/>
  <c r="C1571" i="4" s="1" a="1"/>
  <c r="C1571" i="4" s="1"/>
  <c r="I1571" i="4"/>
  <c r="H1571" i="4"/>
  <c r="G1571" i="4"/>
  <c r="J1571" i="4" s="1"/>
  <c r="F1571" i="4"/>
  <c r="A1571" i="4"/>
  <c r="L1570" i="4"/>
  <c r="K1570" i="4"/>
  <c r="I1570" i="4"/>
  <c r="G1570" i="4"/>
  <c r="F1570" i="4"/>
  <c r="A1570" i="4"/>
  <c r="B1570" i="4" s="1" a="1"/>
  <c r="B1570" i="4" s="1"/>
  <c r="L1569" i="4"/>
  <c r="K1569" i="4"/>
  <c r="I1569" i="4"/>
  <c r="G1569" i="4"/>
  <c r="J1569" i="4" s="1"/>
  <c r="F1569" i="4"/>
  <c r="A1569" i="4"/>
  <c r="D1569" i="4" s="1" a="1"/>
  <c r="D1569" i="4" s="1"/>
  <c r="L1568" i="4"/>
  <c r="K1568" i="4"/>
  <c r="J1568" i="4"/>
  <c r="I1568" i="4"/>
  <c r="H1568" i="4"/>
  <c r="G1568" i="4"/>
  <c r="F1568" i="4"/>
  <c r="D1568" i="4" a="1"/>
  <c r="D1568" i="4" s="1"/>
  <c r="C1568" i="4" a="1"/>
  <c r="C1568" i="4" s="1"/>
  <c r="A1568" i="4"/>
  <c r="L1567" i="4"/>
  <c r="K1567" i="4"/>
  <c r="I1567" i="4"/>
  <c r="G1567" i="4"/>
  <c r="H1567" i="4" s="1"/>
  <c r="F1567" i="4"/>
  <c r="A1567" i="4"/>
  <c r="M1566" i="4" a="1"/>
  <c r="M1566" i="4" s="1"/>
  <c r="L1566" i="4"/>
  <c r="K1566" i="4"/>
  <c r="J1566" i="4"/>
  <c r="I1566" i="4"/>
  <c r="H1566" i="4"/>
  <c r="G1566" i="4"/>
  <c r="F1566" i="4"/>
  <c r="B1566" i="4" a="1"/>
  <c r="B1566" i="4" s="1"/>
  <c r="A1566" i="4"/>
  <c r="L1565" i="4"/>
  <c r="K1565" i="4"/>
  <c r="C1565" i="4" s="1" a="1"/>
  <c r="C1565" i="4" s="1"/>
  <c r="I1565" i="4"/>
  <c r="H1565" i="4"/>
  <c r="G1565" i="4"/>
  <c r="J1565" i="4" s="1"/>
  <c r="F1565" i="4"/>
  <c r="E1565" i="4" a="1"/>
  <c r="E1565" i="4" s="1"/>
  <c r="A1565" i="4"/>
  <c r="N1564" i="4" a="1"/>
  <c r="N1564" i="4" s="1"/>
  <c r="L1564" i="4"/>
  <c r="K1564" i="4"/>
  <c r="I1564" i="4"/>
  <c r="H1564" i="4"/>
  <c r="G1564" i="4"/>
  <c r="J1564" i="4" s="1"/>
  <c r="F1564" i="4"/>
  <c r="A1564" i="4"/>
  <c r="N1563" i="4" a="1"/>
  <c r="N1563" i="4" s="1"/>
  <c r="L1563" i="4"/>
  <c r="K1563" i="4"/>
  <c r="I1563" i="4"/>
  <c r="H1563" i="4"/>
  <c r="G1563" i="4"/>
  <c r="J1563" i="4" s="1"/>
  <c r="F1563" i="4"/>
  <c r="B1563" i="4" a="1"/>
  <c r="B1563" i="4" s="1"/>
  <c r="A1563" i="4"/>
  <c r="M1563" i="4" s="1" a="1"/>
  <c r="M1563" i="4" s="1"/>
  <c r="L1562" i="4"/>
  <c r="K1562" i="4"/>
  <c r="E1562" i="4" s="1" a="1"/>
  <c r="E1562" i="4" s="1"/>
  <c r="J1562" i="4"/>
  <c r="I1562" i="4"/>
  <c r="H1562" i="4"/>
  <c r="G1562" i="4"/>
  <c r="F1562" i="4"/>
  <c r="C1562" i="4" a="1"/>
  <c r="C1562" i="4" s="1"/>
  <c r="A1562" i="4"/>
  <c r="L1561" i="4"/>
  <c r="K1561" i="4"/>
  <c r="I1561" i="4"/>
  <c r="G1561" i="4"/>
  <c r="H1561" i="4" s="1"/>
  <c r="F1561" i="4"/>
  <c r="D1561" i="4" a="1"/>
  <c r="D1561" i="4" s="1"/>
  <c r="A1561" i="4"/>
  <c r="B1561" i="4" s="1" a="1"/>
  <c r="B1561" i="4" s="1"/>
  <c r="M1560" i="4" a="1"/>
  <c r="M1560" i="4" s="1"/>
  <c r="L1560" i="4"/>
  <c r="K1560" i="4"/>
  <c r="J1560" i="4"/>
  <c r="I1560" i="4"/>
  <c r="H1560" i="4"/>
  <c r="G1560" i="4"/>
  <c r="F1560" i="4"/>
  <c r="B1560" i="4" a="1"/>
  <c r="B1560" i="4" s="1"/>
  <c r="A1560" i="4"/>
  <c r="L1559" i="4"/>
  <c r="K1559" i="4"/>
  <c r="D1559" i="4" s="1" a="1"/>
  <c r="D1559" i="4" s="1"/>
  <c r="I1559" i="4"/>
  <c r="G1559" i="4"/>
  <c r="H1559" i="4" s="1"/>
  <c r="F1559" i="4"/>
  <c r="A1559" i="4"/>
  <c r="L1558" i="4"/>
  <c r="K1558" i="4"/>
  <c r="I1558" i="4"/>
  <c r="H1558" i="4"/>
  <c r="G1558" i="4"/>
  <c r="J1558" i="4" s="1"/>
  <c r="F1558" i="4"/>
  <c r="E1558" i="4" a="1"/>
  <c r="E1558" i="4" s="1"/>
  <c r="A1558" i="4"/>
  <c r="N1558" i="4" s="1" a="1"/>
  <c r="N1558" i="4" s="1"/>
  <c r="L1557" i="4"/>
  <c r="D1557" i="4" s="1" a="1"/>
  <c r="D1557" i="4" s="1"/>
  <c r="K1557" i="4"/>
  <c r="I1557" i="4"/>
  <c r="G1557" i="4"/>
  <c r="H1557" i="4" s="1"/>
  <c r="F1557" i="4"/>
  <c r="C1557" i="4" a="1"/>
  <c r="C1557" i="4" s="1"/>
  <c r="A1557" i="4"/>
  <c r="L1556" i="4"/>
  <c r="K1556" i="4"/>
  <c r="I1556" i="4"/>
  <c r="H1556" i="4"/>
  <c r="G1556" i="4"/>
  <c r="J1556" i="4" s="1"/>
  <c r="F1556" i="4"/>
  <c r="A1556" i="4"/>
  <c r="N1555" i="4" a="1"/>
  <c r="N1555" i="4" s="1"/>
  <c r="L1555" i="4"/>
  <c r="K1555" i="4"/>
  <c r="I1555" i="4"/>
  <c r="G1555" i="4"/>
  <c r="F1555" i="4"/>
  <c r="E1555" i="4" a="1"/>
  <c r="E1555" i="4" s="1"/>
  <c r="A1555" i="4"/>
  <c r="L1554" i="4"/>
  <c r="K1554" i="4"/>
  <c r="B1554" i="4" s="1" a="1"/>
  <c r="B1554" i="4" s="1"/>
  <c r="J1554" i="4"/>
  <c r="I1554" i="4"/>
  <c r="H1554" i="4"/>
  <c r="G1554" i="4"/>
  <c r="F1554" i="4"/>
  <c r="A1554" i="4"/>
  <c r="L1553" i="4"/>
  <c r="C1553" i="4" s="1" a="1"/>
  <c r="C1553" i="4" s="1"/>
  <c r="K1553" i="4"/>
  <c r="I1553" i="4"/>
  <c r="G1553" i="4"/>
  <c r="F1553" i="4"/>
  <c r="A1553" i="4"/>
  <c r="L1552" i="4"/>
  <c r="K1552" i="4"/>
  <c r="E1552" i="4" s="1" a="1"/>
  <c r="E1552" i="4" s="1"/>
  <c r="I1552" i="4"/>
  <c r="G1552" i="4"/>
  <c r="F1552" i="4"/>
  <c r="A1552" i="4"/>
  <c r="M1552" i="4" s="1" a="1"/>
  <c r="M1552" i="4" s="1"/>
  <c r="N1551" i="4" a="1"/>
  <c r="N1551" i="4" s="1"/>
  <c r="L1551" i="4"/>
  <c r="K1551" i="4"/>
  <c r="J1551" i="4"/>
  <c r="I1551" i="4"/>
  <c r="G1551" i="4"/>
  <c r="H1551" i="4" s="1"/>
  <c r="F1551" i="4"/>
  <c r="C1551" i="4" a="1"/>
  <c r="C1551" i="4" s="1"/>
  <c r="B1551" i="4" a="1"/>
  <c r="B1551" i="4" s="1"/>
  <c r="A1551" i="4"/>
  <c r="L1550" i="4"/>
  <c r="C1550" i="4" s="1" a="1"/>
  <c r="C1550" i="4" s="1"/>
  <c r="K1550" i="4"/>
  <c r="I1550" i="4"/>
  <c r="H1550" i="4"/>
  <c r="G1550" i="4"/>
  <c r="J1550" i="4" s="1"/>
  <c r="F1550" i="4"/>
  <c r="A1550" i="4"/>
  <c r="N1550" i="4" s="1" a="1"/>
  <c r="N1550" i="4" s="1"/>
  <c r="N1549" i="4" a="1"/>
  <c r="N1549" i="4" s="1"/>
  <c r="L1549" i="4"/>
  <c r="K1549" i="4"/>
  <c r="J1549" i="4"/>
  <c r="I1549" i="4"/>
  <c r="G1549" i="4"/>
  <c r="H1549" i="4" s="1"/>
  <c r="F1549" i="4"/>
  <c r="A1549" i="4"/>
  <c r="L1548" i="4"/>
  <c r="K1548" i="4"/>
  <c r="J1548" i="4"/>
  <c r="I1548" i="4"/>
  <c r="H1548" i="4"/>
  <c r="G1548" i="4"/>
  <c r="F1548" i="4"/>
  <c r="B1548" i="4" a="1"/>
  <c r="B1548" i="4" s="1"/>
  <c r="A1548" i="4"/>
  <c r="C1548" i="4" s="1" a="1"/>
  <c r="C1548" i="4" s="1"/>
  <c r="L1547" i="4"/>
  <c r="K1547" i="4"/>
  <c r="I1547" i="4"/>
  <c r="G1547" i="4"/>
  <c r="J1547" i="4" s="1"/>
  <c r="F1547" i="4"/>
  <c r="A1547" i="4"/>
  <c r="L1546" i="4"/>
  <c r="K1546" i="4"/>
  <c r="I1546" i="4"/>
  <c r="G1546" i="4"/>
  <c r="F1546" i="4"/>
  <c r="A1546" i="4"/>
  <c r="L1545" i="4"/>
  <c r="K1545" i="4"/>
  <c r="I1545" i="4"/>
  <c r="G1545" i="4"/>
  <c r="F1545" i="4"/>
  <c r="D1545" i="4" a="1"/>
  <c r="D1545" i="4" s="1"/>
  <c r="A1545" i="4"/>
  <c r="L1544" i="4"/>
  <c r="K1544" i="4"/>
  <c r="D1544" i="4" s="1" a="1"/>
  <c r="D1544" i="4" s="1"/>
  <c r="I1544" i="4"/>
  <c r="G1544" i="4"/>
  <c r="F1544" i="4"/>
  <c r="C1544" i="4" a="1"/>
  <c r="C1544" i="4" s="1"/>
  <c r="A1544" i="4"/>
  <c r="L1543" i="4"/>
  <c r="K1543" i="4"/>
  <c r="I1543" i="4"/>
  <c r="H1543" i="4"/>
  <c r="G1543" i="4"/>
  <c r="J1543" i="4" s="1"/>
  <c r="F1543" i="4"/>
  <c r="C1543" i="4" a="1"/>
  <c r="C1543" i="4" s="1"/>
  <c r="A1543" i="4"/>
  <c r="L1542" i="4"/>
  <c r="K1542" i="4"/>
  <c r="I1542" i="4"/>
  <c r="H1542" i="4"/>
  <c r="G1542" i="4"/>
  <c r="J1542" i="4" s="1"/>
  <c r="F1542" i="4"/>
  <c r="C1542" i="4" a="1"/>
  <c r="C1542" i="4" s="1"/>
  <c r="A1542" i="4"/>
  <c r="L1541" i="4"/>
  <c r="C1541" i="4" s="1" a="1"/>
  <c r="C1541" i="4" s="1"/>
  <c r="K1541" i="4"/>
  <c r="J1541" i="4"/>
  <c r="I1541" i="4"/>
  <c r="G1541" i="4"/>
  <c r="H1541" i="4" s="1"/>
  <c r="F1541" i="4"/>
  <c r="D1541" i="4" a="1"/>
  <c r="D1541" i="4" s="1"/>
  <c r="A1541" i="4"/>
  <c r="L1540" i="4"/>
  <c r="K1540" i="4"/>
  <c r="I1540" i="4"/>
  <c r="G1540" i="4"/>
  <c r="F1540" i="4"/>
  <c r="A1540" i="4"/>
  <c r="B1540" i="4" s="1" a="1"/>
  <c r="B1540" i="4" s="1"/>
  <c r="L1539" i="4"/>
  <c r="K1539" i="4"/>
  <c r="I1539" i="4"/>
  <c r="G1539" i="4"/>
  <c r="F1539" i="4"/>
  <c r="C1539" i="4" a="1"/>
  <c r="C1539" i="4" s="1"/>
  <c r="A1539" i="4"/>
  <c r="N1539" i="4" s="1" a="1"/>
  <c r="N1539" i="4" s="1"/>
  <c r="L1538" i="4"/>
  <c r="K1538" i="4"/>
  <c r="I1538" i="4"/>
  <c r="G1538" i="4"/>
  <c r="F1538" i="4"/>
  <c r="A1538" i="4"/>
  <c r="N1537" i="4" a="1"/>
  <c r="N1537" i="4" s="1"/>
  <c r="L1537" i="4"/>
  <c r="C1537" i="4" s="1" a="1"/>
  <c r="C1537" i="4" s="1"/>
  <c r="K1537" i="4"/>
  <c r="I1537" i="4"/>
  <c r="G1537" i="4"/>
  <c r="F1537" i="4"/>
  <c r="B1537" i="4" a="1"/>
  <c r="B1537" i="4" s="1"/>
  <c r="A1537" i="4"/>
  <c r="L1536" i="4"/>
  <c r="K1536" i="4"/>
  <c r="I1536" i="4"/>
  <c r="G1536" i="4"/>
  <c r="F1536" i="4"/>
  <c r="A1536" i="4"/>
  <c r="L1535" i="4"/>
  <c r="K1535" i="4"/>
  <c r="I1535" i="4"/>
  <c r="G1535" i="4"/>
  <c r="F1535" i="4"/>
  <c r="A1535" i="4"/>
  <c r="N1534" i="4" a="1"/>
  <c r="N1534" i="4" s="1"/>
  <c r="L1534" i="4"/>
  <c r="K1534" i="4"/>
  <c r="I1534" i="4"/>
  <c r="G1534" i="4"/>
  <c r="F1534" i="4"/>
  <c r="E1534" i="4" a="1"/>
  <c r="E1534" i="4" s="1"/>
  <c r="D1534" i="4" a="1"/>
  <c r="D1534" i="4" s="1"/>
  <c r="B1534" i="4" a="1"/>
  <c r="B1534" i="4" s="1"/>
  <c r="A1534" i="4"/>
  <c r="L1533" i="4"/>
  <c r="K1533" i="4"/>
  <c r="J1533" i="4"/>
  <c r="I1533" i="4"/>
  <c r="G1533" i="4"/>
  <c r="H1533" i="4" s="1"/>
  <c r="F1533" i="4"/>
  <c r="A1533" i="4"/>
  <c r="L1532" i="4"/>
  <c r="K1532" i="4"/>
  <c r="I1532" i="4"/>
  <c r="G1532" i="4"/>
  <c r="F1532" i="4"/>
  <c r="A1532" i="4"/>
  <c r="L1531" i="4"/>
  <c r="K1531" i="4"/>
  <c r="C1531" i="4" s="1" a="1"/>
  <c r="C1531" i="4" s="1"/>
  <c r="I1531" i="4"/>
  <c r="G1531" i="4"/>
  <c r="J1531" i="4" s="1"/>
  <c r="F1531" i="4"/>
  <c r="A1531" i="4"/>
  <c r="N1530" i="4" a="1"/>
  <c r="N1530" i="4" s="1"/>
  <c r="L1530" i="4"/>
  <c r="K1530" i="4"/>
  <c r="J1530" i="4"/>
  <c r="I1530" i="4"/>
  <c r="G1530" i="4"/>
  <c r="H1530" i="4" s="1"/>
  <c r="F1530" i="4"/>
  <c r="A1530" i="4"/>
  <c r="L1529" i="4"/>
  <c r="K1529" i="4"/>
  <c r="I1529" i="4"/>
  <c r="G1529" i="4"/>
  <c r="F1529" i="4"/>
  <c r="A1529" i="4"/>
  <c r="L1528" i="4"/>
  <c r="K1528" i="4"/>
  <c r="E1528" i="4" s="1" a="1"/>
  <c r="E1528" i="4" s="1"/>
  <c r="I1528" i="4"/>
  <c r="G1528" i="4"/>
  <c r="F1528" i="4"/>
  <c r="D1528" i="4" a="1"/>
  <c r="D1528" i="4" s="1"/>
  <c r="A1528" i="4"/>
  <c r="N1528" i="4" s="1" a="1"/>
  <c r="N1528" i="4" s="1"/>
  <c r="L1527" i="4"/>
  <c r="K1527" i="4"/>
  <c r="I1527" i="4"/>
  <c r="H1527" i="4"/>
  <c r="G1527" i="4"/>
  <c r="J1527" i="4" s="1"/>
  <c r="F1527" i="4"/>
  <c r="A1527" i="4"/>
  <c r="L1526" i="4"/>
  <c r="K1526" i="4"/>
  <c r="B1526" i="4" s="1" a="1"/>
  <c r="B1526" i="4" s="1"/>
  <c r="I1526" i="4"/>
  <c r="G1526" i="4"/>
  <c r="F1526" i="4"/>
  <c r="D1526" i="4" a="1"/>
  <c r="D1526" i="4" s="1"/>
  <c r="A1526" i="4"/>
  <c r="M1525" i="4" a="1"/>
  <c r="M1525" i="4" s="1"/>
  <c r="L1525" i="4"/>
  <c r="K1525" i="4"/>
  <c r="I1525" i="4"/>
  <c r="G1525" i="4"/>
  <c r="F1525" i="4"/>
  <c r="E1525" i="4" a="1"/>
  <c r="E1525" i="4" s="1"/>
  <c r="A1525" i="4"/>
  <c r="N1525" i="4" s="1" a="1"/>
  <c r="N1525" i="4" s="1"/>
  <c r="L1524" i="4"/>
  <c r="K1524" i="4"/>
  <c r="I1524" i="4"/>
  <c r="G1524" i="4"/>
  <c r="F1524" i="4"/>
  <c r="A1524" i="4"/>
  <c r="L1523" i="4"/>
  <c r="K1523" i="4"/>
  <c r="I1523" i="4"/>
  <c r="H1523" i="4"/>
  <c r="G1523" i="4"/>
  <c r="J1523" i="4" s="1"/>
  <c r="F1523" i="4"/>
  <c r="A1523" i="4"/>
  <c r="C1523" i="4" s="1" a="1"/>
  <c r="C1523" i="4" s="1"/>
  <c r="M1522" i="4" a="1"/>
  <c r="M1522" i="4" s="1"/>
  <c r="L1522" i="4"/>
  <c r="K1522" i="4"/>
  <c r="B1522" i="4" s="1" a="1"/>
  <c r="B1522" i="4" s="1"/>
  <c r="I1522" i="4"/>
  <c r="H1522" i="4"/>
  <c r="G1522" i="4"/>
  <c r="J1522" i="4" s="1"/>
  <c r="F1522" i="4"/>
  <c r="D1522" i="4" a="1"/>
  <c r="D1522" i="4" s="1"/>
  <c r="A1522" i="4"/>
  <c r="L1521" i="4"/>
  <c r="K1521" i="4"/>
  <c r="N1521" i="4" s="1" a="1"/>
  <c r="N1521" i="4" s="1"/>
  <c r="I1521" i="4"/>
  <c r="G1521" i="4"/>
  <c r="J1521" i="4" s="1"/>
  <c r="F1521" i="4"/>
  <c r="C1521" i="4" a="1"/>
  <c r="C1521" i="4" s="1"/>
  <c r="A1521" i="4"/>
  <c r="L1520" i="4"/>
  <c r="K1520" i="4"/>
  <c r="J1520" i="4"/>
  <c r="I1520" i="4"/>
  <c r="H1520" i="4"/>
  <c r="G1520" i="4"/>
  <c r="F1520" i="4"/>
  <c r="A1520" i="4"/>
  <c r="L1519" i="4"/>
  <c r="D1519" i="4" s="1" a="1"/>
  <c r="D1519" i="4" s="1"/>
  <c r="K1519" i="4"/>
  <c r="I1519" i="4"/>
  <c r="G1519" i="4"/>
  <c r="F1519" i="4"/>
  <c r="B1519" i="4" a="1"/>
  <c r="B1519" i="4" s="1"/>
  <c r="A1519" i="4"/>
  <c r="L1518" i="4"/>
  <c r="K1518" i="4"/>
  <c r="J1518" i="4"/>
  <c r="I1518" i="4"/>
  <c r="G1518" i="4"/>
  <c r="H1518" i="4" s="1"/>
  <c r="F1518" i="4"/>
  <c r="A1518" i="4"/>
  <c r="L1517" i="4"/>
  <c r="K1517" i="4"/>
  <c r="I1517" i="4"/>
  <c r="G1517" i="4"/>
  <c r="F1517" i="4"/>
  <c r="C1517" i="4" a="1"/>
  <c r="C1517" i="4" s="1"/>
  <c r="A1517" i="4"/>
  <c r="L1516" i="4"/>
  <c r="K1516" i="4"/>
  <c r="J1516" i="4"/>
  <c r="I1516" i="4"/>
  <c r="G1516" i="4"/>
  <c r="H1516" i="4" s="1"/>
  <c r="F1516" i="4"/>
  <c r="A1516" i="4"/>
  <c r="M1516" i="4" s="1" a="1"/>
  <c r="M1516" i="4" s="1"/>
  <c r="L1515" i="4"/>
  <c r="N1515" i="4" s="1" a="1"/>
  <c r="N1515" i="4" s="1"/>
  <c r="K1515" i="4"/>
  <c r="I1515" i="4"/>
  <c r="G1515" i="4"/>
  <c r="F1515" i="4"/>
  <c r="A1515" i="4"/>
  <c r="L1514" i="4"/>
  <c r="K1514" i="4"/>
  <c r="I1514" i="4"/>
  <c r="G1514" i="4"/>
  <c r="H1514" i="4" s="1"/>
  <c r="F1514" i="4"/>
  <c r="A1514" i="4"/>
  <c r="L1513" i="4"/>
  <c r="E1513" i="4" s="1" a="1"/>
  <c r="E1513" i="4" s="1"/>
  <c r="K1513" i="4"/>
  <c r="J1513" i="4"/>
  <c r="I1513" i="4"/>
  <c r="G1513" i="4"/>
  <c r="H1513" i="4" s="1"/>
  <c r="F1513" i="4"/>
  <c r="A1513" i="4"/>
  <c r="L1512" i="4"/>
  <c r="K1512" i="4"/>
  <c r="I1512" i="4"/>
  <c r="G1512" i="4"/>
  <c r="F1512" i="4"/>
  <c r="A1512" i="4"/>
  <c r="N1512" i="4" s="1" a="1"/>
  <c r="N1512" i="4" s="1"/>
  <c r="L1511" i="4"/>
  <c r="K1511" i="4"/>
  <c r="J1511" i="4"/>
  <c r="I1511" i="4"/>
  <c r="H1511" i="4"/>
  <c r="G1511" i="4"/>
  <c r="F1511" i="4"/>
  <c r="A1511" i="4"/>
  <c r="M1511" i="4" s="1" a="1"/>
  <c r="M1511" i="4" s="1"/>
  <c r="L1510" i="4"/>
  <c r="K1510" i="4"/>
  <c r="I1510" i="4"/>
  <c r="G1510" i="4"/>
  <c r="F1510" i="4"/>
  <c r="E1510" i="4" a="1"/>
  <c r="E1510" i="4" s="1"/>
  <c r="B1510" i="4" a="1"/>
  <c r="B1510" i="4" s="1"/>
  <c r="A1510" i="4"/>
  <c r="L1509" i="4"/>
  <c r="K1509" i="4"/>
  <c r="I1509" i="4"/>
  <c r="G1509" i="4"/>
  <c r="F1509" i="4"/>
  <c r="A1509" i="4"/>
  <c r="L1508" i="4"/>
  <c r="K1508" i="4"/>
  <c r="I1508" i="4"/>
  <c r="G1508" i="4"/>
  <c r="F1508" i="4"/>
  <c r="A1508" i="4"/>
  <c r="L1507" i="4"/>
  <c r="K1507" i="4"/>
  <c r="I1507" i="4"/>
  <c r="H1507" i="4"/>
  <c r="G1507" i="4"/>
  <c r="J1507" i="4" s="1"/>
  <c r="F1507" i="4"/>
  <c r="A1507" i="4"/>
  <c r="L1506" i="4"/>
  <c r="K1506" i="4"/>
  <c r="I1506" i="4"/>
  <c r="G1506" i="4"/>
  <c r="F1506" i="4"/>
  <c r="A1506" i="4"/>
  <c r="L1505" i="4"/>
  <c r="N1505" i="4" s="1" a="1"/>
  <c r="N1505" i="4" s="1"/>
  <c r="K1505" i="4"/>
  <c r="I1505" i="4"/>
  <c r="G1505" i="4"/>
  <c r="F1505" i="4"/>
  <c r="E1505" i="4" a="1"/>
  <c r="E1505" i="4" s="1"/>
  <c r="A1505" i="4"/>
  <c r="L1504" i="4"/>
  <c r="K1504" i="4"/>
  <c r="I1504" i="4"/>
  <c r="G1504" i="4"/>
  <c r="F1504" i="4"/>
  <c r="A1504" i="4"/>
  <c r="C1504" i="4" s="1" a="1"/>
  <c r="C1504" i="4" s="1"/>
  <c r="L1503" i="4"/>
  <c r="K1503" i="4"/>
  <c r="I1503" i="4"/>
  <c r="G1503" i="4"/>
  <c r="J1503" i="4" s="1"/>
  <c r="F1503" i="4"/>
  <c r="E1503" i="4" a="1"/>
  <c r="E1503" i="4" s="1"/>
  <c r="A1503" i="4"/>
  <c r="C1503" i="4" s="1" a="1"/>
  <c r="C1503" i="4" s="1"/>
  <c r="L1502" i="4"/>
  <c r="K1502" i="4"/>
  <c r="M1502" i="4" s="1" a="1"/>
  <c r="M1502" i="4" s="1"/>
  <c r="I1502" i="4"/>
  <c r="G1502" i="4"/>
  <c r="F1502" i="4"/>
  <c r="A1502" i="4"/>
  <c r="L1501" i="4"/>
  <c r="K1501" i="4"/>
  <c r="E1501" i="4" s="1" a="1"/>
  <c r="E1501" i="4" s="1"/>
  <c r="I1501" i="4"/>
  <c r="G1501" i="4"/>
  <c r="F1501" i="4"/>
  <c r="A1501" i="4"/>
  <c r="N1501" i="4" s="1" a="1"/>
  <c r="N1501" i="4" s="1"/>
  <c r="N1500" i="4" a="1"/>
  <c r="N1500" i="4" s="1"/>
  <c r="L1500" i="4"/>
  <c r="K1500" i="4"/>
  <c r="I1500" i="4"/>
  <c r="G1500" i="4"/>
  <c r="J1500" i="4" s="1"/>
  <c r="F1500" i="4"/>
  <c r="A1500" i="4"/>
  <c r="C1500" i="4" s="1" a="1"/>
  <c r="C1500" i="4" s="1"/>
  <c r="L1499" i="4"/>
  <c r="K1499" i="4"/>
  <c r="I1499" i="4"/>
  <c r="G1499" i="4"/>
  <c r="F1499" i="4"/>
  <c r="A1499" i="4"/>
  <c r="D1499" i="4" s="1" a="1"/>
  <c r="D1499" i="4" s="1"/>
  <c r="L1498" i="4"/>
  <c r="K1498" i="4"/>
  <c r="I1498" i="4"/>
  <c r="G1498" i="4"/>
  <c r="F1498" i="4"/>
  <c r="B1498" i="4" a="1"/>
  <c r="B1498" i="4" s="1"/>
  <c r="A1498" i="4"/>
  <c r="N1497" i="4" a="1"/>
  <c r="N1497" i="4" s="1"/>
  <c r="L1497" i="4"/>
  <c r="K1497" i="4"/>
  <c r="E1497" i="4" s="1" a="1"/>
  <c r="E1497" i="4" s="1"/>
  <c r="I1497" i="4"/>
  <c r="G1497" i="4"/>
  <c r="F1497" i="4"/>
  <c r="C1497" i="4" a="1"/>
  <c r="C1497" i="4" s="1"/>
  <c r="A1497" i="4"/>
  <c r="L1496" i="4"/>
  <c r="K1496" i="4"/>
  <c r="I1496" i="4"/>
  <c r="H1496" i="4"/>
  <c r="G1496" i="4"/>
  <c r="J1496" i="4" s="1"/>
  <c r="F1496" i="4"/>
  <c r="A1496" i="4"/>
  <c r="N1496" i="4" s="1" a="1"/>
  <c r="N1496" i="4" s="1"/>
  <c r="L1495" i="4"/>
  <c r="K1495" i="4"/>
  <c r="E1495" i="4" s="1" a="1"/>
  <c r="E1495" i="4" s="1"/>
  <c r="I1495" i="4"/>
  <c r="G1495" i="4"/>
  <c r="J1495" i="4" s="1"/>
  <c r="F1495" i="4"/>
  <c r="A1495" i="4"/>
  <c r="L1494" i="4"/>
  <c r="N1494" i="4" s="1" a="1"/>
  <c r="N1494" i="4" s="1"/>
  <c r="K1494" i="4"/>
  <c r="I1494" i="4"/>
  <c r="G1494" i="4"/>
  <c r="F1494" i="4"/>
  <c r="A1494" i="4"/>
  <c r="L1493" i="4"/>
  <c r="K1493" i="4"/>
  <c r="J1493" i="4"/>
  <c r="I1493" i="4"/>
  <c r="G1493" i="4"/>
  <c r="H1493" i="4" s="1"/>
  <c r="F1493" i="4"/>
  <c r="A1493" i="4"/>
  <c r="L1492" i="4"/>
  <c r="K1492" i="4"/>
  <c r="I1492" i="4"/>
  <c r="G1492" i="4"/>
  <c r="F1492" i="4"/>
  <c r="A1492" i="4"/>
  <c r="L1491" i="4"/>
  <c r="K1491" i="4"/>
  <c r="J1491" i="4"/>
  <c r="I1491" i="4"/>
  <c r="G1491" i="4"/>
  <c r="H1491" i="4" s="1"/>
  <c r="F1491" i="4"/>
  <c r="A1491" i="4"/>
  <c r="L1490" i="4"/>
  <c r="K1490" i="4"/>
  <c r="I1490" i="4"/>
  <c r="G1490" i="4"/>
  <c r="J1490" i="4" s="1"/>
  <c r="F1490" i="4"/>
  <c r="A1490" i="4"/>
  <c r="L1489" i="4"/>
  <c r="K1489" i="4"/>
  <c r="I1489" i="4"/>
  <c r="G1489" i="4"/>
  <c r="F1489" i="4"/>
  <c r="A1489" i="4"/>
  <c r="L1488" i="4"/>
  <c r="K1488" i="4"/>
  <c r="I1488" i="4"/>
  <c r="H1488" i="4"/>
  <c r="G1488" i="4"/>
  <c r="J1488" i="4" s="1"/>
  <c r="F1488" i="4"/>
  <c r="A1488" i="4"/>
  <c r="E1488" i="4" s="1" a="1"/>
  <c r="E1488" i="4" s="1"/>
  <c r="L1487" i="4"/>
  <c r="K1487" i="4"/>
  <c r="E1487" i="4" s="1" a="1"/>
  <c r="E1487" i="4" s="1"/>
  <c r="I1487" i="4"/>
  <c r="H1487" i="4"/>
  <c r="G1487" i="4"/>
  <c r="J1487" i="4" s="1"/>
  <c r="F1487" i="4"/>
  <c r="A1487" i="4"/>
  <c r="L1486" i="4"/>
  <c r="K1486" i="4"/>
  <c r="I1486" i="4"/>
  <c r="G1486" i="4"/>
  <c r="F1486" i="4"/>
  <c r="A1486" i="4"/>
  <c r="L1485" i="4"/>
  <c r="K1485" i="4"/>
  <c r="I1485" i="4"/>
  <c r="G1485" i="4"/>
  <c r="F1485" i="4"/>
  <c r="A1485" i="4"/>
  <c r="L1484" i="4"/>
  <c r="K1484" i="4"/>
  <c r="I1484" i="4"/>
  <c r="G1484" i="4"/>
  <c r="F1484" i="4"/>
  <c r="C1484" i="4" a="1"/>
  <c r="C1484" i="4" s="1"/>
  <c r="A1484" i="4"/>
  <c r="M1484" i="4" s="1" a="1"/>
  <c r="M1484" i="4" s="1"/>
  <c r="L1483" i="4"/>
  <c r="K1483" i="4"/>
  <c r="I1483" i="4"/>
  <c r="G1483" i="4"/>
  <c r="F1483" i="4"/>
  <c r="A1483" i="4"/>
  <c r="L1482" i="4"/>
  <c r="E1482" i="4" s="1" a="1"/>
  <c r="E1482" i="4" s="1"/>
  <c r="K1482" i="4"/>
  <c r="I1482" i="4"/>
  <c r="G1482" i="4"/>
  <c r="F1482" i="4"/>
  <c r="A1482" i="4"/>
  <c r="L1481" i="4"/>
  <c r="K1481" i="4"/>
  <c r="I1481" i="4"/>
  <c r="G1481" i="4"/>
  <c r="F1481" i="4"/>
  <c r="A1481" i="4"/>
  <c r="L1480" i="4"/>
  <c r="K1480" i="4"/>
  <c r="I1480" i="4"/>
  <c r="G1480" i="4"/>
  <c r="F1480" i="4"/>
  <c r="A1480" i="4"/>
  <c r="L1479" i="4"/>
  <c r="K1479" i="4"/>
  <c r="I1479" i="4"/>
  <c r="G1479" i="4"/>
  <c r="F1479" i="4"/>
  <c r="A1479" i="4"/>
  <c r="N1479" i="4" s="1" a="1"/>
  <c r="N1479" i="4" s="1"/>
  <c r="L1478" i="4"/>
  <c r="K1478" i="4"/>
  <c r="I1478" i="4"/>
  <c r="H1478" i="4"/>
  <c r="G1478" i="4"/>
  <c r="J1478" i="4" s="1"/>
  <c r="F1478" i="4"/>
  <c r="A1478" i="4"/>
  <c r="L1477" i="4"/>
  <c r="K1477" i="4"/>
  <c r="I1477" i="4"/>
  <c r="G1477" i="4"/>
  <c r="J1477" i="4" s="1"/>
  <c r="F1477" i="4"/>
  <c r="A1477" i="4"/>
  <c r="L1476" i="4"/>
  <c r="K1476" i="4"/>
  <c r="I1476" i="4"/>
  <c r="H1476" i="4"/>
  <c r="G1476" i="4"/>
  <c r="J1476" i="4" s="1"/>
  <c r="F1476" i="4"/>
  <c r="A1476" i="4"/>
  <c r="N1475" i="4" a="1"/>
  <c r="N1475" i="4" s="1"/>
  <c r="L1475" i="4"/>
  <c r="K1475" i="4"/>
  <c r="I1475" i="4"/>
  <c r="G1475" i="4"/>
  <c r="F1475" i="4"/>
  <c r="D1475" i="4" a="1"/>
  <c r="D1475" i="4" s="1"/>
  <c r="A1475" i="4"/>
  <c r="N1474" i="4" a="1"/>
  <c r="N1474" i="4" s="1"/>
  <c r="L1474" i="4"/>
  <c r="K1474" i="4"/>
  <c r="E1474" i="4" s="1" a="1"/>
  <c r="E1474" i="4" s="1"/>
  <c r="I1474" i="4"/>
  <c r="G1474" i="4"/>
  <c r="F1474" i="4"/>
  <c r="C1474" i="4" a="1"/>
  <c r="C1474" i="4" s="1"/>
  <c r="A1474" i="4"/>
  <c r="L1473" i="4"/>
  <c r="K1473" i="4"/>
  <c r="I1473" i="4"/>
  <c r="H1473" i="4"/>
  <c r="G1473" i="4"/>
  <c r="J1473" i="4" s="1"/>
  <c r="F1473" i="4"/>
  <c r="A1473" i="4"/>
  <c r="L1472" i="4"/>
  <c r="K1472" i="4"/>
  <c r="I1472" i="4"/>
  <c r="G1472" i="4"/>
  <c r="J1472" i="4" s="1"/>
  <c r="F1472" i="4"/>
  <c r="A1472" i="4"/>
  <c r="N1472" i="4" s="1" a="1"/>
  <c r="N1472" i="4" s="1"/>
  <c r="L1471" i="4"/>
  <c r="K1471" i="4"/>
  <c r="I1471" i="4"/>
  <c r="G1471" i="4"/>
  <c r="F1471" i="4"/>
  <c r="A1471" i="4"/>
  <c r="L1470" i="4"/>
  <c r="K1470" i="4"/>
  <c r="I1470" i="4"/>
  <c r="G1470" i="4"/>
  <c r="F1470" i="4"/>
  <c r="E1470" i="4" a="1"/>
  <c r="E1470" i="4" s="1"/>
  <c r="A1470" i="4"/>
  <c r="L1469" i="4"/>
  <c r="K1469" i="4"/>
  <c r="J1469" i="4"/>
  <c r="I1469" i="4"/>
  <c r="G1469" i="4"/>
  <c r="H1469" i="4" s="1"/>
  <c r="F1469" i="4"/>
  <c r="C1469" i="4" a="1"/>
  <c r="C1469" i="4" s="1"/>
  <c r="A1469" i="4"/>
  <c r="L1468" i="4"/>
  <c r="K1468" i="4"/>
  <c r="I1468" i="4"/>
  <c r="H1468" i="4"/>
  <c r="G1468" i="4"/>
  <c r="J1468" i="4" s="1"/>
  <c r="F1468" i="4"/>
  <c r="C1468" i="4" a="1"/>
  <c r="C1468" i="4" s="1"/>
  <c r="A1468" i="4"/>
  <c r="L1467" i="4"/>
  <c r="K1467" i="4"/>
  <c r="J1467" i="4"/>
  <c r="I1467" i="4"/>
  <c r="G1467" i="4"/>
  <c r="H1467" i="4" s="1"/>
  <c r="F1467" i="4"/>
  <c r="A1467" i="4"/>
  <c r="L1466" i="4"/>
  <c r="K1466" i="4"/>
  <c r="I1466" i="4"/>
  <c r="G1466" i="4"/>
  <c r="F1466" i="4"/>
  <c r="A1466" i="4"/>
  <c r="L1465" i="4"/>
  <c r="K1465" i="4"/>
  <c r="I1465" i="4"/>
  <c r="G1465" i="4"/>
  <c r="H1465" i="4" s="1"/>
  <c r="F1465" i="4"/>
  <c r="A1465" i="4"/>
  <c r="L1464" i="4"/>
  <c r="K1464" i="4"/>
  <c r="I1464" i="4"/>
  <c r="G1464" i="4"/>
  <c r="F1464" i="4"/>
  <c r="A1464" i="4"/>
  <c r="L1463" i="4"/>
  <c r="K1463" i="4"/>
  <c r="I1463" i="4"/>
  <c r="G1463" i="4"/>
  <c r="F1463" i="4"/>
  <c r="B1463" i="4" a="1"/>
  <c r="B1463" i="4" s="1"/>
  <c r="A1463" i="4"/>
  <c r="L1462" i="4"/>
  <c r="K1462" i="4"/>
  <c r="I1462" i="4"/>
  <c r="G1462" i="4"/>
  <c r="F1462" i="4"/>
  <c r="A1462" i="4"/>
  <c r="D1462" i="4" s="1" a="1"/>
  <c r="D1462" i="4" s="1"/>
  <c r="L1461" i="4"/>
  <c r="K1461" i="4"/>
  <c r="I1461" i="4"/>
  <c r="G1461" i="4"/>
  <c r="F1461" i="4"/>
  <c r="A1461" i="4"/>
  <c r="L1460" i="4"/>
  <c r="K1460" i="4"/>
  <c r="I1460" i="4"/>
  <c r="G1460" i="4"/>
  <c r="F1460" i="4"/>
  <c r="A1460" i="4"/>
  <c r="L1459" i="4"/>
  <c r="K1459" i="4"/>
  <c r="J1459" i="4"/>
  <c r="I1459" i="4"/>
  <c r="G1459" i="4"/>
  <c r="H1459" i="4" s="1"/>
  <c r="F1459" i="4"/>
  <c r="C1459" i="4" a="1"/>
  <c r="C1459" i="4" s="1"/>
  <c r="A1459" i="4"/>
  <c r="L1458" i="4"/>
  <c r="K1458" i="4"/>
  <c r="J1458" i="4"/>
  <c r="I1458" i="4"/>
  <c r="G1458" i="4"/>
  <c r="H1458" i="4" s="1"/>
  <c r="F1458" i="4"/>
  <c r="A1458" i="4"/>
  <c r="M1458" i="4" s="1" a="1"/>
  <c r="M1458" i="4" s="1"/>
  <c r="L1457" i="4"/>
  <c r="K1457" i="4"/>
  <c r="J1457" i="4"/>
  <c r="I1457" i="4"/>
  <c r="G1457" i="4"/>
  <c r="H1457" i="4" s="1"/>
  <c r="F1457" i="4"/>
  <c r="A1457" i="4"/>
  <c r="C1457" i="4" s="1" a="1"/>
  <c r="C1457" i="4" s="1"/>
  <c r="L1456" i="4"/>
  <c r="K1456" i="4"/>
  <c r="D1456" i="4" s="1" a="1"/>
  <c r="D1456" i="4" s="1"/>
  <c r="I1456" i="4"/>
  <c r="G1456" i="4"/>
  <c r="F1456" i="4"/>
  <c r="A1456" i="4"/>
  <c r="N1455" i="4" a="1"/>
  <c r="N1455" i="4" s="1"/>
  <c r="M1455" i="4" a="1"/>
  <c r="M1455" i="4" s="1"/>
  <c r="L1455" i="4"/>
  <c r="K1455" i="4"/>
  <c r="C1455" i="4" s="1" a="1"/>
  <c r="C1455" i="4" s="1"/>
  <c r="I1455" i="4"/>
  <c r="G1455" i="4"/>
  <c r="F1455" i="4"/>
  <c r="D1455" i="4" a="1"/>
  <c r="D1455" i="4" s="1"/>
  <c r="B1455" i="4" a="1"/>
  <c r="B1455" i="4" s="1"/>
  <c r="A1455" i="4"/>
  <c r="L1454" i="4"/>
  <c r="K1454" i="4"/>
  <c r="D1454" i="4" s="1" a="1"/>
  <c r="D1454" i="4" s="1"/>
  <c r="I1454" i="4"/>
  <c r="G1454" i="4"/>
  <c r="F1454" i="4"/>
  <c r="A1454" i="4"/>
  <c r="N1453" i="4" a="1"/>
  <c r="N1453" i="4" s="1"/>
  <c r="L1453" i="4"/>
  <c r="K1453" i="4"/>
  <c r="J1453" i="4"/>
  <c r="I1453" i="4"/>
  <c r="G1453" i="4"/>
  <c r="H1453" i="4" s="1"/>
  <c r="F1453" i="4"/>
  <c r="A1453" i="4"/>
  <c r="L1452" i="4"/>
  <c r="K1452" i="4"/>
  <c r="D1452" i="4" s="1" a="1"/>
  <c r="D1452" i="4" s="1"/>
  <c r="I1452" i="4"/>
  <c r="G1452" i="4"/>
  <c r="F1452" i="4"/>
  <c r="E1452" i="4" a="1"/>
  <c r="E1452" i="4" s="1"/>
  <c r="A1452" i="4"/>
  <c r="L1451" i="4"/>
  <c r="K1451" i="4"/>
  <c r="I1451" i="4"/>
  <c r="H1451" i="4"/>
  <c r="G1451" i="4"/>
  <c r="J1451" i="4" s="1"/>
  <c r="F1451" i="4"/>
  <c r="A1451" i="4"/>
  <c r="L1450" i="4"/>
  <c r="K1450" i="4"/>
  <c r="I1450" i="4"/>
  <c r="G1450" i="4"/>
  <c r="F1450" i="4"/>
  <c r="A1450" i="4"/>
  <c r="L1449" i="4"/>
  <c r="K1449" i="4"/>
  <c r="I1449" i="4"/>
  <c r="G1449" i="4"/>
  <c r="H1449" i="4" s="1"/>
  <c r="F1449" i="4"/>
  <c r="A1449" i="4"/>
  <c r="C1449" i="4" s="1" a="1"/>
  <c r="C1449" i="4" s="1"/>
  <c r="L1448" i="4"/>
  <c r="K1448" i="4"/>
  <c r="J1448" i="4"/>
  <c r="I1448" i="4"/>
  <c r="G1448" i="4"/>
  <c r="H1448" i="4" s="1"/>
  <c r="F1448" i="4"/>
  <c r="A1448" i="4"/>
  <c r="D1448" i="4" s="1" a="1"/>
  <c r="D1448" i="4" s="1"/>
  <c r="L1447" i="4"/>
  <c r="K1447" i="4"/>
  <c r="I1447" i="4"/>
  <c r="G1447" i="4"/>
  <c r="F1447" i="4"/>
  <c r="A1447" i="4"/>
  <c r="N1446" i="4" a="1"/>
  <c r="N1446" i="4" s="1"/>
  <c r="M1446" i="4" a="1"/>
  <c r="M1446" i="4" s="1"/>
  <c r="L1446" i="4"/>
  <c r="E1446" i="4" s="1" a="1"/>
  <c r="E1446" i="4" s="1"/>
  <c r="K1446" i="4"/>
  <c r="I1446" i="4"/>
  <c r="G1446" i="4"/>
  <c r="H1446" i="4" s="1"/>
  <c r="F1446" i="4"/>
  <c r="D1446" i="4" a="1"/>
  <c r="D1446" i="4" s="1"/>
  <c r="B1446" i="4" a="1"/>
  <c r="B1446" i="4" s="1"/>
  <c r="A1446" i="4"/>
  <c r="M1445" i="4" a="1"/>
  <c r="M1445" i="4" s="1"/>
  <c r="L1445" i="4"/>
  <c r="K1445" i="4"/>
  <c r="C1445" i="4" s="1" a="1"/>
  <c r="C1445" i="4" s="1"/>
  <c r="I1445" i="4"/>
  <c r="G1445" i="4"/>
  <c r="F1445" i="4"/>
  <c r="B1445" i="4" a="1"/>
  <c r="B1445" i="4" s="1"/>
  <c r="A1445" i="4"/>
  <c r="D1445" i="4" s="1" a="1"/>
  <c r="D1445" i="4" s="1"/>
  <c r="L1444" i="4"/>
  <c r="K1444" i="4"/>
  <c r="I1444" i="4"/>
  <c r="G1444" i="4"/>
  <c r="H1444" i="4" s="1"/>
  <c r="F1444" i="4"/>
  <c r="A1444" i="4"/>
  <c r="N1444" i="4" s="1" a="1"/>
  <c r="N1444" i="4" s="1"/>
  <c r="L1443" i="4"/>
  <c r="K1443" i="4"/>
  <c r="N1443" i="4" s="1" a="1"/>
  <c r="N1443" i="4" s="1"/>
  <c r="I1443" i="4"/>
  <c r="G1443" i="4"/>
  <c r="J1443" i="4" s="1"/>
  <c r="F1443" i="4"/>
  <c r="A1443" i="4"/>
  <c r="L1442" i="4"/>
  <c r="K1442" i="4"/>
  <c r="J1442" i="4"/>
  <c r="I1442" i="4"/>
  <c r="G1442" i="4"/>
  <c r="H1442" i="4" s="1"/>
  <c r="F1442" i="4"/>
  <c r="A1442" i="4"/>
  <c r="L1441" i="4"/>
  <c r="K1441" i="4"/>
  <c r="J1441" i="4"/>
  <c r="I1441" i="4"/>
  <c r="G1441" i="4"/>
  <c r="H1441" i="4" s="1"/>
  <c r="F1441" i="4"/>
  <c r="A1441" i="4"/>
  <c r="N1440" i="4" a="1"/>
  <c r="N1440" i="4" s="1"/>
  <c r="L1440" i="4"/>
  <c r="K1440" i="4"/>
  <c r="E1440" i="4" s="1" a="1"/>
  <c r="E1440" i="4" s="1"/>
  <c r="I1440" i="4"/>
  <c r="G1440" i="4"/>
  <c r="F1440" i="4"/>
  <c r="A1440" i="4"/>
  <c r="L1439" i="4"/>
  <c r="K1439" i="4"/>
  <c r="I1439" i="4"/>
  <c r="H1439" i="4"/>
  <c r="G1439" i="4"/>
  <c r="J1439" i="4" s="1"/>
  <c r="F1439" i="4"/>
  <c r="A1439" i="4"/>
  <c r="L1438" i="4"/>
  <c r="K1438" i="4"/>
  <c r="I1438" i="4"/>
  <c r="G1438" i="4"/>
  <c r="F1438" i="4"/>
  <c r="A1438" i="4"/>
  <c r="L1437" i="4"/>
  <c r="K1437" i="4"/>
  <c r="I1437" i="4"/>
  <c r="G1437" i="4"/>
  <c r="F1437" i="4"/>
  <c r="A1437" i="4"/>
  <c r="L1436" i="4"/>
  <c r="K1436" i="4"/>
  <c r="J1436" i="4"/>
  <c r="I1436" i="4"/>
  <c r="G1436" i="4"/>
  <c r="H1436" i="4" s="1"/>
  <c r="F1436" i="4"/>
  <c r="A1436" i="4"/>
  <c r="D1436" i="4" s="1" a="1"/>
  <c r="D1436" i="4" s="1"/>
  <c r="M1435" i="4" a="1"/>
  <c r="M1435" i="4" s="1"/>
  <c r="L1435" i="4"/>
  <c r="K1435" i="4"/>
  <c r="I1435" i="4"/>
  <c r="G1435" i="4"/>
  <c r="F1435" i="4"/>
  <c r="D1435" i="4" a="1"/>
  <c r="D1435" i="4" s="1"/>
  <c r="A1435" i="4"/>
  <c r="L1434" i="4"/>
  <c r="K1434" i="4"/>
  <c r="B1434" i="4" s="1" a="1"/>
  <c r="B1434" i="4" s="1"/>
  <c r="I1434" i="4"/>
  <c r="G1434" i="4"/>
  <c r="F1434" i="4"/>
  <c r="A1434" i="4"/>
  <c r="L1433" i="4"/>
  <c r="K1433" i="4"/>
  <c r="N1433" i="4" s="1" a="1"/>
  <c r="N1433" i="4" s="1"/>
  <c r="I1433" i="4"/>
  <c r="G1433" i="4"/>
  <c r="F1433" i="4"/>
  <c r="A1433" i="4"/>
  <c r="L1432" i="4"/>
  <c r="K1432" i="4"/>
  <c r="I1432" i="4"/>
  <c r="G1432" i="4"/>
  <c r="H1432" i="4" s="1"/>
  <c r="F1432" i="4"/>
  <c r="A1432" i="4"/>
  <c r="L1431" i="4"/>
  <c r="K1431" i="4"/>
  <c r="N1431" i="4" s="1" a="1"/>
  <c r="N1431" i="4" s="1"/>
  <c r="I1431" i="4"/>
  <c r="G1431" i="4"/>
  <c r="F1431" i="4"/>
  <c r="A1431" i="4"/>
  <c r="L1430" i="4"/>
  <c r="B1430" i="4" s="1" a="1"/>
  <c r="B1430" i="4" s="1"/>
  <c r="K1430" i="4"/>
  <c r="I1430" i="4"/>
  <c r="G1430" i="4"/>
  <c r="F1430" i="4"/>
  <c r="A1430" i="4"/>
  <c r="L1429" i="4"/>
  <c r="K1429" i="4"/>
  <c r="I1429" i="4"/>
  <c r="G1429" i="4"/>
  <c r="F1429" i="4"/>
  <c r="D1429" i="4" a="1"/>
  <c r="D1429" i="4" s="1"/>
  <c r="A1429" i="4"/>
  <c r="N1429" i="4" s="1" a="1"/>
  <c r="N1429" i="4" s="1"/>
  <c r="L1428" i="4"/>
  <c r="K1428" i="4"/>
  <c r="I1428" i="4"/>
  <c r="G1428" i="4"/>
  <c r="F1428" i="4"/>
  <c r="A1428" i="4"/>
  <c r="N1427" i="4" a="1"/>
  <c r="N1427" i="4" s="1"/>
  <c r="L1427" i="4"/>
  <c r="K1427" i="4"/>
  <c r="I1427" i="4"/>
  <c r="G1427" i="4"/>
  <c r="F1427" i="4"/>
  <c r="D1427" i="4" a="1"/>
  <c r="D1427" i="4" s="1"/>
  <c r="A1427" i="4"/>
  <c r="N1426" i="4" a="1"/>
  <c r="N1426" i="4" s="1"/>
  <c r="M1426" i="4" a="1"/>
  <c r="M1426" i="4" s="1"/>
  <c r="L1426" i="4"/>
  <c r="K1426" i="4"/>
  <c r="I1426" i="4"/>
  <c r="G1426" i="4"/>
  <c r="F1426" i="4"/>
  <c r="E1426" i="4" a="1"/>
  <c r="E1426" i="4" s="1"/>
  <c r="D1426" i="4" a="1"/>
  <c r="D1426" i="4" s="1"/>
  <c r="A1426" i="4"/>
  <c r="L1425" i="4"/>
  <c r="K1425" i="4"/>
  <c r="N1425" i="4" s="1" a="1"/>
  <c r="N1425" i="4" s="1"/>
  <c r="I1425" i="4"/>
  <c r="G1425" i="4"/>
  <c r="F1425" i="4"/>
  <c r="D1425" i="4" a="1"/>
  <c r="D1425" i="4" s="1"/>
  <c r="A1425" i="4"/>
  <c r="L1424" i="4"/>
  <c r="K1424" i="4"/>
  <c r="J1424" i="4"/>
  <c r="I1424" i="4"/>
  <c r="G1424" i="4"/>
  <c r="H1424" i="4" s="1"/>
  <c r="F1424" i="4"/>
  <c r="A1424" i="4"/>
  <c r="N1423" i="4" a="1"/>
  <c r="N1423" i="4" s="1"/>
  <c r="L1423" i="4"/>
  <c r="K1423" i="4"/>
  <c r="I1423" i="4"/>
  <c r="H1423" i="4"/>
  <c r="G1423" i="4"/>
  <c r="J1423" i="4" s="1"/>
  <c r="F1423" i="4"/>
  <c r="B1423" i="4" a="1"/>
  <c r="B1423" i="4" s="1"/>
  <c r="A1423" i="4"/>
  <c r="L1422" i="4"/>
  <c r="K1422" i="4"/>
  <c r="J1422" i="4"/>
  <c r="I1422" i="4"/>
  <c r="G1422" i="4"/>
  <c r="H1422" i="4" s="1"/>
  <c r="F1422" i="4"/>
  <c r="A1422" i="4"/>
  <c r="L1421" i="4"/>
  <c r="K1421" i="4"/>
  <c r="B1421" i="4" s="1" a="1"/>
  <c r="B1421" i="4" s="1"/>
  <c r="I1421" i="4"/>
  <c r="G1421" i="4"/>
  <c r="F1421" i="4"/>
  <c r="A1421" i="4"/>
  <c r="L1420" i="4"/>
  <c r="K1420" i="4"/>
  <c r="M1420" i="4" s="1" a="1"/>
  <c r="M1420" i="4" s="1"/>
  <c r="I1420" i="4"/>
  <c r="H1420" i="4"/>
  <c r="G1420" i="4"/>
  <c r="J1420" i="4" s="1"/>
  <c r="F1420" i="4"/>
  <c r="A1420" i="4"/>
  <c r="L1419" i="4"/>
  <c r="K1419" i="4"/>
  <c r="I1419" i="4"/>
  <c r="G1419" i="4"/>
  <c r="F1419" i="4"/>
  <c r="A1419" i="4"/>
  <c r="L1418" i="4"/>
  <c r="K1418" i="4"/>
  <c r="I1418" i="4"/>
  <c r="G1418" i="4"/>
  <c r="J1418" i="4" s="1"/>
  <c r="F1418" i="4"/>
  <c r="A1418" i="4"/>
  <c r="L1417" i="4"/>
  <c r="B1417" i="4" s="1" a="1"/>
  <c r="B1417" i="4" s="1"/>
  <c r="K1417" i="4"/>
  <c r="I1417" i="4"/>
  <c r="G1417" i="4"/>
  <c r="F1417" i="4"/>
  <c r="A1417" i="4"/>
  <c r="L1416" i="4"/>
  <c r="K1416" i="4"/>
  <c r="I1416" i="4"/>
  <c r="G1416" i="4"/>
  <c r="H1416" i="4" s="1"/>
  <c r="F1416" i="4"/>
  <c r="A1416" i="4"/>
  <c r="L1415" i="4"/>
  <c r="K1415" i="4"/>
  <c r="I1415" i="4"/>
  <c r="G1415" i="4"/>
  <c r="F1415" i="4"/>
  <c r="A1415" i="4"/>
  <c r="N1415" i="4" s="1" a="1"/>
  <c r="N1415" i="4" s="1"/>
  <c r="L1414" i="4"/>
  <c r="K1414" i="4"/>
  <c r="J1414" i="4"/>
  <c r="I1414" i="4"/>
  <c r="G1414" i="4"/>
  <c r="H1414" i="4" s="1"/>
  <c r="F1414" i="4"/>
  <c r="D1414" i="4" a="1"/>
  <c r="D1414" i="4" s="1"/>
  <c r="A1414" i="4"/>
  <c r="N1414" i="4" s="1" a="1"/>
  <c r="N1414" i="4" s="1"/>
  <c r="L1413" i="4"/>
  <c r="K1413" i="4"/>
  <c r="I1413" i="4"/>
  <c r="G1413" i="4"/>
  <c r="F1413" i="4"/>
  <c r="A1413" i="4"/>
  <c r="B1413" i="4" s="1" a="1"/>
  <c r="B1413" i="4" s="1"/>
  <c r="L1412" i="4"/>
  <c r="K1412" i="4"/>
  <c r="I1412" i="4"/>
  <c r="G1412" i="4"/>
  <c r="F1412" i="4"/>
  <c r="A1412" i="4"/>
  <c r="D1412" i="4" s="1" a="1"/>
  <c r="D1412" i="4" s="1"/>
  <c r="L1411" i="4"/>
  <c r="K1411" i="4"/>
  <c r="I1411" i="4"/>
  <c r="G1411" i="4"/>
  <c r="F1411" i="4"/>
  <c r="A1411" i="4"/>
  <c r="L1410" i="4"/>
  <c r="K1410" i="4"/>
  <c r="J1410" i="4"/>
  <c r="I1410" i="4"/>
  <c r="H1410" i="4"/>
  <c r="G1410" i="4"/>
  <c r="F1410" i="4"/>
  <c r="A1410" i="4"/>
  <c r="L1409" i="4"/>
  <c r="K1409" i="4"/>
  <c r="I1409" i="4"/>
  <c r="G1409" i="4"/>
  <c r="F1409" i="4"/>
  <c r="A1409" i="4"/>
  <c r="L1408" i="4"/>
  <c r="K1408" i="4"/>
  <c r="J1408" i="4"/>
  <c r="I1408" i="4"/>
  <c r="G1408" i="4"/>
  <c r="H1408" i="4" s="1"/>
  <c r="F1408" i="4"/>
  <c r="A1408" i="4"/>
  <c r="L1407" i="4"/>
  <c r="K1407" i="4"/>
  <c r="I1407" i="4"/>
  <c r="G1407" i="4"/>
  <c r="F1407" i="4"/>
  <c r="A1407" i="4"/>
  <c r="L1406" i="4"/>
  <c r="C1406" i="4" s="1" a="1"/>
  <c r="C1406" i="4" s="1"/>
  <c r="K1406" i="4"/>
  <c r="I1406" i="4"/>
  <c r="H1406" i="4"/>
  <c r="G1406" i="4"/>
  <c r="J1406" i="4" s="1"/>
  <c r="F1406" i="4"/>
  <c r="A1406" i="4"/>
  <c r="L1405" i="4"/>
  <c r="K1405" i="4"/>
  <c r="I1405" i="4"/>
  <c r="G1405" i="4"/>
  <c r="F1405" i="4"/>
  <c r="A1405" i="4"/>
  <c r="L1404" i="4"/>
  <c r="K1404" i="4"/>
  <c r="I1404" i="4"/>
  <c r="G1404" i="4"/>
  <c r="F1404" i="4"/>
  <c r="A1404" i="4"/>
  <c r="L1403" i="4"/>
  <c r="M1403" i="4" s="1" a="1"/>
  <c r="M1403" i="4" s="1"/>
  <c r="K1403" i="4"/>
  <c r="I1403" i="4"/>
  <c r="G1403" i="4"/>
  <c r="F1403" i="4"/>
  <c r="B1403" i="4" a="1"/>
  <c r="B1403" i="4" s="1"/>
  <c r="A1403" i="4"/>
  <c r="L1402" i="4"/>
  <c r="K1402" i="4"/>
  <c r="I1402" i="4"/>
  <c r="G1402" i="4"/>
  <c r="F1402" i="4"/>
  <c r="A1402" i="4"/>
  <c r="L1401" i="4"/>
  <c r="K1401" i="4"/>
  <c r="I1401" i="4"/>
  <c r="G1401" i="4"/>
  <c r="F1401" i="4"/>
  <c r="A1401" i="4"/>
  <c r="L1400" i="4"/>
  <c r="K1400" i="4"/>
  <c r="I1400" i="4"/>
  <c r="G1400" i="4"/>
  <c r="F1400" i="4"/>
  <c r="A1400" i="4"/>
  <c r="L1399" i="4"/>
  <c r="K1399" i="4"/>
  <c r="M1399" i="4" s="1" a="1"/>
  <c r="M1399" i="4" s="1"/>
  <c r="I1399" i="4"/>
  <c r="G1399" i="4"/>
  <c r="F1399" i="4"/>
  <c r="A1399" i="4"/>
  <c r="N1398" i="4" a="1"/>
  <c r="N1398" i="4" s="1"/>
  <c r="L1398" i="4"/>
  <c r="K1398" i="4"/>
  <c r="I1398" i="4"/>
  <c r="G1398" i="4"/>
  <c r="F1398" i="4"/>
  <c r="A1398" i="4"/>
  <c r="L1397" i="4"/>
  <c r="K1397" i="4"/>
  <c r="I1397" i="4"/>
  <c r="G1397" i="4"/>
  <c r="F1397" i="4"/>
  <c r="A1397" i="4"/>
  <c r="L1396" i="4"/>
  <c r="K1396" i="4"/>
  <c r="I1396" i="4"/>
  <c r="G1396" i="4"/>
  <c r="H1396" i="4" s="1"/>
  <c r="F1396" i="4"/>
  <c r="A1396" i="4"/>
  <c r="C1396" i="4" s="1" a="1"/>
  <c r="C1396" i="4" s="1"/>
  <c r="L1395" i="4"/>
  <c r="K1395" i="4"/>
  <c r="I1395" i="4"/>
  <c r="G1395" i="4"/>
  <c r="F1395" i="4"/>
  <c r="A1395" i="4"/>
  <c r="N1395" i="4" s="1" a="1"/>
  <c r="N1395" i="4" s="1"/>
  <c r="L1394" i="4"/>
  <c r="K1394" i="4"/>
  <c r="J1394" i="4"/>
  <c r="I1394" i="4"/>
  <c r="G1394" i="4"/>
  <c r="H1394" i="4" s="1"/>
  <c r="F1394" i="4"/>
  <c r="A1394" i="4"/>
  <c r="L1393" i="4"/>
  <c r="K1393" i="4"/>
  <c r="N1393" i="4" s="1" a="1"/>
  <c r="N1393" i="4" s="1"/>
  <c r="I1393" i="4"/>
  <c r="G1393" i="4"/>
  <c r="F1393" i="4"/>
  <c r="A1393" i="4"/>
  <c r="L1392" i="4"/>
  <c r="K1392" i="4"/>
  <c r="I1392" i="4"/>
  <c r="G1392" i="4"/>
  <c r="H1392" i="4" s="1"/>
  <c r="F1392" i="4"/>
  <c r="A1392" i="4"/>
  <c r="D1392" i="4" s="1" a="1"/>
  <c r="D1392" i="4" s="1"/>
  <c r="L1391" i="4"/>
  <c r="K1391" i="4"/>
  <c r="I1391" i="4"/>
  <c r="G1391" i="4"/>
  <c r="F1391" i="4"/>
  <c r="A1391" i="4"/>
  <c r="L1390" i="4"/>
  <c r="K1390" i="4"/>
  <c r="I1390" i="4"/>
  <c r="G1390" i="4"/>
  <c r="F1390" i="4"/>
  <c r="A1390" i="4"/>
  <c r="N1390" i="4" s="1" a="1"/>
  <c r="N1390" i="4" s="1"/>
  <c r="L1389" i="4"/>
  <c r="K1389" i="4"/>
  <c r="I1389" i="4"/>
  <c r="G1389" i="4"/>
  <c r="F1389" i="4"/>
  <c r="A1389" i="4"/>
  <c r="M1388" i="4" a="1"/>
  <c r="M1388" i="4" s="1"/>
  <c r="L1388" i="4"/>
  <c r="K1388" i="4"/>
  <c r="I1388" i="4"/>
  <c r="G1388" i="4"/>
  <c r="F1388" i="4"/>
  <c r="C1388" i="4" a="1"/>
  <c r="C1388" i="4" s="1"/>
  <c r="B1388" i="4" a="1"/>
  <c r="B1388" i="4" s="1"/>
  <c r="A1388" i="4"/>
  <c r="M1387" i="4" a="1"/>
  <c r="M1387" i="4" s="1"/>
  <c r="L1387" i="4"/>
  <c r="K1387" i="4"/>
  <c r="I1387" i="4"/>
  <c r="G1387" i="4"/>
  <c r="F1387" i="4"/>
  <c r="A1387" i="4"/>
  <c r="L1386" i="4"/>
  <c r="K1386" i="4"/>
  <c r="J1386" i="4"/>
  <c r="I1386" i="4"/>
  <c r="H1386" i="4"/>
  <c r="G1386" i="4"/>
  <c r="F1386" i="4"/>
  <c r="A1386" i="4"/>
  <c r="L1385" i="4"/>
  <c r="E1385" i="4" s="1" a="1"/>
  <c r="E1385" i="4" s="1"/>
  <c r="K1385" i="4"/>
  <c r="I1385" i="4"/>
  <c r="G1385" i="4"/>
  <c r="F1385" i="4"/>
  <c r="A1385" i="4"/>
  <c r="L1384" i="4"/>
  <c r="K1384" i="4"/>
  <c r="C1384" i="4" s="1" a="1"/>
  <c r="C1384" i="4" s="1"/>
  <c r="I1384" i="4"/>
  <c r="G1384" i="4"/>
  <c r="F1384" i="4"/>
  <c r="A1384" i="4"/>
  <c r="L1383" i="4"/>
  <c r="K1383" i="4"/>
  <c r="I1383" i="4"/>
  <c r="G1383" i="4"/>
  <c r="F1383" i="4"/>
  <c r="A1383" i="4"/>
  <c r="D1383" i="4" s="1" a="1"/>
  <c r="D1383" i="4" s="1"/>
  <c r="N1382" i="4" a="1"/>
  <c r="N1382" i="4" s="1"/>
  <c r="M1382" i="4" a="1"/>
  <c r="M1382" i="4" s="1"/>
  <c r="L1382" i="4"/>
  <c r="K1382" i="4"/>
  <c r="I1382" i="4"/>
  <c r="H1382" i="4"/>
  <c r="G1382" i="4"/>
  <c r="J1382" i="4" s="1"/>
  <c r="F1382" i="4"/>
  <c r="D1382" i="4"/>
  <c r="D1382" i="4" a="1"/>
  <c r="A1382" i="4"/>
  <c r="M1381" i="4" a="1"/>
  <c r="M1381" i="4" s="1"/>
  <c r="L1381" i="4"/>
  <c r="K1381" i="4"/>
  <c r="J1381" i="4"/>
  <c r="I1381" i="4"/>
  <c r="G1381" i="4"/>
  <c r="H1381" i="4" s="1"/>
  <c r="F1381" i="4"/>
  <c r="A1381" i="4"/>
  <c r="L1380" i="4"/>
  <c r="B1380" i="4" s="1" a="1"/>
  <c r="B1380" i="4" s="1"/>
  <c r="K1380" i="4"/>
  <c r="I1380" i="4"/>
  <c r="G1380" i="4"/>
  <c r="F1380" i="4"/>
  <c r="A1380" i="4"/>
  <c r="C1380" i="4" s="1" a="1"/>
  <c r="C1380" i="4" s="1"/>
  <c r="L1379" i="4"/>
  <c r="K1379" i="4"/>
  <c r="I1379" i="4"/>
  <c r="G1379" i="4"/>
  <c r="F1379" i="4"/>
  <c r="A1379" i="4"/>
  <c r="L1378" i="4"/>
  <c r="N1378" i="4" s="1" a="1"/>
  <c r="N1378" i="4" s="1"/>
  <c r="K1378" i="4"/>
  <c r="I1378" i="4"/>
  <c r="H1378" i="4"/>
  <c r="G1378" i="4"/>
  <c r="J1378" i="4" s="1"/>
  <c r="F1378" i="4"/>
  <c r="C1378" i="4" a="1"/>
  <c r="C1378" i="4" s="1"/>
  <c r="A1378" i="4"/>
  <c r="L1377" i="4"/>
  <c r="K1377" i="4"/>
  <c r="E1377" i="4" s="1" a="1"/>
  <c r="E1377" i="4" s="1"/>
  <c r="I1377" i="4"/>
  <c r="G1377" i="4"/>
  <c r="F1377" i="4"/>
  <c r="D1377" i="4" a="1"/>
  <c r="D1377" i="4" s="1"/>
  <c r="A1377" i="4"/>
  <c r="L1376" i="4"/>
  <c r="K1376" i="4"/>
  <c r="I1376" i="4"/>
  <c r="G1376" i="4"/>
  <c r="F1376" i="4"/>
  <c r="A1376" i="4"/>
  <c r="L1375" i="4"/>
  <c r="K1375" i="4"/>
  <c r="I1375" i="4"/>
  <c r="G1375" i="4"/>
  <c r="H1375" i="4" s="1"/>
  <c r="F1375" i="4"/>
  <c r="A1375" i="4"/>
  <c r="N1374" i="4" a="1"/>
  <c r="N1374" i="4" s="1"/>
  <c r="L1374" i="4"/>
  <c r="K1374" i="4"/>
  <c r="J1374" i="4"/>
  <c r="I1374" i="4"/>
  <c r="G1374" i="4"/>
  <c r="H1374" i="4" s="1"/>
  <c r="F1374" i="4"/>
  <c r="D1374" i="4" a="1"/>
  <c r="D1374" i="4" s="1"/>
  <c r="C1374" i="4" a="1"/>
  <c r="C1374" i="4" s="1"/>
  <c r="A1374" i="4"/>
  <c r="L1373" i="4"/>
  <c r="K1373" i="4"/>
  <c r="D1373" i="4" s="1" a="1"/>
  <c r="D1373" i="4" s="1"/>
  <c r="J1373" i="4"/>
  <c r="I1373" i="4"/>
  <c r="G1373" i="4"/>
  <c r="H1373" i="4" s="1"/>
  <c r="F1373" i="4"/>
  <c r="A1373" i="4"/>
  <c r="N1372" i="4" a="1"/>
  <c r="N1372" i="4" s="1"/>
  <c r="M1372" i="4" a="1"/>
  <c r="M1372" i="4" s="1"/>
  <c r="L1372" i="4"/>
  <c r="K1372" i="4"/>
  <c r="D1372" i="4" s="1" a="1"/>
  <c r="D1372" i="4" s="1"/>
  <c r="I1372" i="4"/>
  <c r="H1372" i="4"/>
  <c r="G1372" i="4"/>
  <c r="J1372" i="4" s="1"/>
  <c r="F1372" i="4"/>
  <c r="B1372" i="4" a="1"/>
  <c r="B1372" i="4" s="1"/>
  <c r="A1372" i="4"/>
  <c r="L1371" i="4"/>
  <c r="K1371" i="4"/>
  <c r="M1371" i="4" s="1" a="1"/>
  <c r="M1371" i="4" s="1"/>
  <c r="I1371" i="4"/>
  <c r="G1371" i="4"/>
  <c r="H1371" i="4" s="1"/>
  <c r="F1371" i="4"/>
  <c r="B1371" i="4" a="1"/>
  <c r="B1371" i="4" s="1"/>
  <c r="A1371" i="4"/>
  <c r="L1370" i="4"/>
  <c r="K1370" i="4"/>
  <c r="I1370" i="4"/>
  <c r="G1370" i="4"/>
  <c r="F1370" i="4"/>
  <c r="D1370" i="4" a="1"/>
  <c r="D1370" i="4" s="1"/>
  <c r="A1370" i="4"/>
  <c r="L1369" i="4"/>
  <c r="K1369" i="4"/>
  <c r="I1369" i="4"/>
  <c r="G1369" i="4"/>
  <c r="H1369" i="4" s="1"/>
  <c r="F1369" i="4"/>
  <c r="A1369" i="4"/>
  <c r="D1369" i="4" s="1" a="1"/>
  <c r="D1369" i="4" s="1"/>
  <c r="L1368" i="4"/>
  <c r="K1368" i="4"/>
  <c r="I1368" i="4"/>
  <c r="G1368" i="4"/>
  <c r="F1368" i="4"/>
  <c r="A1368" i="4"/>
  <c r="N1367" i="4" a="1"/>
  <c r="N1367" i="4" s="1"/>
  <c r="L1367" i="4"/>
  <c r="K1367" i="4"/>
  <c r="J1367" i="4"/>
  <c r="I1367" i="4"/>
  <c r="G1367" i="4"/>
  <c r="H1367" i="4" s="1"/>
  <c r="F1367" i="4"/>
  <c r="D1367" i="4" a="1"/>
  <c r="D1367" i="4" s="1"/>
  <c r="B1367" i="4"/>
  <c r="A1367" i="4"/>
  <c r="B1367" i="4" s="1" a="1"/>
  <c r="L1366" i="4"/>
  <c r="D1366" i="4" s="1" a="1"/>
  <c r="D1366" i="4" s="1"/>
  <c r="K1366" i="4"/>
  <c r="J1366" i="4"/>
  <c r="I1366" i="4"/>
  <c r="H1366" i="4"/>
  <c r="G1366" i="4"/>
  <c r="F1366" i="4"/>
  <c r="B1366" i="4" a="1"/>
  <c r="B1366" i="4" s="1"/>
  <c r="A1366" i="4"/>
  <c r="L1365" i="4"/>
  <c r="K1365" i="4"/>
  <c r="J1365" i="4"/>
  <c r="I1365" i="4"/>
  <c r="G1365" i="4"/>
  <c r="H1365" i="4" s="1"/>
  <c r="F1365" i="4"/>
  <c r="A1365" i="4"/>
  <c r="M1365" i="4" s="1" a="1"/>
  <c r="M1365" i="4" s="1"/>
  <c r="L1364" i="4"/>
  <c r="K1364" i="4"/>
  <c r="I1364" i="4"/>
  <c r="G1364" i="4"/>
  <c r="F1364" i="4"/>
  <c r="A1364" i="4"/>
  <c r="M1364" i="4" s="1" a="1"/>
  <c r="M1364" i="4" s="1"/>
  <c r="N1363" i="4" a="1"/>
  <c r="N1363" i="4" s="1"/>
  <c r="L1363" i="4"/>
  <c r="K1363" i="4"/>
  <c r="I1363" i="4"/>
  <c r="G1363" i="4"/>
  <c r="F1363" i="4"/>
  <c r="A1363" i="4"/>
  <c r="M1363" i="4" s="1" a="1"/>
  <c r="M1363" i="4" s="1"/>
  <c r="L1362" i="4"/>
  <c r="K1362" i="4"/>
  <c r="I1362" i="4"/>
  <c r="G1362" i="4"/>
  <c r="F1362" i="4"/>
  <c r="D1362" i="4" a="1"/>
  <c r="D1362" i="4" s="1"/>
  <c r="A1362" i="4"/>
  <c r="N1362" i="4" s="1" a="1"/>
  <c r="N1362" i="4" s="1"/>
  <c r="L1361" i="4"/>
  <c r="K1361" i="4"/>
  <c r="I1361" i="4"/>
  <c r="G1361" i="4"/>
  <c r="H1361" i="4" s="1"/>
  <c r="F1361" i="4"/>
  <c r="E1361" i="4" a="1"/>
  <c r="E1361" i="4" s="1"/>
  <c r="A1361" i="4"/>
  <c r="M1360" i="4" a="1"/>
  <c r="M1360" i="4" s="1"/>
  <c r="L1360" i="4"/>
  <c r="K1360" i="4"/>
  <c r="B1360" i="4" s="1" a="1"/>
  <c r="B1360" i="4" s="1"/>
  <c r="I1360" i="4"/>
  <c r="G1360" i="4"/>
  <c r="F1360" i="4"/>
  <c r="A1360" i="4"/>
  <c r="N1359" i="4" a="1"/>
  <c r="N1359" i="4" s="1"/>
  <c r="L1359" i="4"/>
  <c r="K1359" i="4"/>
  <c r="I1359" i="4"/>
  <c r="G1359" i="4"/>
  <c r="F1359" i="4"/>
  <c r="A1359" i="4"/>
  <c r="L1358" i="4"/>
  <c r="B1358" i="4" s="1" a="1"/>
  <c r="B1358" i="4" s="1"/>
  <c r="K1358" i="4"/>
  <c r="I1358" i="4"/>
  <c r="G1358" i="4"/>
  <c r="F1358" i="4"/>
  <c r="A1358" i="4"/>
  <c r="L1357" i="4"/>
  <c r="K1357" i="4"/>
  <c r="I1357" i="4"/>
  <c r="G1357" i="4"/>
  <c r="F1357" i="4"/>
  <c r="A1357" i="4"/>
  <c r="L1356" i="4"/>
  <c r="K1356" i="4"/>
  <c r="M1356" i="4" s="1" a="1"/>
  <c r="M1356" i="4" s="1"/>
  <c r="I1356" i="4"/>
  <c r="G1356" i="4"/>
  <c r="F1356" i="4"/>
  <c r="A1356" i="4"/>
  <c r="L1355" i="4"/>
  <c r="K1355" i="4"/>
  <c r="I1355" i="4"/>
  <c r="G1355" i="4"/>
  <c r="F1355" i="4"/>
  <c r="A1355" i="4"/>
  <c r="L1354" i="4"/>
  <c r="K1354" i="4"/>
  <c r="I1354" i="4"/>
  <c r="G1354" i="4"/>
  <c r="H1354" i="4" s="1"/>
  <c r="F1354" i="4"/>
  <c r="A1354" i="4"/>
  <c r="L1353" i="4"/>
  <c r="K1353" i="4"/>
  <c r="I1353" i="4"/>
  <c r="G1353" i="4"/>
  <c r="H1353" i="4" s="1"/>
  <c r="F1353" i="4"/>
  <c r="A1353" i="4"/>
  <c r="L1352" i="4"/>
  <c r="K1352" i="4"/>
  <c r="N1352" i="4" s="1" a="1"/>
  <c r="N1352" i="4" s="1"/>
  <c r="J1352" i="4"/>
  <c r="I1352" i="4"/>
  <c r="G1352" i="4"/>
  <c r="H1352" i="4" s="1"/>
  <c r="F1352" i="4"/>
  <c r="D1352" i="4" a="1"/>
  <c r="D1352" i="4" s="1"/>
  <c r="A1352" i="4"/>
  <c r="M1351" i="4" a="1"/>
  <c r="M1351" i="4" s="1"/>
  <c r="L1351" i="4"/>
  <c r="K1351" i="4"/>
  <c r="I1351" i="4"/>
  <c r="G1351" i="4"/>
  <c r="F1351" i="4"/>
  <c r="A1351" i="4"/>
  <c r="L1350" i="4"/>
  <c r="K1350" i="4"/>
  <c r="I1350" i="4"/>
  <c r="H1350" i="4"/>
  <c r="G1350" i="4"/>
  <c r="J1350" i="4" s="1"/>
  <c r="F1350" i="4"/>
  <c r="D1350" i="4" a="1"/>
  <c r="D1350" i="4" s="1"/>
  <c r="A1350" i="4"/>
  <c r="L1349" i="4"/>
  <c r="E1349" i="4" s="1" a="1"/>
  <c r="E1349" i="4" s="1"/>
  <c r="K1349" i="4"/>
  <c r="I1349" i="4"/>
  <c r="G1349" i="4"/>
  <c r="F1349" i="4"/>
  <c r="A1349" i="4"/>
  <c r="N1348" i="4" a="1"/>
  <c r="N1348" i="4" s="1"/>
  <c r="L1348" i="4"/>
  <c r="K1348" i="4"/>
  <c r="J1348" i="4"/>
  <c r="I1348" i="4"/>
  <c r="G1348" i="4"/>
  <c r="H1348" i="4" s="1"/>
  <c r="F1348" i="4"/>
  <c r="D1348" i="4" a="1"/>
  <c r="D1348" i="4" s="1"/>
  <c r="B1348" i="4" a="1"/>
  <c r="B1348" i="4" s="1"/>
  <c r="A1348" i="4"/>
  <c r="L1347" i="4"/>
  <c r="K1347" i="4"/>
  <c r="I1347" i="4"/>
  <c r="G1347" i="4"/>
  <c r="F1347" i="4"/>
  <c r="D1347" i="4" a="1"/>
  <c r="D1347" i="4" s="1"/>
  <c r="B1347" i="4" a="1"/>
  <c r="B1347" i="4" s="1"/>
  <c r="A1347" i="4"/>
  <c r="L1346" i="4"/>
  <c r="K1346" i="4"/>
  <c r="I1346" i="4"/>
  <c r="G1346" i="4"/>
  <c r="F1346" i="4"/>
  <c r="A1346" i="4"/>
  <c r="N1345" i="4" a="1"/>
  <c r="N1345" i="4" s="1"/>
  <c r="L1345" i="4"/>
  <c r="K1345" i="4"/>
  <c r="J1345" i="4"/>
  <c r="I1345" i="4"/>
  <c r="H1345" i="4"/>
  <c r="G1345" i="4"/>
  <c r="F1345" i="4"/>
  <c r="C1345" i="4" a="1"/>
  <c r="C1345" i="4" s="1"/>
  <c r="A1345" i="4"/>
  <c r="L1344" i="4"/>
  <c r="K1344" i="4"/>
  <c r="I1344" i="4"/>
  <c r="G1344" i="4"/>
  <c r="F1344" i="4"/>
  <c r="A1344" i="4"/>
  <c r="N1343" i="4" a="1"/>
  <c r="N1343" i="4" s="1"/>
  <c r="L1343" i="4"/>
  <c r="K1343" i="4"/>
  <c r="J1343" i="4"/>
  <c r="I1343" i="4"/>
  <c r="G1343" i="4"/>
  <c r="H1343" i="4" s="1"/>
  <c r="F1343" i="4"/>
  <c r="A1343" i="4"/>
  <c r="M1343" i="4" s="1" a="1"/>
  <c r="M1343" i="4" s="1"/>
  <c r="N1342" i="4" a="1"/>
  <c r="N1342" i="4" s="1"/>
  <c r="L1342" i="4"/>
  <c r="K1342" i="4"/>
  <c r="J1342" i="4"/>
  <c r="I1342" i="4"/>
  <c r="G1342" i="4"/>
  <c r="H1342" i="4" s="1"/>
  <c r="F1342" i="4"/>
  <c r="A1342" i="4"/>
  <c r="C1342" i="4" s="1" a="1"/>
  <c r="C1342" i="4" s="1"/>
  <c r="L1341" i="4"/>
  <c r="K1341" i="4"/>
  <c r="I1341" i="4"/>
  <c r="G1341" i="4"/>
  <c r="F1341" i="4"/>
  <c r="A1341" i="4"/>
  <c r="L1340" i="4"/>
  <c r="K1340" i="4"/>
  <c r="I1340" i="4"/>
  <c r="G1340" i="4"/>
  <c r="F1340" i="4"/>
  <c r="A1340" i="4"/>
  <c r="M1340" i="4" s="1" a="1"/>
  <c r="M1340" i="4" s="1"/>
  <c r="L1339" i="4"/>
  <c r="K1339" i="4"/>
  <c r="I1339" i="4"/>
  <c r="G1339" i="4"/>
  <c r="H1339" i="4" s="1"/>
  <c r="F1339" i="4"/>
  <c r="B1339" i="4"/>
  <c r="B1339" i="4" a="1"/>
  <c r="A1339" i="4"/>
  <c r="L1338" i="4"/>
  <c r="K1338" i="4"/>
  <c r="I1338" i="4"/>
  <c r="G1338" i="4"/>
  <c r="F1338" i="4"/>
  <c r="A1338" i="4"/>
  <c r="L1337" i="4"/>
  <c r="N1337" i="4" s="1" a="1"/>
  <c r="N1337" i="4" s="1"/>
  <c r="K1337" i="4"/>
  <c r="J1337" i="4"/>
  <c r="I1337" i="4"/>
  <c r="H1337" i="4"/>
  <c r="G1337" i="4"/>
  <c r="F1337" i="4"/>
  <c r="C1337" i="4" a="1"/>
  <c r="C1337" i="4" s="1"/>
  <c r="B1337" i="4" a="1"/>
  <c r="B1337" i="4" s="1"/>
  <c r="A1337" i="4"/>
  <c r="L1336" i="4"/>
  <c r="K1336" i="4"/>
  <c r="J1336" i="4"/>
  <c r="I1336" i="4"/>
  <c r="G1336" i="4"/>
  <c r="H1336" i="4" s="1"/>
  <c r="F1336" i="4"/>
  <c r="A1336" i="4"/>
  <c r="N1335" i="4" a="1"/>
  <c r="N1335" i="4" s="1"/>
  <c r="L1335" i="4"/>
  <c r="D1335" i="4" s="1" a="1"/>
  <c r="D1335" i="4" s="1"/>
  <c r="K1335" i="4"/>
  <c r="J1335" i="4"/>
  <c r="I1335" i="4"/>
  <c r="G1335" i="4"/>
  <c r="H1335" i="4" s="1"/>
  <c r="F1335" i="4"/>
  <c r="B1335" i="4" a="1"/>
  <c r="B1335" i="4" s="1"/>
  <c r="A1335" i="4"/>
  <c r="L1334" i="4"/>
  <c r="K1334" i="4"/>
  <c r="I1334" i="4"/>
  <c r="G1334" i="4"/>
  <c r="F1334" i="4"/>
  <c r="A1334" i="4"/>
  <c r="L1333" i="4"/>
  <c r="K1333" i="4"/>
  <c r="J1333" i="4"/>
  <c r="I1333" i="4"/>
  <c r="G1333" i="4"/>
  <c r="H1333" i="4" s="1"/>
  <c r="F1333" i="4"/>
  <c r="A1333" i="4"/>
  <c r="M1332" i="4" a="1"/>
  <c r="M1332" i="4" s="1"/>
  <c r="L1332" i="4"/>
  <c r="B1332" i="4" s="1" a="1"/>
  <c r="B1332" i="4" s="1"/>
  <c r="K1332" i="4"/>
  <c r="I1332" i="4"/>
  <c r="G1332" i="4"/>
  <c r="F1332" i="4"/>
  <c r="A1332" i="4"/>
  <c r="L1331" i="4"/>
  <c r="K1331" i="4"/>
  <c r="C1331" i="4" s="1" a="1"/>
  <c r="C1331" i="4" s="1"/>
  <c r="I1331" i="4"/>
  <c r="G1331" i="4"/>
  <c r="J1331" i="4" s="1"/>
  <c r="F1331" i="4"/>
  <c r="D1331" i="4" a="1"/>
  <c r="D1331" i="4" s="1"/>
  <c r="A1331" i="4"/>
  <c r="L1330" i="4"/>
  <c r="K1330" i="4"/>
  <c r="J1330" i="4"/>
  <c r="I1330" i="4"/>
  <c r="G1330" i="4"/>
  <c r="H1330" i="4" s="1"/>
  <c r="F1330" i="4"/>
  <c r="A1330" i="4"/>
  <c r="N1329" i="4" a="1"/>
  <c r="N1329" i="4" s="1"/>
  <c r="L1329" i="4"/>
  <c r="K1329" i="4"/>
  <c r="I1329" i="4"/>
  <c r="H1329" i="4"/>
  <c r="G1329" i="4"/>
  <c r="J1329" i="4" s="1"/>
  <c r="F1329" i="4"/>
  <c r="D1329" i="4" a="1"/>
  <c r="D1329" i="4" s="1"/>
  <c r="C1329" i="4" a="1"/>
  <c r="C1329" i="4" s="1"/>
  <c r="A1329" i="4"/>
  <c r="N1328" i="4" a="1"/>
  <c r="N1328" i="4" s="1"/>
  <c r="L1328" i="4"/>
  <c r="K1328" i="4"/>
  <c r="J1328" i="4"/>
  <c r="I1328" i="4"/>
  <c r="G1328" i="4"/>
  <c r="H1328" i="4" s="1"/>
  <c r="F1328" i="4"/>
  <c r="A1328" i="4"/>
  <c r="L1327" i="4"/>
  <c r="K1327" i="4"/>
  <c r="I1327" i="4"/>
  <c r="H1327" i="4"/>
  <c r="G1327" i="4"/>
  <c r="J1327" i="4" s="1"/>
  <c r="F1327" i="4"/>
  <c r="C1327" i="4" a="1"/>
  <c r="C1327" i="4" s="1"/>
  <c r="A1327" i="4"/>
  <c r="N1326" i="4" a="1"/>
  <c r="N1326" i="4" s="1"/>
  <c r="L1326" i="4"/>
  <c r="K1326" i="4"/>
  <c r="I1326" i="4"/>
  <c r="G1326" i="4"/>
  <c r="F1326" i="4"/>
  <c r="D1326" i="4" a="1"/>
  <c r="D1326" i="4" s="1"/>
  <c r="B1326" i="4" a="1"/>
  <c r="B1326" i="4" s="1"/>
  <c r="A1326" i="4"/>
  <c r="L1325" i="4"/>
  <c r="K1325" i="4"/>
  <c r="J1325" i="4"/>
  <c r="I1325" i="4"/>
  <c r="H1325" i="4"/>
  <c r="G1325" i="4"/>
  <c r="F1325" i="4"/>
  <c r="A1325" i="4"/>
  <c r="N1325" i="4" s="1" a="1"/>
  <c r="N1325" i="4" s="1"/>
  <c r="L1324" i="4"/>
  <c r="K1324" i="4"/>
  <c r="I1324" i="4"/>
  <c r="G1324" i="4"/>
  <c r="F1324" i="4"/>
  <c r="B1324" i="4" a="1"/>
  <c r="B1324" i="4" s="1"/>
  <c r="A1324" i="4"/>
  <c r="L1323" i="4"/>
  <c r="K1323" i="4"/>
  <c r="I1323" i="4"/>
  <c r="G1323" i="4"/>
  <c r="J1323" i="4" s="1"/>
  <c r="F1323" i="4"/>
  <c r="A1323" i="4"/>
  <c r="L1322" i="4"/>
  <c r="K1322" i="4"/>
  <c r="I1322" i="4"/>
  <c r="G1322" i="4"/>
  <c r="H1322" i="4" s="1"/>
  <c r="F1322" i="4"/>
  <c r="A1322" i="4"/>
  <c r="L1321" i="4"/>
  <c r="K1321" i="4"/>
  <c r="E1321" i="4" s="1" a="1"/>
  <c r="E1321" i="4" s="1"/>
  <c r="I1321" i="4"/>
  <c r="G1321" i="4"/>
  <c r="J1321" i="4" s="1"/>
  <c r="F1321" i="4"/>
  <c r="A1321" i="4"/>
  <c r="N1320" i="4" a="1"/>
  <c r="N1320" i="4" s="1"/>
  <c r="L1320" i="4"/>
  <c r="K1320" i="4"/>
  <c r="I1320" i="4"/>
  <c r="G1320" i="4"/>
  <c r="H1320" i="4" s="1"/>
  <c r="F1320" i="4"/>
  <c r="B1320" i="4" a="1"/>
  <c r="B1320" i="4" s="1"/>
  <c r="A1320" i="4"/>
  <c r="L1319" i="4"/>
  <c r="K1319" i="4"/>
  <c r="I1319" i="4"/>
  <c r="G1319" i="4"/>
  <c r="F1319" i="4"/>
  <c r="A1319" i="4"/>
  <c r="L1318" i="4"/>
  <c r="K1318" i="4"/>
  <c r="I1318" i="4"/>
  <c r="G1318" i="4"/>
  <c r="F1318" i="4"/>
  <c r="A1318" i="4"/>
  <c r="L1317" i="4"/>
  <c r="K1317" i="4"/>
  <c r="I1317" i="4"/>
  <c r="G1317" i="4"/>
  <c r="F1317" i="4"/>
  <c r="A1317" i="4"/>
  <c r="L1316" i="4"/>
  <c r="K1316" i="4"/>
  <c r="J1316" i="4"/>
  <c r="I1316" i="4"/>
  <c r="H1316" i="4"/>
  <c r="G1316" i="4"/>
  <c r="F1316" i="4"/>
  <c r="D1316" i="4" a="1"/>
  <c r="D1316" i="4" s="1"/>
  <c r="A1316" i="4"/>
  <c r="L1315" i="4"/>
  <c r="K1315" i="4"/>
  <c r="J1315" i="4"/>
  <c r="I1315" i="4"/>
  <c r="G1315" i="4"/>
  <c r="H1315" i="4" s="1"/>
  <c r="F1315" i="4"/>
  <c r="A1315" i="4"/>
  <c r="L1314" i="4"/>
  <c r="K1314" i="4"/>
  <c r="I1314" i="4"/>
  <c r="H1314" i="4"/>
  <c r="G1314" i="4"/>
  <c r="J1314" i="4" s="1"/>
  <c r="F1314" i="4"/>
  <c r="A1314" i="4"/>
  <c r="L1313" i="4"/>
  <c r="K1313" i="4"/>
  <c r="N1313" i="4" s="1" a="1"/>
  <c r="N1313" i="4" s="1"/>
  <c r="J1313" i="4"/>
  <c r="I1313" i="4"/>
  <c r="G1313" i="4"/>
  <c r="H1313" i="4" s="1"/>
  <c r="F1313" i="4"/>
  <c r="E1313" i="4" a="1"/>
  <c r="E1313" i="4" s="1"/>
  <c r="C1313" i="4" a="1"/>
  <c r="C1313" i="4" s="1"/>
  <c r="A1313" i="4"/>
  <c r="L1312" i="4"/>
  <c r="K1312" i="4"/>
  <c r="I1312" i="4"/>
  <c r="G1312" i="4"/>
  <c r="F1312" i="4"/>
  <c r="A1312" i="4"/>
  <c r="L1311" i="4"/>
  <c r="D1311" i="4" s="1" a="1"/>
  <c r="D1311" i="4" s="1"/>
  <c r="K1311" i="4"/>
  <c r="I1311" i="4"/>
  <c r="G1311" i="4"/>
  <c r="F1311" i="4"/>
  <c r="C1311" i="4" a="1"/>
  <c r="C1311" i="4" s="1"/>
  <c r="A1311" i="4"/>
  <c r="N1310" i="4" a="1"/>
  <c r="N1310" i="4" s="1"/>
  <c r="L1310" i="4"/>
  <c r="K1310" i="4"/>
  <c r="J1310" i="4"/>
  <c r="I1310" i="4"/>
  <c r="H1310" i="4"/>
  <c r="G1310" i="4"/>
  <c r="F1310" i="4"/>
  <c r="C1310" i="4" a="1"/>
  <c r="C1310" i="4" s="1"/>
  <c r="B1310" i="4" a="1"/>
  <c r="B1310" i="4" s="1"/>
  <c r="A1310" i="4"/>
  <c r="N1309" i="4" a="1"/>
  <c r="N1309" i="4" s="1"/>
  <c r="L1309" i="4"/>
  <c r="K1309" i="4"/>
  <c r="I1309" i="4"/>
  <c r="G1309" i="4"/>
  <c r="H1309" i="4" s="1"/>
  <c r="F1309" i="4"/>
  <c r="E1309" i="4" a="1"/>
  <c r="E1309" i="4" s="1"/>
  <c r="C1309" i="4" a="1"/>
  <c r="C1309" i="4" s="1"/>
  <c r="A1309" i="4"/>
  <c r="L1308" i="4"/>
  <c r="K1308" i="4"/>
  <c r="C1308" i="4" s="1" a="1"/>
  <c r="C1308" i="4" s="1"/>
  <c r="I1308" i="4"/>
  <c r="G1308" i="4"/>
  <c r="H1308" i="4" s="1"/>
  <c r="F1308" i="4"/>
  <c r="A1308" i="4"/>
  <c r="L1307" i="4"/>
  <c r="K1307" i="4"/>
  <c r="E1307" i="4" s="1" a="1"/>
  <c r="E1307" i="4" s="1"/>
  <c r="I1307" i="4"/>
  <c r="G1307" i="4"/>
  <c r="F1307" i="4"/>
  <c r="A1307" i="4"/>
  <c r="D1307" i="4" s="1" a="1"/>
  <c r="D1307" i="4" s="1"/>
  <c r="N1306" i="4" a="1"/>
  <c r="N1306" i="4" s="1"/>
  <c r="L1306" i="4"/>
  <c r="K1306" i="4"/>
  <c r="I1306" i="4"/>
  <c r="G1306" i="4"/>
  <c r="F1306" i="4"/>
  <c r="E1306" i="4" a="1"/>
  <c r="E1306" i="4" s="1"/>
  <c r="D1306" i="4" a="1"/>
  <c r="D1306" i="4" s="1"/>
  <c r="A1306" i="4"/>
  <c r="M1306" i="4" s="1" a="1"/>
  <c r="M1306" i="4" s="1"/>
  <c r="L1305" i="4"/>
  <c r="N1305" i="4" s="1" a="1"/>
  <c r="N1305" i="4" s="1"/>
  <c r="K1305" i="4"/>
  <c r="I1305" i="4"/>
  <c r="H1305" i="4"/>
  <c r="G1305" i="4"/>
  <c r="J1305" i="4" s="1"/>
  <c r="F1305" i="4"/>
  <c r="D1305" i="4" a="1"/>
  <c r="D1305" i="4" s="1"/>
  <c r="C1305" i="4" a="1"/>
  <c r="C1305" i="4" s="1"/>
  <c r="A1305" i="4"/>
  <c r="L1304" i="4"/>
  <c r="B1304" i="4" s="1" a="1"/>
  <c r="B1304" i="4" s="1"/>
  <c r="K1304" i="4"/>
  <c r="I1304" i="4"/>
  <c r="G1304" i="4"/>
  <c r="J1304" i="4" s="1"/>
  <c r="F1304" i="4"/>
  <c r="E1304" i="4" a="1"/>
  <c r="E1304" i="4" s="1"/>
  <c r="A1304" i="4"/>
  <c r="L1303" i="4"/>
  <c r="K1303" i="4"/>
  <c r="I1303" i="4"/>
  <c r="H1303" i="4"/>
  <c r="G1303" i="4"/>
  <c r="J1303" i="4" s="1"/>
  <c r="F1303" i="4"/>
  <c r="A1303" i="4"/>
  <c r="L1302" i="4"/>
  <c r="K1302" i="4"/>
  <c r="J1302" i="4"/>
  <c r="I1302" i="4"/>
  <c r="H1302" i="4"/>
  <c r="G1302" i="4"/>
  <c r="F1302" i="4"/>
  <c r="A1302" i="4"/>
  <c r="C1302" i="4" s="1" a="1"/>
  <c r="C1302" i="4" s="1"/>
  <c r="L1301" i="4"/>
  <c r="K1301" i="4"/>
  <c r="I1301" i="4"/>
  <c r="G1301" i="4"/>
  <c r="F1301" i="4"/>
  <c r="A1301" i="4"/>
  <c r="D1301" i="4" s="1" a="1"/>
  <c r="D1301" i="4" s="1"/>
  <c r="L1300" i="4"/>
  <c r="K1300" i="4"/>
  <c r="I1300" i="4"/>
  <c r="H1300" i="4"/>
  <c r="G1300" i="4"/>
  <c r="J1300" i="4" s="1"/>
  <c r="F1300" i="4"/>
  <c r="A1300" i="4"/>
  <c r="C1300" i="4" s="1" a="1"/>
  <c r="C1300" i="4" s="1"/>
  <c r="L1299" i="4"/>
  <c r="K1299" i="4"/>
  <c r="I1299" i="4"/>
  <c r="G1299" i="4"/>
  <c r="H1299" i="4" s="1"/>
  <c r="F1299" i="4"/>
  <c r="C1299" i="4" a="1"/>
  <c r="C1299" i="4" s="1"/>
  <c r="A1299" i="4"/>
  <c r="M1298" i="4" a="1"/>
  <c r="M1298" i="4" s="1"/>
  <c r="L1298" i="4"/>
  <c r="K1298" i="4"/>
  <c r="I1298" i="4"/>
  <c r="H1298" i="4"/>
  <c r="G1298" i="4"/>
  <c r="J1298" i="4" s="1"/>
  <c r="F1298" i="4"/>
  <c r="C1298" i="4" a="1"/>
  <c r="C1298" i="4" s="1"/>
  <c r="A1298" i="4"/>
  <c r="L1297" i="4"/>
  <c r="K1297" i="4"/>
  <c r="I1297" i="4"/>
  <c r="H1297" i="4"/>
  <c r="G1297" i="4"/>
  <c r="J1297" i="4" s="1"/>
  <c r="F1297" i="4"/>
  <c r="D1297" i="4" a="1"/>
  <c r="D1297" i="4" s="1"/>
  <c r="B1297" i="4" a="1"/>
  <c r="B1297" i="4" s="1"/>
  <c r="A1297" i="4"/>
  <c r="L1296" i="4"/>
  <c r="K1296" i="4"/>
  <c r="I1296" i="4"/>
  <c r="G1296" i="4"/>
  <c r="F1296" i="4"/>
  <c r="A1296" i="4"/>
  <c r="L1295" i="4"/>
  <c r="K1295" i="4"/>
  <c r="I1295" i="4"/>
  <c r="H1295" i="4"/>
  <c r="G1295" i="4"/>
  <c r="J1295" i="4" s="1"/>
  <c r="F1295" i="4"/>
  <c r="A1295" i="4"/>
  <c r="M1294" i="4" a="1"/>
  <c r="M1294" i="4" s="1"/>
  <c r="L1294" i="4"/>
  <c r="K1294" i="4"/>
  <c r="I1294" i="4"/>
  <c r="H1294" i="4"/>
  <c r="G1294" i="4"/>
  <c r="J1294" i="4" s="1"/>
  <c r="F1294" i="4"/>
  <c r="B1294" i="4" a="1"/>
  <c r="B1294" i="4" s="1"/>
  <c r="A1294" i="4"/>
  <c r="L1293" i="4"/>
  <c r="E1293" i="4" s="1" a="1"/>
  <c r="E1293" i="4" s="1"/>
  <c r="K1293" i="4"/>
  <c r="I1293" i="4"/>
  <c r="G1293" i="4"/>
  <c r="F1293" i="4"/>
  <c r="D1293" i="4" a="1"/>
  <c r="D1293" i="4" s="1"/>
  <c r="A1293" i="4"/>
  <c r="L1292" i="4"/>
  <c r="K1292" i="4"/>
  <c r="N1292" i="4" s="1" a="1"/>
  <c r="N1292" i="4" s="1"/>
  <c r="I1292" i="4"/>
  <c r="G1292" i="4"/>
  <c r="J1292" i="4" s="1"/>
  <c r="F1292" i="4"/>
  <c r="A1292" i="4"/>
  <c r="L1291" i="4"/>
  <c r="K1291" i="4"/>
  <c r="J1291" i="4"/>
  <c r="I1291" i="4"/>
  <c r="G1291" i="4"/>
  <c r="H1291" i="4" s="1"/>
  <c r="F1291" i="4"/>
  <c r="A1291" i="4"/>
  <c r="N1291" i="4" s="1" a="1"/>
  <c r="N1291" i="4" s="1"/>
  <c r="N1290" i="4" a="1"/>
  <c r="N1290" i="4" s="1"/>
  <c r="L1290" i="4"/>
  <c r="K1290" i="4"/>
  <c r="I1290" i="4"/>
  <c r="G1290" i="4"/>
  <c r="F1290" i="4"/>
  <c r="A1290" i="4"/>
  <c r="M1289" i="4" a="1"/>
  <c r="M1289" i="4" s="1"/>
  <c r="L1289" i="4"/>
  <c r="K1289" i="4"/>
  <c r="I1289" i="4"/>
  <c r="G1289" i="4"/>
  <c r="F1289" i="4"/>
  <c r="A1289" i="4"/>
  <c r="N1288" i="4"/>
  <c r="N1288" i="4" a="1"/>
  <c r="M1288" i="4" a="1"/>
  <c r="M1288" i="4" s="1"/>
  <c r="L1288" i="4"/>
  <c r="K1288" i="4"/>
  <c r="I1288" i="4"/>
  <c r="G1288" i="4"/>
  <c r="F1288" i="4"/>
  <c r="E1288" i="4" a="1"/>
  <c r="E1288" i="4" s="1"/>
  <c r="B1288" i="4" a="1"/>
  <c r="B1288" i="4" s="1"/>
  <c r="A1288" i="4"/>
  <c r="L1287" i="4"/>
  <c r="K1287" i="4"/>
  <c r="I1287" i="4"/>
  <c r="H1287" i="4"/>
  <c r="G1287" i="4"/>
  <c r="J1287" i="4" s="1"/>
  <c r="F1287" i="4"/>
  <c r="C1287" i="4" a="1"/>
  <c r="C1287" i="4" s="1"/>
  <c r="A1287" i="4"/>
  <c r="L1286" i="4"/>
  <c r="K1286" i="4"/>
  <c r="I1286" i="4"/>
  <c r="G1286" i="4"/>
  <c r="F1286" i="4"/>
  <c r="A1286" i="4"/>
  <c r="L1285" i="4"/>
  <c r="K1285" i="4"/>
  <c r="I1285" i="4"/>
  <c r="G1285" i="4"/>
  <c r="J1285" i="4" s="1"/>
  <c r="F1285" i="4"/>
  <c r="C1285" i="4" a="1"/>
  <c r="C1285" i="4" s="1"/>
  <c r="A1285" i="4"/>
  <c r="M1284" i="4" a="1"/>
  <c r="M1284" i="4" s="1"/>
  <c r="L1284" i="4"/>
  <c r="K1284" i="4"/>
  <c r="E1284" i="4" s="1" a="1"/>
  <c r="E1284" i="4" s="1"/>
  <c r="I1284" i="4"/>
  <c r="H1284" i="4"/>
  <c r="G1284" i="4"/>
  <c r="J1284" i="4" s="1"/>
  <c r="F1284" i="4"/>
  <c r="C1284" i="4" a="1"/>
  <c r="C1284" i="4" s="1"/>
  <c r="B1284" i="4" a="1"/>
  <c r="B1284" i="4" s="1"/>
  <c r="A1284" i="4"/>
  <c r="L1283" i="4"/>
  <c r="K1283" i="4"/>
  <c r="J1283" i="4"/>
  <c r="I1283" i="4"/>
  <c r="H1283" i="4"/>
  <c r="G1283" i="4"/>
  <c r="F1283" i="4"/>
  <c r="A1283" i="4"/>
  <c r="C1283" i="4" s="1" a="1"/>
  <c r="C1283" i="4" s="1"/>
  <c r="L1282" i="4"/>
  <c r="K1282" i="4"/>
  <c r="M1282" i="4" s="1" a="1"/>
  <c r="M1282" i="4" s="1"/>
  <c r="I1282" i="4"/>
  <c r="H1282" i="4"/>
  <c r="G1282" i="4"/>
  <c r="J1282" i="4" s="1"/>
  <c r="F1282" i="4"/>
  <c r="A1282" i="4"/>
  <c r="L1281" i="4"/>
  <c r="K1281" i="4"/>
  <c r="J1281" i="4"/>
  <c r="I1281" i="4"/>
  <c r="G1281" i="4"/>
  <c r="H1281" i="4" s="1"/>
  <c r="F1281" i="4"/>
  <c r="A1281" i="4"/>
  <c r="L1280" i="4"/>
  <c r="K1280" i="4"/>
  <c r="I1280" i="4"/>
  <c r="G1280" i="4"/>
  <c r="J1280" i="4" s="1"/>
  <c r="F1280" i="4"/>
  <c r="A1280" i="4"/>
  <c r="E1280" i="4" s="1" a="1"/>
  <c r="E1280" i="4" s="1"/>
  <c r="L1279" i="4"/>
  <c r="K1279" i="4"/>
  <c r="I1279" i="4"/>
  <c r="G1279" i="4"/>
  <c r="J1279" i="4" s="1"/>
  <c r="F1279" i="4"/>
  <c r="A1279" i="4"/>
  <c r="L1278" i="4"/>
  <c r="K1278" i="4"/>
  <c r="I1278" i="4"/>
  <c r="H1278" i="4"/>
  <c r="G1278" i="4"/>
  <c r="J1278" i="4" s="1"/>
  <c r="F1278" i="4"/>
  <c r="A1278" i="4"/>
  <c r="L1277" i="4"/>
  <c r="K1277" i="4"/>
  <c r="J1277" i="4"/>
  <c r="I1277" i="4"/>
  <c r="H1277" i="4"/>
  <c r="G1277" i="4"/>
  <c r="F1277" i="4"/>
  <c r="A1277" i="4"/>
  <c r="N1276" i="4" a="1"/>
  <c r="N1276" i="4" s="1"/>
  <c r="L1276" i="4"/>
  <c r="K1276" i="4"/>
  <c r="I1276" i="4"/>
  <c r="G1276" i="4"/>
  <c r="J1276" i="4" s="1"/>
  <c r="F1276" i="4"/>
  <c r="A1276" i="4"/>
  <c r="L1275" i="4"/>
  <c r="K1275" i="4"/>
  <c r="I1275" i="4"/>
  <c r="H1275" i="4"/>
  <c r="G1275" i="4"/>
  <c r="J1275" i="4" s="1"/>
  <c r="F1275" i="4"/>
  <c r="A1275" i="4"/>
  <c r="L1274" i="4"/>
  <c r="K1274" i="4"/>
  <c r="I1274" i="4"/>
  <c r="G1274" i="4"/>
  <c r="J1274" i="4" s="1"/>
  <c r="F1274" i="4"/>
  <c r="A1274" i="4"/>
  <c r="N1274" i="4" s="1" a="1"/>
  <c r="N1274" i="4" s="1"/>
  <c r="L1273" i="4"/>
  <c r="K1273" i="4"/>
  <c r="I1273" i="4"/>
  <c r="H1273" i="4"/>
  <c r="G1273" i="4"/>
  <c r="J1273" i="4" s="1"/>
  <c r="F1273" i="4"/>
  <c r="A1273" i="4"/>
  <c r="L1272" i="4"/>
  <c r="K1272" i="4"/>
  <c r="I1272" i="4"/>
  <c r="H1272" i="4"/>
  <c r="G1272" i="4"/>
  <c r="J1272" i="4" s="1"/>
  <c r="F1272" i="4"/>
  <c r="A1272" i="4"/>
  <c r="N1272" i="4" s="1" a="1"/>
  <c r="N1272" i="4" s="1"/>
  <c r="L1271" i="4"/>
  <c r="K1271" i="4"/>
  <c r="I1271" i="4"/>
  <c r="G1271" i="4"/>
  <c r="J1271" i="4" s="1"/>
  <c r="F1271" i="4"/>
  <c r="A1271" i="4"/>
  <c r="L1270" i="4"/>
  <c r="K1270" i="4"/>
  <c r="I1270" i="4"/>
  <c r="H1270" i="4"/>
  <c r="G1270" i="4"/>
  <c r="J1270" i="4" s="1"/>
  <c r="F1270" i="4"/>
  <c r="A1270" i="4"/>
  <c r="L1269" i="4"/>
  <c r="K1269" i="4"/>
  <c r="J1269" i="4"/>
  <c r="I1269" i="4"/>
  <c r="H1269" i="4"/>
  <c r="G1269" i="4"/>
  <c r="F1269" i="4"/>
  <c r="D1269" i="4" a="1"/>
  <c r="D1269" i="4" s="1"/>
  <c r="A1269" i="4"/>
  <c r="M1268" i="4" a="1"/>
  <c r="M1268" i="4" s="1"/>
  <c r="L1268" i="4"/>
  <c r="K1268" i="4"/>
  <c r="I1268" i="4"/>
  <c r="G1268" i="4"/>
  <c r="F1268" i="4"/>
  <c r="C1268" i="4" a="1"/>
  <c r="C1268" i="4" s="1"/>
  <c r="A1268" i="4"/>
  <c r="N1267" i="4" a="1"/>
  <c r="N1267" i="4" s="1"/>
  <c r="L1267" i="4"/>
  <c r="K1267" i="4"/>
  <c r="I1267" i="4"/>
  <c r="G1267" i="4"/>
  <c r="F1267" i="4"/>
  <c r="E1267" i="4" a="1"/>
  <c r="E1267" i="4" s="1"/>
  <c r="A1267" i="4"/>
  <c r="L1266" i="4"/>
  <c r="K1266" i="4"/>
  <c r="I1266" i="4"/>
  <c r="G1266" i="4"/>
  <c r="F1266" i="4"/>
  <c r="A1266" i="4"/>
  <c r="L1265" i="4"/>
  <c r="K1265" i="4"/>
  <c r="I1265" i="4"/>
  <c r="G1265" i="4"/>
  <c r="H1265" i="4" s="1"/>
  <c r="F1265" i="4"/>
  <c r="A1265" i="4"/>
  <c r="L1264" i="4"/>
  <c r="K1264" i="4"/>
  <c r="I1264" i="4"/>
  <c r="G1264" i="4"/>
  <c r="F1264" i="4"/>
  <c r="A1264" i="4"/>
  <c r="L1263" i="4"/>
  <c r="K1263" i="4"/>
  <c r="I1263" i="4"/>
  <c r="G1263" i="4"/>
  <c r="J1263" i="4" s="1"/>
  <c r="F1263" i="4"/>
  <c r="C1263" i="4" a="1"/>
  <c r="C1263" i="4" s="1"/>
  <c r="A1263" i="4"/>
  <c r="L1262" i="4"/>
  <c r="K1262" i="4"/>
  <c r="I1262" i="4"/>
  <c r="G1262" i="4"/>
  <c r="J1262" i="4" s="1"/>
  <c r="F1262" i="4"/>
  <c r="E1262" i="4" a="1"/>
  <c r="E1262" i="4" s="1"/>
  <c r="A1262" i="4"/>
  <c r="D1262" i="4" s="1" a="1"/>
  <c r="D1262" i="4" s="1"/>
  <c r="L1261" i="4"/>
  <c r="K1261" i="4"/>
  <c r="I1261" i="4"/>
  <c r="G1261" i="4"/>
  <c r="F1261" i="4"/>
  <c r="A1261" i="4"/>
  <c r="L1260" i="4"/>
  <c r="K1260" i="4"/>
  <c r="I1260" i="4"/>
  <c r="G1260" i="4"/>
  <c r="F1260" i="4"/>
  <c r="A1260" i="4"/>
  <c r="B1260" i="4" s="1" a="1"/>
  <c r="B1260" i="4" s="1"/>
  <c r="L1259" i="4"/>
  <c r="K1259" i="4"/>
  <c r="J1259" i="4"/>
  <c r="I1259" i="4"/>
  <c r="H1259" i="4"/>
  <c r="G1259" i="4"/>
  <c r="F1259" i="4"/>
  <c r="B1259" i="4" a="1"/>
  <c r="B1259" i="4" s="1"/>
  <c r="A1259" i="4"/>
  <c r="L1258" i="4"/>
  <c r="K1258" i="4"/>
  <c r="I1258" i="4"/>
  <c r="G1258" i="4"/>
  <c r="H1258" i="4" s="1"/>
  <c r="F1258" i="4"/>
  <c r="A1258" i="4"/>
  <c r="L1257" i="4"/>
  <c r="K1257" i="4"/>
  <c r="J1257" i="4"/>
  <c r="I1257" i="4"/>
  <c r="H1257" i="4"/>
  <c r="G1257" i="4"/>
  <c r="F1257" i="4"/>
  <c r="A1257" i="4"/>
  <c r="M1257" i="4" s="1" a="1"/>
  <c r="M1257" i="4" s="1"/>
  <c r="N1256" i="4" a="1"/>
  <c r="N1256" i="4" s="1"/>
  <c r="L1256" i="4"/>
  <c r="K1256" i="4"/>
  <c r="J1256" i="4"/>
  <c r="I1256" i="4"/>
  <c r="G1256" i="4"/>
  <c r="H1256" i="4" s="1"/>
  <c r="F1256" i="4"/>
  <c r="A1256" i="4"/>
  <c r="L1255" i="4"/>
  <c r="D1255" i="4" s="1" a="1"/>
  <c r="D1255" i="4" s="1"/>
  <c r="K1255" i="4"/>
  <c r="J1255" i="4"/>
  <c r="I1255" i="4"/>
  <c r="H1255" i="4"/>
  <c r="G1255" i="4"/>
  <c r="F1255" i="4"/>
  <c r="C1255" i="4" a="1"/>
  <c r="C1255" i="4" s="1"/>
  <c r="A1255" i="4"/>
  <c r="M1255" i="4" s="1" a="1"/>
  <c r="M1255" i="4" s="1"/>
  <c r="L1254" i="4"/>
  <c r="K1254" i="4"/>
  <c r="N1254" i="4" s="1" a="1"/>
  <c r="N1254" i="4" s="1"/>
  <c r="I1254" i="4"/>
  <c r="G1254" i="4"/>
  <c r="J1254" i="4" s="1"/>
  <c r="F1254" i="4"/>
  <c r="E1254" i="4" a="1"/>
  <c r="E1254" i="4" s="1"/>
  <c r="D1254" i="4" a="1"/>
  <c r="D1254" i="4" s="1"/>
  <c r="A1254" i="4"/>
  <c r="L1253" i="4"/>
  <c r="K1253" i="4"/>
  <c r="N1253" i="4" s="1" a="1"/>
  <c r="N1253" i="4" s="1"/>
  <c r="J1253" i="4"/>
  <c r="I1253" i="4"/>
  <c r="H1253" i="4"/>
  <c r="G1253" i="4"/>
  <c r="F1253" i="4"/>
  <c r="A1253" i="4"/>
  <c r="L1252" i="4"/>
  <c r="K1252" i="4"/>
  <c r="J1252" i="4"/>
  <c r="I1252" i="4"/>
  <c r="H1252" i="4"/>
  <c r="G1252" i="4"/>
  <c r="F1252" i="4"/>
  <c r="A1252" i="4"/>
  <c r="E1252" i="4" s="1" a="1"/>
  <c r="E1252" i="4" s="1"/>
  <c r="L1251" i="4"/>
  <c r="K1251" i="4"/>
  <c r="J1251" i="4"/>
  <c r="I1251" i="4"/>
  <c r="H1251" i="4"/>
  <c r="G1251" i="4"/>
  <c r="F1251" i="4"/>
  <c r="A1251" i="4"/>
  <c r="C1251" i="4" s="1" a="1"/>
  <c r="C1251" i="4" s="1"/>
  <c r="L1250" i="4"/>
  <c r="K1250" i="4"/>
  <c r="J1250" i="4"/>
  <c r="I1250" i="4"/>
  <c r="G1250" i="4"/>
  <c r="H1250" i="4" s="1"/>
  <c r="F1250" i="4"/>
  <c r="B1250" i="4" a="1"/>
  <c r="B1250" i="4" s="1"/>
  <c r="A1250" i="4"/>
  <c r="M1249" i="4" a="1"/>
  <c r="M1249" i="4" s="1"/>
  <c r="L1249" i="4"/>
  <c r="K1249" i="4"/>
  <c r="E1249" i="4" s="1" a="1"/>
  <c r="E1249" i="4" s="1"/>
  <c r="I1249" i="4"/>
  <c r="G1249" i="4"/>
  <c r="F1249" i="4"/>
  <c r="A1249" i="4"/>
  <c r="L1248" i="4"/>
  <c r="K1248" i="4"/>
  <c r="N1248" i="4" s="1" a="1"/>
  <c r="N1248" i="4" s="1"/>
  <c r="I1248" i="4"/>
  <c r="H1248" i="4"/>
  <c r="G1248" i="4"/>
  <c r="J1248" i="4" s="1"/>
  <c r="F1248" i="4"/>
  <c r="E1248" i="4" a="1"/>
  <c r="E1248" i="4" s="1"/>
  <c r="A1248" i="4"/>
  <c r="L1247" i="4"/>
  <c r="K1247" i="4"/>
  <c r="I1247" i="4"/>
  <c r="G1247" i="4"/>
  <c r="H1247" i="4" s="1"/>
  <c r="F1247" i="4"/>
  <c r="A1247" i="4"/>
  <c r="L1246" i="4"/>
  <c r="K1246" i="4"/>
  <c r="I1246" i="4"/>
  <c r="G1246" i="4"/>
  <c r="F1246" i="4"/>
  <c r="D1246" i="4" a="1"/>
  <c r="D1246" i="4" s="1"/>
  <c r="A1246" i="4"/>
  <c r="L1245" i="4"/>
  <c r="K1245" i="4"/>
  <c r="J1245" i="4"/>
  <c r="I1245" i="4"/>
  <c r="H1245" i="4"/>
  <c r="G1245" i="4"/>
  <c r="F1245" i="4"/>
  <c r="A1245" i="4"/>
  <c r="M1245" i="4" s="1" a="1"/>
  <c r="M1245" i="4" s="1"/>
  <c r="L1244" i="4"/>
  <c r="K1244" i="4"/>
  <c r="M1244" i="4" s="1" a="1"/>
  <c r="M1244" i="4" s="1"/>
  <c r="I1244" i="4"/>
  <c r="G1244" i="4"/>
  <c r="F1244" i="4"/>
  <c r="A1244" i="4"/>
  <c r="L1243" i="4"/>
  <c r="K1243" i="4"/>
  <c r="C1243" i="4" s="1" a="1"/>
  <c r="C1243" i="4" s="1"/>
  <c r="I1243" i="4"/>
  <c r="G1243" i="4"/>
  <c r="F1243" i="4"/>
  <c r="A1243" i="4"/>
  <c r="L1242" i="4"/>
  <c r="K1242" i="4"/>
  <c r="J1242" i="4"/>
  <c r="I1242" i="4"/>
  <c r="G1242" i="4"/>
  <c r="H1242" i="4" s="1"/>
  <c r="F1242" i="4"/>
  <c r="B1242" i="4" a="1"/>
  <c r="B1242" i="4" s="1"/>
  <c r="A1242" i="4"/>
  <c r="L1241" i="4"/>
  <c r="K1241" i="4"/>
  <c r="I1241" i="4"/>
  <c r="G1241" i="4"/>
  <c r="F1241" i="4"/>
  <c r="A1241" i="4"/>
  <c r="L1240" i="4"/>
  <c r="E1240" i="4" s="1" a="1"/>
  <c r="E1240" i="4" s="1"/>
  <c r="K1240" i="4"/>
  <c r="I1240" i="4"/>
  <c r="G1240" i="4"/>
  <c r="F1240" i="4"/>
  <c r="A1240" i="4"/>
  <c r="L1239" i="4"/>
  <c r="K1239" i="4"/>
  <c r="J1239" i="4"/>
  <c r="I1239" i="4"/>
  <c r="G1239" i="4"/>
  <c r="H1239" i="4" s="1"/>
  <c r="F1239" i="4"/>
  <c r="A1239" i="4"/>
  <c r="N1238" i="4" a="1"/>
  <c r="N1238" i="4" s="1"/>
  <c r="M1238" i="4" a="1"/>
  <c r="M1238" i="4" s="1"/>
  <c r="L1238" i="4"/>
  <c r="K1238" i="4"/>
  <c r="I1238" i="4"/>
  <c r="G1238" i="4"/>
  <c r="J1238" i="4" s="1"/>
  <c r="F1238" i="4"/>
  <c r="E1238" i="4" a="1"/>
  <c r="E1238" i="4" s="1"/>
  <c r="C1238" i="4" a="1"/>
  <c r="C1238" i="4" s="1"/>
  <c r="B1238" i="4" a="1"/>
  <c r="B1238" i="4" s="1"/>
  <c r="A1238" i="4"/>
  <c r="L1237" i="4"/>
  <c r="K1237" i="4"/>
  <c r="I1237" i="4"/>
  <c r="G1237" i="4"/>
  <c r="F1237" i="4"/>
  <c r="A1237" i="4"/>
  <c r="L1236" i="4"/>
  <c r="K1236" i="4"/>
  <c r="I1236" i="4"/>
  <c r="G1236" i="4"/>
  <c r="J1236" i="4" s="1"/>
  <c r="F1236" i="4"/>
  <c r="A1236" i="4"/>
  <c r="D1236" i="4" s="1" a="1"/>
  <c r="D1236" i="4" s="1"/>
  <c r="L1235" i="4"/>
  <c r="M1235" i="4" s="1" a="1"/>
  <c r="M1235" i="4" s="1"/>
  <c r="K1235" i="4"/>
  <c r="I1235" i="4"/>
  <c r="G1235" i="4"/>
  <c r="J1235" i="4" s="1"/>
  <c r="F1235" i="4"/>
  <c r="E1235" i="4" a="1"/>
  <c r="E1235" i="4" s="1"/>
  <c r="C1235" i="4" a="1"/>
  <c r="C1235" i="4" s="1"/>
  <c r="A1235" i="4"/>
  <c r="L1234" i="4"/>
  <c r="K1234" i="4"/>
  <c r="J1234" i="4"/>
  <c r="I1234" i="4"/>
  <c r="G1234" i="4"/>
  <c r="H1234" i="4" s="1"/>
  <c r="F1234" i="4"/>
  <c r="A1234" i="4"/>
  <c r="L1233" i="4"/>
  <c r="K1233" i="4"/>
  <c r="D1233" i="4" s="1" a="1"/>
  <c r="D1233" i="4" s="1"/>
  <c r="J1233" i="4"/>
  <c r="I1233" i="4"/>
  <c r="G1233" i="4"/>
  <c r="H1233" i="4" s="1"/>
  <c r="F1233" i="4"/>
  <c r="A1233" i="4"/>
  <c r="M1233" i="4" s="1" a="1"/>
  <c r="M1233" i="4" s="1"/>
  <c r="L1232" i="4"/>
  <c r="M1232" i="4" s="1" a="1"/>
  <c r="M1232" i="4" s="1"/>
  <c r="K1232" i="4"/>
  <c r="J1232" i="4"/>
  <c r="I1232" i="4"/>
  <c r="H1232" i="4"/>
  <c r="G1232" i="4"/>
  <c r="F1232" i="4"/>
  <c r="E1232" i="4" a="1"/>
  <c r="E1232" i="4" s="1"/>
  <c r="A1232" i="4"/>
  <c r="L1231" i="4"/>
  <c r="K1231" i="4"/>
  <c r="I1231" i="4"/>
  <c r="G1231" i="4"/>
  <c r="F1231" i="4"/>
  <c r="A1231" i="4"/>
  <c r="L1230" i="4"/>
  <c r="K1230" i="4"/>
  <c r="J1230" i="4"/>
  <c r="I1230" i="4"/>
  <c r="H1230" i="4"/>
  <c r="G1230" i="4"/>
  <c r="F1230" i="4"/>
  <c r="D1230" i="4" a="1"/>
  <c r="D1230" i="4" s="1"/>
  <c r="A1230" i="4"/>
  <c r="L1229" i="4"/>
  <c r="K1229" i="4"/>
  <c r="I1229" i="4"/>
  <c r="H1229" i="4"/>
  <c r="G1229" i="4"/>
  <c r="J1229" i="4" s="1"/>
  <c r="F1229" i="4"/>
  <c r="A1229" i="4"/>
  <c r="M1228" i="4" a="1"/>
  <c r="M1228" i="4" s="1"/>
  <c r="L1228" i="4"/>
  <c r="K1228" i="4"/>
  <c r="I1228" i="4"/>
  <c r="H1228" i="4"/>
  <c r="G1228" i="4"/>
  <c r="J1228" i="4" s="1"/>
  <c r="F1228" i="4"/>
  <c r="D1228" i="4" a="1"/>
  <c r="D1228" i="4" s="1"/>
  <c r="C1228" i="4" a="1"/>
  <c r="C1228" i="4" s="1"/>
  <c r="B1228" i="4" a="1"/>
  <c r="B1228" i="4" s="1"/>
  <c r="A1228" i="4"/>
  <c r="L1227" i="4"/>
  <c r="K1227" i="4"/>
  <c r="N1227" i="4" s="1" a="1"/>
  <c r="N1227" i="4" s="1"/>
  <c r="J1227" i="4"/>
  <c r="I1227" i="4"/>
  <c r="G1227" i="4"/>
  <c r="H1227" i="4" s="1"/>
  <c r="F1227" i="4"/>
  <c r="A1227" i="4"/>
  <c r="L1226" i="4"/>
  <c r="K1226" i="4"/>
  <c r="M1226" i="4" s="1" a="1"/>
  <c r="M1226" i="4" s="1"/>
  <c r="J1226" i="4"/>
  <c r="I1226" i="4"/>
  <c r="H1226" i="4"/>
  <c r="G1226" i="4"/>
  <c r="F1226" i="4"/>
  <c r="A1226" i="4"/>
  <c r="M1225" i="4" a="1"/>
  <c r="M1225" i="4" s="1"/>
  <c r="L1225" i="4"/>
  <c r="K1225" i="4"/>
  <c r="I1225" i="4"/>
  <c r="G1225" i="4"/>
  <c r="J1225" i="4" s="1"/>
  <c r="F1225" i="4"/>
  <c r="C1225" i="4" a="1"/>
  <c r="C1225" i="4" s="1"/>
  <c r="A1225" i="4"/>
  <c r="L1224" i="4"/>
  <c r="K1224" i="4"/>
  <c r="I1224" i="4"/>
  <c r="H1224" i="4"/>
  <c r="G1224" i="4"/>
  <c r="J1224" i="4" s="1"/>
  <c r="F1224" i="4"/>
  <c r="E1224" i="4" a="1"/>
  <c r="E1224" i="4" s="1"/>
  <c r="D1224" i="4" a="1"/>
  <c r="D1224" i="4" s="1"/>
  <c r="A1224" i="4"/>
  <c r="B1224" i="4" s="1" a="1"/>
  <c r="B1224" i="4" s="1"/>
  <c r="N1223" i="4" a="1"/>
  <c r="N1223" i="4" s="1"/>
  <c r="L1223" i="4"/>
  <c r="K1223" i="4"/>
  <c r="I1223" i="4"/>
  <c r="G1223" i="4"/>
  <c r="H1223" i="4" s="1"/>
  <c r="F1223" i="4"/>
  <c r="A1223" i="4"/>
  <c r="L1222" i="4"/>
  <c r="K1222" i="4"/>
  <c r="I1222" i="4"/>
  <c r="H1222" i="4"/>
  <c r="G1222" i="4"/>
  <c r="J1222" i="4" s="1"/>
  <c r="F1222" i="4"/>
  <c r="A1222" i="4"/>
  <c r="L1221" i="4"/>
  <c r="K1221" i="4"/>
  <c r="I1221" i="4"/>
  <c r="G1221" i="4"/>
  <c r="J1221" i="4" s="1"/>
  <c r="F1221" i="4"/>
  <c r="A1221" i="4"/>
  <c r="L1220" i="4"/>
  <c r="K1220" i="4"/>
  <c r="J1220" i="4"/>
  <c r="I1220" i="4"/>
  <c r="H1220" i="4"/>
  <c r="G1220" i="4"/>
  <c r="F1220" i="4"/>
  <c r="A1220" i="4"/>
  <c r="N1219" i="4" a="1"/>
  <c r="N1219" i="4" s="1"/>
  <c r="L1219" i="4"/>
  <c r="K1219" i="4"/>
  <c r="I1219" i="4"/>
  <c r="H1219" i="4"/>
  <c r="G1219" i="4"/>
  <c r="J1219" i="4" s="1"/>
  <c r="F1219" i="4"/>
  <c r="A1219" i="4"/>
  <c r="L1218" i="4"/>
  <c r="K1218" i="4"/>
  <c r="J1218" i="4"/>
  <c r="I1218" i="4"/>
  <c r="H1218" i="4"/>
  <c r="G1218" i="4"/>
  <c r="F1218" i="4"/>
  <c r="A1218" i="4"/>
  <c r="C1218" i="4" s="1" a="1"/>
  <c r="C1218" i="4" s="1"/>
  <c r="L1217" i="4"/>
  <c r="K1217" i="4"/>
  <c r="D1217" i="4" s="1" a="1"/>
  <c r="D1217" i="4" s="1"/>
  <c r="J1217" i="4"/>
  <c r="I1217" i="4"/>
  <c r="G1217" i="4"/>
  <c r="H1217" i="4" s="1"/>
  <c r="F1217" i="4"/>
  <c r="A1217" i="4"/>
  <c r="L1216" i="4"/>
  <c r="K1216" i="4"/>
  <c r="J1216" i="4"/>
  <c r="I1216" i="4"/>
  <c r="G1216" i="4"/>
  <c r="H1216" i="4" s="1"/>
  <c r="F1216" i="4"/>
  <c r="A1216" i="4"/>
  <c r="M1215" i="4" a="1"/>
  <c r="M1215" i="4" s="1"/>
  <c r="L1215" i="4"/>
  <c r="K1215" i="4"/>
  <c r="I1215" i="4"/>
  <c r="G1215" i="4"/>
  <c r="F1215" i="4"/>
  <c r="D1215" i="4" a="1"/>
  <c r="D1215" i="4" s="1"/>
  <c r="C1215" i="4" a="1"/>
  <c r="C1215" i="4" s="1"/>
  <c r="A1215" i="4"/>
  <c r="L1214" i="4"/>
  <c r="K1214" i="4"/>
  <c r="J1214" i="4"/>
  <c r="I1214" i="4"/>
  <c r="G1214" i="4"/>
  <c r="H1214" i="4" s="1"/>
  <c r="F1214" i="4"/>
  <c r="A1214" i="4"/>
  <c r="L1213" i="4"/>
  <c r="K1213" i="4"/>
  <c r="I1213" i="4"/>
  <c r="G1213" i="4"/>
  <c r="J1213" i="4" s="1"/>
  <c r="F1213" i="4"/>
  <c r="D1213" i="4" a="1"/>
  <c r="D1213" i="4" s="1"/>
  <c r="A1213" i="4"/>
  <c r="L1212" i="4"/>
  <c r="K1212" i="4"/>
  <c r="I1212" i="4"/>
  <c r="G1212" i="4"/>
  <c r="J1212" i="4" s="1"/>
  <c r="F1212" i="4"/>
  <c r="A1212" i="4"/>
  <c r="L1211" i="4"/>
  <c r="K1211" i="4"/>
  <c r="I1211" i="4"/>
  <c r="G1211" i="4"/>
  <c r="F1211" i="4"/>
  <c r="E1211" i="4" a="1"/>
  <c r="E1211" i="4" s="1"/>
  <c r="B1211" i="4" a="1"/>
  <c r="B1211" i="4" s="1"/>
  <c r="A1211" i="4"/>
  <c r="L1210" i="4"/>
  <c r="K1210" i="4"/>
  <c r="J1210" i="4"/>
  <c r="I1210" i="4"/>
  <c r="G1210" i="4"/>
  <c r="H1210" i="4" s="1"/>
  <c r="F1210" i="4"/>
  <c r="A1210" i="4"/>
  <c r="L1209" i="4"/>
  <c r="K1209" i="4"/>
  <c r="C1209" i="4" s="1" a="1"/>
  <c r="C1209" i="4" s="1"/>
  <c r="I1209" i="4"/>
  <c r="G1209" i="4"/>
  <c r="F1209" i="4"/>
  <c r="A1209" i="4"/>
  <c r="L1208" i="4"/>
  <c r="K1208" i="4"/>
  <c r="J1208" i="4"/>
  <c r="I1208" i="4"/>
  <c r="H1208" i="4"/>
  <c r="G1208" i="4"/>
  <c r="F1208" i="4"/>
  <c r="A1208" i="4"/>
  <c r="L1207" i="4"/>
  <c r="K1207" i="4"/>
  <c r="J1207" i="4"/>
  <c r="I1207" i="4"/>
  <c r="H1207" i="4"/>
  <c r="G1207" i="4"/>
  <c r="F1207" i="4"/>
  <c r="E1207" i="4" a="1"/>
  <c r="E1207" i="4" s="1"/>
  <c r="C1207" i="4" a="1"/>
  <c r="C1207" i="4" s="1"/>
  <c r="A1207" i="4"/>
  <c r="L1206" i="4"/>
  <c r="K1206" i="4"/>
  <c r="I1206" i="4"/>
  <c r="H1206" i="4"/>
  <c r="G1206" i="4"/>
  <c r="J1206" i="4" s="1"/>
  <c r="F1206" i="4"/>
  <c r="A1206" i="4"/>
  <c r="L1205" i="4"/>
  <c r="K1205" i="4"/>
  <c r="I1205" i="4"/>
  <c r="G1205" i="4"/>
  <c r="F1205" i="4"/>
  <c r="D1205" i="4" a="1"/>
  <c r="D1205" i="4" s="1"/>
  <c r="A1205" i="4"/>
  <c r="L1204" i="4"/>
  <c r="K1204" i="4"/>
  <c r="J1204" i="4"/>
  <c r="I1204" i="4"/>
  <c r="G1204" i="4"/>
  <c r="H1204" i="4" s="1"/>
  <c r="F1204" i="4"/>
  <c r="D1204" i="4" a="1"/>
  <c r="D1204" i="4" s="1"/>
  <c r="A1204" i="4"/>
  <c r="L1203" i="4"/>
  <c r="K1203" i="4"/>
  <c r="I1203" i="4"/>
  <c r="G1203" i="4"/>
  <c r="F1203" i="4"/>
  <c r="E1203" i="4" a="1"/>
  <c r="E1203" i="4" s="1"/>
  <c r="A1203" i="4"/>
  <c r="L1202" i="4"/>
  <c r="K1202" i="4"/>
  <c r="I1202" i="4"/>
  <c r="H1202" i="4"/>
  <c r="G1202" i="4"/>
  <c r="J1202" i="4" s="1"/>
  <c r="F1202" i="4"/>
  <c r="A1202" i="4"/>
  <c r="L1201" i="4"/>
  <c r="K1201" i="4"/>
  <c r="I1201" i="4"/>
  <c r="H1201" i="4"/>
  <c r="G1201" i="4"/>
  <c r="J1201" i="4" s="1"/>
  <c r="F1201" i="4"/>
  <c r="D1201" i="4" a="1"/>
  <c r="D1201" i="4" s="1"/>
  <c r="B1201" i="4" a="1"/>
  <c r="B1201" i="4" s="1"/>
  <c r="A1201" i="4"/>
  <c r="L1200" i="4"/>
  <c r="K1200" i="4"/>
  <c r="J1200" i="4"/>
  <c r="I1200" i="4"/>
  <c r="G1200" i="4"/>
  <c r="H1200" i="4" s="1"/>
  <c r="F1200" i="4"/>
  <c r="A1200" i="4"/>
  <c r="N1199" i="4" a="1"/>
  <c r="N1199" i="4" s="1"/>
  <c r="L1199" i="4"/>
  <c r="K1199" i="4"/>
  <c r="I1199" i="4"/>
  <c r="G1199" i="4"/>
  <c r="J1199" i="4" s="1"/>
  <c r="F1199" i="4"/>
  <c r="B1199" i="4" a="1"/>
  <c r="B1199" i="4" s="1"/>
  <c r="A1199" i="4"/>
  <c r="E1199" i="4" s="1" a="1"/>
  <c r="E1199" i="4" s="1"/>
  <c r="L1198" i="4"/>
  <c r="K1198" i="4"/>
  <c r="J1198" i="4"/>
  <c r="I1198" i="4"/>
  <c r="H1198" i="4"/>
  <c r="G1198" i="4"/>
  <c r="F1198" i="4"/>
  <c r="B1198" i="4" a="1"/>
  <c r="B1198" i="4" s="1"/>
  <c r="A1198" i="4"/>
  <c r="L1197" i="4"/>
  <c r="K1197" i="4"/>
  <c r="I1197" i="4"/>
  <c r="G1197" i="4"/>
  <c r="F1197" i="4"/>
  <c r="E1197" i="4" a="1"/>
  <c r="E1197" i="4" s="1"/>
  <c r="D1197" i="4" a="1"/>
  <c r="D1197" i="4" s="1"/>
  <c r="A1197" i="4"/>
  <c r="L1196" i="4"/>
  <c r="B1196" i="4" s="1" a="1"/>
  <c r="B1196" i="4" s="1"/>
  <c r="K1196" i="4"/>
  <c r="J1196" i="4"/>
  <c r="I1196" i="4"/>
  <c r="H1196" i="4"/>
  <c r="G1196" i="4"/>
  <c r="F1196" i="4"/>
  <c r="E1196" i="4" a="1"/>
  <c r="E1196" i="4" s="1"/>
  <c r="A1196" i="4"/>
  <c r="N1195" i="4" a="1"/>
  <c r="N1195" i="4" s="1"/>
  <c r="L1195" i="4"/>
  <c r="K1195" i="4"/>
  <c r="J1195" i="4"/>
  <c r="I1195" i="4"/>
  <c r="G1195" i="4"/>
  <c r="H1195" i="4" s="1"/>
  <c r="F1195" i="4"/>
  <c r="E1195" i="4" a="1"/>
  <c r="E1195" i="4" s="1"/>
  <c r="C1195" i="4" a="1"/>
  <c r="C1195" i="4" s="1"/>
  <c r="A1195" i="4"/>
  <c r="M1195" i="4" s="1" a="1"/>
  <c r="M1195" i="4" s="1"/>
  <c r="L1194" i="4"/>
  <c r="K1194" i="4"/>
  <c r="I1194" i="4"/>
  <c r="G1194" i="4"/>
  <c r="F1194" i="4"/>
  <c r="A1194" i="4"/>
  <c r="M1194" i="4" s="1" a="1"/>
  <c r="M1194" i="4" s="1"/>
  <c r="L1193" i="4"/>
  <c r="K1193" i="4"/>
  <c r="I1193" i="4"/>
  <c r="G1193" i="4"/>
  <c r="J1193" i="4" s="1"/>
  <c r="F1193" i="4"/>
  <c r="D1193" i="4" a="1"/>
  <c r="D1193" i="4" s="1"/>
  <c r="B1193" i="4" a="1"/>
  <c r="B1193" i="4" s="1"/>
  <c r="A1193" i="4"/>
  <c r="L1192" i="4"/>
  <c r="K1192" i="4"/>
  <c r="J1192" i="4"/>
  <c r="I1192" i="4"/>
  <c r="G1192" i="4"/>
  <c r="H1192" i="4" s="1"/>
  <c r="F1192" i="4"/>
  <c r="A1192" i="4"/>
  <c r="L1191" i="4"/>
  <c r="M1191" i="4" s="1" a="1"/>
  <c r="M1191" i="4" s="1"/>
  <c r="K1191" i="4"/>
  <c r="I1191" i="4"/>
  <c r="G1191" i="4"/>
  <c r="H1191" i="4" s="1"/>
  <c r="F1191" i="4"/>
  <c r="E1191" i="4" a="1"/>
  <c r="E1191" i="4" s="1"/>
  <c r="A1191" i="4"/>
  <c r="M1190" i="4" a="1"/>
  <c r="M1190" i="4" s="1"/>
  <c r="L1190" i="4"/>
  <c r="K1190" i="4"/>
  <c r="I1190" i="4"/>
  <c r="G1190" i="4"/>
  <c r="F1190" i="4"/>
  <c r="D1190" i="4" a="1"/>
  <c r="D1190" i="4" s="1"/>
  <c r="A1190" i="4"/>
  <c r="L1189" i="4"/>
  <c r="K1189" i="4"/>
  <c r="I1189" i="4"/>
  <c r="G1189" i="4"/>
  <c r="F1189" i="4"/>
  <c r="A1189" i="4"/>
  <c r="M1188" i="4" a="1"/>
  <c r="M1188" i="4" s="1"/>
  <c r="L1188" i="4"/>
  <c r="K1188" i="4"/>
  <c r="J1188" i="4"/>
  <c r="I1188" i="4"/>
  <c r="H1188" i="4"/>
  <c r="G1188" i="4"/>
  <c r="F1188" i="4"/>
  <c r="E1188" i="4" a="1"/>
  <c r="E1188" i="4" s="1"/>
  <c r="A1188" i="4"/>
  <c r="L1187" i="4"/>
  <c r="K1187" i="4"/>
  <c r="J1187" i="4"/>
  <c r="I1187" i="4"/>
  <c r="G1187" i="4"/>
  <c r="H1187" i="4" s="1"/>
  <c r="F1187" i="4"/>
  <c r="A1187" i="4"/>
  <c r="L1186" i="4"/>
  <c r="K1186" i="4"/>
  <c r="J1186" i="4"/>
  <c r="I1186" i="4"/>
  <c r="G1186" i="4"/>
  <c r="H1186" i="4" s="1"/>
  <c r="F1186" i="4"/>
  <c r="A1186" i="4"/>
  <c r="D1186" i="4" s="1" a="1"/>
  <c r="D1186" i="4" s="1"/>
  <c r="L1185" i="4"/>
  <c r="K1185" i="4"/>
  <c r="I1185" i="4"/>
  <c r="H1185" i="4"/>
  <c r="G1185" i="4"/>
  <c r="J1185" i="4" s="1"/>
  <c r="F1185" i="4"/>
  <c r="C1185" i="4" a="1"/>
  <c r="C1185" i="4" s="1"/>
  <c r="A1185" i="4"/>
  <c r="L1184" i="4"/>
  <c r="K1184" i="4"/>
  <c r="J1184" i="4"/>
  <c r="I1184" i="4"/>
  <c r="H1184" i="4"/>
  <c r="G1184" i="4"/>
  <c r="F1184" i="4"/>
  <c r="A1184" i="4"/>
  <c r="M1183" i="4" a="1"/>
  <c r="M1183" i="4" s="1"/>
  <c r="L1183" i="4"/>
  <c r="K1183" i="4"/>
  <c r="I1183" i="4"/>
  <c r="G1183" i="4"/>
  <c r="F1183" i="4"/>
  <c r="E1183" i="4"/>
  <c r="E1183" i="4" a="1"/>
  <c r="C1183" i="4" a="1"/>
  <c r="C1183" i="4" s="1"/>
  <c r="A1183" i="4"/>
  <c r="B1183" i="4" s="1" a="1"/>
  <c r="B1183" i="4" s="1"/>
  <c r="L1182" i="4"/>
  <c r="K1182" i="4"/>
  <c r="I1182" i="4"/>
  <c r="H1182" i="4"/>
  <c r="G1182" i="4"/>
  <c r="J1182" i="4" s="1"/>
  <c r="F1182" i="4"/>
  <c r="A1182" i="4"/>
  <c r="M1181" i="4" a="1"/>
  <c r="M1181" i="4" s="1"/>
  <c r="L1181" i="4"/>
  <c r="K1181" i="4"/>
  <c r="J1181" i="4"/>
  <c r="I1181" i="4"/>
  <c r="G1181" i="4"/>
  <c r="H1181" i="4" s="1"/>
  <c r="F1181" i="4"/>
  <c r="D1181" i="4" a="1"/>
  <c r="D1181" i="4" s="1"/>
  <c r="C1181" i="4" a="1"/>
  <c r="C1181" i="4" s="1"/>
  <c r="B1181" i="4" a="1"/>
  <c r="B1181" i="4" s="1"/>
  <c r="A1181" i="4"/>
  <c r="L1180" i="4"/>
  <c r="K1180" i="4"/>
  <c r="M1180" i="4" s="1" a="1"/>
  <c r="M1180" i="4" s="1"/>
  <c r="J1180" i="4"/>
  <c r="I1180" i="4"/>
  <c r="H1180" i="4"/>
  <c r="G1180" i="4"/>
  <c r="F1180" i="4"/>
  <c r="A1180" i="4"/>
  <c r="L1179" i="4"/>
  <c r="C1179" i="4" s="1" a="1"/>
  <c r="C1179" i="4" s="1"/>
  <c r="K1179" i="4"/>
  <c r="J1179" i="4"/>
  <c r="I1179" i="4"/>
  <c r="H1179" i="4"/>
  <c r="G1179" i="4"/>
  <c r="F1179" i="4"/>
  <c r="B1179" i="4" a="1"/>
  <c r="B1179" i="4" s="1"/>
  <c r="A1179" i="4"/>
  <c r="L1178" i="4"/>
  <c r="K1178" i="4"/>
  <c r="J1178" i="4"/>
  <c r="I1178" i="4"/>
  <c r="G1178" i="4"/>
  <c r="H1178" i="4" s="1"/>
  <c r="F1178" i="4"/>
  <c r="C1178" i="4" a="1"/>
  <c r="C1178" i="4" s="1"/>
  <c r="A1178" i="4"/>
  <c r="E1178" i="4" s="1" a="1"/>
  <c r="E1178" i="4" s="1"/>
  <c r="L1177" i="4"/>
  <c r="K1177" i="4"/>
  <c r="I1177" i="4"/>
  <c r="G1177" i="4"/>
  <c r="F1177" i="4"/>
  <c r="A1177" i="4"/>
  <c r="M1176" i="4" a="1"/>
  <c r="M1176" i="4" s="1"/>
  <c r="L1176" i="4"/>
  <c r="K1176" i="4"/>
  <c r="I1176" i="4"/>
  <c r="G1176" i="4"/>
  <c r="F1176" i="4"/>
  <c r="C1176" i="4" a="1"/>
  <c r="C1176" i="4" s="1"/>
  <c r="B1176" i="4" a="1"/>
  <c r="B1176" i="4" s="1"/>
  <c r="A1176" i="4"/>
  <c r="M1175" i="4" a="1"/>
  <c r="M1175" i="4" s="1"/>
  <c r="L1175" i="4"/>
  <c r="K1175" i="4"/>
  <c r="J1175" i="4"/>
  <c r="I1175" i="4"/>
  <c r="H1175" i="4"/>
  <c r="G1175" i="4"/>
  <c r="F1175" i="4"/>
  <c r="D1175" i="4" a="1"/>
  <c r="D1175" i="4" s="1"/>
  <c r="C1175" i="4" a="1"/>
  <c r="C1175" i="4" s="1"/>
  <c r="A1175" i="4"/>
  <c r="L1174" i="4"/>
  <c r="D1174" i="4" s="1" a="1"/>
  <c r="D1174" i="4" s="1"/>
  <c r="K1174" i="4"/>
  <c r="J1174" i="4"/>
  <c r="I1174" i="4"/>
  <c r="G1174" i="4"/>
  <c r="H1174" i="4" s="1"/>
  <c r="F1174" i="4"/>
  <c r="E1174" i="4" a="1"/>
  <c r="E1174" i="4" s="1"/>
  <c r="A1174" i="4"/>
  <c r="B1174" i="4" s="1" a="1"/>
  <c r="B1174" i="4" s="1"/>
  <c r="L1173" i="4"/>
  <c r="K1173" i="4"/>
  <c r="J1173" i="4"/>
  <c r="I1173" i="4"/>
  <c r="H1173" i="4"/>
  <c r="G1173" i="4"/>
  <c r="F1173" i="4"/>
  <c r="D1173" i="4" a="1"/>
  <c r="D1173" i="4" s="1"/>
  <c r="B1173" i="4" a="1"/>
  <c r="B1173" i="4" s="1"/>
  <c r="A1173" i="4"/>
  <c r="L1172" i="4"/>
  <c r="M1172" i="4" s="1" a="1"/>
  <c r="M1172" i="4" s="1"/>
  <c r="K1172" i="4"/>
  <c r="B1172" i="4" s="1" a="1"/>
  <c r="B1172" i="4" s="1"/>
  <c r="J1172" i="4"/>
  <c r="I1172" i="4"/>
  <c r="H1172" i="4"/>
  <c r="G1172" i="4"/>
  <c r="F1172" i="4"/>
  <c r="E1172" i="4" a="1"/>
  <c r="E1172" i="4" s="1"/>
  <c r="D1172" i="4" a="1"/>
  <c r="D1172" i="4" s="1"/>
  <c r="C1172" i="4"/>
  <c r="A1172" i="4"/>
  <c r="C1172" i="4" s="1" a="1"/>
  <c r="L1171" i="4"/>
  <c r="K1171" i="4"/>
  <c r="I1171" i="4"/>
  <c r="G1171" i="4"/>
  <c r="F1171" i="4"/>
  <c r="A1171" i="4"/>
  <c r="L1170" i="4"/>
  <c r="C1170" i="4" s="1" a="1"/>
  <c r="C1170" i="4" s="1"/>
  <c r="K1170" i="4"/>
  <c r="J1170" i="4"/>
  <c r="I1170" i="4"/>
  <c r="H1170" i="4"/>
  <c r="G1170" i="4"/>
  <c r="F1170" i="4"/>
  <c r="E1170" i="4" a="1"/>
  <c r="E1170" i="4" s="1"/>
  <c r="B1170" i="4" a="1"/>
  <c r="B1170" i="4" s="1"/>
  <c r="A1170" i="4"/>
  <c r="N1169" i="4" a="1"/>
  <c r="N1169" i="4" s="1"/>
  <c r="M1169" i="4" a="1"/>
  <c r="M1169" i="4" s="1"/>
  <c r="L1169" i="4"/>
  <c r="K1169" i="4"/>
  <c r="I1169" i="4"/>
  <c r="G1169" i="4"/>
  <c r="J1169" i="4" s="1"/>
  <c r="F1169" i="4"/>
  <c r="E1169" i="4" a="1"/>
  <c r="E1169" i="4" s="1"/>
  <c r="D1169" i="4" a="1"/>
  <c r="D1169" i="4" s="1"/>
  <c r="C1169" i="4" a="1"/>
  <c r="C1169" i="4" s="1"/>
  <c r="B1169" i="4" a="1"/>
  <c r="B1169" i="4" s="1"/>
  <c r="A1169" i="4"/>
  <c r="L1168" i="4"/>
  <c r="K1168" i="4"/>
  <c r="I1168" i="4"/>
  <c r="H1168" i="4"/>
  <c r="G1168" i="4"/>
  <c r="J1168" i="4" s="1"/>
  <c r="F1168" i="4"/>
  <c r="D1168" i="4" a="1"/>
  <c r="D1168" i="4" s="1"/>
  <c r="B1168" i="4" a="1"/>
  <c r="B1168" i="4" s="1"/>
  <c r="A1168" i="4"/>
  <c r="L1167" i="4"/>
  <c r="K1167" i="4"/>
  <c r="I1167" i="4"/>
  <c r="G1167" i="4"/>
  <c r="H1167" i="4" s="1"/>
  <c r="F1167" i="4"/>
  <c r="C1167" i="4" a="1"/>
  <c r="C1167" i="4" s="1"/>
  <c r="A1167" i="4"/>
  <c r="L1166" i="4"/>
  <c r="K1166" i="4"/>
  <c r="I1166" i="4"/>
  <c r="H1166" i="4"/>
  <c r="G1166" i="4"/>
  <c r="J1166" i="4" s="1"/>
  <c r="F1166" i="4"/>
  <c r="C1166" i="4" a="1"/>
  <c r="C1166" i="4" s="1"/>
  <c r="A1166" i="4"/>
  <c r="L1165" i="4"/>
  <c r="K1165" i="4"/>
  <c r="I1165" i="4"/>
  <c r="G1165" i="4"/>
  <c r="F1165" i="4"/>
  <c r="A1165" i="4"/>
  <c r="M1164" i="4" a="1"/>
  <c r="M1164" i="4" s="1"/>
  <c r="L1164" i="4"/>
  <c r="K1164" i="4"/>
  <c r="I1164" i="4"/>
  <c r="H1164" i="4"/>
  <c r="G1164" i="4"/>
  <c r="J1164" i="4" s="1"/>
  <c r="F1164" i="4"/>
  <c r="A1164" i="4"/>
  <c r="L1163" i="4"/>
  <c r="K1163" i="4"/>
  <c r="I1163" i="4"/>
  <c r="G1163" i="4"/>
  <c r="F1163" i="4"/>
  <c r="E1163" i="4" a="1"/>
  <c r="E1163" i="4" s="1"/>
  <c r="D1163" i="4" a="1"/>
  <c r="D1163" i="4" s="1"/>
  <c r="A1163" i="4"/>
  <c r="N1163" i="4" s="1" a="1"/>
  <c r="N1163" i="4" s="1"/>
  <c r="L1162" i="4"/>
  <c r="K1162" i="4"/>
  <c r="C1162" i="4" s="1" a="1"/>
  <c r="C1162" i="4" s="1"/>
  <c r="J1162" i="4"/>
  <c r="I1162" i="4"/>
  <c r="H1162" i="4"/>
  <c r="G1162" i="4"/>
  <c r="F1162" i="4"/>
  <c r="A1162" i="4"/>
  <c r="M1161" i="4" a="1"/>
  <c r="M1161" i="4" s="1"/>
  <c r="L1161" i="4"/>
  <c r="K1161" i="4"/>
  <c r="I1161" i="4"/>
  <c r="G1161" i="4"/>
  <c r="J1161" i="4" s="1"/>
  <c r="F1161" i="4"/>
  <c r="B1161" i="4" a="1"/>
  <c r="B1161" i="4" s="1"/>
  <c r="A1161" i="4"/>
  <c r="M1160" i="4" a="1"/>
  <c r="M1160" i="4" s="1"/>
  <c r="L1160" i="4"/>
  <c r="K1160" i="4"/>
  <c r="D1160" i="4" s="1" a="1"/>
  <c r="D1160" i="4" s="1"/>
  <c r="J1160" i="4"/>
  <c r="I1160" i="4"/>
  <c r="G1160" i="4"/>
  <c r="H1160" i="4" s="1"/>
  <c r="F1160" i="4"/>
  <c r="B1160" i="4" a="1"/>
  <c r="B1160" i="4" s="1"/>
  <c r="A1160" i="4"/>
  <c r="L1159" i="4"/>
  <c r="E1159" i="4" s="1" a="1"/>
  <c r="E1159" i="4" s="1"/>
  <c r="K1159" i="4"/>
  <c r="I1159" i="4"/>
  <c r="G1159" i="4"/>
  <c r="F1159" i="4"/>
  <c r="D1159" i="4" a="1"/>
  <c r="D1159" i="4" s="1"/>
  <c r="C1159" i="4" a="1"/>
  <c r="C1159" i="4" s="1"/>
  <c r="A1159" i="4"/>
  <c r="L1158" i="4"/>
  <c r="K1158" i="4"/>
  <c r="I1158" i="4"/>
  <c r="H1158" i="4"/>
  <c r="G1158" i="4"/>
  <c r="J1158" i="4" s="1"/>
  <c r="F1158" i="4"/>
  <c r="D1158" i="4" a="1"/>
  <c r="D1158" i="4" s="1"/>
  <c r="A1158" i="4"/>
  <c r="N1157" i="4" a="1"/>
  <c r="N1157" i="4" s="1"/>
  <c r="L1157" i="4"/>
  <c r="K1157" i="4"/>
  <c r="J1157" i="4"/>
  <c r="I1157" i="4"/>
  <c r="G1157" i="4"/>
  <c r="H1157" i="4" s="1"/>
  <c r="F1157" i="4"/>
  <c r="D1157" i="4" a="1"/>
  <c r="D1157" i="4" s="1"/>
  <c r="A1157" i="4"/>
  <c r="L1156" i="4"/>
  <c r="K1156" i="4"/>
  <c r="J1156" i="4"/>
  <c r="I1156" i="4"/>
  <c r="G1156" i="4"/>
  <c r="H1156" i="4" s="1"/>
  <c r="F1156" i="4"/>
  <c r="A1156" i="4"/>
  <c r="B1156" i="4" s="1" a="1"/>
  <c r="B1156" i="4" s="1"/>
  <c r="L1155" i="4"/>
  <c r="K1155" i="4"/>
  <c r="J1155" i="4"/>
  <c r="I1155" i="4"/>
  <c r="H1155" i="4"/>
  <c r="G1155" i="4"/>
  <c r="F1155" i="4"/>
  <c r="A1155" i="4"/>
  <c r="M1155" i="4" s="1" a="1"/>
  <c r="M1155" i="4" s="1"/>
  <c r="M1154" i="4" a="1"/>
  <c r="M1154" i="4" s="1"/>
  <c r="L1154" i="4"/>
  <c r="K1154" i="4"/>
  <c r="I1154" i="4"/>
  <c r="H1154" i="4"/>
  <c r="G1154" i="4"/>
  <c r="J1154" i="4" s="1"/>
  <c r="F1154" i="4"/>
  <c r="D1154" i="4" a="1"/>
  <c r="D1154" i="4" s="1"/>
  <c r="A1154" i="4"/>
  <c r="L1153" i="4"/>
  <c r="K1153" i="4"/>
  <c r="I1153" i="4"/>
  <c r="G1153" i="4"/>
  <c r="H1153" i="4" s="1"/>
  <c r="F1153" i="4"/>
  <c r="A1153" i="4"/>
  <c r="C1153" i="4" s="1" a="1"/>
  <c r="C1153" i="4" s="1"/>
  <c r="L1152" i="4"/>
  <c r="K1152" i="4"/>
  <c r="I1152" i="4"/>
  <c r="H1152" i="4"/>
  <c r="G1152" i="4"/>
  <c r="J1152" i="4" s="1"/>
  <c r="F1152" i="4"/>
  <c r="D1152" i="4" a="1"/>
  <c r="D1152" i="4" s="1"/>
  <c r="A1152" i="4"/>
  <c r="E1152" i="4" s="1" a="1"/>
  <c r="E1152" i="4" s="1"/>
  <c r="L1151" i="4"/>
  <c r="K1151" i="4"/>
  <c r="I1151" i="4"/>
  <c r="G1151" i="4"/>
  <c r="F1151" i="4"/>
  <c r="A1151" i="4"/>
  <c r="B1151" i="4" s="1" a="1"/>
  <c r="B1151" i="4" s="1"/>
  <c r="L1150" i="4"/>
  <c r="K1150" i="4"/>
  <c r="J1150" i="4"/>
  <c r="I1150" i="4"/>
  <c r="H1150" i="4"/>
  <c r="G1150" i="4"/>
  <c r="F1150" i="4"/>
  <c r="D1150" i="4" a="1"/>
  <c r="D1150" i="4" s="1"/>
  <c r="A1150" i="4"/>
  <c r="E1150" i="4" s="1" a="1"/>
  <c r="E1150" i="4" s="1"/>
  <c r="L1149" i="4"/>
  <c r="K1149" i="4"/>
  <c r="J1149" i="4"/>
  <c r="I1149" i="4"/>
  <c r="G1149" i="4"/>
  <c r="H1149" i="4" s="1"/>
  <c r="F1149" i="4"/>
  <c r="D1149" i="4" a="1"/>
  <c r="D1149" i="4" s="1"/>
  <c r="A1149" i="4"/>
  <c r="L1148" i="4"/>
  <c r="K1148" i="4"/>
  <c r="M1148" i="4" s="1" a="1"/>
  <c r="M1148" i="4" s="1"/>
  <c r="J1148" i="4"/>
  <c r="I1148" i="4"/>
  <c r="H1148" i="4"/>
  <c r="G1148" i="4"/>
  <c r="F1148" i="4"/>
  <c r="E1148" i="4" a="1"/>
  <c r="E1148" i="4" s="1"/>
  <c r="A1148" i="4"/>
  <c r="L1147" i="4"/>
  <c r="E1147" i="4" s="1" a="1"/>
  <c r="E1147" i="4" s="1"/>
  <c r="K1147" i="4"/>
  <c r="I1147" i="4"/>
  <c r="G1147" i="4"/>
  <c r="F1147" i="4"/>
  <c r="A1147" i="4"/>
  <c r="L1146" i="4"/>
  <c r="K1146" i="4"/>
  <c r="J1146" i="4"/>
  <c r="I1146" i="4"/>
  <c r="H1146" i="4"/>
  <c r="G1146" i="4"/>
  <c r="F1146" i="4"/>
  <c r="A1146" i="4"/>
  <c r="M1146" i="4" s="1" a="1"/>
  <c r="M1146" i="4" s="1"/>
  <c r="N1145" i="4" a="1"/>
  <c r="N1145" i="4" s="1"/>
  <c r="M1145" i="4" a="1"/>
  <c r="M1145" i="4" s="1"/>
  <c r="L1145" i="4"/>
  <c r="K1145" i="4"/>
  <c r="I1145" i="4"/>
  <c r="G1145" i="4"/>
  <c r="F1145" i="4"/>
  <c r="E1145" i="4"/>
  <c r="E1145" i="4" a="1"/>
  <c r="C1145" i="4" a="1"/>
  <c r="C1145" i="4" s="1"/>
  <c r="B1145" i="4" a="1"/>
  <c r="B1145" i="4" s="1"/>
  <c r="A1145" i="4"/>
  <c r="D1145" i="4" s="1" a="1"/>
  <c r="D1145" i="4" s="1"/>
  <c r="L1144" i="4"/>
  <c r="K1144" i="4"/>
  <c r="I1144" i="4"/>
  <c r="H1144" i="4"/>
  <c r="G1144" i="4"/>
  <c r="J1144" i="4" s="1"/>
  <c r="F1144" i="4"/>
  <c r="D1144" i="4" a="1"/>
  <c r="D1144" i="4" s="1"/>
  <c r="A1144" i="4"/>
  <c r="L1143" i="4"/>
  <c r="K1143" i="4"/>
  <c r="J1143" i="4"/>
  <c r="I1143" i="4"/>
  <c r="H1143" i="4"/>
  <c r="G1143" i="4"/>
  <c r="F1143" i="4"/>
  <c r="A1143" i="4"/>
  <c r="L1142" i="4"/>
  <c r="K1142" i="4"/>
  <c r="J1142" i="4"/>
  <c r="I1142" i="4"/>
  <c r="H1142" i="4"/>
  <c r="G1142" i="4"/>
  <c r="F1142" i="4"/>
  <c r="A1142" i="4"/>
  <c r="L1141" i="4"/>
  <c r="K1141" i="4"/>
  <c r="I1141" i="4"/>
  <c r="G1141" i="4"/>
  <c r="H1141" i="4" s="1"/>
  <c r="F1141" i="4"/>
  <c r="A1141" i="4"/>
  <c r="L1140" i="4"/>
  <c r="K1140" i="4"/>
  <c r="D1140" i="4" s="1" a="1"/>
  <c r="D1140" i="4" s="1"/>
  <c r="J1140" i="4"/>
  <c r="I1140" i="4"/>
  <c r="H1140" i="4"/>
  <c r="G1140" i="4"/>
  <c r="F1140" i="4"/>
  <c r="E1140" i="4" a="1"/>
  <c r="E1140" i="4" s="1"/>
  <c r="A1140" i="4"/>
  <c r="N1139" i="4" a="1"/>
  <c r="N1139" i="4" s="1"/>
  <c r="L1139" i="4"/>
  <c r="K1139" i="4"/>
  <c r="I1139" i="4"/>
  <c r="G1139" i="4"/>
  <c r="F1139" i="4"/>
  <c r="A1139" i="4"/>
  <c r="E1139" i="4" s="1" a="1"/>
  <c r="E1139" i="4" s="1"/>
  <c r="M1138" i="4" a="1"/>
  <c r="M1138" i="4" s="1"/>
  <c r="L1138" i="4"/>
  <c r="K1138" i="4"/>
  <c r="J1138" i="4"/>
  <c r="I1138" i="4"/>
  <c r="H1138" i="4"/>
  <c r="G1138" i="4"/>
  <c r="F1138" i="4"/>
  <c r="D1138" i="4" a="1"/>
  <c r="D1138" i="4" s="1"/>
  <c r="C1138" i="4" a="1"/>
  <c r="C1138" i="4" s="1"/>
  <c r="A1138" i="4"/>
  <c r="B1138" i="4" s="1" a="1"/>
  <c r="B1138" i="4" s="1"/>
  <c r="N1137" i="4" a="1"/>
  <c r="N1137" i="4" s="1"/>
  <c r="L1137" i="4"/>
  <c r="K1137" i="4"/>
  <c r="J1137" i="4"/>
  <c r="I1137" i="4"/>
  <c r="H1137" i="4"/>
  <c r="G1137" i="4"/>
  <c r="F1137" i="4"/>
  <c r="E1137" i="4" a="1"/>
  <c r="E1137" i="4" s="1"/>
  <c r="A1137" i="4"/>
  <c r="C1137" i="4" s="1" a="1"/>
  <c r="C1137" i="4" s="1"/>
  <c r="L1136" i="4"/>
  <c r="K1136" i="4"/>
  <c r="M1136" i="4" s="1" a="1"/>
  <c r="M1136" i="4" s="1"/>
  <c r="J1136" i="4"/>
  <c r="I1136" i="4"/>
  <c r="H1136" i="4"/>
  <c r="G1136" i="4"/>
  <c r="F1136" i="4"/>
  <c r="E1136" i="4" a="1"/>
  <c r="E1136" i="4" s="1"/>
  <c r="D1136" i="4" a="1"/>
  <c r="D1136" i="4" s="1"/>
  <c r="A1136" i="4"/>
  <c r="L1135" i="4"/>
  <c r="K1135" i="4"/>
  <c r="J1135" i="4"/>
  <c r="I1135" i="4"/>
  <c r="G1135" i="4"/>
  <c r="H1135" i="4" s="1"/>
  <c r="F1135" i="4"/>
  <c r="E1135" i="4" a="1"/>
  <c r="E1135" i="4" s="1"/>
  <c r="A1135" i="4"/>
  <c r="B1135" i="4" s="1" a="1"/>
  <c r="B1135" i="4" s="1"/>
  <c r="L1134" i="4"/>
  <c r="K1134" i="4"/>
  <c r="C1134" i="4" s="1" a="1"/>
  <c r="C1134" i="4" s="1"/>
  <c r="J1134" i="4"/>
  <c r="I1134" i="4"/>
  <c r="H1134" i="4"/>
  <c r="G1134" i="4"/>
  <c r="F1134" i="4"/>
  <c r="E1134" i="4" a="1"/>
  <c r="E1134" i="4" s="1"/>
  <c r="B1134" i="4" a="1"/>
  <c r="B1134" i="4" s="1"/>
  <c r="A1134" i="4"/>
  <c r="D1134" i="4" s="1" a="1"/>
  <c r="D1134" i="4" s="1"/>
  <c r="N1133" i="4" a="1"/>
  <c r="N1133" i="4" s="1"/>
  <c r="L1133" i="4"/>
  <c r="K1133" i="4"/>
  <c r="I1133" i="4"/>
  <c r="G1133" i="4"/>
  <c r="H1133" i="4" s="1"/>
  <c r="F1133" i="4"/>
  <c r="C1133" i="4" a="1"/>
  <c r="C1133" i="4" s="1"/>
  <c r="A1133" i="4"/>
  <c r="M1133" i="4" s="1" a="1"/>
  <c r="M1133" i="4" s="1"/>
  <c r="L1132" i="4"/>
  <c r="K1132" i="4"/>
  <c r="N1132" i="4" s="1" a="1"/>
  <c r="N1132" i="4" s="1"/>
  <c r="J1132" i="4"/>
  <c r="I1132" i="4"/>
  <c r="G1132" i="4"/>
  <c r="H1132" i="4" s="1"/>
  <c r="F1132" i="4"/>
  <c r="E1132" i="4" a="1"/>
  <c r="E1132" i="4" s="1"/>
  <c r="D1132" i="4" a="1"/>
  <c r="D1132" i="4" s="1"/>
  <c r="A1132" i="4"/>
  <c r="B1132" i="4" s="1" a="1"/>
  <c r="B1132" i="4" s="1"/>
  <c r="M1131" i="4" a="1"/>
  <c r="M1131" i="4" s="1"/>
  <c r="L1131" i="4"/>
  <c r="K1131" i="4"/>
  <c r="J1131" i="4"/>
  <c r="I1131" i="4"/>
  <c r="H1131" i="4"/>
  <c r="G1131" i="4"/>
  <c r="F1131" i="4"/>
  <c r="D1131" i="4" a="1"/>
  <c r="D1131" i="4" s="1"/>
  <c r="B1131" i="4" a="1"/>
  <c r="B1131" i="4" s="1"/>
  <c r="A1131" i="4"/>
  <c r="L1130" i="4"/>
  <c r="D1130" i="4" s="1" a="1"/>
  <c r="D1130" i="4" s="1"/>
  <c r="K1130" i="4"/>
  <c r="I1130" i="4"/>
  <c r="G1130" i="4"/>
  <c r="J1130" i="4" s="1"/>
  <c r="F1130" i="4"/>
  <c r="B1130" i="4" a="1"/>
  <c r="B1130" i="4" s="1"/>
  <c r="A1130" i="4"/>
  <c r="L1129" i="4"/>
  <c r="C1129" i="4" s="1" a="1"/>
  <c r="C1129" i="4" s="1"/>
  <c r="K1129" i="4"/>
  <c r="J1129" i="4"/>
  <c r="I1129" i="4"/>
  <c r="H1129" i="4"/>
  <c r="G1129" i="4"/>
  <c r="F1129" i="4"/>
  <c r="E1129" i="4" a="1"/>
  <c r="E1129" i="4" s="1"/>
  <c r="D1129" i="4" a="1"/>
  <c r="D1129" i="4" s="1"/>
  <c r="A1129" i="4"/>
  <c r="B1129" i="4" s="1" a="1"/>
  <c r="B1129" i="4" s="1"/>
  <c r="N1128" i="4" a="1"/>
  <c r="N1128" i="4" s="1"/>
  <c r="L1128" i="4"/>
  <c r="K1128" i="4"/>
  <c r="E1128" i="4" s="1" a="1"/>
  <c r="E1128" i="4" s="1"/>
  <c r="J1128" i="4"/>
  <c r="I1128" i="4"/>
  <c r="G1128" i="4"/>
  <c r="H1128" i="4" s="1"/>
  <c r="F1128" i="4"/>
  <c r="D1128" i="4" a="1"/>
  <c r="D1128" i="4" s="1"/>
  <c r="B1128" i="4" a="1"/>
  <c r="B1128" i="4" s="1"/>
  <c r="A1128" i="4"/>
  <c r="M1127" i="4" a="1"/>
  <c r="M1127" i="4" s="1"/>
  <c r="L1127" i="4"/>
  <c r="K1127" i="4"/>
  <c r="J1127" i="4"/>
  <c r="I1127" i="4"/>
  <c r="G1127" i="4"/>
  <c r="H1127" i="4" s="1"/>
  <c r="F1127" i="4"/>
  <c r="C1127" i="4" a="1"/>
  <c r="C1127" i="4" s="1"/>
  <c r="A1127" i="4"/>
  <c r="N1126" i="4" a="1"/>
  <c r="N1126" i="4" s="1"/>
  <c r="L1126" i="4"/>
  <c r="K1126" i="4"/>
  <c r="C1126" i="4" s="1" a="1"/>
  <c r="C1126" i="4" s="1"/>
  <c r="J1126" i="4"/>
  <c r="I1126" i="4"/>
  <c r="G1126" i="4"/>
  <c r="H1126" i="4" s="1"/>
  <c r="F1126" i="4"/>
  <c r="A1126" i="4"/>
  <c r="M1125" i="4" a="1"/>
  <c r="M1125" i="4" s="1"/>
  <c r="L1125" i="4"/>
  <c r="K1125" i="4"/>
  <c r="I1125" i="4"/>
  <c r="G1125" i="4"/>
  <c r="F1125" i="4"/>
  <c r="D1125" i="4" a="1"/>
  <c r="D1125" i="4" s="1"/>
  <c r="A1125" i="4"/>
  <c r="E1125" i="4" s="1" a="1"/>
  <c r="E1125" i="4" s="1"/>
  <c r="L1124" i="4"/>
  <c r="K1124" i="4"/>
  <c r="B1124" i="4" s="1" a="1"/>
  <c r="B1124" i="4" s="1"/>
  <c r="I1124" i="4"/>
  <c r="G1124" i="4"/>
  <c r="F1124" i="4"/>
  <c r="E1124" i="4" a="1"/>
  <c r="E1124" i="4" s="1"/>
  <c r="D1124" i="4" a="1"/>
  <c r="D1124" i="4" s="1"/>
  <c r="A1124" i="4"/>
  <c r="M1124" i="4" s="1" a="1"/>
  <c r="M1124" i="4" s="1"/>
  <c r="N1123" i="4" a="1"/>
  <c r="N1123" i="4" s="1"/>
  <c r="L1123" i="4"/>
  <c r="K1123" i="4"/>
  <c r="I1123" i="4"/>
  <c r="G1123" i="4"/>
  <c r="F1123" i="4"/>
  <c r="E1123" i="4" a="1"/>
  <c r="E1123" i="4" s="1"/>
  <c r="D1123" i="4" a="1"/>
  <c r="D1123" i="4" s="1"/>
  <c r="B1123" i="4" a="1"/>
  <c r="B1123" i="4" s="1"/>
  <c r="A1123" i="4"/>
  <c r="L1122" i="4"/>
  <c r="K1122" i="4"/>
  <c r="J1122" i="4"/>
  <c r="I1122" i="4"/>
  <c r="H1122" i="4"/>
  <c r="G1122" i="4"/>
  <c r="F1122" i="4"/>
  <c r="A1122" i="4"/>
  <c r="L1121" i="4"/>
  <c r="K1121" i="4"/>
  <c r="I1121" i="4"/>
  <c r="G1121" i="4"/>
  <c r="F1121" i="4"/>
  <c r="E1121" i="4" a="1"/>
  <c r="E1121" i="4" s="1"/>
  <c r="A1121" i="4"/>
  <c r="L1120" i="4"/>
  <c r="C1120" i="4" s="1" a="1"/>
  <c r="C1120" i="4" s="1"/>
  <c r="K1120" i="4"/>
  <c r="D1120" i="4" s="1" a="1"/>
  <c r="D1120" i="4" s="1"/>
  <c r="J1120" i="4"/>
  <c r="I1120" i="4"/>
  <c r="H1120" i="4"/>
  <c r="G1120" i="4"/>
  <c r="F1120" i="4"/>
  <c r="B1120" i="4" a="1"/>
  <c r="B1120" i="4" s="1"/>
  <c r="A1120" i="4"/>
  <c r="N1119" i="4" a="1"/>
  <c r="N1119" i="4" s="1"/>
  <c r="L1119" i="4"/>
  <c r="K1119" i="4"/>
  <c r="I1119" i="4"/>
  <c r="G1119" i="4"/>
  <c r="J1119" i="4" s="1"/>
  <c r="F1119" i="4"/>
  <c r="E1119" i="4" a="1"/>
  <c r="E1119" i="4" s="1"/>
  <c r="D1119" i="4" a="1"/>
  <c r="D1119" i="4" s="1"/>
  <c r="C1119" i="4" a="1"/>
  <c r="C1119" i="4" s="1"/>
  <c r="B1119" i="4" a="1"/>
  <c r="B1119" i="4" s="1"/>
  <c r="A1119" i="4"/>
  <c r="N1118" i="4" a="1"/>
  <c r="N1118" i="4" s="1"/>
  <c r="L1118" i="4"/>
  <c r="K1118" i="4"/>
  <c r="J1118" i="4"/>
  <c r="I1118" i="4"/>
  <c r="G1118" i="4"/>
  <c r="H1118" i="4" s="1"/>
  <c r="F1118" i="4"/>
  <c r="C1118" i="4" a="1"/>
  <c r="C1118" i="4" s="1"/>
  <c r="A1118" i="4"/>
  <c r="L1117" i="4"/>
  <c r="K1117" i="4"/>
  <c r="I1117" i="4"/>
  <c r="G1117" i="4"/>
  <c r="F1117" i="4"/>
  <c r="A1117" i="4"/>
  <c r="N1116" i="4" a="1"/>
  <c r="N1116" i="4" s="1"/>
  <c r="L1116" i="4"/>
  <c r="K1116" i="4"/>
  <c r="I1116" i="4"/>
  <c r="H1116" i="4"/>
  <c r="G1116" i="4"/>
  <c r="J1116" i="4" s="1"/>
  <c r="F1116" i="4"/>
  <c r="B1116" i="4"/>
  <c r="B1116" i="4" a="1"/>
  <c r="A1116" i="4"/>
  <c r="C1116" i="4" s="1" a="1"/>
  <c r="C1116" i="4" s="1"/>
  <c r="L1115" i="4"/>
  <c r="K1115" i="4"/>
  <c r="J1115" i="4"/>
  <c r="I1115" i="4"/>
  <c r="G1115" i="4"/>
  <c r="H1115" i="4" s="1"/>
  <c r="F1115" i="4"/>
  <c r="C1115" i="4" a="1"/>
  <c r="C1115" i="4" s="1"/>
  <c r="A1115" i="4"/>
  <c r="L1114" i="4"/>
  <c r="K1114" i="4"/>
  <c r="I1114" i="4"/>
  <c r="G1114" i="4"/>
  <c r="F1114" i="4"/>
  <c r="E1114" i="4" a="1"/>
  <c r="E1114" i="4" s="1"/>
  <c r="A1114" i="4"/>
  <c r="N1113" i="4" a="1"/>
  <c r="N1113" i="4" s="1"/>
  <c r="L1113" i="4"/>
  <c r="K1113" i="4"/>
  <c r="B1113" i="4" s="1" a="1"/>
  <c r="B1113" i="4" s="1"/>
  <c r="J1113" i="4"/>
  <c r="I1113" i="4"/>
  <c r="H1113" i="4"/>
  <c r="G1113" i="4"/>
  <c r="F1113" i="4"/>
  <c r="D1113" i="4" a="1"/>
  <c r="D1113" i="4" s="1"/>
  <c r="A1113" i="4"/>
  <c r="L1112" i="4"/>
  <c r="K1112" i="4"/>
  <c r="J1112" i="4"/>
  <c r="I1112" i="4"/>
  <c r="G1112" i="4"/>
  <c r="H1112" i="4" s="1"/>
  <c r="F1112" i="4"/>
  <c r="C1112" i="4" a="1"/>
  <c r="C1112" i="4" s="1"/>
  <c r="A1112" i="4"/>
  <c r="L1111" i="4"/>
  <c r="K1111" i="4"/>
  <c r="B1111" i="4" s="1" a="1"/>
  <c r="B1111" i="4" s="1"/>
  <c r="I1111" i="4"/>
  <c r="G1111" i="4"/>
  <c r="F1111" i="4"/>
  <c r="A1111" i="4"/>
  <c r="N1110" i="4" a="1"/>
  <c r="N1110" i="4" s="1"/>
  <c r="L1110" i="4"/>
  <c r="K1110" i="4"/>
  <c r="J1110" i="4"/>
  <c r="I1110" i="4"/>
  <c r="H1110" i="4"/>
  <c r="G1110" i="4"/>
  <c r="F1110" i="4"/>
  <c r="E1110" i="4" a="1"/>
  <c r="E1110" i="4" s="1"/>
  <c r="D1110" i="4" a="1"/>
  <c r="D1110" i="4" s="1"/>
  <c r="A1110" i="4"/>
  <c r="L1109" i="4"/>
  <c r="K1109" i="4"/>
  <c r="J1109" i="4"/>
  <c r="I1109" i="4"/>
  <c r="H1109" i="4"/>
  <c r="G1109" i="4"/>
  <c r="F1109" i="4"/>
  <c r="D1109" i="4" a="1"/>
  <c r="D1109" i="4" s="1"/>
  <c r="A1109" i="4"/>
  <c r="L1108" i="4"/>
  <c r="K1108" i="4"/>
  <c r="J1108" i="4"/>
  <c r="I1108" i="4"/>
  <c r="G1108" i="4"/>
  <c r="H1108" i="4" s="1"/>
  <c r="F1108" i="4"/>
  <c r="A1108" i="4"/>
  <c r="L1107" i="4"/>
  <c r="K1107" i="4"/>
  <c r="J1107" i="4"/>
  <c r="I1107" i="4"/>
  <c r="H1107" i="4"/>
  <c r="G1107" i="4"/>
  <c r="F1107" i="4"/>
  <c r="D1107" i="4" a="1"/>
  <c r="D1107" i="4" s="1"/>
  <c r="C1107" i="4" a="1"/>
  <c r="C1107" i="4" s="1"/>
  <c r="A1107" i="4"/>
  <c r="E1107" i="4" s="1" a="1"/>
  <c r="E1107" i="4" s="1"/>
  <c r="L1106" i="4"/>
  <c r="B1106" i="4" s="1" a="1"/>
  <c r="B1106" i="4" s="1"/>
  <c r="K1106" i="4"/>
  <c r="J1106" i="4"/>
  <c r="I1106" i="4"/>
  <c r="G1106" i="4"/>
  <c r="H1106" i="4" s="1"/>
  <c r="F1106" i="4"/>
  <c r="C1106" i="4" a="1"/>
  <c r="C1106" i="4" s="1"/>
  <c r="A1106" i="4"/>
  <c r="L1105" i="4"/>
  <c r="K1105" i="4"/>
  <c r="E1105" i="4" s="1" a="1"/>
  <c r="E1105" i="4" s="1"/>
  <c r="J1105" i="4"/>
  <c r="I1105" i="4"/>
  <c r="G1105" i="4"/>
  <c r="H1105" i="4" s="1"/>
  <c r="F1105" i="4"/>
  <c r="B1105" i="4" a="1"/>
  <c r="B1105" i="4" s="1"/>
  <c r="A1105" i="4"/>
  <c r="N1105" i="4" s="1" a="1"/>
  <c r="N1105" i="4" s="1"/>
  <c r="L1104" i="4"/>
  <c r="K1104" i="4"/>
  <c r="C1104" i="4" s="1" a="1"/>
  <c r="C1104" i="4" s="1"/>
  <c r="I1104" i="4"/>
  <c r="G1104" i="4"/>
  <c r="F1104" i="4"/>
  <c r="B1104" i="4" a="1"/>
  <c r="B1104" i="4" s="1"/>
  <c r="A1104" i="4"/>
  <c r="M1104" i="4" s="1" a="1"/>
  <c r="M1104" i="4" s="1"/>
  <c r="L1103" i="4"/>
  <c r="N1103" i="4" s="1" a="1"/>
  <c r="N1103" i="4" s="1"/>
  <c r="K1103" i="4"/>
  <c r="C1103" i="4" s="1" a="1"/>
  <c r="C1103" i="4" s="1"/>
  <c r="I1103" i="4"/>
  <c r="G1103" i="4"/>
  <c r="J1103" i="4" s="1"/>
  <c r="F1103" i="4"/>
  <c r="B1103" i="4" a="1"/>
  <c r="B1103" i="4" s="1"/>
  <c r="A1103" i="4"/>
  <c r="N1102" i="4" a="1"/>
  <c r="N1102" i="4" s="1"/>
  <c r="L1102" i="4"/>
  <c r="K1102" i="4"/>
  <c r="I1102" i="4"/>
  <c r="G1102" i="4"/>
  <c r="F1102" i="4"/>
  <c r="E1102" i="4" a="1"/>
  <c r="E1102" i="4" s="1"/>
  <c r="D1102" i="4" a="1"/>
  <c r="D1102" i="4" s="1"/>
  <c r="C1102" i="4" a="1"/>
  <c r="C1102" i="4" s="1"/>
  <c r="A1102" i="4"/>
  <c r="N1101" i="4" a="1"/>
  <c r="N1101" i="4" s="1"/>
  <c r="L1101" i="4"/>
  <c r="M1101" i="4" s="1" a="1"/>
  <c r="M1101" i="4" s="1"/>
  <c r="K1101" i="4"/>
  <c r="I1101" i="4"/>
  <c r="G1101" i="4"/>
  <c r="F1101" i="4"/>
  <c r="B1101" i="4" a="1"/>
  <c r="B1101" i="4" s="1"/>
  <c r="A1101" i="4"/>
  <c r="N1100" i="4" a="1"/>
  <c r="N1100" i="4" s="1"/>
  <c r="L1100" i="4"/>
  <c r="K1100" i="4"/>
  <c r="E1100" i="4" s="1" a="1"/>
  <c r="E1100" i="4" s="1"/>
  <c r="J1100" i="4"/>
  <c r="I1100" i="4"/>
  <c r="H1100" i="4"/>
  <c r="G1100" i="4"/>
  <c r="F1100" i="4"/>
  <c r="D1100" i="4" a="1"/>
  <c r="D1100" i="4" s="1"/>
  <c r="C1100" i="4"/>
  <c r="C1100" i="4" a="1"/>
  <c r="A1100" i="4"/>
  <c r="M1100" i="4" s="1" a="1"/>
  <c r="M1100" i="4" s="1"/>
  <c r="L1099" i="4"/>
  <c r="K1099" i="4"/>
  <c r="I1099" i="4"/>
  <c r="G1099" i="4"/>
  <c r="F1099" i="4"/>
  <c r="A1099" i="4"/>
  <c r="C1099" i="4" s="1" a="1"/>
  <c r="C1099" i="4" s="1"/>
  <c r="N1098" i="4" a="1"/>
  <c r="N1098" i="4" s="1"/>
  <c r="L1098" i="4"/>
  <c r="K1098" i="4"/>
  <c r="I1098" i="4"/>
  <c r="G1098" i="4"/>
  <c r="F1098" i="4"/>
  <c r="E1098" i="4" a="1"/>
  <c r="E1098" i="4" s="1"/>
  <c r="D1098" i="4" a="1"/>
  <c r="D1098" i="4" s="1"/>
  <c r="B1098" i="4" a="1"/>
  <c r="B1098" i="4" s="1"/>
  <c r="A1098" i="4"/>
  <c r="L1097" i="4"/>
  <c r="K1097" i="4"/>
  <c r="J1097" i="4"/>
  <c r="I1097" i="4"/>
  <c r="G1097" i="4"/>
  <c r="H1097" i="4" s="1"/>
  <c r="F1097" i="4"/>
  <c r="B1097" i="4" a="1"/>
  <c r="B1097" i="4" s="1"/>
  <c r="A1097" i="4"/>
  <c r="N1096" i="4" a="1"/>
  <c r="N1096" i="4" s="1"/>
  <c r="L1096" i="4"/>
  <c r="K1096" i="4"/>
  <c r="J1096" i="4"/>
  <c r="I1096" i="4"/>
  <c r="H1096" i="4"/>
  <c r="G1096" i="4"/>
  <c r="F1096" i="4"/>
  <c r="A1096" i="4"/>
  <c r="L1095" i="4"/>
  <c r="K1095" i="4"/>
  <c r="I1095" i="4"/>
  <c r="G1095" i="4"/>
  <c r="F1095" i="4"/>
  <c r="A1095" i="4"/>
  <c r="L1094" i="4"/>
  <c r="K1094" i="4"/>
  <c r="E1094" i="4" s="1" a="1"/>
  <c r="E1094" i="4" s="1"/>
  <c r="I1094" i="4"/>
  <c r="G1094" i="4"/>
  <c r="J1094" i="4" s="1"/>
  <c r="F1094" i="4"/>
  <c r="C1094" i="4" a="1"/>
  <c r="C1094" i="4" s="1"/>
  <c r="A1094" i="4"/>
  <c r="B1094" i="4" s="1" a="1"/>
  <c r="B1094" i="4" s="1"/>
  <c r="M1093" i="4" a="1"/>
  <c r="M1093" i="4" s="1"/>
  <c r="L1093" i="4"/>
  <c r="K1093" i="4"/>
  <c r="J1093" i="4"/>
  <c r="I1093" i="4"/>
  <c r="H1093" i="4"/>
  <c r="G1093" i="4"/>
  <c r="F1093" i="4"/>
  <c r="A1093" i="4"/>
  <c r="D1093" i="4" s="1" a="1"/>
  <c r="D1093" i="4" s="1"/>
  <c r="L1092" i="4"/>
  <c r="K1092" i="4"/>
  <c r="J1092" i="4"/>
  <c r="I1092" i="4"/>
  <c r="H1092" i="4"/>
  <c r="G1092" i="4"/>
  <c r="F1092" i="4"/>
  <c r="D1092" i="4" a="1"/>
  <c r="D1092" i="4" s="1"/>
  <c r="A1092" i="4"/>
  <c r="N1091" i="4" a="1"/>
  <c r="N1091" i="4" s="1"/>
  <c r="M1091" i="4" a="1"/>
  <c r="M1091" i="4" s="1"/>
  <c r="L1091" i="4"/>
  <c r="K1091" i="4"/>
  <c r="I1091" i="4"/>
  <c r="H1091" i="4"/>
  <c r="G1091" i="4"/>
  <c r="J1091" i="4" s="1"/>
  <c r="F1091" i="4"/>
  <c r="C1091" i="4" a="1"/>
  <c r="C1091" i="4" s="1"/>
  <c r="B1091" i="4" a="1"/>
  <c r="B1091" i="4" s="1"/>
  <c r="A1091" i="4"/>
  <c r="L1090" i="4"/>
  <c r="D1090" i="4" s="1" a="1"/>
  <c r="D1090" i="4" s="1"/>
  <c r="K1090" i="4"/>
  <c r="C1090" i="4" s="1" a="1"/>
  <c r="C1090" i="4" s="1"/>
  <c r="J1090" i="4"/>
  <c r="I1090" i="4"/>
  <c r="G1090" i="4"/>
  <c r="H1090" i="4" s="1"/>
  <c r="F1090" i="4"/>
  <c r="A1090" i="4"/>
  <c r="E1090" i="4" s="1" a="1"/>
  <c r="E1090" i="4" s="1"/>
  <c r="N1089" i="4" a="1"/>
  <c r="N1089" i="4" s="1"/>
  <c r="M1089" i="4" a="1"/>
  <c r="M1089" i="4" s="1"/>
  <c r="L1089" i="4"/>
  <c r="K1089" i="4"/>
  <c r="B1089" i="4" s="1" a="1"/>
  <c r="B1089" i="4" s="1"/>
  <c r="I1089" i="4"/>
  <c r="H1089" i="4"/>
  <c r="G1089" i="4"/>
  <c r="J1089" i="4" s="1"/>
  <c r="F1089" i="4"/>
  <c r="D1089" i="4" a="1"/>
  <c r="D1089" i="4" s="1"/>
  <c r="A1089" i="4"/>
  <c r="L1088" i="4"/>
  <c r="K1088" i="4"/>
  <c r="J1088" i="4"/>
  <c r="I1088" i="4"/>
  <c r="H1088" i="4"/>
  <c r="G1088" i="4"/>
  <c r="F1088" i="4"/>
  <c r="B1088" i="4" a="1"/>
  <c r="B1088" i="4" s="1"/>
  <c r="A1088" i="4"/>
  <c r="C1088" i="4" s="1" a="1"/>
  <c r="C1088" i="4" s="1"/>
  <c r="L1087" i="4"/>
  <c r="K1087" i="4"/>
  <c r="J1087" i="4"/>
  <c r="I1087" i="4"/>
  <c r="H1087" i="4"/>
  <c r="G1087" i="4"/>
  <c r="F1087" i="4"/>
  <c r="E1087" i="4" a="1"/>
  <c r="E1087" i="4" s="1"/>
  <c r="A1087" i="4"/>
  <c r="L1086" i="4"/>
  <c r="K1086" i="4"/>
  <c r="C1086" i="4" s="1" a="1"/>
  <c r="C1086" i="4" s="1"/>
  <c r="J1086" i="4"/>
  <c r="I1086" i="4"/>
  <c r="G1086" i="4"/>
  <c r="H1086" i="4" s="1"/>
  <c r="F1086" i="4"/>
  <c r="B1086" i="4" a="1"/>
  <c r="B1086" i="4" s="1"/>
  <c r="A1086" i="4"/>
  <c r="M1086" i="4" s="1" a="1"/>
  <c r="M1086" i="4" s="1"/>
  <c r="L1085" i="4"/>
  <c r="K1085" i="4"/>
  <c r="J1085" i="4"/>
  <c r="I1085" i="4"/>
  <c r="G1085" i="4"/>
  <c r="H1085" i="4" s="1"/>
  <c r="F1085" i="4"/>
  <c r="D1085" i="4" a="1"/>
  <c r="D1085" i="4" s="1"/>
  <c r="B1085" i="4" a="1"/>
  <c r="B1085" i="4" s="1"/>
  <c r="A1085" i="4"/>
  <c r="L1084" i="4"/>
  <c r="K1084" i="4"/>
  <c r="I1084" i="4"/>
  <c r="G1084" i="4"/>
  <c r="F1084" i="4"/>
  <c r="D1084" i="4" a="1"/>
  <c r="D1084" i="4" s="1"/>
  <c r="B1084" i="4" a="1"/>
  <c r="B1084" i="4" s="1"/>
  <c r="A1084" i="4"/>
  <c r="L1083" i="4"/>
  <c r="K1083" i="4"/>
  <c r="J1083" i="4"/>
  <c r="I1083" i="4"/>
  <c r="G1083" i="4"/>
  <c r="H1083" i="4" s="1"/>
  <c r="F1083" i="4"/>
  <c r="B1083" i="4" a="1"/>
  <c r="B1083" i="4" s="1"/>
  <c r="A1083" i="4"/>
  <c r="L1082" i="4"/>
  <c r="C1082" i="4" s="1" a="1"/>
  <c r="C1082" i="4" s="1"/>
  <c r="K1082" i="4"/>
  <c r="I1082" i="4"/>
  <c r="G1082" i="4"/>
  <c r="H1082" i="4" s="1"/>
  <c r="F1082" i="4"/>
  <c r="B1082" i="4" a="1"/>
  <c r="B1082" i="4" s="1"/>
  <c r="A1082" i="4"/>
  <c r="L1081" i="4"/>
  <c r="K1081" i="4"/>
  <c r="C1081" i="4" s="1" a="1"/>
  <c r="C1081" i="4" s="1"/>
  <c r="J1081" i="4"/>
  <c r="I1081" i="4"/>
  <c r="G1081" i="4"/>
  <c r="H1081" i="4" s="1"/>
  <c r="F1081" i="4"/>
  <c r="D1081" i="4" a="1"/>
  <c r="D1081" i="4" s="1"/>
  <c r="A1081" i="4"/>
  <c r="L1080" i="4"/>
  <c r="K1080" i="4"/>
  <c r="I1080" i="4"/>
  <c r="G1080" i="4"/>
  <c r="F1080" i="4"/>
  <c r="E1080" i="4" a="1"/>
  <c r="E1080" i="4" s="1"/>
  <c r="A1080" i="4"/>
  <c r="L1079" i="4"/>
  <c r="K1079" i="4"/>
  <c r="I1079" i="4"/>
  <c r="G1079" i="4"/>
  <c r="J1079" i="4" s="1"/>
  <c r="F1079" i="4"/>
  <c r="A1079" i="4"/>
  <c r="E1079" i="4" s="1" a="1"/>
  <c r="E1079" i="4" s="1"/>
  <c r="L1078" i="4"/>
  <c r="K1078" i="4"/>
  <c r="J1078" i="4"/>
  <c r="I1078" i="4"/>
  <c r="G1078" i="4"/>
  <c r="H1078" i="4" s="1"/>
  <c r="F1078" i="4"/>
  <c r="A1078" i="4"/>
  <c r="D1078" i="4" s="1" a="1"/>
  <c r="D1078" i="4" s="1"/>
  <c r="N1077" i="4" a="1"/>
  <c r="N1077" i="4" s="1"/>
  <c r="L1077" i="4"/>
  <c r="K1077" i="4"/>
  <c r="M1077" i="4" s="1" a="1"/>
  <c r="M1077" i="4" s="1"/>
  <c r="I1077" i="4"/>
  <c r="G1077" i="4"/>
  <c r="F1077" i="4"/>
  <c r="D1077" i="4" a="1"/>
  <c r="D1077" i="4" s="1"/>
  <c r="A1077" i="4"/>
  <c r="N1076" i="4" a="1"/>
  <c r="N1076" i="4" s="1"/>
  <c r="L1076" i="4"/>
  <c r="K1076" i="4"/>
  <c r="B1076" i="4" s="1" a="1"/>
  <c r="B1076" i="4" s="1"/>
  <c r="I1076" i="4"/>
  <c r="H1076" i="4"/>
  <c r="G1076" i="4"/>
  <c r="J1076" i="4" s="1"/>
  <c r="F1076" i="4"/>
  <c r="E1076" i="4" a="1"/>
  <c r="E1076" i="4" s="1"/>
  <c r="D1076" i="4" a="1"/>
  <c r="D1076" i="4" s="1"/>
  <c r="A1076" i="4"/>
  <c r="N1075" i="4" a="1"/>
  <c r="N1075" i="4" s="1"/>
  <c r="L1075" i="4"/>
  <c r="K1075" i="4"/>
  <c r="I1075" i="4"/>
  <c r="G1075" i="4"/>
  <c r="F1075" i="4"/>
  <c r="A1075" i="4"/>
  <c r="L1074" i="4"/>
  <c r="N1074" i="4" s="1" a="1"/>
  <c r="N1074" i="4" s="1"/>
  <c r="K1074" i="4"/>
  <c r="B1074" i="4" s="1" a="1"/>
  <c r="B1074" i="4" s="1"/>
  <c r="J1074" i="4"/>
  <c r="I1074" i="4"/>
  <c r="H1074" i="4"/>
  <c r="G1074" i="4"/>
  <c r="F1074" i="4"/>
  <c r="C1074" i="4" a="1"/>
  <c r="C1074" i="4" s="1"/>
  <c r="A1074" i="4"/>
  <c r="L1073" i="4"/>
  <c r="K1073" i="4"/>
  <c r="I1073" i="4"/>
  <c r="G1073" i="4"/>
  <c r="J1073" i="4" s="1"/>
  <c r="F1073" i="4"/>
  <c r="A1073" i="4"/>
  <c r="D1073" i="4" s="1" a="1"/>
  <c r="D1073" i="4" s="1"/>
  <c r="L1072" i="4"/>
  <c r="K1072" i="4"/>
  <c r="I1072" i="4"/>
  <c r="G1072" i="4"/>
  <c r="J1072" i="4" s="1"/>
  <c r="F1072" i="4"/>
  <c r="A1072" i="4"/>
  <c r="B1072" i="4" s="1" a="1"/>
  <c r="B1072" i="4" s="1"/>
  <c r="L1071" i="4"/>
  <c r="D1071" i="4" s="1" a="1"/>
  <c r="D1071" i="4" s="1"/>
  <c r="K1071" i="4"/>
  <c r="J1071" i="4"/>
  <c r="I1071" i="4"/>
  <c r="G1071" i="4"/>
  <c r="H1071" i="4" s="1"/>
  <c r="F1071" i="4"/>
  <c r="E1071" i="4" a="1"/>
  <c r="E1071" i="4" s="1"/>
  <c r="C1071" i="4" a="1"/>
  <c r="C1071" i="4" s="1"/>
  <c r="A1071" i="4"/>
  <c r="L1070" i="4"/>
  <c r="K1070" i="4"/>
  <c r="J1070" i="4"/>
  <c r="I1070" i="4"/>
  <c r="G1070" i="4"/>
  <c r="H1070" i="4" s="1"/>
  <c r="F1070" i="4"/>
  <c r="D1070" i="4" a="1"/>
  <c r="D1070" i="4" s="1"/>
  <c r="A1070" i="4"/>
  <c r="N1070" i="4" s="1" a="1"/>
  <c r="N1070" i="4" s="1"/>
  <c r="N1069" i="4" a="1"/>
  <c r="N1069" i="4" s="1"/>
  <c r="L1069" i="4"/>
  <c r="K1069" i="4"/>
  <c r="J1069" i="4"/>
  <c r="I1069" i="4"/>
  <c r="H1069" i="4"/>
  <c r="G1069" i="4"/>
  <c r="F1069" i="4"/>
  <c r="C1069" i="4" a="1"/>
  <c r="C1069" i="4" s="1"/>
  <c r="B1069" i="4" a="1"/>
  <c r="B1069" i="4" s="1"/>
  <c r="A1069" i="4"/>
  <c r="E1069" i="4" s="1" a="1"/>
  <c r="E1069" i="4" s="1"/>
  <c r="L1068" i="4"/>
  <c r="E1068" i="4" s="1" a="1"/>
  <c r="E1068" i="4" s="1"/>
  <c r="K1068" i="4"/>
  <c r="N1068" i="4" s="1" a="1"/>
  <c r="N1068" i="4" s="1"/>
  <c r="J1068" i="4"/>
  <c r="I1068" i="4"/>
  <c r="H1068" i="4"/>
  <c r="G1068" i="4"/>
  <c r="F1068" i="4"/>
  <c r="D1068" i="4" a="1"/>
  <c r="D1068" i="4" s="1"/>
  <c r="C1068" i="4" a="1"/>
  <c r="C1068" i="4" s="1"/>
  <c r="A1068" i="4"/>
  <c r="L1067" i="4"/>
  <c r="K1067" i="4"/>
  <c r="E1067" i="4" s="1" a="1"/>
  <c r="E1067" i="4" s="1"/>
  <c r="J1067" i="4"/>
  <c r="I1067" i="4"/>
  <c r="G1067" i="4"/>
  <c r="H1067" i="4" s="1"/>
  <c r="F1067" i="4"/>
  <c r="A1067" i="4"/>
  <c r="N1066" i="4" a="1"/>
  <c r="N1066" i="4" s="1"/>
  <c r="L1066" i="4"/>
  <c r="K1066" i="4"/>
  <c r="I1066" i="4"/>
  <c r="G1066" i="4"/>
  <c r="F1066" i="4"/>
  <c r="A1066" i="4"/>
  <c r="M1065" i="4" a="1"/>
  <c r="M1065" i="4" s="1"/>
  <c r="L1065" i="4"/>
  <c r="K1065" i="4"/>
  <c r="I1065" i="4"/>
  <c r="G1065" i="4"/>
  <c r="F1065" i="4"/>
  <c r="A1065" i="4"/>
  <c r="D1065" i="4" s="1" a="1"/>
  <c r="D1065" i="4" s="1"/>
  <c r="N1064" i="4" a="1"/>
  <c r="N1064" i="4" s="1"/>
  <c r="L1064" i="4"/>
  <c r="K1064" i="4"/>
  <c r="I1064" i="4"/>
  <c r="G1064" i="4"/>
  <c r="F1064" i="4"/>
  <c r="D1064" i="4" a="1"/>
  <c r="D1064" i="4" s="1"/>
  <c r="C1064" i="4" a="1"/>
  <c r="C1064" i="4" s="1"/>
  <c r="A1064" i="4"/>
  <c r="L1063" i="4"/>
  <c r="K1063" i="4"/>
  <c r="I1063" i="4"/>
  <c r="G1063" i="4"/>
  <c r="F1063" i="4"/>
  <c r="A1063" i="4"/>
  <c r="L1062" i="4"/>
  <c r="K1062" i="4"/>
  <c r="I1062" i="4"/>
  <c r="G1062" i="4"/>
  <c r="F1062" i="4"/>
  <c r="E1062" i="4" a="1"/>
  <c r="E1062" i="4" s="1"/>
  <c r="D1062" i="4" a="1"/>
  <c r="D1062" i="4" s="1"/>
  <c r="B1062" i="4" a="1"/>
  <c r="B1062" i="4" s="1"/>
  <c r="A1062" i="4"/>
  <c r="M1062" i="4" s="1" a="1"/>
  <c r="M1062" i="4" s="1"/>
  <c r="L1061" i="4"/>
  <c r="K1061" i="4"/>
  <c r="J1061" i="4"/>
  <c r="I1061" i="4"/>
  <c r="H1061" i="4"/>
  <c r="G1061" i="4"/>
  <c r="F1061" i="4"/>
  <c r="D1061" i="4" a="1"/>
  <c r="D1061" i="4" s="1"/>
  <c r="B1061" i="4" a="1"/>
  <c r="B1061" i="4" s="1"/>
  <c r="A1061" i="4"/>
  <c r="N1060" i="4" a="1"/>
  <c r="N1060" i="4" s="1"/>
  <c r="L1060" i="4"/>
  <c r="K1060" i="4"/>
  <c r="B1060" i="4" s="1" a="1"/>
  <c r="I1060" i="4"/>
  <c r="H1060" i="4"/>
  <c r="G1060" i="4"/>
  <c r="J1060" i="4" s="1"/>
  <c r="F1060" i="4"/>
  <c r="D1060" i="4" a="1"/>
  <c r="D1060" i="4" s="1"/>
  <c r="C1060" i="4" a="1"/>
  <c r="C1060" i="4" s="1"/>
  <c r="B1060" i="4"/>
  <c r="A1060" i="4"/>
  <c r="L1059" i="4"/>
  <c r="K1059" i="4"/>
  <c r="I1059" i="4"/>
  <c r="G1059" i="4"/>
  <c r="F1059" i="4"/>
  <c r="E1059" i="4" a="1"/>
  <c r="E1059" i="4" s="1"/>
  <c r="C1059" i="4" a="1"/>
  <c r="C1059" i="4" s="1"/>
  <c r="A1059" i="4"/>
  <c r="M1059" i="4" s="1" a="1"/>
  <c r="M1059" i="4" s="1"/>
  <c r="L1058" i="4"/>
  <c r="K1058" i="4"/>
  <c r="D1058" i="4" s="1" a="1"/>
  <c r="D1058" i="4" s="1"/>
  <c r="J1058" i="4"/>
  <c r="I1058" i="4"/>
  <c r="H1058" i="4"/>
  <c r="G1058" i="4"/>
  <c r="F1058" i="4"/>
  <c r="C1058" i="4" a="1"/>
  <c r="C1058" i="4" s="1"/>
  <c r="B1058" i="4" a="1"/>
  <c r="B1058" i="4" s="1"/>
  <c r="A1058" i="4"/>
  <c r="L1057" i="4"/>
  <c r="K1057" i="4"/>
  <c r="J1057" i="4"/>
  <c r="I1057" i="4"/>
  <c r="H1057" i="4"/>
  <c r="G1057" i="4"/>
  <c r="F1057" i="4"/>
  <c r="A1057" i="4"/>
  <c r="L1056" i="4"/>
  <c r="K1056" i="4"/>
  <c r="I1056" i="4"/>
  <c r="G1056" i="4"/>
  <c r="H1056" i="4" s="1"/>
  <c r="F1056" i="4"/>
  <c r="E1056" i="4" a="1"/>
  <c r="E1056" i="4" s="1"/>
  <c r="B1056" i="4" a="1"/>
  <c r="B1056" i="4" s="1"/>
  <c r="A1056" i="4"/>
  <c r="M1056" i="4" s="1" a="1"/>
  <c r="M1056" i="4" s="1"/>
  <c r="L1055" i="4"/>
  <c r="C1055" i="4" s="1" a="1"/>
  <c r="C1055" i="4" s="1"/>
  <c r="K1055" i="4"/>
  <c r="J1055" i="4"/>
  <c r="I1055" i="4"/>
  <c r="G1055" i="4"/>
  <c r="H1055" i="4" s="1"/>
  <c r="F1055" i="4"/>
  <c r="A1055" i="4"/>
  <c r="N1055" i="4" s="1" a="1"/>
  <c r="N1055" i="4" s="1"/>
  <c r="L1054" i="4"/>
  <c r="D1054" i="4" s="1" a="1"/>
  <c r="D1054" i="4" s="1"/>
  <c r="K1054" i="4"/>
  <c r="I1054" i="4"/>
  <c r="G1054" i="4"/>
  <c r="H1054" i="4" s="1"/>
  <c r="F1054" i="4"/>
  <c r="C1054" i="4" a="1"/>
  <c r="C1054" i="4" s="1"/>
  <c r="A1054" i="4"/>
  <c r="B1054" i="4" s="1" a="1"/>
  <c r="B1054" i="4" s="1"/>
  <c r="N1053" i="4" a="1"/>
  <c r="N1053" i="4" s="1"/>
  <c r="L1053" i="4"/>
  <c r="K1053" i="4"/>
  <c r="J1053" i="4"/>
  <c r="I1053" i="4"/>
  <c r="G1053" i="4"/>
  <c r="H1053" i="4" s="1"/>
  <c r="F1053" i="4"/>
  <c r="D1053" i="4" a="1"/>
  <c r="D1053" i="4" s="1"/>
  <c r="A1053" i="4"/>
  <c r="N1052" i="4" a="1"/>
  <c r="N1052" i="4" s="1"/>
  <c r="L1052" i="4"/>
  <c r="K1052" i="4"/>
  <c r="J1052" i="4"/>
  <c r="I1052" i="4"/>
  <c r="H1052" i="4"/>
  <c r="G1052" i="4"/>
  <c r="F1052" i="4"/>
  <c r="C1052" i="4"/>
  <c r="C1052" i="4" a="1"/>
  <c r="B1052" i="4" a="1"/>
  <c r="B1052" i="4" s="1"/>
  <c r="A1052" i="4"/>
  <c r="M1052" i="4" s="1" a="1"/>
  <c r="M1052" i="4" s="1"/>
  <c r="N1051" i="4" a="1"/>
  <c r="N1051" i="4" s="1"/>
  <c r="L1051" i="4"/>
  <c r="K1051" i="4"/>
  <c r="I1051" i="4"/>
  <c r="G1051" i="4"/>
  <c r="F1051" i="4"/>
  <c r="C1051" i="4" a="1"/>
  <c r="C1051" i="4" s="1"/>
  <c r="B1051" i="4" a="1"/>
  <c r="B1051" i="4" s="1"/>
  <c r="A1051" i="4"/>
  <c r="E1051" i="4" s="1" a="1"/>
  <c r="E1051" i="4" s="1"/>
  <c r="L1050" i="4"/>
  <c r="K1050" i="4"/>
  <c r="I1050" i="4"/>
  <c r="G1050" i="4"/>
  <c r="F1050" i="4"/>
  <c r="E1050" i="4" a="1"/>
  <c r="E1050" i="4" s="1"/>
  <c r="A1050" i="4"/>
  <c r="L1049" i="4"/>
  <c r="K1049" i="4"/>
  <c r="J1049" i="4"/>
  <c r="I1049" i="4"/>
  <c r="G1049" i="4"/>
  <c r="H1049" i="4" s="1"/>
  <c r="F1049" i="4"/>
  <c r="C1049" i="4" a="1"/>
  <c r="C1049" i="4" s="1"/>
  <c r="A1049" i="4"/>
  <c r="L1048" i="4"/>
  <c r="K1048" i="4"/>
  <c r="J1048" i="4"/>
  <c r="I1048" i="4"/>
  <c r="G1048" i="4"/>
  <c r="H1048" i="4" s="1"/>
  <c r="F1048" i="4"/>
  <c r="D1048" i="4" a="1"/>
  <c r="D1048" i="4" s="1"/>
  <c r="C1048" i="4" a="1"/>
  <c r="C1048" i="4" s="1"/>
  <c r="A1048" i="4"/>
  <c r="N1047" i="4" a="1"/>
  <c r="N1047" i="4" s="1"/>
  <c r="L1047" i="4"/>
  <c r="K1047" i="4"/>
  <c r="J1047" i="4"/>
  <c r="I1047" i="4"/>
  <c r="G1047" i="4"/>
  <c r="H1047" i="4" s="1"/>
  <c r="F1047" i="4"/>
  <c r="D1047" i="4" a="1"/>
  <c r="D1047" i="4" s="1"/>
  <c r="C1047" i="4" a="1"/>
  <c r="C1047" i="4" s="1"/>
  <c r="A1047" i="4"/>
  <c r="E1047" i="4" s="1" a="1"/>
  <c r="E1047" i="4" s="1"/>
  <c r="L1046" i="4"/>
  <c r="K1046" i="4"/>
  <c r="I1046" i="4"/>
  <c r="G1046" i="4"/>
  <c r="F1046" i="4"/>
  <c r="B1046" i="4" a="1"/>
  <c r="B1046" i="4" s="1"/>
  <c r="A1046" i="4"/>
  <c r="L1045" i="4"/>
  <c r="K1045" i="4"/>
  <c r="J1045" i="4"/>
  <c r="I1045" i="4"/>
  <c r="G1045" i="4"/>
  <c r="H1045" i="4" s="1"/>
  <c r="F1045" i="4"/>
  <c r="C1045" i="4" a="1"/>
  <c r="C1045" i="4" s="1"/>
  <c r="A1045" i="4"/>
  <c r="L1044" i="4"/>
  <c r="K1044" i="4"/>
  <c r="I1044" i="4"/>
  <c r="H1044" i="4"/>
  <c r="G1044" i="4"/>
  <c r="J1044" i="4" s="1"/>
  <c r="F1044" i="4"/>
  <c r="E1044" i="4" a="1"/>
  <c r="E1044" i="4" s="1"/>
  <c r="D1044" i="4" a="1"/>
  <c r="D1044" i="4" s="1"/>
  <c r="A1044" i="4"/>
  <c r="N1043" i="4" a="1"/>
  <c r="N1043" i="4" s="1"/>
  <c r="L1043" i="4"/>
  <c r="K1043" i="4"/>
  <c r="I1043" i="4"/>
  <c r="G1043" i="4"/>
  <c r="F1043" i="4"/>
  <c r="B1043" i="4"/>
  <c r="B1043" i="4" a="1"/>
  <c r="A1043" i="4"/>
  <c r="N1042" i="4" a="1"/>
  <c r="N1042" i="4" s="1"/>
  <c r="L1042" i="4"/>
  <c r="K1042" i="4"/>
  <c r="I1042" i="4"/>
  <c r="G1042" i="4"/>
  <c r="H1042" i="4" s="1"/>
  <c r="F1042" i="4"/>
  <c r="E1042" i="4" a="1"/>
  <c r="E1042" i="4" s="1"/>
  <c r="D1042" i="4" a="1"/>
  <c r="D1042" i="4" s="1"/>
  <c r="A1042" i="4"/>
  <c r="M1041" i="4" a="1"/>
  <c r="M1041" i="4" s="1"/>
  <c r="L1041" i="4"/>
  <c r="K1041" i="4"/>
  <c r="E1041" i="4" s="1" a="1"/>
  <c r="E1041" i="4" s="1"/>
  <c r="J1041" i="4"/>
  <c r="I1041" i="4"/>
  <c r="G1041" i="4"/>
  <c r="H1041" i="4" s="1"/>
  <c r="F1041" i="4"/>
  <c r="D1041" i="4" a="1"/>
  <c r="D1041" i="4" s="1"/>
  <c r="B1041" i="4" a="1"/>
  <c r="B1041" i="4" s="1"/>
  <c r="A1041" i="4"/>
  <c r="L1040" i="4"/>
  <c r="K1040" i="4"/>
  <c r="I1040" i="4"/>
  <c r="H1040" i="4"/>
  <c r="G1040" i="4"/>
  <c r="J1040" i="4" s="1"/>
  <c r="F1040" i="4"/>
  <c r="B1040" i="4" a="1"/>
  <c r="B1040" i="4" s="1"/>
  <c r="A1040" i="4"/>
  <c r="N1040" i="4" s="1" a="1"/>
  <c r="N1040" i="4" s="1"/>
  <c r="N1039" i="4" a="1"/>
  <c r="N1039" i="4" s="1"/>
  <c r="M1039" i="4" a="1"/>
  <c r="M1039" i="4" s="1"/>
  <c r="L1039" i="4"/>
  <c r="D1039" i="4" s="1" a="1"/>
  <c r="D1039" i="4" s="1"/>
  <c r="K1039" i="4"/>
  <c r="J1039" i="4"/>
  <c r="I1039" i="4"/>
  <c r="H1039" i="4"/>
  <c r="G1039" i="4"/>
  <c r="F1039" i="4"/>
  <c r="E1039" i="4"/>
  <c r="E1039" i="4" a="1"/>
  <c r="C1039" i="4" a="1"/>
  <c r="C1039" i="4" s="1"/>
  <c r="B1039" i="4" a="1"/>
  <c r="B1039" i="4" s="1"/>
  <c r="A1039" i="4"/>
  <c r="L1038" i="4"/>
  <c r="C1038" i="4" s="1" a="1"/>
  <c r="C1038" i="4" s="1"/>
  <c r="K1038" i="4"/>
  <c r="J1038" i="4"/>
  <c r="I1038" i="4"/>
  <c r="G1038" i="4"/>
  <c r="H1038" i="4" s="1"/>
  <c r="F1038" i="4"/>
  <c r="B1038" i="4" a="1"/>
  <c r="B1038" i="4" s="1"/>
  <c r="A1038" i="4"/>
  <c r="L1037" i="4"/>
  <c r="K1037" i="4"/>
  <c r="I1037" i="4"/>
  <c r="H1037" i="4"/>
  <c r="G1037" i="4"/>
  <c r="J1037" i="4" s="1"/>
  <c r="F1037" i="4"/>
  <c r="A1037" i="4"/>
  <c r="M1037" i="4" s="1" a="1"/>
  <c r="M1037" i="4" s="1"/>
  <c r="L1036" i="4"/>
  <c r="N1036" i="4" s="1" a="1"/>
  <c r="N1036" i="4" s="1"/>
  <c r="K1036" i="4"/>
  <c r="E1036" i="4" s="1" a="1"/>
  <c r="E1036" i="4" s="1"/>
  <c r="J1036" i="4"/>
  <c r="I1036" i="4"/>
  <c r="H1036" i="4"/>
  <c r="G1036" i="4"/>
  <c r="F1036" i="4"/>
  <c r="D1036" i="4" a="1"/>
  <c r="D1036" i="4" s="1"/>
  <c r="C1036" i="4" a="1"/>
  <c r="C1036" i="4" s="1"/>
  <c r="B1036" i="4" a="1"/>
  <c r="B1036" i="4" s="1"/>
  <c r="A1036" i="4"/>
  <c r="M1036" i="4" s="1" a="1"/>
  <c r="M1036" i="4" s="1"/>
  <c r="L1035" i="4"/>
  <c r="K1035" i="4"/>
  <c r="J1035" i="4"/>
  <c r="I1035" i="4"/>
  <c r="G1035" i="4"/>
  <c r="H1035" i="4" s="1"/>
  <c r="F1035" i="4"/>
  <c r="A1035" i="4"/>
  <c r="D1035" i="4" s="1" a="1"/>
  <c r="D1035" i="4" s="1"/>
  <c r="N1034" i="4" a="1"/>
  <c r="N1034" i="4" s="1"/>
  <c r="L1034" i="4"/>
  <c r="K1034" i="4"/>
  <c r="I1034" i="4"/>
  <c r="H1034" i="4"/>
  <c r="G1034" i="4"/>
  <c r="J1034" i="4" s="1"/>
  <c r="F1034" i="4"/>
  <c r="E1034" i="4" a="1"/>
  <c r="E1034" i="4" s="1"/>
  <c r="B1034" i="4" a="1"/>
  <c r="B1034" i="4" s="1"/>
  <c r="A1034" i="4"/>
  <c r="C1034" i="4" s="1" a="1"/>
  <c r="C1034" i="4" s="1"/>
  <c r="L1033" i="4"/>
  <c r="K1033" i="4"/>
  <c r="J1033" i="4"/>
  <c r="I1033" i="4"/>
  <c r="H1033" i="4"/>
  <c r="G1033" i="4"/>
  <c r="F1033" i="4"/>
  <c r="A1033" i="4"/>
  <c r="L1032" i="4"/>
  <c r="D1032" i="4" s="1" a="1"/>
  <c r="D1032" i="4" s="1"/>
  <c r="K1032" i="4"/>
  <c r="J1032" i="4"/>
  <c r="I1032" i="4"/>
  <c r="H1032" i="4"/>
  <c r="G1032" i="4"/>
  <c r="F1032" i="4"/>
  <c r="A1032" i="4"/>
  <c r="L1031" i="4"/>
  <c r="K1031" i="4"/>
  <c r="I1031" i="4"/>
  <c r="G1031" i="4"/>
  <c r="F1031" i="4"/>
  <c r="A1031" i="4"/>
  <c r="L1030" i="4"/>
  <c r="K1030" i="4"/>
  <c r="I1030" i="4"/>
  <c r="H1030" i="4"/>
  <c r="G1030" i="4"/>
  <c r="J1030" i="4" s="1"/>
  <c r="F1030" i="4"/>
  <c r="A1030" i="4"/>
  <c r="M1029" i="4" a="1"/>
  <c r="M1029" i="4" s="1"/>
  <c r="L1029" i="4"/>
  <c r="K1029" i="4"/>
  <c r="I1029" i="4"/>
  <c r="H1029" i="4"/>
  <c r="G1029" i="4"/>
  <c r="J1029" i="4" s="1"/>
  <c r="F1029" i="4"/>
  <c r="E1029" i="4"/>
  <c r="E1029" i="4" a="1"/>
  <c r="A1029" i="4"/>
  <c r="L1028" i="4"/>
  <c r="K1028" i="4"/>
  <c r="C1028" i="4" s="1" a="1"/>
  <c r="C1028" i="4" s="1"/>
  <c r="J1028" i="4"/>
  <c r="I1028" i="4"/>
  <c r="H1028" i="4"/>
  <c r="G1028" i="4"/>
  <c r="F1028" i="4"/>
  <c r="D1028" i="4" a="1"/>
  <c r="D1028" i="4" s="1"/>
  <c r="A1028" i="4"/>
  <c r="N1027" i="4" a="1"/>
  <c r="N1027" i="4" s="1"/>
  <c r="M1027" i="4" a="1"/>
  <c r="M1027" i="4" s="1"/>
  <c r="L1027" i="4"/>
  <c r="K1027" i="4"/>
  <c r="I1027" i="4"/>
  <c r="H1027" i="4"/>
  <c r="G1027" i="4"/>
  <c r="J1027" i="4" s="1"/>
  <c r="F1027" i="4"/>
  <c r="C1027" i="4" a="1"/>
  <c r="C1027" i="4" s="1"/>
  <c r="B1027" i="4" a="1"/>
  <c r="B1027" i="4" s="1"/>
  <c r="A1027" i="4"/>
  <c r="L1026" i="4"/>
  <c r="K1026" i="4"/>
  <c r="N1026" i="4" s="1" a="1"/>
  <c r="N1026" i="4" s="1"/>
  <c r="I1026" i="4"/>
  <c r="H1026" i="4"/>
  <c r="G1026" i="4"/>
  <c r="J1026" i="4" s="1"/>
  <c r="F1026" i="4"/>
  <c r="E1026" i="4" a="1"/>
  <c r="E1026" i="4" s="1"/>
  <c r="C1026" i="4" a="1"/>
  <c r="C1026" i="4" s="1"/>
  <c r="A1026" i="4"/>
  <c r="N1025" i="4"/>
  <c r="N1025" i="4" a="1"/>
  <c r="L1025" i="4"/>
  <c r="K1025" i="4"/>
  <c r="D1025" i="4" s="1" a="1"/>
  <c r="D1025" i="4" s="1"/>
  <c r="I1025" i="4"/>
  <c r="G1025" i="4"/>
  <c r="F1025" i="4"/>
  <c r="E1025" i="4" a="1"/>
  <c r="E1025" i="4" s="1"/>
  <c r="A1025" i="4"/>
  <c r="L1024" i="4"/>
  <c r="K1024" i="4"/>
  <c r="J1024" i="4"/>
  <c r="I1024" i="4"/>
  <c r="H1024" i="4"/>
  <c r="G1024" i="4"/>
  <c r="F1024" i="4"/>
  <c r="A1024" i="4"/>
  <c r="N1023" i="4" a="1"/>
  <c r="N1023" i="4" s="1"/>
  <c r="L1023" i="4"/>
  <c r="K1023" i="4"/>
  <c r="J1023" i="4"/>
  <c r="I1023" i="4"/>
  <c r="H1023" i="4"/>
  <c r="G1023" i="4"/>
  <c r="F1023" i="4"/>
  <c r="E1023" i="4" a="1"/>
  <c r="E1023" i="4" s="1"/>
  <c r="A1023" i="4"/>
  <c r="N1022" i="4" a="1"/>
  <c r="N1022" i="4" s="1"/>
  <c r="L1022" i="4"/>
  <c r="K1022" i="4"/>
  <c r="J1022" i="4"/>
  <c r="I1022" i="4"/>
  <c r="G1022" i="4"/>
  <c r="H1022" i="4" s="1"/>
  <c r="F1022" i="4"/>
  <c r="E1022" i="4" a="1"/>
  <c r="E1022" i="4" s="1"/>
  <c r="C1022" i="4" a="1"/>
  <c r="C1022" i="4" s="1"/>
  <c r="A1022" i="4"/>
  <c r="D1022" i="4" s="1" a="1"/>
  <c r="D1022" i="4" s="1"/>
  <c r="M1021" i="4" a="1"/>
  <c r="M1021" i="4" s="1"/>
  <c r="L1021" i="4"/>
  <c r="K1021" i="4"/>
  <c r="I1021" i="4"/>
  <c r="H1021" i="4"/>
  <c r="G1021" i="4"/>
  <c r="J1021" i="4" s="1"/>
  <c r="F1021" i="4"/>
  <c r="E1021" i="4" a="1"/>
  <c r="E1021" i="4" s="1"/>
  <c r="B1021" i="4" a="1"/>
  <c r="B1021" i="4" s="1"/>
  <c r="A1021" i="4"/>
  <c r="N1020" i="4" a="1"/>
  <c r="N1020" i="4" s="1"/>
  <c r="L1020" i="4"/>
  <c r="K1020" i="4"/>
  <c r="I1020" i="4"/>
  <c r="G1020" i="4"/>
  <c r="H1020" i="4" s="1"/>
  <c r="F1020" i="4"/>
  <c r="D1020" i="4" a="1"/>
  <c r="D1020" i="4" s="1"/>
  <c r="A1020" i="4"/>
  <c r="C1020" i="4" s="1" a="1"/>
  <c r="C1020" i="4" s="1"/>
  <c r="L1019" i="4"/>
  <c r="K1019" i="4"/>
  <c r="J1019" i="4"/>
  <c r="I1019" i="4"/>
  <c r="H1019" i="4"/>
  <c r="G1019" i="4"/>
  <c r="F1019" i="4"/>
  <c r="E1019" i="4" a="1"/>
  <c r="E1019" i="4" s="1"/>
  <c r="A1019" i="4"/>
  <c r="L1018" i="4"/>
  <c r="K1018" i="4"/>
  <c r="I1018" i="4"/>
  <c r="G1018" i="4"/>
  <c r="F1018" i="4"/>
  <c r="D1018" i="4" a="1"/>
  <c r="D1018" i="4" s="1"/>
  <c r="A1018" i="4"/>
  <c r="M1017" i="4" a="1"/>
  <c r="M1017" i="4" s="1"/>
  <c r="L1017" i="4"/>
  <c r="K1017" i="4"/>
  <c r="I1017" i="4"/>
  <c r="H1017" i="4"/>
  <c r="G1017" i="4"/>
  <c r="J1017" i="4" s="1"/>
  <c r="F1017" i="4"/>
  <c r="D1017" i="4" a="1"/>
  <c r="D1017" i="4" s="1"/>
  <c r="A1017" i="4"/>
  <c r="L1016" i="4"/>
  <c r="K1016" i="4"/>
  <c r="D1016" i="4" s="1" a="1"/>
  <c r="D1016" i="4" s="1"/>
  <c r="J1016" i="4"/>
  <c r="I1016" i="4"/>
  <c r="G1016" i="4"/>
  <c r="H1016" i="4" s="1"/>
  <c r="F1016" i="4"/>
  <c r="A1016" i="4"/>
  <c r="L1015" i="4"/>
  <c r="M1015" i="4" s="1" a="1"/>
  <c r="M1015" i="4" s="1"/>
  <c r="K1015" i="4"/>
  <c r="J1015" i="4"/>
  <c r="I1015" i="4"/>
  <c r="H1015" i="4"/>
  <c r="G1015" i="4"/>
  <c r="F1015" i="4"/>
  <c r="E1015" i="4" a="1"/>
  <c r="E1015" i="4" s="1"/>
  <c r="B1015" i="4" a="1"/>
  <c r="B1015" i="4" s="1"/>
  <c r="A1015" i="4"/>
  <c r="N1014" i="4" a="1"/>
  <c r="N1014" i="4" s="1"/>
  <c r="L1014" i="4"/>
  <c r="K1014" i="4"/>
  <c r="I1014" i="4"/>
  <c r="G1014" i="4"/>
  <c r="H1014" i="4" s="1"/>
  <c r="F1014" i="4"/>
  <c r="A1014" i="4"/>
  <c r="E1014" i="4" s="1" a="1"/>
  <c r="E1014" i="4" s="1"/>
  <c r="L1013" i="4"/>
  <c r="K1013" i="4"/>
  <c r="J1013" i="4"/>
  <c r="I1013" i="4"/>
  <c r="H1013" i="4"/>
  <c r="G1013" i="4"/>
  <c r="F1013" i="4"/>
  <c r="E1013" i="4" a="1"/>
  <c r="E1013" i="4" s="1"/>
  <c r="B1013" i="4" a="1"/>
  <c r="B1013" i="4" s="1"/>
  <c r="A1013" i="4"/>
  <c r="N1012" i="4" a="1"/>
  <c r="N1012" i="4" s="1"/>
  <c r="L1012" i="4"/>
  <c r="K1012" i="4"/>
  <c r="I1012" i="4"/>
  <c r="G1012" i="4"/>
  <c r="H1012" i="4" s="1"/>
  <c r="F1012" i="4"/>
  <c r="A1012" i="4"/>
  <c r="E1012" i="4" s="1" a="1"/>
  <c r="E1012" i="4" s="1"/>
  <c r="N1011" i="4" a="1"/>
  <c r="N1011" i="4" s="1"/>
  <c r="M1011" i="4" a="1"/>
  <c r="M1011" i="4" s="1"/>
  <c r="L1011" i="4"/>
  <c r="K1011" i="4"/>
  <c r="I1011" i="4"/>
  <c r="G1011" i="4"/>
  <c r="F1011" i="4"/>
  <c r="D1011" i="4" a="1"/>
  <c r="D1011" i="4" s="1"/>
  <c r="B1011" i="4" a="1"/>
  <c r="B1011" i="4" s="1"/>
  <c r="A1011" i="4"/>
  <c r="E1011" i="4" s="1" a="1"/>
  <c r="E1011" i="4" s="1"/>
  <c r="N1010" i="4" a="1"/>
  <c r="N1010" i="4" s="1"/>
  <c r="L1010" i="4"/>
  <c r="K1010" i="4"/>
  <c r="I1010" i="4"/>
  <c r="H1010" i="4"/>
  <c r="G1010" i="4"/>
  <c r="J1010" i="4" s="1"/>
  <c r="F1010" i="4"/>
  <c r="A1010" i="4"/>
  <c r="C1010" i="4" s="1" a="1"/>
  <c r="C1010" i="4" s="1"/>
  <c r="L1009" i="4"/>
  <c r="N1009" i="4" s="1" a="1"/>
  <c r="N1009" i="4" s="1"/>
  <c r="K1009" i="4"/>
  <c r="J1009" i="4"/>
  <c r="I1009" i="4"/>
  <c r="G1009" i="4"/>
  <c r="H1009" i="4" s="1"/>
  <c r="F1009" i="4"/>
  <c r="C1009" i="4" a="1"/>
  <c r="C1009" i="4" s="1"/>
  <c r="A1009" i="4"/>
  <c r="N1008" i="4" a="1"/>
  <c r="N1008" i="4" s="1"/>
  <c r="L1008" i="4"/>
  <c r="K1008" i="4"/>
  <c r="I1008" i="4"/>
  <c r="G1008" i="4"/>
  <c r="J1008" i="4" s="1"/>
  <c r="F1008" i="4"/>
  <c r="D1008" i="4" a="1"/>
  <c r="D1008" i="4" s="1"/>
  <c r="B1008" i="4" a="1"/>
  <c r="B1008" i="4" s="1"/>
  <c r="A1008" i="4"/>
  <c r="L1007" i="4"/>
  <c r="E1007" i="4" s="1" a="1"/>
  <c r="E1007" i="4" s="1"/>
  <c r="K1007" i="4"/>
  <c r="J1007" i="4"/>
  <c r="I1007" i="4"/>
  <c r="H1007" i="4"/>
  <c r="G1007" i="4"/>
  <c r="F1007" i="4"/>
  <c r="D1007" i="4" a="1"/>
  <c r="D1007" i="4" s="1"/>
  <c r="C1007" i="4" a="1"/>
  <c r="C1007" i="4" s="1"/>
  <c r="B1007" i="4" a="1"/>
  <c r="B1007" i="4" s="1"/>
  <c r="A1007" i="4"/>
  <c r="M1007" i="4" s="1" a="1"/>
  <c r="M1007" i="4" s="1"/>
  <c r="N1006" i="4" a="1"/>
  <c r="N1006" i="4" s="1"/>
  <c r="L1006" i="4"/>
  <c r="K1006" i="4"/>
  <c r="C1006" i="4" s="1" a="1"/>
  <c r="C1006" i="4" s="1"/>
  <c r="J1006" i="4"/>
  <c r="I1006" i="4"/>
  <c r="G1006" i="4"/>
  <c r="H1006" i="4" s="1"/>
  <c r="F1006" i="4"/>
  <c r="D1006" i="4" a="1"/>
  <c r="D1006" i="4" s="1"/>
  <c r="B1006" i="4" a="1"/>
  <c r="B1006" i="4" s="1"/>
  <c r="A1006" i="4"/>
  <c r="L1005" i="4"/>
  <c r="K1005" i="4"/>
  <c r="I1005" i="4"/>
  <c r="G1005" i="4"/>
  <c r="J1005" i="4" s="1"/>
  <c r="F1005" i="4"/>
  <c r="D1005" i="4" a="1"/>
  <c r="D1005" i="4" s="1"/>
  <c r="C1005" i="4" a="1"/>
  <c r="C1005" i="4" s="1"/>
  <c r="B1005" i="4" a="1"/>
  <c r="B1005" i="4" s="1"/>
  <c r="A1005" i="4"/>
  <c r="L1004" i="4"/>
  <c r="E1004" i="4" s="1" a="1"/>
  <c r="E1004" i="4" s="1"/>
  <c r="K1004" i="4"/>
  <c r="J1004" i="4"/>
  <c r="I1004" i="4"/>
  <c r="H1004" i="4"/>
  <c r="G1004" i="4"/>
  <c r="F1004" i="4"/>
  <c r="C1004" i="4" a="1"/>
  <c r="C1004" i="4" s="1"/>
  <c r="B1004" i="4" a="1"/>
  <c r="B1004" i="4" s="1"/>
  <c r="A1004" i="4"/>
  <c r="L1003" i="4"/>
  <c r="D1003" i="4" s="1" a="1"/>
  <c r="D1003" i="4" s="1"/>
  <c r="K1003" i="4"/>
  <c r="C1003" i="4" s="1" a="1"/>
  <c r="C1003" i="4" s="1"/>
  <c r="J1003" i="4"/>
  <c r="I1003" i="4"/>
  <c r="H1003" i="4"/>
  <c r="G1003" i="4"/>
  <c r="F1003" i="4"/>
  <c r="A1003" i="4"/>
  <c r="N1002" i="4" a="1"/>
  <c r="N1002" i="4" s="1"/>
  <c r="M1002" i="4" a="1"/>
  <c r="M1002" i="4" s="1"/>
  <c r="L1002" i="4"/>
  <c r="K1002" i="4"/>
  <c r="I1002" i="4"/>
  <c r="G1002" i="4"/>
  <c r="J1002" i="4" s="1"/>
  <c r="F1002" i="4"/>
  <c r="E1002" i="4"/>
  <c r="E1002" i="4" a="1"/>
  <c r="A1002" i="4"/>
  <c r="D1002" i="4" s="1" a="1"/>
  <c r="D1002" i="4" s="1"/>
  <c r="L1001" i="4"/>
  <c r="K1001" i="4"/>
  <c r="N1001" i="4" s="1" a="1"/>
  <c r="N1001" i="4" s="1"/>
  <c r="I1001" i="4"/>
  <c r="G1001" i="4"/>
  <c r="F1001" i="4"/>
  <c r="A1001" i="4"/>
  <c r="D1001" i="4" s="1" a="1"/>
  <c r="D1001" i="4" s="1"/>
  <c r="L1000" i="4"/>
  <c r="K1000" i="4"/>
  <c r="I1000" i="4"/>
  <c r="G1000" i="4"/>
  <c r="J1000" i="4" s="1"/>
  <c r="F1000" i="4"/>
  <c r="B1000" i="4" a="1"/>
  <c r="B1000" i="4" s="1"/>
  <c r="A1000" i="4"/>
  <c r="L999" i="4"/>
  <c r="N999" i="4" s="1" a="1"/>
  <c r="N999" i="4" s="1"/>
  <c r="K999" i="4"/>
  <c r="J999" i="4"/>
  <c r="I999" i="4"/>
  <c r="G999" i="4"/>
  <c r="H999" i="4" s="1"/>
  <c r="F999" i="4"/>
  <c r="C999" i="4" a="1"/>
  <c r="C999" i="4" s="1"/>
  <c r="B999" i="4" a="1"/>
  <c r="B999" i="4" s="1"/>
  <c r="A999" i="4"/>
  <c r="L998" i="4"/>
  <c r="K998" i="4"/>
  <c r="N998" i="4" s="1" a="1"/>
  <c r="N998" i="4" s="1"/>
  <c r="J998" i="4"/>
  <c r="I998" i="4"/>
  <c r="H998" i="4"/>
  <c r="G998" i="4"/>
  <c r="F998" i="4"/>
  <c r="D998" i="4" a="1"/>
  <c r="D998" i="4" s="1"/>
  <c r="A998" i="4"/>
  <c r="L997" i="4"/>
  <c r="C997" i="4" s="1" a="1"/>
  <c r="C997" i="4" s="1"/>
  <c r="K997" i="4"/>
  <c r="I997" i="4"/>
  <c r="G997" i="4"/>
  <c r="J997" i="4" s="1"/>
  <c r="F997" i="4"/>
  <c r="A997" i="4"/>
  <c r="L996" i="4"/>
  <c r="D996" i="4" s="1" a="1"/>
  <c r="D996" i="4" s="1"/>
  <c r="K996" i="4"/>
  <c r="I996" i="4"/>
  <c r="G996" i="4"/>
  <c r="H996" i="4" s="1"/>
  <c r="F996" i="4"/>
  <c r="C996" i="4" a="1"/>
  <c r="C996" i="4" s="1"/>
  <c r="A996" i="4"/>
  <c r="L995" i="4"/>
  <c r="K995" i="4"/>
  <c r="I995" i="4"/>
  <c r="G995" i="4"/>
  <c r="F995" i="4"/>
  <c r="A995" i="4"/>
  <c r="L994" i="4"/>
  <c r="K994" i="4"/>
  <c r="I994" i="4"/>
  <c r="G994" i="4"/>
  <c r="H994" i="4" s="1"/>
  <c r="F994" i="4"/>
  <c r="A994" i="4"/>
  <c r="N993" i="4" a="1"/>
  <c r="N993" i="4" s="1"/>
  <c r="L993" i="4"/>
  <c r="K993" i="4"/>
  <c r="C993" i="4" s="1" a="1"/>
  <c r="C993" i="4" s="1"/>
  <c r="I993" i="4"/>
  <c r="G993" i="4"/>
  <c r="J993" i="4" s="1"/>
  <c r="F993" i="4"/>
  <c r="D993" i="4" a="1"/>
  <c r="D993" i="4" s="1"/>
  <c r="A993" i="4"/>
  <c r="L992" i="4"/>
  <c r="K992" i="4"/>
  <c r="E992" i="4" s="1" a="1"/>
  <c r="E992" i="4" s="1"/>
  <c r="I992" i="4"/>
  <c r="H992" i="4"/>
  <c r="G992" i="4"/>
  <c r="J992" i="4" s="1"/>
  <c r="F992" i="4"/>
  <c r="A992" i="4"/>
  <c r="L991" i="4"/>
  <c r="K991" i="4"/>
  <c r="I991" i="4"/>
  <c r="G991" i="4"/>
  <c r="H991" i="4" s="1"/>
  <c r="F991" i="4"/>
  <c r="E991" i="4" a="1"/>
  <c r="E991" i="4" s="1"/>
  <c r="A991" i="4"/>
  <c r="C991" i="4" s="1" a="1"/>
  <c r="C991" i="4" s="1"/>
  <c r="N990" i="4" a="1"/>
  <c r="N990" i="4" s="1"/>
  <c r="L990" i="4"/>
  <c r="K990" i="4"/>
  <c r="E990" i="4" s="1" a="1"/>
  <c r="E990" i="4" s="1"/>
  <c r="I990" i="4"/>
  <c r="G990" i="4"/>
  <c r="J990" i="4" s="1"/>
  <c r="F990" i="4"/>
  <c r="D990" i="4" a="1"/>
  <c r="D990" i="4" s="1"/>
  <c r="C990" i="4" a="1"/>
  <c r="C990" i="4" s="1"/>
  <c r="B990" i="4" a="1"/>
  <c r="B990" i="4" s="1"/>
  <c r="A990" i="4"/>
  <c r="L989" i="4"/>
  <c r="D989" i="4" s="1" a="1"/>
  <c r="D989" i="4" s="1"/>
  <c r="K989" i="4"/>
  <c r="I989" i="4"/>
  <c r="G989" i="4"/>
  <c r="H989" i="4" s="1"/>
  <c r="F989" i="4"/>
  <c r="A989" i="4"/>
  <c r="L988" i="4"/>
  <c r="D988" i="4" s="1" a="1"/>
  <c r="D988" i="4" s="1"/>
  <c r="K988" i="4"/>
  <c r="J988" i="4"/>
  <c r="I988" i="4"/>
  <c r="H988" i="4"/>
  <c r="G988" i="4"/>
  <c r="F988" i="4"/>
  <c r="A988" i="4"/>
  <c r="L987" i="4"/>
  <c r="K987" i="4"/>
  <c r="I987" i="4"/>
  <c r="G987" i="4"/>
  <c r="J987" i="4" s="1"/>
  <c r="F987" i="4"/>
  <c r="D987" i="4" a="1"/>
  <c r="D987" i="4" s="1"/>
  <c r="A987" i="4"/>
  <c r="L986" i="4"/>
  <c r="K986" i="4"/>
  <c r="I986" i="4"/>
  <c r="G986" i="4"/>
  <c r="J986" i="4" s="1"/>
  <c r="F986" i="4"/>
  <c r="A986" i="4"/>
  <c r="L985" i="4"/>
  <c r="K985" i="4"/>
  <c r="I985" i="4"/>
  <c r="G985" i="4"/>
  <c r="J985" i="4" s="1"/>
  <c r="F985" i="4"/>
  <c r="A985" i="4"/>
  <c r="B985" i="4" s="1" a="1"/>
  <c r="B985" i="4" s="1"/>
  <c r="L984" i="4"/>
  <c r="D984" i="4" s="1" a="1"/>
  <c r="D984" i="4" s="1"/>
  <c r="K984" i="4"/>
  <c r="I984" i="4"/>
  <c r="H984" i="4"/>
  <c r="G984" i="4"/>
  <c r="J984" i="4" s="1"/>
  <c r="F984" i="4"/>
  <c r="A984" i="4"/>
  <c r="L983" i="4"/>
  <c r="K983" i="4"/>
  <c r="I983" i="4"/>
  <c r="G983" i="4"/>
  <c r="F983" i="4"/>
  <c r="E983" i="4" a="1"/>
  <c r="E983" i="4" s="1"/>
  <c r="C983" i="4" a="1"/>
  <c r="C983" i="4" s="1"/>
  <c r="A983" i="4"/>
  <c r="M983" i="4" s="1" a="1"/>
  <c r="M983" i="4" s="1"/>
  <c r="L982" i="4"/>
  <c r="K982" i="4"/>
  <c r="J982" i="4"/>
  <c r="I982" i="4"/>
  <c r="H982" i="4"/>
  <c r="G982" i="4"/>
  <c r="F982" i="4"/>
  <c r="A982" i="4"/>
  <c r="L981" i="4"/>
  <c r="K981" i="4"/>
  <c r="J981" i="4"/>
  <c r="I981" i="4"/>
  <c r="G981" i="4"/>
  <c r="H981" i="4" s="1"/>
  <c r="F981" i="4"/>
  <c r="A981" i="4"/>
  <c r="D981" i="4" s="1" a="1"/>
  <c r="D981" i="4" s="1"/>
  <c r="L980" i="4"/>
  <c r="D980" i="4" s="1" a="1"/>
  <c r="D980" i="4" s="1"/>
  <c r="K980" i="4"/>
  <c r="J980" i="4"/>
  <c r="I980" i="4"/>
  <c r="G980" i="4"/>
  <c r="H980" i="4" s="1"/>
  <c r="F980" i="4"/>
  <c r="A980" i="4"/>
  <c r="L979" i="4"/>
  <c r="K979" i="4"/>
  <c r="I979" i="4"/>
  <c r="G979" i="4"/>
  <c r="J979" i="4" s="1"/>
  <c r="F979" i="4"/>
  <c r="A979" i="4"/>
  <c r="L978" i="4"/>
  <c r="K978" i="4"/>
  <c r="I978" i="4"/>
  <c r="G978" i="4"/>
  <c r="J978" i="4" s="1"/>
  <c r="F978" i="4"/>
  <c r="A978" i="4"/>
  <c r="L977" i="4"/>
  <c r="K977" i="4"/>
  <c r="I977" i="4"/>
  <c r="G977" i="4"/>
  <c r="F977" i="4"/>
  <c r="A977" i="4"/>
  <c r="L976" i="4"/>
  <c r="K976" i="4"/>
  <c r="I976" i="4"/>
  <c r="G976" i="4"/>
  <c r="J976" i="4" s="1"/>
  <c r="F976" i="4"/>
  <c r="A976" i="4"/>
  <c r="L975" i="4"/>
  <c r="C975" i="4" s="1" a="1"/>
  <c r="C975" i="4" s="1"/>
  <c r="K975" i="4"/>
  <c r="I975" i="4"/>
  <c r="G975" i="4"/>
  <c r="F975" i="4"/>
  <c r="A975" i="4"/>
  <c r="L974" i="4"/>
  <c r="C974" i="4" s="1" a="1"/>
  <c r="C974" i="4" s="1"/>
  <c r="K974" i="4"/>
  <c r="J974" i="4"/>
  <c r="I974" i="4"/>
  <c r="H974" i="4"/>
  <c r="G974" i="4"/>
  <c r="F974" i="4"/>
  <c r="A974" i="4"/>
  <c r="B974" i="4" s="1" a="1"/>
  <c r="B974" i="4" s="1"/>
  <c r="L973" i="4"/>
  <c r="K973" i="4"/>
  <c r="I973" i="4"/>
  <c r="G973" i="4"/>
  <c r="H973" i="4" s="1"/>
  <c r="F973" i="4"/>
  <c r="A973" i="4"/>
  <c r="L972" i="4"/>
  <c r="K972" i="4"/>
  <c r="J972" i="4"/>
  <c r="I972" i="4"/>
  <c r="H972" i="4"/>
  <c r="G972" i="4"/>
  <c r="F972" i="4"/>
  <c r="A972" i="4"/>
  <c r="L971" i="4"/>
  <c r="K971" i="4"/>
  <c r="E971" i="4" s="1" a="1"/>
  <c r="E971" i="4" s="1"/>
  <c r="I971" i="4"/>
  <c r="G971" i="4"/>
  <c r="J971" i="4" s="1"/>
  <c r="F971" i="4"/>
  <c r="A971" i="4"/>
  <c r="L970" i="4"/>
  <c r="K970" i="4"/>
  <c r="I970" i="4"/>
  <c r="G970" i="4"/>
  <c r="H970" i="4" s="1"/>
  <c r="F970" i="4"/>
  <c r="A970" i="4"/>
  <c r="M970" i="4" s="1" a="1"/>
  <c r="M970" i="4" s="1"/>
  <c r="L969" i="4"/>
  <c r="K969" i="4"/>
  <c r="C969" i="4" s="1" a="1"/>
  <c r="C969" i="4" s="1"/>
  <c r="I969" i="4"/>
  <c r="G969" i="4"/>
  <c r="J969" i="4" s="1"/>
  <c r="F969" i="4"/>
  <c r="B969" i="4" a="1"/>
  <c r="B969" i="4" s="1"/>
  <c r="A969" i="4"/>
  <c r="L968" i="4"/>
  <c r="K968" i="4"/>
  <c r="I968" i="4"/>
  <c r="G968" i="4"/>
  <c r="J968" i="4" s="1"/>
  <c r="F968" i="4"/>
  <c r="A968" i="4"/>
  <c r="B968" i="4" s="1" a="1"/>
  <c r="B968" i="4" s="1"/>
  <c r="L967" i="4"/>
  <c r="K967" i="4"/>
  <c r="I967" i="4"/>
  <c r="H967" i="4"/>
  <c r="G967" i="4"/>
  <c r="J967" i="4" s="1"/>
  <c r="F967" i="4"/>
  <c r="E967" i="4" a="1"/>
  <c r="E967" i="4" s="1"/>
  <c r="C967" i="4" a="1"/>
  <c r="C967" i="4" s="1"/>
  <c r="A967" i="4"/>
  <c r="L966" i="4"/>
  <c r="K966" i="4"/>
  <c r="J966" i="4"/>
  <c r="I966" i="4"/>
  <c r="G966" i="4"/>
  <c r="H966" i="4" s="1"/>
  <c r="F966" i="4"/>
  <c r="A966" i="4"/>
  <c r="L965" i="4"/>
  <c r="K965" i="4"/>
  <c r="I965" i="4"/>
  <c r="G965" i="4"/>
  <c r="H965" i="4" s="1"/>
  <c r="F965" i="4"/>
  <c r="A965" i="4"/>
  <c r="L964" i="4"/>
  <c r="K964" i="4"/>
  <c r="I964" i="4"/>
  <c r="G964" i="4"/>
  <c r="J964" i="4" s="1"/>
  <c r="F964" i="4"/>
  <c r="A964" i="4"/>
  <c r="L963" i="4"/>
  <c r="K963" i="4"/>
  <c r="I963" i="4"/>
  <c r="G963" i="4"/>
  <c r="F963" i="4"/>
  <c r="A963" i="4"/>
  <c r="L962" i="4"/>
  <c r="K962" i="4"/>
  <c r="J962" i="4"/>
  <c r="I962" i="4"/>
  <c r="H962" i="4"/>
  <c r="G962" i="4"/>
  <c r="F962" i="4"/>
  <c r="A962" i="4"/>
  <c r="L961" i="4"/>
  <c r="K961" i="4"/>
  <c r="I961" i="4"/>
  <c r="G961" i="4"/>
  <c r="J961" i="4" s="1"/>
  <c r="F961" i="4"/>
  <c r="A961" i="4"/>
  <c r="B961" i="4" s="1" a="1"/>
  <c r="B961" i="4" s="1"/>
  <c r="L960" i="4"/>
  <c r="D960" i="4" s="1" a="1"/>
  <c r="D960" i="4" s="1"/>
  <c r="K960" i="4"/>
  <c r="I960" i="4"/>
  <c r="H960" i="4"/>
  <c r="G960" i="4"/>
  <c r="J960" i="4" s="1"/>
  <c r="F960" i="4"/>
  <c r="A960" i="4"/>
  <c r="L959" i="4"/>
  <c r="K959" i="4"/>
  <c r="I959" i="4"/>
  <c r="G959" i="4"/>
  <c r="F959" i="4"/>
  <c r="A959" i="4"/>
  <c r="C959" i="4" s="1" a="1"/>
  <c r="C959" i="4" s="1"/>
  <c r="L958" i="4"/>
  <c r="N958" i="4" s="1" a="1"/>
  <c r="N958" i="4" s="1"/>
  <c r="K958" i="4"/>
  <c r="I958" i="4"/>
  <c r="H958" i="4"/>
  <c r="G958" i="4"/>
  <c r="J958" i="4" s="1"/>
  <c r="F958" i="4"/>
  <c r="D958" i="4" a="1"/>
  <c r="D958" i="4" s="1"/>
  <c r="B958" i="4" a="1"/>
  <c r="B958" i="4" s="1"/>
  <c r="A958" i="4"/>
  <c r="L957" i="4"/>
  <c r="K957" i="4"/>
  <c r="I957" i="4"/>
  <c r="G957" i="4"/>
  <c r="F957" i="4"/>
  <c r="C957" i="4" a="1"/>
  <c r="C957" i="4" s="1"/>
  <c r="A957" i="4"/>
  <c r="L956" i="4"/>
  <c r="K956" i="4"/>
  <c r="J956" i="4"/>
  <c r="I956" i="4"/>
  <c r="G956" i="4"/>
  <c r="H956" i="4" s="1"/>
  <c r="F956" i="4"/>
  <c r="A956" i="4"/>
  <c r="L955" i="4"/>
  <c r="K955" i="4"/>
  <c r="I955" i="4"/>
  <c r="G955" i="4"/>
  <c r="F955" i="4"/>
  <c r="A955" i="4"/>
  <c r="E955" i="4" s="1" a="1"/>
  <c r="E955" i="4" s="1"/>
  <c r="N954" i="4" a="1"/>
  <c r="N954" i="4" s="1"/>
  <c r="L954" i="4"/>
  <c r="D954" i="4" s="1" a="1"/>
  <c r="K954" i="4"/>
  <c r="I954" i="4"/>
  <c r="G954" i="4"/>
  <c r="H954" i="4" s="1"/>
  <c r="F954" i="4"/>
  <c r="D954" i="4"/>
  <c r="C954" i="4" a="1"/>
  <c r="C954" i="4" s="1"/>
  <c r="B954" i="4" a="1"/>
  <c r="B954" i="4" s="1"/>
  <c r="A954" i="4"/>
  <c r="L953" i="4"/>
  <c r="K953" i="4"/>
  <c r="C953" i="4" s="1" a="1"/>
  <c r="C953" i="4" s="1"/>
  <c r="I953" i="4"/>
  <c r="H953" i="4"/>
  <c r="G953" i="4"/>
  <c r="J953" i="4" s="1"/>
  <c r="F953" i="4"/>
  <c r="D953" i="4" a="1"/>
  <c r="D953" i="4" s="1"/>
  <c r="A953" i="4"/>
  <c r="N952" i="4" a="1"/>
  <c r="N952" i="4" s="1"/>
  <c r="L952" i="4"/>
  <c r="D952" i="4" s="1" a="1"/>
  <c r="D952" i="4" s="1"/>
  <c r="K952" i="4"/>
  <c r="J952" i="4"/>
  <c r="I952" i="4"/>
  <c r="G952" i="4"/>
  <c r="H952" i="4" s="1"/>
  <c r="F952" i="4"/>
  <c r="C952" i="4" a="1"/>
  <c r="C952" i="4" s="1"/>
  <c r="B952" i="4" a="1"/>
  <c r="B952" i="4" s="1"/>
  <c r="A952" i="4"/>
  <c r="L951" i="4"/>
  <c r="K951" i="4"/>
  <c r="I951" i="4"/>
  <c r="H951" i="4"/>
  <c r="G951" i="4"/>
  <c r="J951" i="4" s="1"/>
  <c r="F951" i="4"/>
  <c r="A951" i="4"/>
  <c r="L950" i="4"/>
  <c r="K950" i="4"/>
  <c r="J950" i="4"/>
  <c r="I950" i="4"/>
  <c r="H950" i="4"/>
  <c r="G950" i="4"/>
  <c r="F950" i="4"/>
  <c r="C950" i="4" a="1"/>
  <c r="C950" i="4" s="1"/>
  <c r="A950" i="4"/>
  <c r="L949" i="4"/>
  <c r="K949" i="4"/>
  <c r="J949" i="4"/>
  <c r="I949" i="4"/>
  <c r="G949" i="4"/>
  <c r="H949" i="4" s="1"/>
  <c r="F949" i="4"/>
  <c r="C949" i="4" a="1"/>
  <c r="C949" i="4" s="1"/>
  <c r="A949" i="4"/>
  <c r="L948" i="4"/>
  <c r="K948" i="4"/>
  <c r="J948" i="4"/>
  <c r="I948" i="4"/>
  <c r="G948" i="4"/>
  <c r="H948" i="4" s="1"/>
  <c r="F948" i="4"/>
  <c r="D948" i="4" a="1"/>
  <c r="D948" i="4" s="1"/>
  <c r="B948" i="4" a="1"/>
  <c r="B948" i="4" s="1"/>
  <c r="A948" i="4"/>
  <c r="L947" i="4"/>
  <c r="K947" i="4"/>
  <c r="I947" i="4"/>
  <c r="G947" i="4"/>
  <c r="F947" i="4"/>
  <c r="A947" i="4"/>
  <c r="M947" i="4" s="1" a="1"/>
  <c r="M947" i="4" s="1"/>
  <c r="N946" i="4" a="1"/>
  <c r="N946" i="4" s="1"/>
  <c r="L946" i="4"/>
  <c r="K946" i="4"/>
  <c r="I946" i="4"/>
  <c r="G946" i="4"/>
  <c r="F946" i="4"/>
  <c r="A946" i="4"/>
  <c r="N945" i="4" a="1"/>
  <c r="N945" i="4" s="1"/>
  <c r="L945" i="4"/>
  <c r="K945" i="4"/>
  <c r="I945" i="4"/>
  <c r="G945" i="4"/>
  <c r="F945" i="4"/>
  <c r="A945" i="4"/>
  <c r="M944" i="4" a="1"/>
  <c r="M944" i="4" s="1"/>
  <c r="L944" i="4"/>
  <c r="K944" i="4"/>
  <c r="I944" i="4"/>
  <c r="G944" i="4"/>
  <c r="F944" i="4"/>
  <c r="A944" i="4"/>
  <c r="B944" i="4" s="1" a="1"/>
  <c r="B944" i="4" s="1"/>
  <c r="L943" i="4"/>
  <c r="N943" i="4" s="1" a="1"/>
  <c r="N943" i="4" s="1"/>
  <c r="K943" i="4"/>
  <c r="I943" i="4"/>
  <c r="G943" i="4"/>
  <c r="F943" i="4"/>
  <c r="A943" i="4"/>
  <c r="L942" i="4"/>
  <c r="K942" i="4"/>
  <c r="I942" i="4"/>
  <c r="G942" i="4"/>
  <c r="F942" i="4"/>
  <c r="A942" i="4"/>
  <c r="L941" i="4"/>
  <c r="D941" i="4" s="1" a="1"/>
  <c r="D941" i="4" s="1"/>
  <c r="K941" i="4"/>
  <c r="I941" i="4"/>
  <c r="G941" i="4"/>
  <c r="F941" i="4"/>
  <c r="A941" i="4"/>
  <c r="M940" i="4" a="1"/>
  <c r="M940" i="4" s="1"/>
  <c r="L940" i="4"/>
  <c r="K940" i="4"/>
  <c r="J940" i="4"/>
  <c r="I940" i="4"/>
  <c r="G940" i="4"/>
  <c r="H940" i="4" s="1"/>
  <c r="F940" i="4"/>
  <c r="D940" i="4" a="1"/>
  <c r="D940" i="4" s="1"/>
  <c r="A940" i="4"/>
  <c r="C940" i="4" s="1" a="1"/>
  <c r="C940" i="4" s="1"/>
  <c r="L939" i="4"/>
  <c r="K939" i="4"/>
  <c r="D939" i="4" s="1" a="1"/>
  <c r="D939" i="4" s="1"/>
  <c r="I939" i="4"/>
  <c r="H939" i="4"/>
  <c r="G939" i="4"/>
  <c r="J939" i="4" s="1"/>
  <c r="F939" i="4"/>
  <c r="E939" i="4" a="1"/>
  <c r="E939" i="4" s="1"/>
  <c r="A939" i="4"/>
  <c r="B939" i="4" s="1" a="1"/>
  <c r="B939" i="4" s="1"/>
  <c r="N938" i="4" a="1"/>
  <c r="N938" i="4" s="1"/>
  <c r="M938" i="4" a="1"/>
  <c r="M938" i="4" s="1"/>
  <c r="L938" i="4"/>
  <c r="K938" i="4"/>
  <c r="D938" i="4" s="1" a="1"/>
  <c r="D938" i="4" s="1"/>
  <c r="I938" i="4"/>
  <c r="G938" i="4"/>
  <c r="F938" i="4"/>
  <c r="A938" i="4"/>
  <c r="B938" i="4" s="1" a="1"/>
  <c r="B938" i="4" s="1"/>
  <c r="L937" i="4"/>
  <c r="D937" i="4" s="1" a="1"/>
  <c r="D937" i="4" s="1"/>
  <c r="K937" i="4"/>
  <c r="I937" i="4"/>
  <c r="G937" i="4"/>
  <c r="F937" i="4"/>
  <c r="A937" i="4"/>
  <c r="N936" i="4" a="1"/>
  <c r="N936" i="4" s="1"/>
  <c r="M936" i="4" a="1"/>
  <c r="M936" i="4" s="1"/>
  <c r="L936" i="4"/>
  <c r="K936" i="4"/>
  <c r="I936" i="4"/>
  <c r="G936" i="4"/>
  <c r="F936" i="4"/>
  <c r="E936" i="4" a="1"/>
  <c r="E936" i="4" s="1"/>
  <c r="D936" i="4" a="1"/>
  <c r="D936" i="4" s="1"/>
  <c r="B936" i="4" a="1"/>
  <c r="B936" i="4" s="1"/>
  <c r="A936" i="4"/>
  <c r="C936" i="4" s="1" a="1"/>
  <c r="C936" i="4" s="1"/>
  <c r="N935" i="4" a="1"/>
  <c r="N935" i="4" s="1"/>
  <c r="L935" i="4"/>
  <c r="D935" i="4" s="1" a="1"/>
  <c r="D935" i="4" s="1"/>
  <c r="K935" i="4"/>
  <c r="I935" i="4"/>
  <c r="G935" i="4"/>
  <c r="F935" i="4"/>
  <c r="E935" i="4" a="1"/>
  <c r="E935" i="4" s="1"/>
  <c r="C935" i="4" a="1"/>
  <c r="C935" i="4" s="1"/>
  <c r="B935" i="4" a="1"/>
  <c r="B935" i="4" s="1"/>
  <c r="A935" i="4"/>
  <c r="L934" i="4"/>
  <c r="D934" i="4" s="1" a="1"/>
  <c r="D934" i="4" s="1"/>
  <c r="K934" i="4"/>
  <c r="I934" i="4"/>
  <c r="G934" i="4"/>
  <c r="F934" i="4"/>
  <c r="C934" i="4" a="1"/>
  <c r="C934" i="4" s="1"/>
  <c r="A934" i="4"/>
  <c r="L933" i="4"/>
  <c r="K933" i="4"/>
  <c r="E933" i="4" s="1" a="1"/>
  <c r="E933" i="4" s="1"/>
  <c r="I933" i="4"/>
  <c r="G933" i="4"/>
  <c r="F933" i="4"/>
  <c r="A933" i="4"/>
  <c r="L932" i="4"/>
  <c r="K932" i="4"/>
  <c r="J932" i="4"/>
  <c r="I932" i="4"/>
  <c r="G932" i="4"/>
  <c r="H932" i="4" s="1"/>
  <c r="F932" i="4"/>
  <c r="A932" i="4"/>
  <c r="L931" i="4"/>
  <c r="K931" i="4"/>
  <c r="I931" i="4"/>
  <c r="G931" i="4"/>
  <c r="F931" i="4"/>
  <c r="A931" i="4"/>
  <c r="N930" i="4" a="1"/>
  <c r="N930" i="4" s="1"/>
  <c r="L930" i="4"/>
  <c r="K930" i="4"/>
  <c r="J930" i="4"/>
  <c r="I930" i="4"/>
  <c r="G930" i="4"/>
  <c r="H930" i="4" s="1"/>
  <c r="F930" i="4"/>
  <c r="E930" i="4" a="1"/>
  <c r="E930" i="4" s="1"/>
  <c r="B930" i="4" a="1"/>
  <c r="B930" i="4" s="1"/>
  <c r="A930" i="4"/>
  <c r="N929" i="4" a="1"/>
  <c r="N929" i="4" s="1"/>
  <c r="L929" i="4"/>
  <c r="K929" i="4"/>
  <c r="I929" i="4"/>
  <c r="G929" i="4"/>
  <c r="F929" i="4"/>
  <c r="E929" i="4" a="1"/>
  <c r="E929" i="4" s="1"/>
  <c r="D929" i="4" a="1"/>
  <c r="D929" i="4" s="1"/>
  <c r="C929" i="4" a="1"/>
  <c r="C929" i="4" s="1"/>
  <c r="A929" i="4"/>
  <c r="L928" i="4"/>
  <c r="K928" i="4"/>
  <c r="C928" i="4" s="1" a="1"/>
  <c r="C928" i="4" s="1"/>
  <c r="I928" i="4"/>
  <c r="G928" i="4"/>
  <c r="J928" i="4" s="1"/>
  <c r="F928" i="4"/>
  <c r="A928" i="4"/>
  <c r="L927" i="4"/>
  <c r="E927" i="4" s="1" a="1"/>
  <c r="E927" i="4" s="1"/>
  <c r="K927" i="4"/>
  <c r="J927" i="4"/>
  <c r="I927" i="4"/>
  <c r="H927" i="4"/>
  <c r="G927" i="4"/>
  <c r="F927" i="4"/>
  <c r="D927" i="4" a="1"/>
  <c r="D927" i="4" s="1"/>
  <c r="A927" i="4"/>
  <c r="M927" i="4" s="1" a="1"/>
  <c r="M927" i="4" s="1"/>
  <c r="L926" i="4"/>
  <c r="K926" i="4"/>
  <c r="M926" i="4" s="1" a="1"/>
  <c r="M926" i="4" s="1"/>
  <c r="I926" i="4"/>
  <c r="G926" i="4"/>
  <c r="F926" i="4"/>
  <c r="A926" i="4"/>
  <c r="L925" i="4"/>
  <c r="K925" i="4"/>
  <c r="J925" i="4"/>
  <c r="I925" i="4"/>
  <c r="H925" i="4"/>
  <c r="G925" i="4"/>
  <c r="F925" i="4"/>
  <c r="A925" i="4"/>
  <c r="L924" i="4"/>
  <c r="D924" i="4" s="1" a="1"/>
  <c r="D924" i="4" s="1"/>
  <c r="K924" i="4"/>
  <c r="I924" i="4"/>
  <c r="H924" i="4"/>
  <c r="G924" i="4"/>
  <c r="J924" i="4" s="1"/>
  <c r="F924" i="4"/>
  <c r="A924" i="4"/>
  <c r="C924" i="4" s="1" a="1"/>
  <c r="C924" i="4" s="1"/>
  <c r="L923" i="4"/>
  <c r="K923" i="4"/>
  <c r="J923" i="4"/>
  <c r="I923" i="4"/>
  <c r="G923" i="4"/>
  <c r="H923" i="4" s="1"/>
  <c r="F923" i="4"/>
  <c r="A923" i="4"/>
  <c r="M922" i="4" a="1"/>
  <c r="M922" i="4" s="1"/>
  <c r="L922" i="4"/>
  <c r="K922" i="4"/>
  <c r="D922" i="4" s="1" a="1"/>
  <c r="D922" i="4" s="1"/>
  <c r="I922" i="4"/>
  <c r="G922" i="4"/>
  <c r="F922" i="4"/>
  <c r="A922" i="4"/>
  <c r="L921" i="4"/>
  <c r="K921" i="4"/>
  <c r="N921" i="4" s="1" a="1"/>
  <c r="N921" i="4" s="1"/>
  <c r="J921" i="4"/>
  <c r="I921" i="4"/>
  <c r="H921" i="4"/>
  <c r="G921" i="4"/>
  <c r="F921" i="4"/>
  <c r="C921" i="4" a="1"/>
  <c r="C921" i="4" s="1"/>
  <c r="B921" i="4" a="1"/>
  <c r="B921" i="4" s="1"/>
  <c r="A921" i="4"/>
  <c r="L920" i="4"/>
  <c r="K920" i="4"/>
  <c r="I920" i="4"/>
  <c r="G920" i="4"/>
  <c r="F920" i="4"/>
  <c r="A920" i="4"/>
  <c r="L919" i="4"/>
  <c r="K919" i="4"/>
  <c r="I919" i="4"/>
  <c r="H919" i="4"/>
  <c r="G919" i="4"/>
  <c r="J919" i="4" s="1"/>
  <c r="F919" i="4"/>
  <c r="E919" i="4" a="1"/>
  <c r="E919" i="4" s="1"/>
  <c r="A919" i="4"/>
  <c r="N919" i="4" s="1" a="1"/>
  <c r="N919" i="4" s="1"/>
  <c r="N918" i="4" a="1"/>
  <c r="N918" i="4" s="1"/>
  <c r="M918" i="4" a="1"/>
  <c r="M918" i="4" s="1"/>
  <c r="L918" i="4"/>
  <c r="K918" i="4"/>
  <c r="I918" i="4"/>
  <c r="G918" i="4"/>
  <c r="F918" i="4"/>
  <c r="E918" i="4" a="1"/>
  <c r="E918" i="4" s="1"/>
  <c r="C918" i="4" a="1"/>
  <c r="C918" i="4" s="1"/>
  <c r="A918" i="4"/>
  <c r="L917" i="4"/>
  <c r="K917" i="4"/>
  <c r="C917" i="4" s="1" a="1"/>
  <c r="C917" i="4" s="1"/>
  <c r="J917" i="4"/>
  <c r="I917" i="4"/>
  <c r="G917" i="4"/>
  <c r="H917" i="4" s="1"/>
  <c r="F917" i="4"/>
  <c r="A917" i="4"/>
  <c r="N916" i="4" a="1"/>
  <c r="N916" i="4" s="1"/>
  <c r="L916" i="4"/>
  <c r="K916" i="4"/>
  <c r="J916" i="4"/>
  <c r="I916" i="4"/>
  <c r="H916" i="4"/>
  <c r="G916" i="4"/>
  <c r="F916" i="4"/>
  <c r="E916" i="4" a="1"/>
  <c r="E916" i="4" s="1"/>
  <c r="C916" i="4" a="1"/>
  <c r="C916" i="4" s="1"/>
  <c r="B916" i="4" a="1"/>
  <c r="B916" i="4" s="1"/>
  <c r="A916" i="4"/>
  <c r="L915" i="4"/>
  <c r="K915" i="4"/>
  <c r="I915" i="4"/>
  <c r="G915" i="4"/>
  <c r="H915" i="4" s="1"/>
  <c r="F915" i="4"/>
  <c r="D915" i="4" a="1"/>
  <c r="D915" i="4" s="1"/>
  <c r="A915" i="4"/>
  <c r="L914" i="4"/>
  <c r="K914" i="4"/>
  <c r="J914" i="4"/>
  <c r="I914" i="4"/>
  <c r="G914" i="4"/>
  <c r="H914" i="4" s="1"/>
  <c r="F914" i="4"/>
  <c r="B914" i="4" a="1"/>
  <c r="B914" i="4" s="1"/>
  <c r="A914" i="4"/>
  <c r="L913" i="4"/>
  <c r="K913" i="4"/>
  <c r="D913" i="4" s="1" a="1"/>
  <c r="D913" i="4" s="1"/>
  <c r="J913" i="4"/>
  <c r="I913" i="4"/>
  <c r="H913" i="4"/>
  <c r="G913" i="4"/>
  <c r="F913" i="4"/>
  <c r="A913" i="4"/>
  <c r="L912" i="4"/>
  <c r="K912" i="4"/>
  <c r="M912" i="4" s="1" a="1"/>
  <c r="M912" i="4" s="1"/>
  <c r="J912" i="4"/>
  <c r="I912" i="4"/>
  <c r="H912" i="4"/>
  <c r="G912" i="4"/>
  <c r="F912" i="4"/>
  <c r="A912" i="4"/>
  <c r="L911" i="4"/>
  <c r="K911" i="4"/>
  <c r="B911" i="4" s="1" a="1"/>
  <c r="B911" i="4" s="1"/>
  <c r="J911" i="4"/>
  <c r="I911" i="4"/>
  <c r="H911" i="4"/>
  <c r="G911" i="4"/>
  <c r="F911" i="4"/>
  <c r="A911" i="4"/>
  <c r="N910" i="4"/>
  <c r="N910" i="4" a="1"/>
  <c r="M910" i="4" a="1"/>
  <c r="M910" i="4" s="1"/>
  <c r="L910" i="4"/>
  <c r="K910" i="4"/>
  <c r="I910" i="4"/>
  <c r="H910" i="4"/>
  <c r="G910" i="4"/>
  <c r="J910" i="4" s="1"/>
  <c r="F910" i="4"/>
  <c r="C910" i="4" a="1"/>
  <c r="C910" i="4" s="1"/>
  <c r="A910" i="4"/>
  <c r="L909" i="4"/>
  <c r="C909" i="4" s="1" a="1"/>
  <c r="C909" i="4" s="1"/>
  <c r="K909" i="4"/>
  <c r="I909" i="4"/>
  <c r="G909" i="4"/>
  <c r="F909" i="4"/>
  <c r="A909" i="4"/>
  <c r="L908" i="4"/>
  <c r="M908" i="4" s="1" a="1"/>
  <c r="M908" i="4" s="1"/>
  <c r="K908" i="4"/>
  <c r="I908" i="4"/>
  <c r="H908" i="4"/>
  <c r="G908" i="4"/>
  <c r="J908" i="4" s="1"/>
  <c r="F908" i="4"/>
  <c r="B908" i="4" a="1"/>
  <c r="B908" i="4" s="1"/>
  <c r="A908" i="4"/>
  <c r="L907" i="4"/>
  <c r="K907" i="4"/>
  <c r="E907" i="4" s="1" a="1"/>
  <c r="E907" i="4" s="1"/>
  <c r="I907" i="4"/>
  <c r="H907" i="4"/>
  <c r="G907" i="4"/>
  <c r="J907" i="4" s="1"/>
  <c r="F907" i="4"/>
  <c r="D907" i="4" a="1"/>
  <c r="D907" i="4" s="1"/>
  <c r="A907" i="4"/>
  <c r="L906" i="4"/>
  <c r="M906" i="4" s="1" a="1"/>
  <c r="M906" i="4" s="1"/>
  <c r="K906" i="4"/>
  <c r="I906" i="4"/>
  <c r="G906" i="4"/>
  <c r="H906" i="4" s="1"/>
  <c r="F906" i="4"/>
  <c r="A906" i="4"/>
  <c r="L905" i="4"/>
  <c r="K905" i="4"/>
  <c r="I905" i="4"/>
  <c r="G905" i="4"/>
  <c r="F905" i="4"/>
  <c r="D905" i="4" a="1"/>
  <c r="D905" i="4" s="1"/>
  <c r="A905" i="4"/>
  <c r="L904" i="4"/>
  <c r="K904" i="4"/>
  <c r="J904" i="4"/>
  <c r="I904" i="4"/>
  <c r="H904" i="4"/>
  <c r="G904" i="4"/>
  <c r="F904" i="4"/>
  <c r="A904" i="4"/>
  <c r="L903" i="4"/>
  <c r="K903" i="4"/>
  <c r="J903" i="4"/>
  <c r="I903" i="4"/>
  <c r="G903" i="4"/>
  <c r="H903" i="4" s="1"/>
  <c r="F903" i="4"/>
  <c r="A903" i="4"/>
  <c r="L902" i="4"/>
  <c r="D902" i="4" s="1" a="1"/>
  <c r="D902" i="4" s="1"/>
  <c r="K902" i="4"/>
  <c r="I902" i="4"/>
  <c r="H902" i="4"/>
  <c r="G902" i="4"/>
  <c r="J902" i="4" s="1"/>
  <c r="F902" i="4"/>
  <c r="E902" i="4" a="1"/>
  <c r="E902" i="4" s="1"/>
  <c r="C902" i="4" a="1"/>
  <c r="C902" i="4" s="1"/>
  <c r="A902" i="4"/>
  <c r="N902" i="4" s="1" a="1"/>
  <c r="N902" i="4" s="1"/>
  <c r="L901" i="4"/>
  <c r="K901" i="4"/>
  <c r="J901" i="4"/>
  <c r="I901" i="4"/>
  <c r="G901" i="4"/>
  <c r="H901" i="4" s="1"/>
  <c r="F901" i="4"/>
  <c r="D901" i="4" a="1"/>
  <c r="D901" i="4" s="1"/>
  <c r="A901" i="4"/>
  <c r="L900" i="4"/>
  <c r="K900" i="4"/>
  <c r="I900" i="4"/>
  <c r="G900" i="4"/>
  <c r="J900" i="4" s="1"/>
  <c r="F900" i="4"/>
  <c r="A900" i="4"/>
  <c r="L899" i="4"/>
  <c r="K899" i="4"/>
  <c r="B899" i="4" s="1" a="1"/>
  <c r="B899" i="4" s="1"/>
  <c r="I899" i="4"/>
  <c r="H899" i="4"/>
  <c r="G899" i="4"/>
  <c r="J899" i="4" s="1"/>
  <c r="F899" i="4"/>
  <c r="A899" i="4"/>
  <c r="L898" i="4"/>
  <c r="K898" i="4"/>
  <c r="I898" i="4"/>
  <c r="G898" i="4"/>
  <c r="F898" i="4"/>
  <c r="A898" i="4"/>
  <c r="M897" i="4" a="1"/>
  <c r="M897" i="4" s="1"/>
  <c r="L897" i="4"/>
  <c r="K897" i="4"/>
  <c r="J897" i="4"/>
  <c r="I897" i="4"/>
  <c r="H897" i="4"/>
  <c r="G897" i="4"/>
  <c r="F897" i="4"/>
  <c r="B897" i="4" a="1"/>
  <c r="B897" i="4" s="1"/>
  <c r="A897" i="4"/>
  <c r="D897" i="4" s="1" a="1"/>
  <c r="D897" i="4" s="1"/>
  <c r="L896" i="4"/>
  <c r="K896" i="4"/>
  <c r="J896" i="4"/>
  <c r="I896" i="4"/>
  <c r="H896" i="4"/>
  <c r="G896" i="4"/>
  <c r="F896" i="4"/>
  <c r="A896" i="4"/>
  <c r="L895" i="4"/>
  <c r="K895" i="4"/>
  <c r="J895" i="4"/>
  <c r="I895" i="4"/>
  <c r="G895" i="4"/>
  <c r="H895" i="4" s="1"/>
  <c r="F895" i="4"/>
  <c r="E895" i="4" a="1"/>
  <c r="E895" i="4" s="1"/>
  <c r="B895" i="4" a="1"/>
  <c r="B895" i="4" s="1"/>
  <c r="A895" i="4"/>
  <c r="N894" i="4" a="1"/>
  <c r="N894" i="4" s="1"/>
  <c r="L894" i="4"/>
  <c r="K894" i="4"/>
  <c r="J894" i="4"/>
  <c r="I894" i="4"/>
  <c r="H894" i="4"/>
  <c r="G894" i="4"/>
  <c r="F894" i="4"/>
  <c r="D894" i="4" a="1"/>
  <c r="D894" i="4" s="1"/>
  <c r="A894" i="4"/>
  <c r="L893" i="4"/>
  <c r="K893" i="4"/>
  <c r="J893" i="4"/>
  <c r="I893" i="4"/>
  <c r="H893" i="4"/>
  <c r="G893" i="4"/>
  <c r="F893" i="4"/>
  <c r="A893" i="4"/>
  <c r="D893" i="4" s="1" a="1"/>
  <c r="D893" i="4" s="1"/>
  <c r="N892" i="4" a="1"/>
  <c r="N892" i="4" s="1"/>
  <c r="M892" i="4" a="1"/>
  <c r="M892" i="4" s="1"/>
  <c r="L892" i="4"/>
  <c r="K892" i="4"/>
  <c r="I892" i="4"/>
  <c r="G892" i="4"/>
  <c r="H892" i="4" s="1"/>
  <c r="F892" i="4"/>
  <c r="E892" i="4" a="1"/>
  <c r="E892" i="4" s="1"/>
  <c r="C892" i="4" a="1"/>
  <c r="C892" i="4" s="1"/>
  <c r="B892" i="4" a="1"/>
  <c r="B892" i="4" s="1"/>
  <c r="A892" i="4"/>
  <c r="D892" i="4" s="1" a="1"/>
  <c r="D892" i="4" s="1"/>
  <c r="L891" i="4"/>
  <c r="K891" i="4"/>
  <c r="J891" i="4"/>
  <c r="I891" i="4"/>
  <c r="H891" i="4"/>
  <c r="G891" i="4"/>
  <c r="F891" i="4"/>
  <c r="A891" i="4"/>
  <c r="L890" i="4"/>
  <c r="K890" i="4"/>
  <c r="N890" i="4" s="1" a="1"/>
  <c r="N890" i="4" s="1"/>
  <c r="J890" i="4"/>
  <c r="I890" i="4"/>
  <c r="G890" i="4"/>
  <c r="H890" i="4" s="1"/>
  <c r="F890" i="4"/>
  <c r="A890" i="4"/>
  <c r="L889" i="4"/>
  <c r="K889" i="4"/>
  <c r="J889" i="4"/>
  <c r="I889" i="4"/>
  <c r="H889" i="4"/>
  <c r="G889" i="4"/>
  <c r="F889" i="4"/>
  <c r="A889" i="4"/>
  <c r="L888" i="4"/>
  <c r="K888" i="4"/>
  <c r="I888" i="4"/>
  <c r="G888" i="4"/>
  <c r="F888" i="4"/>
  <c r="A888" i="4"/>
  <c r="N888" i="4" s="1" a="1"/>
  <c r="N888" i="4" s="1"/>
  <c r="L887" i="4"/>
  <c r="K887" i="4"/>
  <c r="J887" i="4"/>
  <c r="I887" i="4"/>
  <c r="H887" i="4"/>
  <c r="G887" i="4"/>
  <c r="F887" i="4"/>
  <c r="C887" i="4" a="1"/>
  <c r="C887" i="4" s="1"/>
  <c r="A887" i="4"/>
  <c r="L886" i="4"/>
  <c r="K886" i="4"/>
  <c r="I886" i="4"/>
  <c r="H886" i="4"/>
  <c r="G886" i="4"/>
  <c r="J886" i="4" s="1"/>
  <c r="F886" i="4"/>
  <c r="D886" i="4" a="1"/>
  <c r="D886" i="4" s="1"/>
  <c r="A886" i="4"/>
  <c r="M885" i="4" a="1"/>
  <c r="M885" i="4" s="1"/>
  <c r="L885" i="4"/>
  <c r="K885" i="4"/>
  <c r="I885" i="4"/>
  <c r="G885" i="4"/>
  <c r="H885" i="4" s="1"/>
  <c r="F885" i="4"/>
  <c r="D885" i="4" a="1"/>
  <c r="D885" i="4" s="1"/>
  <c r="C885" i="4" a="1"/>
  <c r="C885" i="4" s="1"/>
  <c r="A885" i="4"/>
  <c r="L884" i="4"/>
  <c r="K884" i="4"/>
  <c r="I884" i="4"/>
  <c r="G884" i="4"/>
  <c r="F884" i="4"/>
  <c r="A884" i="4"/>
  <c r="L883" i="4"/>
  <c r="K883" i="4"/>
  <c r="I883" i="4"/>
  <c r="H883" i="4"/>
  <c r="G883" i="4"/>
  <c r="J883" i="4" s="1"/>
  <c r="F883" i="4"/>
  <c r="A883" i="4"/>
  <c r="L882" i="4"/>
  <c r="K882" i="4"/>
  <c r="M882" i="4" s="1" a="1"/>
  <c r="M882" i="4" s="1"/>
  <c r="I882" i="4"/>
  <c r="G882" i="4"/>
  <c r="H882" i="4" s="1"/>
  <c r="F882" i="4"/>
  <c r="D882" i="4" a="1"/>
  <c r="D882" i="4" s="1"/>
  <c r="A882" i="4"/>
  <c r="L881" i="4"/>
  <c r="K881" i="4"/>
  <c r="I881" i="4"/>
  <c r="G881" i="4"/>
  <c r="F881" i="4"/>
  <c r="A881" i="4"/>
  <c r="L880" i="4"/>
  <c r="K880" i="4"/>
  <c r="I880" i="4"/>
  <c r="G880" i="4"/>
  <c r="F880" i="4"/>
  <c r="A880" i="4"/>
  <c r="L879" i="4"/>
  <c r="K879" i="4"/>
  <c r="I879" i="4"/>
  <c r="H879" i="4"/>
  <c r="G879" i="4"/>
  <c r="J879" i="4" s="1"/>
  <c r="F879" i="4"/>
  <c r="A879" i="4"/>
  <c r="B879" i="4" s="1" a="1"/>
  <c r="B879" i="4" s="1"/>
  <c r="L878" i="4"/>
  <c r="K878" i="4"/>
  <c r="N878" i="4" s="1" a="1"/>
  <c r="N878" i="4" s="1"/>
  <c r="I878" i="4"/>
  <c r="G878" i="4"/>
  <c r="F878" i="4"/>
  <c r="A878" i="4"/>
  <c r="M877" i="4" a="1"/>
  <c r="M877" i="4" s="1"/>
  <c r="L877" i="4"/>
  <c r="K877" i="4"/>
  <c r="J877" i="4"/>
  <c r="I877" i="4"/>
  <c r="H877" i="4"/>
  <c r="G877" i="4"/>
  <c r="F877" i="4"/>
  <c r="C877" i="4" a="1"/>
  <c r="C877" i="4" s="1"/>
  <c r="A877" i="4"/>
  <c r="L876" i="4"/>
  <c r="K876" i="4"/>
  <c r="I876" i="4"/>
  <c r="G876" i="4"/>
  <c r="H876" i="4" s="1"/>
  <c r="F876" i="4"/>
  <c r="A876" i="4"/>
  <c r="L875" i="4"/>
  <c r="K875" i="4"/>
  <c r="J875" i="4"/>
  <c r="I875" i="4"/>
  <c r="H875" i="4"/>
  <c r="G875" i="4"/>
  <c r="F875" i="4"/>
  <c r="A875" i="4"/>
  <c r="L874" i="4"/>
  <c r="K874" i="4"/>
  <c r="I874" i="4"/>
  <c r="G874" i="4"/>
  <c r="F874" i="4"/>
  <c r="E874" i="4" a="1"/>
  <c r="E874" i="4" s="1"/>
  <c r="A874" i="4"/>
  <c r="M873" i="4" a="1"/>
  <c r="M873" i="4" s="1"/>
  <c r="L873" i="4"/>
  <c r="K873" i="4"/>
  <c r="C873" i="4" s="1" a="1"/>
  <c r="C873" i="4" s="1"/>
  <c r="J873" i="4"/>
  <c r="I873" i="4"/>
  <c r="H873" i="4"/>
  <c r="G873" i="4"/>
  <c r="F873" i="4"/>
  <c r="B873" i="4" a="1"/>
  <c r="B873" i="4" s="1"/>
  <c r="A873" i="4"/>
  <c r="L872" i="4"/>
  <c r="K872" i="4"/>
  <c r="I872" i="4"/>
  <c r="G872" i="4"/>
  <c r="F872" i="4"/>
  <c r="E872" i="4" a="1"/>
  <c r="E872" i="4" s="1"/>
  <c r="A872" i="4"/>
  <c r="L871" i="4"/>
  <c r="K871" i="4"/>
  <c r="J871" i="4"/>
  <c r="I871" i="4"/>
  <c r="H871" i="4"/>
  <c r="G871" i="4"/>
  <c r="F871" i="4"/>
  <c r="E871" i="4" a="1"/>
  <c r="E871" i="4" s="1"/>
  <c r="A871" i="4"/>
  <c r="L870" i="4"/>
  <c r="K870" i="4"/>
  <c r="J870" i="4"/>
  <c r="I870" i="4"/>
  <c r="H870" i="4"/>
  <c r="G870" i="4"/>
  <c r="F870" i="4"/>
  <c r="E870" i="4" a="1"/>
  <c r="E870" i="4" s="1"/>
  <c r="A870" i="4"/>
  <c r="N870" i="4" s="1" a="1"/>
  <c r="N870" i="4" s="1"/>
  <c r="L869" i="4"/>
  <c r="M869" i="4" s="1" a="1"/>
  <c r="M869" i="4" s="1"/>
  <c r="K869" i="4"/>
  <c r="J869" i="4"/>
  <c r="I869" i="4"/>
  <c r="G869" i="4"/>
  <c r="H869" i="4" s="1"/>
  <c r="F869" i="4"/>
  <c r="E869" i="4" a="1"/>
  <c r="E869" i="4" s="1"/>
  <c r="A869" i="4"/>
  <c r="L868" i="4"/>
  <c r="K868" i="4"/>
  <c r="D868" i="4" s="1" a="1"/>
  <c r="D868" i="4" s="1"/>
  <c r="J868" i="4"/>
  <c r="I868" i="4"/>
  <c r="G868" i="4"/>
  <c r="H868" i="4" s="1"/>
  <c r="F868" i="4"/>
  <c r="A868" i="4"/>
  <c r="L867" i="4"/>
  <c r="K867" i="4"/>
  <c r="J867" i="4"/>
  <c r="I867" i="4"/>
  <c r="H867" i="4"/>
  <c r="G867" i="4"/>
  <c r="F867" i="4"/>
  <c r="A867" i="4"/>
  <c r="L866" i="4"/>
  <c r="K866" i="4"/>
  <c r="I866" i="4"/>
  <c r="G866" i="4"/>
  <c r="F866" i="4"/>
  <c r="A866" i="4"/>
  <c r="L865" i="4"/>
  <c r="K865" i="4"/>
  <c r="J865" i="4"/>
  <c r="I865" i="4"/>
  <c r="G865" i="4"/>
  <c r="H865" i="4" s="1"/>
  <c r="F865" i="4"/>
  <c r="A865" i="4"/>
  <c r="N864" i="4" a="1"/>
  <c r="N864" i="4" s="1"/>
  <c r="L864" i="4"/>
  <c r="K864" i="4"/>
  <c r="J864" i="4"/>
  <c r="I864" i="4"/>
  <c r="G864" i="4"/>
  <c r="H864" i="4" s="1"/>
  <c r="F864" i="4"/>
  <c r="A864" i="4"/>
  <c r="D864" i="4" s="1" a="1"/>
  <c r="D864" i="4" s="1"/>
  <c r="L863" i="4"/>
  <c r="K863" i="4"/>
  <c r="J863" i="4"/>
  <c r="I863" i="4"/>
  <c r="H863" i="4"/>
  <c r="G863" i="4"/>
  <c r="F863" i="4"/>
  <c r="E863" i="4" a="1"/>
  <c r="E863" i="4" s="1"/>
  <c r="B863" i="4" a="1"/>
  <c r="B863" i="4" s="1"/>
  <c r="A863" i="4"/>
  <c r="N862" i="4" a="1"/>
  <c r="N862" i="4" s="1"/>
  <c r="L862" i="4"/>
  <c r="K862" i="4"/>
  <c r="I862" i="4"/>
  <c r="H862" i="4"/>
  <c r="G862" i="4"/>
  <c r="J862" i="4" s="1"/>
  <c r="F862" i="4"/>
  <c r="A862" i="4"/>
  <c r="C862" i="4" s="1" a="1"/>
  <c r="C862" i="4" s="1"/>
  <c r="L861" i="4"/>
  <c r="K861" i="4"/>
  <c r="I861" i="4"/>
  <c r="G861" i="4"/>
  <c r="F861" i="4"/>
  <c r="A861" i="4"/>
  <c r="L860" i="4"/>
  <c r="K860" i="4"/>
  <c r="D860" i="4" s="1" a="1"/>
  <c r="D860" i="4" s="1"/>
  <c r="I860" i="4"/>
  <c r="G860" i="4"/>
  <c r="J860" i="4" s="1"/>
  <c r="F860" i="4"/>
  <c r="A860" i="4"/>
  <c r="L859" i="4"/>
  <c r="K859" i="4"/>
  <c r="J859" i="4"/>
  <c r="I859" i="4"/>
  <c r="H859" i="4"/>
  <c r="G859" i="4"/>
  <c r="F859" i="4"/>
  <c r="C859" i="4" a="1"/>
  <c r="C859" i="4" s="1"/>
  <c r="A859" i="4"/>
  <c r="B859" i="4" s="1" a="1"/>
  <c r="B859" i="4" s="1"/>
  <c r="L858" i="4"/>
  <c r="K858" i="4"/>
  <c r="J858" i="4"/>
  <c r="I858" i="4"/>
  <c r="H858" i="4"/>
  <c r="G858" i="4"/>
  <c r="F858" i="4"/>
  <c r="E858" i="4" a="1"/>
  <c r="E858" i="4" s="1"/>
  <c r="A858" i="4"/>
  <c r="L857" i="4"/>
  <c r="K857" i="4"/>
  <c r="J857" i="4"/>
  <c r="I857" i="4"/>
  <c r="H857" i="4"/>
  <c r="G857" i="4"/>
  <c r="F857" i="4"/>
  <c r="C857" i="4" a="1"/>
  <c r="C857" i="4" s="1"/>
  <c r="A857" i="4"/>
  <c r="L856" i="4"/>
  <c r="K856" i="4"/>
  <c r="J856" i="4"/>
  <c r="I856" i="4"/>
  <c r="G856" i="4"/>
  <c r="H856" i="4" s="1"/>
  <c r="F856" i="4"/>
  <c r="E856" i="4" a="1"/>
  <c r="E856" i="4" s="1"/>
  <c r="A856" i="4"/>
  <c r="L855" i="4"/>
  <c r="K855" i="4"/>
  <c r="I855" i="4"/>
  <c r="G855" i="4"/>
  <c r="F855" i="4"/>
  <c r="B855" i="4" a="1"/>
  <c r="B855" i="4" s="1"/>
  <c r="A855" i="4"/>
  <c r="L854" i="4"/>
  <c r="K854" i="4"/>
  <c r="I854" i="4"/>
  <c r="H854" i="4"/>
  <c r="G854" i="4"/>
  <c r="J854" i="4" s="1"/>
  <c r="F854" i="4"/>
  <c r="A854" i="4"/>
  <c r="L853" i="4"/>
  <c r="K853" i="4"/>
  <c r="B853" i="4" s="1" a="1"/>
  <c r="B853" i="4" s="1"/>
  <c r="J853" i="4"/>
  <c r="I853" i="4"/>
  <c r="H853" i="4"/>
  <c r="G853" i="4"/>
  <c r="F853" i="4"/>
  <c r="A853" i="4"/>
  <c r="C853" i="4" s="1" a="1"/>
  <c r="C853" i="4" s="1"/>
  <c r="L852" i="4"/>
  <c r="K852" i="4"/>
  <c r="I852" i="4"/>
  <c r="G852" i="4"/>
  <c r="F852" i="4"/>
  <c r="C852" i="4" a="1"/>
  <c r="C852" i="4" s="1"/>
  <c r="A852" i="4"/>
  <c r="M852" i="4" s="1" a="1"/>
  <c r="M852" i="4" s="1"/>
  <c r="L851" i="4"/>
  <c r="C851" i="4" s="1" a="1"/>
  <c r="C851" i="4" s="1"/>
  <c r="K851" i="4"/>
  <c r="J851" i="4"/>
  <c r="I851" i="4"/>
  <c r="H851" i="4"/>
  <c r="G851" i="4"/>
  <c r="F851" i="4"/>
  <c r="A851" i="4"/>
  <c r="L850" i="4"/>
  <c r="K850" i="4"/>
  <c r="B850" i="4" s="1" a="1"/>
  <c r="B850" i="4" s="1"/>
  <c r="I850" i="4"/>
  <c r="G850" i="4"/>
  <c r="F850" i="4"/>
  <c r="A850" i="4"/>
  <c r="L849" i="4"/>
  <c r="K849" i="4"/>
  <c r="I849" i="4"/>
  <c r="H849" i="4"/>
  <c r="G849" i="4"/>
  <c r="J849" i="4" s="1"/>
  <c r="F849" i="4"/>
  <c r="A849" i="4"/>
  <c r="L848" i="4"/>
  <c r="K848" i="4"/>
  <c r="I848" i="4"/>
  <c r="G848" i="4"/>
  <c r="F848" i="4"/>
  <c r="A848" i="4"/>
  <c r="L847" i="4"/>
  <c r="K847" i="4"/>
  <c r="M847" i="4" s="1" a="1"/>
  <c r="M847" i="4" s="1"/>
  <c r="I847" i="4"/>
  <c r="H847" i="4"/>
  <c r="G847" i="4"/>
  <c r="J847" i="4" s="1"/>
  <c r="F847" i="4"/>
  <c r="A847" i="4"/>
  <c r="L846" i="4"/>
  <c r="K846" i="4"/>
  <c r="M846" i="4" s="1" a="1"/>
  <c r="M846" i="4" s="1"/>
  <c r="I846" i="4"/>
  <c r="G846" i="4"/>
  <c r="J846" i="4" s="1"/>
  <c r="F846" i="4"/>
  <c r="A846" i="4"/>
  <c r="L845" i="4"/>
  <c r="K845" i="4"/>
  <c r="J845" i="4"/>
  <c r="I845" i="4"/>
  <c r="H845" i="4"/>
  <c r="G845" i="4"/>
  <c r="F845" i="4"/>
  <c r="B845" i="4" a="1"/>
  <c r="B845" i="4" s="1"/>
  <c r="A845" i="4"/>
  <c r="E845" i="4" s="1" a="1"/>
  <c r="E845" i="4" s="1"/>
  <c r="L844" i="4"/>
  <c r="K844" i="4"/>
  <c r="I844" i="4"/>
  <c r="G844" i="4"/>
  <c r="H844" i="4" s="1"/>
  <c r="F844" i="4"/>
  <c r="A844" i="4"/>
  <c r="L843" i="4"/>
  <c r="K843" i="4"/>
  <c r="B843" i="4" s="1" a="1"/>
  <c r="B843" i="4" s="1"/>
  <c r="J843" i="4"/>
  <c r="I843" i="4"/>
  <c r="H843" i="4"/>
  <c r="G843" i="4"/>
  <c r="F843" i="4"/>
  <c r="A843" i="4"/>
  <c r="L842" i="4"/>
  <c r="K842" i="4"/>
  <c r="D842" i="4" s="1" a="1"/>
  <c r="D842" i="4" s="1"/>
  <c r="I842" i="4"/>
  <c r="G842" i="4"/>
  <c r="J842" i="4" s="1"/>
  <c r="F842" i="4"/>
  <c r="A842" i="4"/>
  <c r="L841" i="4"/>
  <c r="E841" i="4" s="1" a="1"/>
  <c r="E841" i="4" s="1"/>
  <c r="K841" i="4"/>
  <c r="J841" i="4"/>
  <c r="I841" i="4"/>
  <c r="G841" i="4"/>
  <c r="H841" i="4" s="1"/>
  <c r="F841" i="4"/>
  <c r="C841" i="4" a="1"/>
  <c r="C841" i="4" s="1"/>
  <c r="A841" i="4"/>
  <c r="L840" i="4"/>
  <c r="K840" i="4"/>
  <c r="I840" i="4"/>
  <c r="G840" i="4"/>
  <c r="J840" i="4" s="1"/>
  <c r="F840" i="4"/>
  <c r="A840" i="4"/>
  <c r="L839" i="4"/>
  <c r="K839" i="4"/>
  <c r="J839" i="4"/>
  <c r="I839" i="4"/>
  <c r="H839" i="4"/>
  <c r="G839" i="4"/>
  <c r="F839" i="4"/>
  <c r="C839" i="4" a="1"/>
  <c r="C839" i="4" s="1"/>
  <c r="A839" i="4"/>
  <c r="N838" i="4" a="1"/>
  <c r="N838" i="4" s="1"/>
  <c r="M838" i="4" a="1"/>
  <c r="M838" i="4" s="1"/>
  <c r="L838" i="4"/>
  <c r="K838" i="4"/>
  <c r="I838" i="4"/>
  <c r="G838" i="4"/>
  <c r="H838" i="4" s="1"/>
  <c r="F838" i="4"/>
  <c r="E838" i="4" a="1"/>
  <c r="E838" i="4" s="1"/>
  <c r="A838" i="4"/>
  <c r="C838" i="4" s="1" a="1"/>
  <c r="C838" i="4" s="1"/>
  <c r="N837" i="4" a="1"/>
  <c r="N837" i="4" s="1"/>
  <c r="L837" i="4"/>
  <c r="K837" i="4"/>
  <c r="I837" i="4"/>
  <c r="G837" i="4"/>
  <c r="H837" i="4" s="1"/>
  <c r="F837" i="4"/>
  <c r="A837" i="4"/>
  <c r="L836" i="4"/>
  <c r="N836" i="4" s="1" a="1"/>
  <c r="N836" i="4" s="1"/>
  <c r="K836" i="4"/>
  <c r="I836" i="4"/>
  <c r="G836" i="4"/>
  <c r="F836" i="4"/>
  <c r="A836" i="4"/>
  <c r="D836" i="4" s="1" a="1"/>
  <c r="D836" i="4" s="1"/>
  <c r="L835" i="4"/>
  <c r="K835" i="4"/>
  <c r="I835" i="4"/>
  <c r="G835" i="4"/>
  <c r="H835" i="4" s="1"/>
  <c r="F835" i="4"/>
  <c r="B835" i="4" a="1"/>
  <c r="B835" i="4" s="1"/>
  <c r="A835" i="4"/>
  <c r="M835" i="4" s="1" a="1"/>
  <c r="M835" i="4" s="1"/>
  <c r="L834" i="4"/>
  <c r="K834" i="4"/>
  <c r="I834" i="4"/>
  <c r="G834" i="4"/>
  <c r="H834" i="4" s="1"/>
  <c r="F834" i="4"/>
  <c r="D834" i="4"/>
  <c r="D834" i="4" a="1"/>
  <c r="A834" i="4"/>
  <c r="N833" i="4" a="1"/>
  <c r="N833" i="4" s="1"/>
  <c r="L833" i="4"/>
  <c r="K833" i="4"/>
  <c r="D833" i="4" s="1" a="1"/>
  <c r="D833" i="4" s="1"/>
  <c r="I833" i="4"/>
  <c r="G833" i="4"/>
  <c r="H833" i="4" s="1"/>
  <c r="F833" i="4"/>
  <c r="A833" i="4"/>
  <c r="L832" i="4"/>
  <c r="K832" i="4"/>
  <c r="I832" i="4"/>
  <c r="G832" i="4"/>
  <c r="F832" i="4"/>
  <c r="A832" i="4"/>
  <c r="E832" i="4" s="1" a="1"/>
  <c r="E832" i="4" s="1"/>
  <c r="L831" i="4"/>
  <c r="K831" i="4"/>
  <c r="I831" i="4"/>
  <c r="G831" i="4"/>
  <c r="F831" i="4"/>
  <c r="E831" i="4" a="1"/>
  <c r="E831" i="4" s="1"/>
  <c r="A831" i="4"/>
  <c r="N830" i="4" a="1"/>
  <c r="N830" i="4" s="1"/>
  <c r="L830" i="4"/>
  <c r="K830" i="4"/>
  <c r="I830" i="4"/>
  <c r="G830" i="4"/>
  <c r="H830" i="4" s="1"/>
  <c r="F830" i="4"/>
  <c r="D830" i="4" a="1"/>
  <c r="D830" i="4" s="1"/>
  <c r="B830" i="4" a="1"/>
  <c r="B830" i="4" s="1"/>
  <c r="A830" i="4"/>
  <c r="C830" i="4" s="1" a="1"/>
  <c r="C830" i="4" s="1"/>
  <c r="L829" i="4"/>
  <c r="K829" i="4"/>
  <c r="I829" i="4"/>
  <c r="H829" i="4"/>
  <c r="G829" i="4"/>
  <c r="J829" i="4" s="1"/>
  <c r="F829" i="4"/>
  <c r="C829" i="4" a="1"/>
  <c r="C829" i="4" s="1"/>
  <c r="A829" i="4"/>
  <c r="L828" i="4"/>
  <c r="K828" i="4"/>
  <c r="I828" i="4"/>
  <c r="G828" i="4"/>
  <c r="F828" i="4"/>
  <c r="E828" i="4" a="1"/>
  <c r="E828" i="4" s="1"/>
  <c r="A828" i="4"/>
  <c r="L827" i="4"/>
  <c r="K827" i="4"/>
  <c r="I827" i="4"/>
  <c r="G827" i="4"/>
  <c r="F827" i="4"/>
  <c r="A827" i="4"/>
  <c r="C827" i="4" s="1" a="1"/>
  <c r="C827" i="4" s="1"/>
  <c r="L826" i="4"/>
  <c r="K826" i="4"/>
  <c r="J826" i="4"/>
  <c r="I826" i="4"/>
  <c r="G826" i="4"/>
  <c r="H826" i="4" s="1"/>
  <c r="F826" i="4"/>
  <c r="A826" i="4"/>
  <c r="L825" i="4"/>
  <c r="K825" i="4"/>
  <c r="I825" i="4"/>
  <c r="H825" i="4"/>
  <c r="G825" i="4"/>
  <c r="J825" i="4" s="1"/>
  <c r="F825" i="4"/>
  <c r="A825" i="4"/>
  <c r="L824" i="4"/>
  <c r="K824" i="4"/>
  <c r="I824" i="4"/>
  <c r="G824" i="4"/>
  <c r="F824" i="4"/>
  <c r="A824" i="4"/>
  <c r="L823" i="4"/>
  <c r="K823" i="4"/>
  <c r="I823" i="4"/>
  <c r="H823" i="4"/>
  <c r="G823" i="4"/>
  <c r="J823" i="4" s="1"/>
  <c r="F823" i="4"/>
  <c r="A823" i="4"/>
  <c r="C823" i="4" s="1" a="1"/>
  <c r="C823" i="4" s="1"/>
  <c r="L822" i="4"/>
  <c r="K822" i="4"/>
  <c r="I822" i="4"/>
  <c r="G822" i="4"/>
  <c r="F822" i="4"/>
  <c r="A822" i="4"/>
  <c r="L821" i="4"/>
  <c r="D821" i="4" s="1" a="1"/>
  <c r="D821" i="4" s="1"/>
  <c r="K821" i="4"/>
  <c r="J821" i="4"/>
  <c r="I821" i="4"/>
  <c r="H821" i="4"/>
  <c r="G821" i="4"/>
  <c r="F821" i="4"/>
  <c r="A821" i="4"/>
  <c r="N821" i="4" s="1" a="1"/>
  <c r="N821" i="4" s="1"/>
  <c r="L820" i="4"/>
  <c r="K820" i="4"/>
  <c r="I820" i="4"/>
  <c r="G820" i="4"/>
  <c r="F820" i="4"/>
  <c r="C820" i="4" a="1"/>
  <c r="C820" i="4" s="1"/>
  <c r="A820" i="4"/>
  <c r="L819" i="4"/>
  <c r="K819" i="4"/>
  <c r="I819" i="4"/>
  <c r="G819" i="4"/>
  <c r="F819" i="4"/>
  <c r="A819" i="4"/>
  <c r="B819" i="4" s="1" a="1"/>
  <c r="B819" i="4" s="1"/>
  <c r="L818" i="4"/>
  <c r="K818" i="4"/>
  <c r="I818" i="4"/>
  <c r="G818" i="4"/>
  <c r="F818" i="4"/>
  <c r="A818" i="4"/>
  <c r="D818" i="4" s="1" a="1"/>
  <c r="D818" i="4" s="1"/>
  <c r="L817" i="4"/>
  <c r="K817" i="4"/>
  <c r="I817" i="4"/>
  <c r="H817" i="4"/>
  <c r="G817" i="4"/>
  <c r="J817" i="4" s="1"/>
  <c r="F817" i="4"/>
  <c r="A817" i="4"/>
  <c r="L816" i="4"/>
  <c r="K816" i="4"/>
  <c r="J816" i="4"/>
  <c r="I816" i="4"/>
  <c r="G816" i="4"/>
  <c r="H816" i="4" s="1"/>
  <c r="F816" i="4"/>
  <c r="A816" i="4"/>
  <c r="L815" i="4"/>
  <c r="K815" i="4"/>
  <c r="I815" i="4"/>
  <c r="G815" i="4"/>
  <c r="J815" i="4" s="1"/>
  <c r="F815" i="4"/>
  <c r="C815" i="4" a="1"/>
  <c r="C815" i="4" s="1"/>
  <c r="B815" i="4" a="1"/>
  <c r="B815" i="4" s="1"/>
  <c r="A815" i="4"/>
  <c r="L814" i="4"/>
  <c r="K814" i="4"/>
  <c r="I814" i="4"/>
  <c r="H814" i="4"/>
  <c r="G814" i="4"/>
  <c r="J814" i="4" s="1"/>
  <c r="F814" i="4"/>
  <c r="A814" i="4"/>
  <c r="L813" i="4"/>
  <c r="K813" i="4"/>
  <c r="J813" i="4"/>
  <c r="I813" i="4"/>
  <c r="H813" i="4"/>
  <c r="G813" i="4"/>
  <c r="F813" i="4"/>
  <c r="A813" i="4"/>
  <c r="L812" i="4"/>
  <c r="K812" i="4"/>
  <c r="D812" i="4" s="1" a="1"/>
  <c r="D812" i="4" s="1"/>
  <c r="I812" i="4"/>
  <c r="H812" i="4"/>
  <c r="G812" i="4"/>
  <c r="J812" i="4" s="1"/>
  <c r="F812" i="4"/>
  <c r="C812" i="4" a="1"/>
  <c r="C812" i="4" s="1"/>
  <c r="A812" i="4"/>
  <c r="L811" i="4"/>
  <c r="K811" i="4"/>
  <c r="I811" i="4"/>
  <c r="G811" i="4"/>
  <c r="F811" i="4"/>
  <c r="A811" i="4"/>
  <c r="B811" i="4" s="1" a="1"/>
  <c r="B811" i="4" s="1"/>
  <c r="L810" i="4"/>
  <c r="K810" i="4"/>
  <c r="J810" i="4"/>
  <c r="I810" i="4"/>
  <c r="H810" i="4"/>
  <c r="G810" i="4"/>
  <c r="F810" i="4"/>
  <c r="A810" i="4"/>
  <c r="L809" i="4"/>
  <c r="K809" i="4"/>
  <c r="I809" i="4"/>
  <c r="G809" i="4"/>
  <c r="J809" i="4" s="1"/>
  <c r="F809" i="4"/>
  <c r="A809" i="4"/>
  <c r="L808" i="4"/>
  <c r="K808" i="4"/>
  <c r="C808" i="4" s="1" a="1"/>
  <c r="C808" i="4" s="1"/>
  <c r="J808" i="4"/>
  <c r="I808" i="4"/>
  <c r="G808" i="4"/>
  <c r="H808" i="4" s="1"/>
  <c r="F808" i="4"/>
  <c r="A808" i="4"/>
  <c r="L807" i="4"/>
  <c r="K807" i="4"/>
  <c r="E807" i="4" s="1" a="1"/>
  <c r="E807" i="4" s="1"/>
  <c r="I807" i="4"/>
  <c r="G807" i="4"/>
  <c r="F807" i="4"/>
  <c r="A807" i="4"/>
  <c r="L806" i="4"/>
  <c r="K806" i="4"/>
  <c r="I806" i="4"/>
  <c r="G806" i="4"/>
  <c r="J806" i="4" s="1"/>
  <c r="F806" i="4"/>
  <c r="A806" i="4"/>
  <c r="L805" i="4"/>
  <c r="K805" i="4"/>
  <c r="J805" i="4"/>
  <c r="I805" i="4"/>
  <c r="H805" i="4"/>
  <c r="G805" i="4"/>
  <c r="F805" i="4"/>
  <c r="A805" i="4"/>
  <c r="N805" i="4" s="1" a="1"/>
  <c r="N805" i="4" s="1"/>
  <c r="L804" i="4"/>
  <c r="K804" i="4"/>
  <c r="N804" i="4" s="1" a="1"/>
  <c r="N804" i="4" s="1"/>
  <c r="I804" i="4"/>
  <c r="G804" i="4"/>
  <c r="F804" i="4"/>
  <c r="C804" i="4" a="1"/>
  <c r="C804" i="4" s="1"/>
  <c r="A804" i="4"/>
  <c r="L803" i="4"/>
  <c r="K803" i="4"/>
  <c r="J803" i="4"/>
  <c r="I803" i="4"/>
  <c r="G803" i="4"/>
  <c r="H803" i="4" s="1"/>
  <c r="F803" i="4"/>
  <c r="A803" i="4"/>
  <c r="B803" i="4" s="1" a="1"/>
  <c r="B803" i="4" s="1"/>
  <c r="L802" i="4"/>
  <c r="K802" i="4"/>
  <c r="J802" i="4"/>
  <c r="I802" i="4"/>
  <c r="H802" i="4"/>
  <c r="G802" i="4"/>
  <c r="F802" i="4"/>
  <c r="C802" i="4" a="1"/>
  <c r="C802" i="4" s="1"/>
  <c r="A802" i="4"/>
  <c r="N801" i="4" a="1"/>
  <c r="N801" i="4" s="1"/>
  <c r="L801" i="4"/>
  <c r="K801" i="4"/>
  <c r="I801" i="4"/>
  <c r="G801" i="4"/>
  <c r="F801" i="4"/>
  <c r="B801" i="4" a="1"/>
  <c r="B801" i="4" s="1"/>
  <c r="A801" i="4"/>
  <c r="M801" i="4" s="1" a="1"/>
  <c r="M801" i="4" s="1"/>
  <c r="L800" i="4"/>
  <c r="K800" i="4"/>
  <c r="I800" i="4"/>
  <c r="G800" i="4"/>
  <c r="F800" i="4"/>
  <c r="A800" i="4"/>
  <c r="N800" i="4" s="1" a="1"/>
  <c r="N800" i="4" s="1"/>
  <c r="L799" i="4"/>
  <c r="K799" i="4"/>
  <c r="I799" i="4"/>
  <c r="H799" i="4"/>
  <c r="G799" i="4"/>
  <c r="J799" i="4" s="1"/>
  <c r="F799" i="4"/>
  <c r="A799" i="4"/>
  <c r="L798" i="4"/>
  <c r="K798" i="4"/>
  <c r="B798" i="4" s="1" a="1"/>
  <c r="B798" i="4" s="1"/>
  <c r="I798" i="4"/>
  <c r="G798" i="4"/>
  <c r="F798" i="4"/>
  <c r="E798" i="4" a="1"/>
  <c r="E798" i="4" s="1"/>
  <c r="D798" i="4" a="1"/>
  <c r="D798" i="4" s="1"/>
  <c r="A798" i="4"/>
  <c r="N798" i="4" s="1" a="1"/>
  <c r="N798" i="4" s="1"/>
  <c r="L797" i="4"/>
  <c r="K797" i="4"/>
  <c r="I797" i="4"/>
  <c r="G797" i="4"/>
  <c r="F797" i="4"/>
  <c r="A797" i="4"/>
  <c r="L796" i="4"/>
  <c r="K796" i="4"/>
  <c r="I796" i="4"/>
  <c r="G796" i="4"/>
  <c r="J796" i="4" s="1"/>
  <c r="F796" i="4"/>
  <c r="E796" i="4" a="1"/>
  <c r="E796" i="4" s="1"/>
  <c r="A796" i="4"/>
  <c r="L795" i="4"/>
  <c r="K795" i="4"/>
  <c r="J795" i="4"/>
  <c r="I795" i="4"/>
  <c r="G795" i="4"/>
  <c r="H795" i="4" s="1"/>
  <c r="F795" i="4"/>
  <c r="A795" i="4"/>
  <c r="L794" i="4"/>
  <c r="K794" i="4"/>
  <c r="J794" i="4"/>
  <c r="I794" i="4"/>
  <c r="H794" i="4"/>
  <c r="G794" i="4"/>
  <c r="F794" i="4"/>
  <c r="C794" i="4" a="1"/>
  <c r="C794" i="4" s="1"/>
  <c r="A794" i="4"/>
  <c r="L793" i="4"/>
  <c r="K793" i="4"/>
  <c r="I793" i="4"/>
  <c r="G793" i="4"/>
  <c r="H793" i="4" s="1"/>
  <c r="F793" i="4"/>
  <c r="A793" i="4"/>
  <c r="C793" i="4" s="1" a="1"/>
  <c r="C793" i="4" s="1"/>
  <c r="L792" i="4"/>
  <c r="K792" i="4"/>
  <c r="I792" i="4"/>
  <c r="G792" i="4"/>
  <c r="H792" i="4" s="1"/>
  <c r="F792" i="4"/>
  <c r="E792" i="4" a="1"/>
  <c r="E792" i="4" s="1"/>
  <c r="D792" i="4" a="1"/>
  <c r="D792" i="4" s="1"/>
  <c r="A792" i="4"/>
  <c r="N792" i="4" s="1" a="1"/>
  <c r="N792" i="4" s="1"/>
  <c r="L791" i="4"/>
  <c r="C791" i="4" s="1" a="1"/>
  <c r="C791" i="4" s="1"/>
  <c r="K791" i="4"/>
  <c r="I791" i="4"/>
  <c r="H791" i="4"/>
  <c r="G791" i="4"/>
  <c r="J791" i="4" s="1"/>
  <c r="F791" i="4"/>
  <c r="D791" i="4" a="1"/>
  <c r="D791" i="4" s="1"/>
  <c r="A791" i="4"/>
  <c r="L790" i="4"/>
  <c r="K790" i="4"/>
  <c r="I790" i="4"/>
  <c r="G790" i="4"/>
  <c r="F790" i="4"/>
  <c r="A790" i="4"/>
  <c r="E790" i="4" s="1" a="1"/>
  <c r="E790" i="4" s="1"/>
  <c r="L789" i="4"/>
  <c r="K789" i="4"/>
  <c r="I789" i="4"/>
  <c r="G789" i="4"/>
  <c r="F789" i="4"/>
  <c r="A789" i="4"/>
  <c r="L788" i="4"/>
  <c r="K788" i="4"/>
  <c r="N788" i="4" s="1" a="1"/>
  <c r="N788" i="4" s="1"/>
  <c r="I788" i="4"/>
  <c r="G788" i="4"/>
  <c r="F788" i="4"/>
  <c r="E788" i="4" a="1"/>
  <c r="E788" i="4" s="1"/>
  <c r="C788" i="4" a="1"/>
  <c r="C788" i="4" s="1"/>
  <c r="B788" i="4" a="1"/>
  <c r="B788" i="4" s="1"/>
  <c r="A788" i="4"/>
  <c r="L787" i="4"/>
  <c r="K787" i="4"/>
  <c r="I787" i="4"/>
  <c r="G787" i="4"/>
  <c r="F787" i="4"/>
  <c r="A787" i="4"/>
  <c r="L786" i="4"/>
  <c r="K786" i="4"/>
  <c r="I786" i="4"/>
  <c r="G786" i="4"/>
  <c r="J786" i="4" s="1"/>
  <c r="F786" i="4"/>
  <c r="A786" i="4"/>
  <c r="D786" i="4" s="1" a="1"/>
  <c r="D786" i="4" s="1"/>
  <c r="L785" i="4"/>
  <c r="K785" i="4"/>
  <c r="I785" i="4"/>
  <c r="G785" i="4"/>
  <c r="H785" i="4" s="1"/>
  <c r="F785" i="4"/>
  <c r="E785" i="4" a="1"/>
  <c r="E785" i="4" s="1"/>
  <c r="D785" i="4" a="1"/>
  <c r="D785" i="4" s="1"/>
  <c r="A785" i="4"/>
  <c r="L784" i="4"/>
  <c r="K784" i="4"/>
  <c r="I784" i="4"/>
  <c r="G784" i="4"/>
  <c r="H784" i="4" s="1"/>
  <c r="F784" i="4"/>
  <c r="A784" i="4"/>
  <c r="N784" i="4" s="1" a="1"/>
  <c r="N784" i="4" s="1"/>
  <c r="L783" i="4"/>
  <c r="K783" i="4"/>
  <c r="E783" i="4" s="1" a="1"/>
  <c r="E783" i="4" s="1"/>
  <c r="I783" i="4"/>
  <c r="G783" i="4"/>
  <c r="H783" i="4" s="1"/>
  <c r="F783" i="4"/>
  <c r="C783" i="4"/>
  <c r="C783" i="4" a="1"/>
  <c r="B783" i="4" a="1"/>
  <c r="B783" i="4" s="1"/>
  <c r="A783" i="4"/>
  <c r="L782" i="4"/>
  <c r="K782" i="4"/>
  <c r="I782" i="4"/>
  <c r="G782" i="4"/>
  <c r="F782" i="4"/>
  <c r="A782" i="4"/>
  <c r="C782" i="4" s="1" a="1"/>
  <c r="C782" i="4" s="1"/>
  <c r="L781" i="4"/>
  <c r="K781" i="4"/>
  <c r="I781" i="4"/>
  <c r="G781" i="4"/>
  <c r="J781" i="4" s="1"/>
  <c r="F781" i="4"/>
  <c r="E781" i="4" a="1"/>
  <c r="E781" i="4" s="1"/>
  <c r="C781" i="4" a="1"/>
  <c r="C781" i="4" s="1"/>
  <c r="A781" i="4"/>
  <c r="B781" i="4" s="1" a="1"/>
  <c r="B781" i="4" s="1"/>
  <c r="L780" i="4"/>
  <c r="K780" i="4"/>
  <c r="M780" i="4" s="1" a="1"/>
  <c r="M780" i="4" s="1"/>
  <c r="I780" i="4"/>
  <c r="G780" i="4"/>
  <c r="J780" i="4" s="1"/>
  <c r="F780" i="4"/>
  <c r="E780" i="4" a="1"/>
  <c r="E780" i="4" s="1"/>
  <c r="B780" i="4" a="1"/>
  <c r="B780" i="4" s="1"/>
  <c r="A780" i="4"/>
  <c r="D780" i="4" s="1" a="1"/>
  <c r="D780" i="4" s="1"/>
  <c r="L779" i="4"/>
  <c r="K779" i="4"/>
  <c r="I779" i="4"/>
  <c r="G779" i="4"/>
  <c r="F779" i="4"/>
  <c r="A779" i="4"/>
  <c r="L778" i="4"/>
  <c r="K778" i="4"/>
  <c r="I778" i="4"/>
  <c r="G778" i="4"/>
  <c r="F778" i="4"/>
  <c r="A778" i="4"/>
  <c r="L777" i="4"/>
  <c r="K777" i="4"/>
  <c r="C777" i="4" s="1" a="1"/>
  <c r="C777" i="4" s="1"/>
  <c r="I777" i="4"/>
  <c r="G777" i="4"/>
  <c r="F777" i="4"/>
  <c r="A777" i="4"/>
  <c r="L776" i="4"/>
  <c r="K776" i="4"/>
  <c r="I776" i="4"/>
  <c r="G776" i="4"/>
  <c r="H776" i="4" s="1"/>
  <c r="F776" i="4"/>
  <c r="A776" i="4"/>
  <c r="D776" i="4" s="1" a="1"/>
  <c r="D776" i="4" s="1"/>
  <c r="L775" i="4"/>
  <c r="K775" i="4"/>
  <c r="I775" i="4"/>
  <c r="G775" i="4"/>
  <c r="F775" i="4"/>
  <c r="A775" i="4"/>
  <c r="C775" i="4" s="1" a="1"/>
  <c r="C775" i="4" s="1"/>
  <c r="L774" i="4"/>
  <c r="K774" i="4"/>
  <c r="J774" i="4"/>
  <c r="I774" i="4"/>
  <c r="H774" i="4"/>
  <c r="G774" i="4"/>
  <c r="F774" i="4"/>
  <c r="D774" i="4" a="1"/>
  <c r="D774" i="4" s="1"/>
  <c r="A774" i="4"/>
  <c r="N774" i="4" s="1" a="1"/>
  <c r="N774" i="4" s="1"/>
  <c r="L773" i="4"/>
  <c r="K773" i="4"/>
  <c r="J773" i="4"/>
  <c r="I773" i="4"/>
  <c r="H773" i="4"/>
  <c r="G773" i="4"/>
  <c r="F773" i="4"/>
  <c r="A773" i="4"/>
  <c r="N772" i="4" a="1"/>
  <c r="N772" i="4" s="1"/>
  <c r="M772" i="4" a="1"/>
  <c r="M772" i="4" s="1"/>
  <c r="L772" i="4"/>
  <c r="E772" i="4" s="1" a="1"/>
  <c r="E772" i="4" s="1"/>
  <c r="K772" i="4"/>
  <c r="I772" i="4"/>
  <c r="G772" i="4"/>
  <c r="F772" i="4"/>
  <c r="A772" i="4"/>
  <c r="N771" i="4" a="1"/>
  <c r="N771" i="4" s="1"/>
  <c r="L771" i="4"/>
  <c r="K771" i="4"/>
  <c r="J771" i="4"/>
  <c r="I771" i="4"/>
  <c r="G771" i="4"/>
  <c r="H771" i="4" s="1"/>
  <c r="F771" i="4"/>
  <c r="D771" i="4" a="1"/>
  <c r="D771" i="4" s="1"/>
  <c r="C771" i="4" a="1"/>
  <c r="C771" i="4" s="1"/>
  <c r="A771" i="4"/>
  <c r="E771" i="4" s="1" a="1"/>
  <c r="E771" i="4" s="1"/>
  <c r="L770" i="4"/>
  <c r="K770" i="4"/>
  <c r="I770" i="4"/>
  <c r="G770" i="4"/>
  <c r="F770" i="4"/>
  <c r="A770" i="4"/>
  <c r="L769" i="4"/>
  <c r="K769" i="4"/>
  <c r="I769" i="4"/>
  <c r="G769" i="4"/>
  <c r="F769" i="4"/>
  <c r="A769" i="4"/>
  <c r="L768" i="4"/>
  <c r="K768" i="4"/>
  <c r="D768" i="4" s="1" a="1"/>
  <c r="D768" i="4" s="1"/>
  <c r="I768" i="4"/>
  <c r="G768" i="4"/>
  <c r="F768" i="4"/>
  <c r="A768" i="4"/>
  <c r="L767" i="4"/>
  <c r="K767" i="4"/>
  <c r="J767" i="4"/>
  <c r="I767" i="4"/>
  <c r="H767" i="4"/>
  <c r="G767" i="4"/>
  <c r="F767" i="4"/>
  <c r="A767" i="4"/>
  <c r="L766" i="4"/>
  <c r="K766" i="4"/>
  <c r="I766" i="4"/>
  <c r="H766" i="4"/>
  <c r="G766" i="4"/>
  <c r="J766" i="4" s="1"/>
  <c r="F766" i="4"/>
  <c r="A766" i="4"/>
  <c r="L765" i="4"/>
  <c r="K765" i="4"/>
  <c r="I765" i="4"/>
  <c r="G765" i="4"/>
  <c r="J765" i="4" s="1"/>
  <c r="F765" i="4"/>
  <c r="A765" i="4"/>
  <c r="L764" i="4"/>
  <c r="K764" i="4"/>
  <c r="E764" i="4" s="1" a="1"/>
  <c r="E764" i="4" s="1"/>
  <c r="I764" i="4"/>
  <c r="G764" i="4"/>
  <c r="F764" i="4"/>
  <c r="A764" i="4"/>
  <c r="L763" i="4"/>
  <c r="K763" i="4"/>
  <c r="E763" i="4" s="1" a="1"/>
  <c r="E763" i="4" s="1"/>
  <c r="I763" i="4"/>
  <c r="G763" i="4"/>
  <c r="F763" i="4"/>
  <c r="A763" i="4"/>
  <c r="L762" i="4"/>
  <c r="K762" i="4"/>
  <c r="I762" i="4"/>
  <c r="H762" i="4"/>
  <c r="G762" i="4"/>
  <c r="J762" i="4" s="1"/>
  <c r="F762" i="4"/>
  <c r="A762" i="4"/>
  <c r="N762" i="4" s="1" a="1"/>
  <c r="N762" i="4" s="1"/>
  <c r="L761" i="4"/>
  <c r="E761" i="4" s="1" a="1"/>
  <c r="E761" i="4" s="1"/>
  <c r="K761" i="4"/>
  <c r="I761" i="4"/>
  <c r="G761" i="4"/>
  <c r="F761" i="4"/>
  <c r="A761" i="4"/>
  <c r="N761" i="4" s="1" a="1"/>
  <c r="N761" i="4" s="1"/>
  <c r="L760" i="4"/>
  <c r="K760" i="4"/>
  <c r="J760" i="4"/>
  <c r="I760" i="4"/>
  <c r="H760" i="4"/>
  <c r="G760" i="4"/>
  <c r="F760" i="4"/>
  <c r="A760" i="4"/>
  <c r="M760" i="4" s="1" a="1"/>
  <c r="M760" i="4" s="1"/>
  <c r="L759" i="4"/>
  <c r="K759" i="4"/>
  <c r="I759" i="4"/>
  <c r="G759" i="4"/>
  <c r="F759" i="4"/>
  <c r="A759" i="4"/>
  <c r="E759" i="4" s="1" a="1"/>
  <c r="E759" i="4" s="1"/>
  <c r="L758" i="4"/>
  <c r="K758" i="4"/>
  <c r="J758" i="4"/>
  <c r="I758" i="4"/>
  <c r="H758" i="4"/>
  <c r="G758" i="4"/>
  <c r="F758" i="4"/>
  <c r="A758" i="4"/>
  <c r="M758" i="4" s="1" a="1"/>
  <c r="M758" i="4" s="1"/>
  <c r="L757" i="4"/>
  <c r="K757" i="4"/>
  <c r="I757" i="4"/>
  <c r="G757" i="4"/>
  <c r="F757" i="4"/>
  <c r="E757" i="4" a="1"/>
  <c r="E757" i="4" s="1"/>
  <c r="C757" i="4" a="1"/>
  <c r="C757" i="4" s="1"/>
  <c r="A757" i="4"/>
  <c r="L756" i="4"/>
  <c r="K756" i="4"/>
  <c r="E756" i="4" s="1" a="1"/>
  <c r="E756" i="4" s="1"/>
  <c r="I756" i="4"/>
  <c r="G756" i="4"/>
  <c r="H756" i="4" s="1"/>
  <c r="F756" i="4"/>
  <c r="A756" i="4"/>
  <c r="L755" i="4"/>
  <c r="K755" i="4"/>
  <c r="I755" i="4"/>
  <c r="G755" i="4"/>
  <c r="F755" i="4"/>
  <c r="C755" i="4" a="1"/>
  <c r="C755" i="4" s="1"/>
  <c r="A755" i="4"/>
  <c r="L754" i="4"/>
  <c r="E754" i="4" s="1" a="1"/>
  <c r="E754" i="4" s="1"/>
  <c r="K754" i="4"/>
  <c r="I754" i="4"/>
  <c r="G754" i="4"/>
  <c r="F754" i="4"/>
  <c r="C754" i="4" a="1"/>
  <c r="C754" i="4" s="1"/>
  <c r="A754" i="4"/>
  <c r="L753" i="4"/>
  <c r="K753" i="4"/>
  <c r="I753" i="4"/>
  <c r="G753" i="4"/>
  <c r="F753" i="4"/>
  <c r="A753" i="4"/>
  <c r="L752" i="4"/>
  <c r="E752" i="4" s="1" a="1"/>
  <c r="E752" i="4" s="1"/>
  <c r="K752" i="4"/>
  <c r="I752" i="4"/>
  <c r="G752" i="4"/>
  <c r="F752" i="4"/>
  <c r="A752" i="4"/>
  <c r="M751" i="4" a="1"/>
  <c r="M751" i="4" s="1"/>
  <c r="L751" i="4"/>
  <c r="K751" i="4"/>
  <c r="I751" i="4"/>
  <c r="G751" i="4"/>
  <c r="F751" i="4"/>
  <c r="A751" i="4"/>
  <c r="L750" i="4"/>
  <c r="K750" i="4"/>
  <c r="I750" i="4"/>
  <c r="G750" i="4"/>
  <c r="F750" i="4"/>
  <c r="A750" i="4"/>
  <c r="N749" i="4" a="1"/>
  <c r="N749" i="4" s="1"/>
  <c r="L749" i="4"/>
  <c r="K749" i="4"/>
  <c r="M749" i="4" s="1" a="1"/>
  <c r="M749" i="4" s="1"/>
  <c r="I749" i="4"/>
  <c r="H749" i="4"/>
  <c r="G749" i="4"/>
  <c r="J749" i="4" s="1"/>
  <c r="F749" i="4"/>
  <c r="E749" i="4" a="1"/>
  <c r="E749" i="4" s="1"/>
  <c r="A749" i="4"/>
  <c r="L748" i="4"/>
  <c r="K748" i="4"/>
  <c r="I748" i="4"/>
  <c r="G748" i="4"/>
  <c r="F748" i="4"/>
  <c r="A748" i="4"/>
  <c r="L747" i="4"/>
  <c r="K747" i="4"/>
  <c r="I747" i="4"/>
  <c r="H747" i="4"/>
  <c r="G747" i="4"/>
  <c r="J747" i="4" s="1"/>
  <c r="F747" i="4"/>
  <c r="A747" i="4"/>
  <c r="M747" i="4" s="1" a="1"/>
  <c r="M747" i="4" s="1"/>
  <c r="L746" i="4"/>
  <c r="K746" i="4"/>
  <c r="I746" i="4"/>
  <c r="H746" i="4"/>
  <c r="G746" i="4"/>
  <c r="J746" i="4" s="1"/>
  <c r="F746" i="4"/>
  <c r="A746" i="4"/>
  <c r="N746" i="4" s="1" a="1"/>
  <c r="N746" i="4" s="1"/>
  <c r="L745" i="4"/>
  <c r="K745" i="4"/>
  <c r="I745" i="4"/>
  <c r="G745" i="4"/>
  <c r="F745" i="4"/>
  <c r="A745" i="4"/>
  <c r="L744" i="4"/>
  <c r="K744" i="4"/>
  <c r="I744" i="4"/>
  <c r="G744" i="4"/>
  <c r="F744" i="4"/>
  <c r="D744" i="4" a="1"/>
  <c r="D744" i="4" s="1"/>
  <c r="A744" i="4"/>
  <c r="L743" i="4"/>
  <c r="K743" i="4"/>
  <c r="I743" i="4"/>
  <c r="G743" i="4"/>
  <c r="F743" i="4"/>
  <c r="A743" i="4"/>
  <c r="L742" i="4"/>
  <c r="K742" i="4"/>
  <c r="J742" i="4"/>
  <c r="I742" i="4"/>
  <c r="G742" i="4"/>
  <c r="H742" i="4" s="1"/>
  <c r="F742" i="4"/>
  <c r="A742" i="4"/>
  <c r="N742" i="4" s="1" a="1"/>
  <c r="N742" i="4" s="1"/>
  <c r="L741" i="4"/>
  <c r="K741" i="4"/>
  <c r="I741" i="4"/>
  <c r="G741" i="4"/>
  <c r="F741" i="4"/>
  <c r="B741" i="4" a="1"/>
  <c r="B741" i="4" s="1"/>
  <c r="A741" i="4"/>
  <c r="M741" i="4" s="1" a="1"/>
  <c r="M741" i="4" s="1"/>
  <c r="L740" i="4"/>
  <c r="K740" i="4"/>
  <c r="I740" i="4"/>
  <c r="G740" i="4"/>
  <c r="H740" i="4" s="1"/>
  <c r="F740" i="4"/>
  <c r="A740" i="4"/>
  <c r="L739" i="4"/>
  <c r="K739" i="4"/>
  <c r="I739" i="4"/>
  <c r="G739" i="4"/>
  <c r="F739" i="4"/>
  <c r="C739" i="4" a="1"/>
  <c r="C739" i="4" s="1"/>
  <c r="A739" i="4"/>
  <c r="L738" i="4"/>
  <c r="K738" i="4"/>
  <c r="N738" i="4" s="1" a="1"/>
  <c r="N738" i="4" s="1"/>
  <c r="J738" i="4"/>
  <c r="I738" i="4"/>
  <c r="H738" i="4"/>
  <c r="G738" i="4"/>
  <c r="F738" i="4"/>
  <c r="A738" i="4"/>
  <c r="L737" i="4"/>
  <c r="K737" i="4"/>
  <c r="N737" i="4" s="1" a="1"/>
  <c r="N737" i="4" s="1"/>
  <c r="I737" i="4"/>
  <c r="G737" i="4"/>
  <c r="F737" i="4"/>
  <c r="A737" i="4"/>
  <c r="N736" i="4" a="1"/>
  <c r="N736" i="4" s="1"/>
  <c r="L736" i="4"/>
  <c r="K736" i="4"/>
  <c r="I736" i="4"/>
  <c r="G736" i="4"/>
  <c r="H736" i="4" s="1"/>
  <c r="F736" i="4"/>
  <c r="A736" i="4"/>
  <c r="L735" i="4"/>
  <c r="K735" i="4"/>
  <c r="I735" i="4"/>
  <c r="H735" i="4"/>
  <c r="G735" i="4"/>
  <c r="J735" i="4" s="1"/>
  <c r="F735" i="4"/>
  <c r="A735" i="4"/>
  <c r="L734" i="4"/>
  <c r="K734" i="4"/>
  <c r="J734" i="4"/>
  <c r="I734" i="4"/>
  <c r="H734" i="4"/>
  <c r="G734" i="4"/>
  <c r="F734" i="4"/>
  <c r="A734" i="4"/>
  <c r="L733" i="4"/>
  <c r="K733" i="4"/>
  <c r="I733" i="4"/>
  <c r="H733" i="4"/>
  <c r="G733" i="4"/>
  <c r="J733" i="4" s="1"/>
  <c r="F733" i="4"/>
  <c r="A733" i="4"/>
  <c r="M732" i="4" a="1"/>
  <c r="M732" i="4" s="1"/>
  <c r="L732" i="4"/>
  <c r="N732" i="4" s="1" a="1"/>
  <c r="N732" i="4" s="1"/>
  <c r="K732" i="4"/>
  <c r="J732" i="4"/>
  <c r="I732" i="4"/>
  <c r="H732" i="4"/>
  <c r="G732" i="4"/>
  <c r="F732" i="4"/>
  <c r="D732" i="4" a="1"/>
  <c r="D732" i="4" s="1"/>
  <c r="A732" i="4"/>
  <c r="B732" i="4" s="1" a="1"/>
  <c r="B732" i="4" s="1"/>
  <c r="L731" i="4"/>
  <c r="K731" i="4"/>
  <c r="I731" i="4"/>
  <c r="G731" i="4"/>
  <c r="F731" i="4"/>
  <c r="A731" i="4"/>
  <c r="B731" i="4" s="1" a="1"/>
  <c r="B731" i="4" s="1"/>
  <c r="L730" i="4"/>
  <c r="K730" i="4"/>
  <c r="J730" i="4"/>
  <c r="I730" i="4"/>
  <c r="H730" i="4"/>
  <c r="G730" i="4"/>
  <c r="F730" i="4"/>
  <c r="A730" i="4"/>
  <c r="N730" i="4" s="1" a="1"/>
  <c r="N730" i="4" s="1"/>
  <c r="L729" i="4"/>
  <c r="K729" i="4"/>
  <c r="I729" i="4"/>
  <c r="G729" i="4"/>
  <c r="F729" i="4"/>
  <c r="E729" i="4" a="1"/>
  <c r="E729" i="4" s="1"/>
  <c r="A729" i="4"/>
  <c r="L728" i="4"/>
  <c r="K728" i="4"/>
  <c r="J728" i="4"/>
  <c r="I728" i="4"/>
  <c r="H728" i="4"/>
  <c r="G728" i="4"/>
  <c r="F728" i="4"/>
  <c r="E728" i="4" a="1"/>
  <c r="E728" i="4" s="1"/>
  <c r="A728" i="4"/>
  <c r="L727" i="4"/>
  <c r="K727" i="4"/>
  <c r="I727" i="4"/>
  <c r="G727" i="4"/>
  <c r="F727" i="4"/>
  <c r="A727" i="4"/>
  <c r="L726" i="4"/>
  <c r="K726" i="4"/>
  <c r="I726" i="4"/>
  <c r="G726" i="4"/>
  <c r="F726" i="4"/>
  <c r="A726" i="4"/>
  <c r="L725" i="4"/>
  <c r="K725" i="4"/>
  <c r="I725" i="4"/>
  <c r="G725" i="4"/>
  <c r="F725" i="4"/>
  <c r="A725" i="4"/>
  <c r="L724" i="4"/>
  <c r="K724" i="4"/>
  <c r="I724" i="4"/>
  <c r="G724" i="4"/>
  <c r="H724" i="4" s="1"/>
  <c r="F724" i="4"/>
  <c r="A724" i="4"/>
  <c r="N724" i="4" s="1" a="1"/>
  <c r="N724" i="4" s="1"/>
  <c r="L723" i="4"/>
  <c r="K723" i="4"/>
  <c r="I723" i="4"/>
  <c r="G723" i="4"/>
  <c r="F723" i="4"/>
  <c r="C723" i="4" a="1"/>
  <c r="C723" i="4" s="1"/>
  <c r="A723" i="4"/>
  <c r="L722" i="4"/>
  <c r="K722" i="4"/>
  <c r="I722" i="4"/>
  <c r="H722" i="4"/>
  <c r="G722" i="4"/>
  <c r="J722" i="4" s="1"/>
  <c r="F722" i="4"/>
  <c r="A722" i="4"/>
  <c r="L721" i="4"/>
  <c r="B721" i="4" s="1" a="1"/>
  <c r="B721" i="4" s="1"/>
  <c r="K721" i="4"/>
  <c r="I721" i="4"/>
  <c r="G721" i="4"/>
  <c r="J721" i="4" s="1"/>
  <c r="F721" i="4"/>
  <c r="A721" i="4"/>
  <c r="L720" i="4"/>
  <c r="K720" i="4"/>
  <c r="I720" i="4"/>
  <c r="G720" i="4"/>
  <c r="H720" i="4" s="1"/>
  <c r="F720" i="4"/>
  <c r="A720" i="4"/>
  <c r="L719" i="4"/>
  <c r="N719" i="4" s="1" a="1"/>
  <c r="N719" i="4" s="1"/>
  <c r="K719" i="4"/>
  <c r="I719" i="4"/>
  <c r="H719" i="4"/>
  <c r="G719" i="4"/>
  <c r="J719" i="4" s="1"/>
  <c r="F719" i="4"/>
  <c r="B719" i="4" a="1"/>
  <c r="B719" i="4" s="1"/>
  <c r="A719" i="4"/>
  <c r="M719" i="4" s="1" a="1"/>
  <c r="M719" i="4" s="1"/>
  <c r="L718" i="4"/>
  <c r="K718" i="4"/>
  <c r="J718" i="4"/>
  <c r="I718" i="4"/>
  <c r="G718" i="4"/>
  <c r="H718" i="4" s="1"/>
  <c r="F718" i="4"/>
  <c r="C718" i="4" a="1"/>
  <c r="C718" i="4" s="1"/>
  <c r="A718" i="4"/>
  <c r="L717" i="4"/>
  <c r="K717" i="4"/>
  <c r="I717" i="4"/>
  <c r="G717" i="4"/>
  <c r="F717" i="4"/>
  <c r="D717" i="4" a="1"/>
  <c r="D717" i="4" s="1"/>
  <c r="A717" i="4"/>
  <c r="L716" i="4"/>
  <c r="K716" i="4"/>
  <c r="I716" i="4"/>
  <c r="G716" i="4"/>
  <c r="F716" i="4"/>
  <c r="A716" i="4"/>
  <c r="L715" i="4"/>
  <c r="K715" i="4"/>
  <c r="J715" i="4"/>
  <c r="I715" i="4"/>
  <c r="G715" i="4"/>
  <c r="H715" i="4" s="1"/>
  <c r="F715" i="4"/>
  <c r="A715" i="4"/>
  <c r="L714" i="4"/>
  <c r="K714" i="4"/>
  <c r="I714" i="4"/>
  <c r="H714" i="4"/>
  <c r="G714" i="4"/>
  <c r="J714" i="4" s="1"/>
  <c r="F714" i="4"/>
  <c r="D714" i="4" a="1"/>
  <c r="D714" i="4" s="1"/>
  <c r="A714" i="4"/>
  <c r="M714" i="4" s="1" a="1"/>
  <c r="M714" i="4" s="1"/>
  <c r="L713" i="4"/>
  <c r="K713" i="4"/>
  <c r="I713" i="4"/>
  <c r="G713" i="4"/>
  <c r="F713" i="4"/>
  <c r="E713" i="4" a="1"/>
  <c r="E713" i="4" s="1"/>
  <c r="C713" i="4" a="1"/>
  <c r="C713" i="4" s="1"/>
  <c r="A713" i="4"/>
  <c r="L712" i="4"/>
  <c r="K712" i="4"/>
  <c r="I712" i="4"/>
  <c r="H712" i="4"/>
  <c r="G712" i="4"/>
  <c r="J712" i="4" s="1"/>
  <c r="F712" i="4"/>
  <c r="A712" i="4"/>
  <c r="C712" i="4" s="1" a="1"/>
  <c r="C712" i="4" s="1"/>
  <c r="L711" i="4"/>
  <c r="K711" i="4"/>
  <c r="I711" i="4"/>
  <c r="G711" i="4"/>
  <c r="F711" i="4"/>
  <c r="A711" i="4"/>
  <c r="N710" i="4" a="1"/>
  <c r="N710" i="4" s="1"/>
  <c r="L710" i="4"/>
  <c r="K710" i="4"/>
  <c r="J710" i="4"/>
  <c r="I710" i="4"/>
  <c r="H710" i="4"/>
  <c r="G710" i="4"/>
  <c r="F710" i="4"/>
  <c r="E710" i="4" a="1"/>
  <c r="E710" i="4" s="1"/>
  <c r="A710" i="4"/>
  <c r="L709" i="4"/>
  <c r="K709" i="4"/>
  <c r="J709" i="4"/>
  <c r="I709" i="4"/>
  <c r="G709" i="4"/>
  <c r="H709" i="4" s="1"/>
  <c r="F709" i="4"/>
  <c r="A709" i="4"/>
  <c r="C709" i="4" s="1" a="1"/>
  <c r="C709" i="4" s="1"/>
  <c r="L708" i="4"/>
  <c r="K708" i="4"/>
  <c r="I708" i="4"/>
  <c r="G708" i="4"/>
  <c r="F708" i="4"/>
  <c r="A708" i="4"/>
  <c r="L707" i="4"/>
  <c r="K707" i="4"/>
  <c r="I707" i="4"/>
  <c r="H707" i="4"/>
  <c r="G707" i="4"/>
  <c r="J707" i="4" s="1"/>
  <c r="F707" i="4"/>
  <c r="A707" i="4"/>
  <c r="D707" i="4" s="1" a="1"/>
  <c r="D707" i="4" s="1"/>
  <c r="L706" i="4"/>
  <c r="K706" i="4"/>
  <c r="I706" i="4"/>
  <c r="H706" i="4"/>
  <c r="G706" i="4"/>
  <c r="J706" i="4" s="1"/>
  <c r="F706" i="4"/>
  <c r="A706" i="4"/>
  <c r="B706" i="4" s="1" a="1"/>
  <c r="B706" i="4" s="1"/>
  <c r="L705" i="4"/>
  <c r="K705" i="4"/>
  <c r="I705" i="4"/>
  <c r="G705" i="4"/>
  <c r="F705" i="4"/>
  <c r="A705" i="4"/>
  <c r="M705" i="4" s="1" a="1"/>
  <c r="M705" i="4" s="1"/>
  <c r="L704" i="4"/>
  <c r="K704" i="4"/>
  <c r="I704" i="4"/>
  <c r="G704" i="4"/>
  <c r="F704" i="4"/>
  <c r="A704" i="4"/>
  <c r="C704" i="4" s="1" a="1"/>
  <c r="C704" i="4" s="1"/>
  <c r="L703" i="4"/>
  <c r="K703" i="4"/>
  <c r="I703" i="4"/>
  <c r="G703" i="4"/>
  <c r="F703" i="4"/>
  <c r="A703" i="4"/>
  <c r="N703" i="4" s="1" a="1"/>
  <c r="N703" i="4" s="1"/>
  <c r="N702" i="4" a="1"/>
  <c r="N702" i="4" s="1"/>
  <c r="L702" i="4"/>
  <c r="D702" i="4" s="1" a="1"/>
  <c r="D702" i="4" s="1"/>
  <c r="K702" i="4"/>
  <c r="J702" i="4"/>
  <c r="I702" i="4"/>
  <c r="G702" i="4"/>
  <c r="H702" i="4" s="1"/>
  <c r="F702" i="4"/>
  <c r="C702" i="4" a="1"/>
  <c r="C702" i="4" s="1"/>
  <c r="B702" i="4" a="1"/>
  <c r="B702" i="4" s="1"/>
  <c r="A702" i="4"/>
  <c r="L701" i="4"/>
  <c r="K701" i="4"/>
  <c r="I701" i="4"/>
  <c r="G701" i="4"/>
  <c r="F701" i="4"/>
  <c r="D701" i="4" a="1"/>
  <c r="D701" i="4" s="1"/>
  <c r="A701" i="4"/>
  <c r="N700" i="4" a="1"/>
  <c r="N700" i="4" s="1"/>
  <c r="L700" i="4"/>
  <c r="K700" i="4"/>
  <c r="I700" i="4"/>
  <c r="G700" i="4"/>
  <c r="F700" i="4"/>
  <c r="D700" i="4" a="1"/>
  <c r="D700" i="4" s="1"/>
  <c r="B700" i="4" a="1"/>
  <c r="B700" i="4" s="1"/>
  <c r="A700" i="4"/>
  <c r="M700" i="4" s="1" a="1"/>
  <c r="M700" i="4" s="1"/>
  <c r="L699" i="4"/>
  <c r="K699" i="4"/>
  <c r="I699" i="4"/>
  <c r="G699" i="4"/>
  <c r="F699" i="4"/>
  <c r="C699" i="4" a="1"/>
  <c r="C699" i="4" s="1"/>
  <c r="A699" i="4"/>
  <c r="L698" i="4"/>
  <c r="K698" i="4"/>
  <c r="I698" i="4"/>
  <c r="G698" i="4"/>
  <c r="F698" i="4"/>
  <c r="E698" i="4" a="1"/>
  <c r="E698" i="4" s="1"/>
  <c r="A698" i="4"/>
  <c r="N698" i="4" s="1" a="1"/>
  <c r="N698" i="4" s="1"/>
  <c r="L697" i="4"/>
  <c r="K697" i="4"/>
  <c r="B697" i="4" s="1" a="1"/>
  <c r="B697" i="4" s="1"/>
  <c r="I697" i="4"/>
  <c r="G697" i="4"/>
  <c r="J697" i="4" s="1"/>
  <c r="F697" i="4"/>
  <c r="A697" i="4"/>
  <c r="L696" i="4"/>
  <c r="K696" i="4"/>
  <c r="J696" i="4"/>
  <c r="I696" i="4"/>
  <c r="G696" i="4"/>
  <c r="H696" i="4" s="1"/>
  <c r="F696" i="4"/>
  <c r="A696" i="4"/>
  <c r="L695" i="4"/>
  <c r="K695" i="4"/>
  <c r="I695" i="4"/>
  <c r="G695" i="4"/>
  <c r="J695" i="4" s="1"/>
  <c r="F695" i="4"/>
  <c r="A695" i="4"/>
  <c r="L694" i="4"/>
  <c r="K694" i="4"/>
  <c r="J694" i="4"/>
  <c r="I694" i="4"/>
  <c r="H694" i="4"/>
  <c r="G694" i="4"/>
  <c r="F694" i="4"/>
  <c r="B694" i="4" a="1"/>
  <c r="B694" i="4" s="1"/>
  <c r="A694" i="4"/>
  <c r="M693" i="4" a="1"/>
  <c r="M693" i="4" s="1"/>
  <c r="L693" i="4"/>
  <c r="K693" i="4"/>
  <c r="I693" i="4"/>
  <c r="G693" i="4"/>
  <c r="F693" i="4"/>
  <c r="C693" i="4" a="1"/>
  <c r="C693" i="4" s="1"/>
  <c r="A693" i="4"/>
  <c r="L692" i="4"/>
  <c r="K692" i="4"/>
  <c r="I692" i="4"/>
  <c r="G692" i="4"/>
  <c r="F692" i="4"/>
  <c r="A692" i="4"/>
  <c r="B692" i="4" s="1" a="1"/>
  <c r="B692" i="4" s="1"/>
  <c r="L691" i="4"/>
  <c r="K691" i="4"/>
  <c r="J691" i="4"/>
  <c r="I691" i="4"/>
  <c r="G691" i="4"/>
  <c r="H691" i="4" s="1"/>
  <c r="F691" i="4"/>
  <c r="A691" i="4"/>
  <c r="N691" i="4" s="1" a="1"/>
  <c r="N691" i="4" s="1"/>
  <c r="L690" i="4"/>
  <c r="K690" i="4"/>
  <c r="J690" i="4"/>
  <c r="I690" i="4"/>
  <c r="H690" i="4"/>
  <c r="G690" i="4"/>
  <c r="F690" i="4"/>
  <c r="C690" i="4" a="1"/>
  <c r="C690" i="4" s="1"/>
  <c r="A690" i="4"/>
  <c r="L689" i="4"/>
  <c r="K689" i="4"/>
  <c r="D689" i="4" s="1" a="1"/>
  <c r="D689" i="4" s="1"/>
  <c r="I689" i="4"/>
  <c r="H689" i="4"/>
  <c r="G689" i="4"/>
  <c r="J689" i="4" s="1"/>
  <c r="F689" i="4"/>
  <c r="A689" i="4"/>
  <c r="L688" i="4"/>
  <c r="K688" i="4"/>
  <c r="J688" i="4"/>
  <c r="I688" i="4"/>
  <c r="G688" i="4"/>
  <c r="H688" i="4" s="1"/>
  <c r="F688" i="4"/>
  <c r="A688" i="4"/>
  <c r="L687" i="4"/>
  <c r="K687" i="4"/>
  <c r="J687" i="4"/>
  <c r="I687" i="4"/>
  <c r="G687" i="4"/>
  <c r="H687" i="4" s="1"/>
  <c r="F687" i="4"/>
  <c r="C687" i="4" a="1"/>
  <c r="C687" i="4" s="1"/>
  <c r="A687" i="4"/>
  <c r="L686" i="4"/>
  <c r="K686" i="4"/>
  <c r="I686" i="4"/>
  <c r="G686" i="4"/>
  <c r="F686" i="4"/>
  <c r="A686" i="4"/>
  <c r="M685" i="4" a="1"/>
  <c r="M685" i="4" s="1"/>
  <c r="L685" i="4"/>
  <c r="K685" i="4"/>
  <c r="I685" i="4"/>
  <c r="G685" i="4"/>
  <c r="H685" i="4" s="1"/>
  <c r="F685" i="4"/>
  <c r="A685" i="4"/>
  <c r="E685" i="4" s="1" a="1"/>
  <c r="E685" i="4" s="1"/>
  <c r="L684" i="4"/>
  <c r="K684" i="4"/>
  <c r="I684" i="4"/>
  <c r="G684" i="4"/>
  <c r="F684" i="4"/>
  <c r="A684" i="4"/>
  <c r="L683" i="4"/>
  <c r="K683" i="4"/>
  <c r="J683" i="4"/>
  <c r="I683" i="4"/>
  <c r="G683" i="4"/>
  <c r="H683" i="4" s="1"/>
  <c r="F683" i="4"/>
  <c r="A683" i="4"/>
  <c r="L682" i="4"/>
  <c r="K682" i="4"/>
  <c r="D682" i="4" s="1" a="1"/>
  <c r="D682" i="4" s="1"/>
  <c r="I682" i="4"/>
  <c r="H682" i="4"/>
  <c r="G682" i="4"/>
  <c r="J682" i="4" s="1"/>
  <c r="F682" i="4"/>
  <c r="A682" i="4"/>
  <c r="L681" i="4"/>
  <c r="K681" i="4"/>
  <c r="I681" i="4"/>
  <c r="G681" i="4"/>
  <c r="J681" i="4" s="1"/>
  <c r="F681" i="4"/>
  <c r="A681" i="4"/>
  <c r="E681" i="4" s="1" a="1"/>
  <c r="E681" i="4" s="1"/>
  <c r="L680" i="4"/>
  <c r="K680" i="4"/>
  <c r="J680" i="4"/>
  <c r="I680" i="4"/>
  <c r="H680" i="4"/>
  <c r="G680" i="4"/>
  <c r="F680" i="4"/>
  <c r="C680" i="4" a="1"/>
  <c r="C680" i="4" s="1"/>
  <c r="A680" i="4"/>
  <c r="L679" i="4"/>
  <c r="K679" i="4"/>
  <c r="I679" i="4"/>
  <c r="H679" i="4"/>
  <c r="G679" i="4"/>
  <c r="J679" i="4" s="1"/>
  <c r="F679" i="4"/>
  <c r="A679" i="4"/>
  <c r="L678" i="4"/>
  <c r="K678" i="4"/>
  <c r="N678" i="4" s="1" a="1"/>
  <c r="N678" i="4" s="1"/>
  <c r="I678" i="4"/>
  <c r="G678" i="4"/>
  <c r="F678" i="4"/>
  <c r="A678" i="4"/>
  <c r="L677" i="4"/>
  <c r="K677" i="4"/>
  <c r="J677" i="4"/>
  <c r="I677" i="4"/>
  <c r="G677" i="4"/>
  <c r="H677" i="4" s="1"/>
  <c r="F677" i="4"/>
  <c r="A677" i="4"/>
  <c r="L676" i="4"/>
  <c r="K676" i="4"/>
  <c r="J676" i="4"/>
  <c r="I676" i="4"/>
  <c r="G676" i="4"/>
  <c r="H676" i="4" s="1"/>
  <c r="F676" i="4"/>
  <c r="A676" i="4"/>
  <c r="E676" i="4" s="1" a="1"/>
  <c r="E676" i="4" s="1"/>
  <c r="L675" i="4"/>
  <c r="K675" i="4"/>
  <c r="I675" i="4"/>
  <c r="G675" i="4"/>
  <c r="J675" i="4" s="1"/>
  <c r="F675" i="4"/>
  <c r="A675" i="4"/>
  <c r="L674" i="4"/>
  <c r="K674" i="4"/>
  <c r="I674" i="4"/>
  <c r="G674" i="4"/>
  <c r="F674" i="4"/>
  <c r="A674" i="4"/>
  <c r="L673" i="4"/>
  <c r="K673" i="4"/>
  <c r="B673" i="4" s="1" a="1"/>
  <c r="B673" i="4" s="1"/>
  <c r="I673" i="4"/>
  <c r="H673" i="4"/>
  <c r="G673" i="4"/>
  <c r="J673" i="4" s="1"/>
  <c r="F673" i="4"/>
  <c r="A673" i="4"/>
  <c r="L672" i="4"/>
  <c r="K672" i="4"/>
  <c r="J672" i="4"/>
  <c r="I672" i="4"/>
  <c r="G672" i="4"/>
  <c r="H672" i="4" s="1"/>
  <c r="F672" i="4"/>
  <c r="B672" i="4" a="1"/>
  <c r="B672" i="4" s="1"/>
  <c r="A672" i="4"/>
  <c r="L671" i="4"/>
  <c r="K671" i="4"/>
  <c r="I671" i="4"/>
  <c r="G671" i="4"/>
  <c r="J671" i="4" s="1"/>
  <c r="F671" i="4"/>
  <c r="E671" i="4" a="1"/>
  <c r="E671" i="4" s="1"/>
  <c r="B671" i="4" a="1"/>
  <c r="B671" i="4" s="1"/>
  <c r="A671" i="4"/>
  <c r="L670" i="4"/>
  <c r="K670" i="4"/>
  <c r="I670" i="4"/>
  <c r="G670" i="4"/>
  <c r="F670" i="4"/>
  <c r="A670" i="4"/>
  <c r="M670" i="4" s="1" a="1"/>
  <c r="M670" i="4" s="1"/>
  <c r="N669" i="4" a="1"/>
  <c r="N669" i="4" s="1"/>
  <c r="M669" i="4" a="1"/>
  <c r="M669" i="4" s="1"/>
  <c r="L669" i="4"/>
  <c r="K669" i="4"/>
  <c r="I669" i="4"/>
  <c r="G669" i="4"/>
  <c r="F669" i="4"/>
  <c r="E669" i="4" a="1"/>
  <c r="E669" i="4" s="1"/>
  <c r="D669" i="4" a="1"/>
  <c r="D669" i="4" s="1"/>
  <c r="C669" i="4" a="1"/>
  <c r="C669" i="4" s="1"/>
  <c r="A669" i="4"/>
  <c r="L668" i="4"/>
  <c r="D668" i="4" s="1" a="1"/>
  <c r="D668" i="4" s="1"/>
  <c r="K668" i="4"/>
  <c r="I668" i="4"/>
  <c r="G668" i="4"/>
  <c r="F668" i="4"/>
  <c r="A668" i="4"/>
  <c r="L667" i="4"/>
  <c r="K667" i="4"/>
  <c r="I667" i="4"/>
  <c r="G667" i="4"/>
  <c r="F667" i="4"/>
  <c r="A667" i="4"/>
  <c r="L666" i="4"/>
  <c r="K666" i="4"/>
  <c r="I666" i="4"/>
  <c r="H666" i="4"/>
  <c r="G666" i="4"/>
  <c r="J666" i="4" s="1"/>
  <c r="F666" i="4"/>
  <c r="A666" i="4"/>
  <c r="L665" i="4"/>
  <c r="K665" i="4"/>
  <c r="I665" i="4"/>
  <c r="G665" i="4"/>
  <c r="J665" i="4" s="1"/>
  <c r="F665" i="4"/>
  <c r="A665" i="4"/>
  <c r="N665" i="4" s="1" a="1"/>
  <c r="N665" i="4" s="1"/>
  <c r="L664" i="4"/>
  <c r="K664" i="4"/>
  <c r="B664" i="4" s="1" a="1"/>
  <c r="B664" i="4" s="1"/>
  <c r="J664" i="4"/>
  <c r="I664" i="4"/>
  <c r="G664" i="4"/>
  <c r="H664" i="4" s="1"/>
  <c r="F664" i="4"/>
  <c r="C664" i="4" a="1"/>
  <c r="C664" i="4" s="1"/>
  <c r="A664" i="4"/>
  <c r="L663" i="4"/>
  <c r="K663" i="4"/>
  <c r="M663" i="4" s="1" a="1"/>
  <c r="M663" i="4" s="1"/>
  <c r="I663" i="4"/>
  <c r="G663" i="4"/>
  <c r="F663" i="4"/>
  <c r="A663" i="4"/>
  <c r="L662" i="4"/>
  <c r="K662" i="4"/>
  <c r="I662" i="4"/>
  <c r="G662" i="4"/>
  <c r="F662" i="4"/>
  <c r="A662" i="4"/>
  <c r="M661" i="4" a="1"/>
  <c r="M661" i="4" s="1"/>
  <c r="L661" i="4"/>
  <c r="K661" i="4"/>
  <c r="I661" i="4"/>
  <c r="H661" i="4"/>
  <c r="G661" i="4"/>
  <c r="J661" i="4" s="1"/>
  <c r="F661" i="4"/>
  <c r="A661" i="4"/>
  <c r="L660" i="4"/>
  <c r="K660" i="4"/>
  <c r="D660" i="4" s="1" a="1"/>
  <c r="D660" i="4" s="1"/>
  <c r="I660" i="4"/>
  <c r="H660" i="4"/>
  <c r="G660" i="4"/>
  <c r="J660" i="4" s="1"/>
  <c r="F660" i="4"/>
  <c r="A660" i="4"/>
  <c r="L659" i="4"/>
  <c r="K659" i="4"/>
  <c r="I659" i="4"/>
  <c r="G659" i="4"/>
  <c r="H659" i="4" s="1"/>
  <c r="F659" i="4"/>
  <c r="A659" i="4"/>
  <c r="L658" i="4"/>
  <c r="K658" i="4"/>
  <c r="I658" i="4"/>
  <c r="G658" i="4"/>
  <c r="F658" i="4"/>
  <c r="A658" i="4"/>
  <c r="L657" i="4"/>
  <c r="K657" i="4"/>
  <c r="I657" i="4"/>
  <c r="G657" i="4"/>
  <c r="F657" i="4"/>
  <c r="A657" i="4"/>
  <c r="L656" i="4"/>
  <c r="D656" i="4" s="1" a="1"/>
  <c r="D656" i="4" s="1"/>
  <c r="K656" i="4"/>
  <c r="I656" i="4"/>
  <c r="G656" i="4"/>
  <c r="J656" i="4" s="1"/>
  <c r="F656" i="4"/>
  <c r="B656" i="4" a="1"/>
  <c r="B656" i="4" s="1"/>
  <c r="A656" i="4"/>
  <c r="L655" i="4"/>
  <c r="K655" i="4"/>
  <c r="I655" i="4"/>
  <c r="G655" i="4"/>
  <c r="F655" i="4"/>
  <c r="A655" i="4"/>
  <c r="D655" i="4" s="1" a="1"/>
  <c r="D655" i="4" s="1"/>
  <c r="L654" i="4"/>
  <c r="K654" i="4"/>
  <c r="J654" i="4"/>
  <c r="I654" i="4"/>
  <c r="G654" i="4"/>
  <c r="H654" i="4" s="1"/>
  <c r="F654" i="4"/>
  <c r="E654" i="4" a="1"/>
  <c r="E654" i="4" s="1"/>
  <c r="A654" i="4"/>
  <c r="N654" i="4" s="1" a="1"/>
  <c r="N654" i="4" s="1"/>
  <c r="L653" i="4"/>
  <c r="K653" i="4"/>
  <c r="J653" i="4"/>
  <c r="I653" i="4"/>
  <c r="G653" i="4"/>
  <c r="H653" i="4" s="1"/>
  <c r="F653" i="4"/>
  <c r="D653" i="4" a="1"/>
  <c r="D653" i="4" s="1"/>
  <c r="A653" i="4"/>
  <c r="L652" i="4"/>
  <c r="K652" i="4"/>
  <c r="I652" i="4"/>
  <c r="G652" i="4"/>
  <c r="H652" i="4" s="1"/>
  <c r="F652" i="4"/>
  <c r="A652" i="4"/>
  <c r="L651" i="4"/>
  <c r="K651" i="4"/>
  <c r="I651" i="4"/>
  <c r="G651" i="4"/>
  <c r="F651" i="4"/>
  <c r="D651" i="4" a="1"/>
  <c r="D651" i="4" s="1"/>
  <c r="A651" i="4"/>
  <c r="L650" i="4"/>
  <c r="K650" i="4"/>
  <c r="B650" i="4" s="1" a="1"/>
  <c r="B650" i="4" s="1"/>
  <c r="I650" i="4"/>
  <c r="G650" i="4"/>
  <c r="F650" i="4"/>
  <c r="E650" i="4" a="1"/>
  <c r="E650" i="4" s="1"/>
  <c r="A650" i="4"/>
  <c r="L649" i="4"/>
  <c r="K649" i="4"/>
  <c r="I649" i="4"/>
  <c r="H649" i="4"/>
  <c r="G649" i="4"/>
  <c r="J649" i="4" s="1"/>
  <c r="F649" i="4"/>
  <c r="B649" i="4" a="1"/>
  <c r="B649" i="4" s="1"/>
  <c r="A649" i="4"/>
  <c r="N648" i="4" a="1"/>
  <c r="N648" i="4" s="1"/>
  <c r="L648" i="4"/>
  <c r="K648" i="4"/>
  <c r="J648" i="4"/>
  <c r="I648" i="4"/>
  <c r="G648" i="4"/>
  <c r="H648" i="4" s="1"/>
  <c r="F648" i="4"/>
  <c r="D648" i="4" a="1"/>
  <c r="D648" i="4" s="1"/>
  <c r="C648" i="4" a="1"/>
  <c r="C648" i="4" s="1"/>
  <c r="A648" i="4"/>
  <c r="L647" i="4"/>
  <c r="K647" i="4"/>
  <c r="C647" i="4" s="1" a="1"/>
  <c r="C647" i="4" s="1"/>
  <c r="I647" i="4"/>
  <c r="H647" i="4"/>
  <c r="G647" i="4"/>
  <c r="J647" i="4" s="1"/>
  <c r="F647" i="4"/>
  <c r="E647" i="4" a="1"/>
  <c r="E647" i="4" s="1"/>
  <c r="A647" i="4"/>
  <c r="L646" i="4"/>
  <c r="K646" i="4"/>
  <c r="D646" i="4" s="1" a="1"/>
  <c r="D646" i="4" s="1"/>
  <c r="I646" i="4"/>
  <c r="G646" i="4"/>
  <c r="H646" i="4" s="1"/>
  <c r="F646" i="4"/>
  <c r="A646" i="4"/>
  <c r="L645" i="4"/>
  <c r="K645" i="4"/>
  <c r="I645" i="4"/>
  <c r="G645" i="4"/>
  <c r="H645" i="4" s="1"/>
  <c r="F645" i="4"/>
  <c r="A645" i="4"/>
  <c r="L644" i="4"/>
  <c r="K644" i="4"/>
  <c r="I644" i="4"/>
  <c r="H644" i="4"/>
  <c r="G644" i="4"/>
  <c r="J644" i="4" s="1"/>
  <c r="F644" i="4"/>
  <c r="A644" i="4"/>
  <c r="L643" i="4"/>
  <c r="K643" i="4"/>
  <c r="I643" i="4"/>
  <c r="G643" i="4"/>
  <c r="F643" i="4"/>
  <c r="A643" i="4"/>
  <c r="L642" i="4"/>
  <c r="K642" i="4"/>
  <c r="B642" i="4" s="1" a="1"/>
  <c r="B642" i="4" s="1"/>
  <c r="I642" i="4"/>
  <c r="G642" i="4"/>
  <c r="J642" i="4" s="1"/>
  <c r="F642" i="4"/>
  <c r="A642" i="4"/>
  <c r="L641" i="4"/>
  <c r="K641" i="4"/>
  <c r="I641" i="4"/>
  <c r="G641" i="4"/>
  <c r="J641" i="4" s="1"/>
  <c r="F641" i="4"/>
  <c r="A641" i="4"/>
  <c r="N640" i="4" a="1"/>
  <c r="N640" i="4" s="1"/>
  <c r="L640" i="4"/>
  <c r="C640" i="4" s="1" a="1"/>
  <c r="K640" i="4"/>
  <c r="J640" i="4"/>
  <c r="I640" i="4"/>
  <c r="G640" i="4"/>
  <c r="H640" i="4" s="1"/>
  <c r="F640" i="4"/>
  <c r="E640" i="4" a="1"/>
  <c r="E640" i="4" s="1"/>
  <c r="D640" i="4" a="1"/>
  <c r="D640" i="4" s="1"/>
  <c r="C640" i="4"/>
  <c r="B640" i="4" a="1"/>
  <c r="B640" i="4" s="1"/>
  <c r="A640" i="4"/>
  <c r="L639" i="4"/>
  <c r="D639" i="4" s="1" a="1"/>
  <c r="D639" i="4" s="1"/>
  <c r="K639" i="4"/>
  <c r="J639" i="4"/>
  <c r="I639" i="4"/>
  <c r="H639" i="4"/>
  <c r="G639" i="4"/>
  <c r="F639" i="4"/>
  <c r="A639" i="4"/>
  <c r="L638" i="4"/>
  <c r="K638" i="4"/>
  <c r="J638" i="4"/>
  <c r="I638" i="4"/>
  <c r="G638" i="4"/>
  <c r="H638" i="4" s="1"/>
  <c r="F638" i="4"/>
  <c r="B638" i="4" a="1"/>
  <c r="B638" i="4" s="1"/>
  <c r="A638" i="4"/>
  <c r="L637" i="4"/>
  <c r="K637" i="4"/>
  <c r="J637" i="4"/>
  <c r="I637" i="4"/>
  <c r="G637" i="4"/>
  <c r="H637" i="4" s="1"/>
  <c r="F637" i="4"/>
  <c r="C637" i="4" a="1"/>
  <c r="C637" i="4" s="1"/>
  <c r="A637" i="4"/>
  <c r="L636" i="4"/>
  <c r="K636" i="4"/>
  <c r="I636" i="4"/>
  <c r="G636" i="4"/>
  <c r="J636" i="4" s="1"/>
  <c r="F636" i="4"/>
  <c r="D636" i="4" a="1"/>
  <c r="D636" i="4" s="1"/>
  <c r="A636" i="4"/>
  <c r="B636" i="4" s="1" a="1"/>
  <c r="B636" i="4" s="1"/>
  <c r="L635" i="4"/>
  <c r="K635" i="4"/>
  <c r="I635" i="4"/>
  <c r="G635" i="4"/>
  <c r="H635" i="4" s="1"/>
  <c r="F635" i="4"/>
  <c r="B635" i="4" a="1"/>
  <c r="B635" i="4" s="1"/>
  <c r="A635" i="4"/>
  <c r="L634" i="4"/>
  <c r="K634" i="4"/>
  <c r="C634" i="4" s="1" a="1"/>
  <c r="C634" i="4" s="1"/>
  <c r="J634" i="4"/>
  <c r="I634" i="4"/>
  <c r="G634" i="4"/>
  <c r="H634" i="4" s="1"/>
  <c r="F634" i="4"/>
  <c r="E634" i="4" a="1"/>
  <c r="E634" i="4" s="1"/>
  <c r="A634" i="4"/>
  <c r="L633" i="4"/>
  <c r="K633" i="4"/>
  <c r="I633" i="4"/>
  <c r="G633" i="4"/>
  <c r="F633" i="4"/>
  <c r="B633" i="4" a="1"/>
  <c r="B633" i="4" s="1"/>
  <c r="A633" i="4"/>
  <c r="L632" i="4"/>
  <c r="K632" i="4"/>
  <c r="I632" i="4"/>
  <c r="G632" i="4"/>
  <c r="F632" i="4"/>
  <c r="E632" i="4" a="1"/>
  <c r="E632" i="4" s="1"/>
  <c r="D632" i="4" a="1"/>
  <c r="D632" i="4" s="1"/>
  <c r="A632" i="4"/>
  <c r="L631" i="4"/>
  <c r="K631" i="4"/>
  <c r="J631" i="4"/>
  <c r="I631" i="4"/>
  <c r="H631" i="4"/>
  <c r="G631" i="4"/>
  <c r="F631" i="4"/>
  <c r="A631" i="4"/>
  <c r="L630" i="4"/>
  <c r="K630" i="4"/>
  <c r="I630" i="4"/>
  <c r="G630" i="4"/>
  <c r="H630" i="4" s="1"/>
  <c r="F630" i="4"/>
  <c r="A630" i="4"/>
  <c r="M630" i="4" s="1" a="1"/>
  <c r="M630" i="4" s="1"/>
  <c r="L629" i="4"/>
  <c r="K629" i="4"/>
  <c r="I629" i="4"/>
  <c r="G629" i="4"/>
  <c r="H629" i="4" s="1"/>
  <c r="F629" i="4"/>
  <c r="A629" i="4"/>
  <c r="D629" i="4" s="1" a="1"/>
  <c r="D629" i="4" s="1"/>
  <c r="L628" i="4"/>
  <c r="D628" i="4" s="1" a="1"/>
  <c r="D628" i="4" s="1"/>
  <c r="K628" i="4"/>
  <c r="I628" i="4"/>
  <c r="G628" i="4"/>
  <c r="J628" i="4" s="1"/>
  <c r="F628" i="4"/>
  <c r="A628" i="4"/>
  <c r="L627" i="4"/>
  <c r="K627" i="4"/>
  <c r="J627" i="4"/>
  <c r="I627" i="4"/>
  <c r="G627" i="4"/>
  <c r="H627" i="4" s="1"/>
  <c r="F627" i="4"/>
  <c r="D627" i="4" a="1"/>
  <c r="D627" i="4" s="1"/>
  <c r="A627" i="4"/>
  <c r="L626" i="4"/>
  <c r="K626" i="4"/>
  <c r="J626" i="4"/>
  <c r="I626" i="4"/>
  <c r="H626" i="4"/>
  <c r="G626" i="4"/>
  <c r="F626" i="4"/>
  <c r="A626" i="4"/>
  <c r="L625" i="4"/>
  <c r="K625" i="4"/>
  <c r="I625" i="4"/>
  <c r="G625" i="4"/>
  <c r="J625" i="4" s="1"/>
  <c r="F625" i="4"/>
  <c r="A625" i="4"/>
  <c r="L624" i="4"/>
  <c r="K624" i="4"/>
  <c r="J624" i="4"/>
  <c r="I624" i="4"/>
  <c r="G624" i="4"/>
  <c r="H624" i="4" s="1"/>
  <c r="F624" i="4"/>
  <c r="A624" i="4"/>
  <c r="L623" i="4"/>
  <c r="K623" i="4"/>
  <c r="J623" i="4"/>
  <c r="I623" i="4"/>
  <c r="G623" i="4"/>
  <c r="H623" i="4" s="1"/>
  <c r="F623" i="4"/>
  <c r="A623" i="4"/>
  <c r="D623" i="4" s="1" a="1"/>
  <c r="D623" i="4" s="1"/>
  <c r="L622" i="4"/>
  <c r="K622" i="4"/>
  <c r="I622" i="4"/>
  <c r="G622" i="4"/>
  <c r="H622" i="4" s="1"/>
  <c r="F622" i="4"/>
  <c r="B622" i="4" a="1"/>
  <c r="B622" i="4" s="1"/>
  <c r="A622" i="4"/>
  <c r="L621" i="4"/>
  <c r="K621" i="4"/>
  <c r="I621" i="4"/>
  <c r="G621" i="4"/>
  <c r="H621" i="4" s="1"/>
  <c r="F621" i="4"/>
  <c r="C621" i="4" a="1"/>
  <c r="C621" i="4" s="1"/>
  <c r="A621" i="4"/>
  <c r="L620" i="4"/>
  <c r="K620" i="4"/>
  <c r="I620" i="4"/>
  <c r="G620" i="4"/>
  <c r="J620" i="4" s="1"/>
  <c r="F620" i="4"/>
  <c r="B620" i="4" a="1"/>
  <c r="B620" i="4" s="1"/>
  <c r="A620" i="4"/>
  <c r="L619" i="4"/>
  <c r="K619" i="4"/>
  <c r="I619" i="4"/>
  <c r="G619" i="4"/>
  <c r="H619" i="4" s="1"/>
  <c r="F619" i="4"/>
  <c r="A619" i="4"/>
  <c r="L618" i="4"/>
  <c r="K618" i="4"/>
  <c r="I618" i="4"/>
  <c r="G618" i="4"/>
  <c r="F618" i="4"/>
  <c r="A618" i="4"/>
  <c r="L617" i="4"/>
  <c r="K617" i="4"/>
  <c r="I617" i="4"/>
  <c r="G617" i="4"/>
  <c r="F617" i="4"/>
  <c r="A617" i="4"/>
  <c r="L616" i="4"/>
  <c r="K616" i="4"/>
  <c r="B616" i="4" s="1" a="1"/>
  <c r="B616" i="4" s="1"/>
  <c r="J616" i="4"/>
  <c r="I616" i="4"/>
  <c r="G616" i="4"/>
  <c r="H616" i="4" s="1"/>
  <c r="F616" i="4"/>
  <c r="A616" i="4"/>
  <c r="L615" i="4"/>
  <c r="K615" i="4"/>
  <c r="J615" i="4"/>
  <c r="I615" i="4"/>
  <c r="G615" i="4"/>
  <c r="H615" i="4" s="1"/>
  <c r="F615" i="4"/>
  <c r="A615" i="4"/>
  <c r="L614" i="4"/>
  <c r="K614" i="4"/>
  <c r="B614" i="4" s="1" a="1"/>
  <c r="B614" i="4" s="1"/>
  <c r="I614" i="4"/>
  <c r="G614" i="4"/>
  <c r="J614" i="4" s="1"/>
  <c r="F614" i="4"/>
  <c r="D614" i="4" a="1"/>
  <c r="D614" i="4" s="1"/>
  <c r="A614" i="4"/>
  <c r="L613" i="4"/>
  <c r="K613" i="4"/>
  <c r="J613" i="4"/>
  <c r="I613" i="4"/>
  <c r="G613" i="4"/>
  <c r="H613" i="4" s="1"/>
  <c r="F613" i="4"/>
  <c r="C613" i="4" a="1"/>
  <c r="C613" i="4" s="1"/>
  <c r="A613" i="4"/>
  <c r="L612" i="4"/>
  <c r="K612" i="4"/>
  <c r="I612" i="4"/>
  <c r="G612" i="4"/>
  <c r="J612" i="4" s="1"/>
  <c r="F612" i="4"/>
  <c r="D612" i="4" a="1"/>
  <c r="D612" i="4" s="1"/>
  <c r="B612" i="4" a="1"/>
  <c r="B612" i="4" s="1"/>
  <c r="A612" i="4"/>
  <c r="L611" i="4"/>
  <c r="K611" i="4"/>
  <c r="I611" i="4"/>
  <c r="G611" i="4"/>
  <c r="J611" i="4" s="1"/>
  <c r="F611" i="4"/>
  <c r="A611" i="4"/>
  <c r="L610" i="4"/>
  <c r="K610" i="4"/>
  <c r="J610" i="4"/>
  <c r="I610" i="4"/>
  <c r="H610" i="4"/>
  <c r="G610" i="4"/>
  <c r="F610" i="4"/>
  <c r="A610" i="4"/>
  <c r="L609" i="4"/>
  <c r="B609" i="4" s="1" a="1"/>
  <c r="B609" i="4" s="1"/>
  <c r="K609" i="4"/>
  <c r="I609" i="4"/>
  <c r="G609" i="4"/>
  <c r="J609" i="4" s="1"/>
  <c r="F609" i="4"/>
  <c r="A609" i="4"/>
  <c r="L608" i="4"/>
  <c r="K608" i="4"/>
  <c r="I608" i="4"/>
  <c r="G608" i="4"/>
  <c r="H608" i="4" s="1"/>
  <c r="F608" i="4"/>
  <c r="A608" i="4"/>
  <c r="L607" i="4"/>
  <c r="K607" i="4"/>
  <c r="C607" i="4" s="1" a="1"/>
  <c r="C607" i="4" s="1"/>
  <c r="J607" i="4"/>
  <c r="I607" i="4"/>
  <c r="G607" i="4"/>
  <c r="H607" i="4" s="1"/>
  <c r="F607" i="4"/>
  <c r="A607" i="4"/>
  <c r="L606" i="4"/>
  <c r="K606" i="4"/>
  <c r="B606" i="4" s="1" a="1"/>
  <c r="B606" i="4" s="1"/>
  <c r="I606" i="4"/>
  <c r="G606" i="4"/>
  <c r="H606" i="4" s="1"/>
  <c r="F606" i="4"/>
  <c r="A606" i="4"/>
  <c r="L605" i="4"/>
  <c r="K605" i="4"/>
  <c r="I605" i="4"/>
  <c r="G605" i="4"/>
  <c r="H605" i="4" s="1"/>
  <c r="F605" i="4"/>
  <c r="A605" i="4"/>
  <c r="L604" i="4"/>
  <c r="K604" i="4"/>
  <c r="I604" i="4"/>
  <c r="G604" i="4"/>
  <c r="J604" i="4" s="1"/>
  <c r="F604" i="4"/>
  <c r="B604" i="4" a="1"/>
  <c r="B604" i="4" s="1"/>
  <c r="A604" i="4"/>
  <c r="L603" i="4"/>
  <c r="K603" i="4"/>
  <c r="I603" i="4"/>
  <c r="G603" i="4"/>
  <c r="J603" i="4" s="1"/>
  <c r="F603" i="4"/>
  <c r="A603" i="4"/>
  <c r="L602" i="4"/>
  <c r="K602" i="4"/>
  <c r="J602" i="4"/>
  <c r="I602" i="4"/>
  <c r="H602" i="4"/>
  <c r="G602" i="4"/>
  <c r="F602" i="4"/>
  <c r="A602" i="4"/>
  <c r="L601" i="4"/>
  <c r="K601" i="4"/>
  <c r="I601" i="4"/>
  <c r="G601" i="4"/>
  <c r="F601" i="4"/>
  <c r="A601" i="4"/>
  <c r="N601" i="4" s="1" a="1"/>
  <c r="N601" i="4" s="1"/>
  <c r="N600" i="4" a="1"/>
  <c r="N600" i="4" s="1"/>
  <c r="L600" i="4"/>
  <c r="K600" i="4"/>
  <c r="I600" i="4"/>
  <c r="G600" i="4"/>
  <c r="F600" i="4"/>
  <c r="C600" i="4" a="1"/>
  <c r="C600" i="4" s="1"/>
  <c r="A600" i="4"/>
  <c r="D600" i="4" s="1" a="1"/>
  <c r="D600" i="4" s="1"/>
  <c r="L599" i="4"/>
  <c r="K599" i="4"/>
  <c r="J599" i="4"/>
  <c r="I599" i="4"/>
  <c r="H599" i="4"/>
  <c r="G599" i="4"/>
  <c r="F599" i="4"/>
  <c r="A599" i="4"/>
  <c r="M599" i="4" s="1" a="1"/>
  <c r="M599" i="4" s="1"/>
  <c r="L598" i="4"/>
  <c r="K598" i="4"/>
  <c r="I598" i="4"/>
  <c r="G598" i="4"/>
  <c r="F598" i="4"/>
  <c r="D598" i="4" a="1"/>
  <c r="D598" i="4" s="1"/>
  <c r="A598" i="4"/>
  <c r="L597" i="4"/>
  <c r="K597" i="4"/>
  <c r="I597" i="4"/>
  <c r="G597" i="4"/>
  <c r="F597" i="4"/>
  <c r="A597" i="4"/>
  <c r="L596" i="4"/>
  <c r="K596" i="4"/>
  <c r="I596" i="4"/>
  <c r="G596" i="4"/>
  <c r="J596" i="4" s="1"/>
  <c r="F596" i="4"/>
  <c r="A596" i="4"/>
  <c r="L595" i="4"/>
  <c r="K595" i="4"/>
  <c r="J595" i="4"/>
  <c r="I595" i="4"/>
  <c r="H595" i="4"/>
  <c r="G595" i="4"/>
  <c r="F595" i="4"/>
  <c r="A595" i="4"/>
  <c r="L594" i="4"/>
  <c r="K594" i="4"/>
  <c r="I594" i="4"/>
  <c r="G594" i="4"/>
  <c r="F594" i="4"/>
  <c r="A594" i="4"/>
  <c r="M594" i="4" s="1" a="1"/>
  <c r="M594" i="4" s="1"/>
  <c r="L593" i="4"/>
  <c r="K593" i="4"/>
  <c r="I593" i="4"/>
  <c r="H593" i="4"/>
  <c r="G593" i="4"/>
  <c r="J593" i="4" s="1"/>
  <c r="F593" i="4"/>
  <c r="A593" i="4"/>
  <c r="L592" i="4"/>
  <c r="K592" i="4"/>
  <c r="I592" i="4"/>
  <c r="G592" i="4"/>
  <c r="H592" i="4" s="1"/>
  <c r="F592" i="4"/>
  <c r="A592" i="4"/>
  <c r="L591" i="4"/>
  <c r="K591" i="4"/>
  <c r="J591" i="4"/>
  <c r="I591" i="4"/>
  <c r="H591" i="4"/>
  <c r="G591" i="4"/>
  <c r="F591" i="4"/>
  <c r="A591" i="4"/>
  <c r="L590" i="4"/>
  <c r="K590" i="4"/>
  <c r="I590" i="4"/>
  <c r="G590" i="4"/>
  <c r="F590" i="4"/>
  <c r="A590" i="4"/>
  <c r="L589" i="4"/>
  <c r="K589" i="4"/>
  <c r="I589" i="4"/>
  <c r="G589" i="4"/>
  <c r="F589" i="4"/>
  <c r="A589" i="4"/>
  <c r="L588" i="4"/>
  <c r="K588" i="4"/>
  <c r="I588" i="4"/>
  <c r="H588" i="4"/>
  <c r="G588" i="4"/>
  <c r="J588" i="4" s="1"/>
  <c r="F588" i="4"/>
  <c r="A588" i="4"/>
  <c r="L587" i="4"/>
  <c r="K587" i="4"/>
  <c r="I587" i="4"/>
  <c r="G587" i="4"/>
  <c r="F587" i="4"/>
  <c r="A587" i="4"/>
  <c r="E587" i="4" s="1" a="1"/>
  <c r="E587" i="4" s="1"/>
  <c r="L586" i="4"/>
  <c r="K586" i="4"/>
  <c r="I586" i="4"/>
  <c r="H586" i="4"/>
  <c r="G586" i="4"/>
  <c r="J586" i="4" s="1"/>
  <c r="F586" i="4"/>
  <c r="C586" i="4" a="1"/>
  <c r="C586" i="4" s="1"/>
  <c r="A586" i="4"/>
  <c r="L585" i="4"/>
  <c r="K585" i="4"/>
  <c r="J585" i="4"/>
  <c r="I585" i="4"/>
  <c r="H585" i="4"/>
  <c r="G585" i="4"/>
  <c r="F585" i="4"/>
  <c r="A585" i="4"/>
  <c r="D585" i="4" s="1" a="1"/>
  <c r="D585" i="4" s="1"/>
  <c r="L584" i="4"/>
  <c r="B584" i="4" s="1" a="1"/>
  <c r="B584" i="4" s="1"/>
  <c r="K584" i="4"/>
  <c r="C584" i="4" s="1" a="1"/>
  <c r="C584" i="4" s="1"/>
  <c r="I584" i="4"/>
  <c r="G584" i="4"/>
  <c r="H584" i="4" s="1"/>
  <c r="F584" i="4"/>
  <c r="A584" i="4"/>
  <c r="L583" i="4"/>
  <c r="K583" i="4"/>
  <c r="I583" i="4"/>
  <c r="G583" i="4"/>
  <c r="F583" i="4"/>
  <c r="A583" i="4"/>
  <c r="L582" i="4"/>
  <c r="K582" i="4"/>
  <c r="I582" i="4"/>
  <c r="G582" i="4"/>
  <c r="F582" i="4"/>
  <c r="A582" i="4"/>
  <c r="L581" i="4"/>
  <c r="K581" i="4"/>
  <c r="I581" i="4"/>
  <c r="G581" i="4"/>
  <c r="H581" i="4" s="1"/>
  <c r="F581" i="4"/>
  <c r="A581" i="4"/>
  <c r="L580" i="4"/>
  <c r="K580" i="4"/>
  <c r="I580" i="4"/>
  <c r="G580" i="4"/>
  <c r="F580" i="4"/>
  <c r="A580" i="4"/>
  <c r="L579" i="4"/>
  <c r="D579" i="4" s="1" a="1"/>
  <c r="D579" i="4" s="1"/>
  <c r="K579" i="4"/>
  <c r="I579" i="4"/>
  <c r="G579" i="4"/>
  <c r="J579" i="4" s="1"/>
  <c r="F579" i="4"/>
  <c r="B579" i="4" a="1"/>
  <c r="B579" i="4" s="1"/>
  <c r="A579" i="4"/>
  <c r="L578" i="4"/>
  <c r="D578" i="4" s="1" a="1"/>
  <c r="D578" i="4" s="1"/>
  <c r="K578" i="4"/>
  <c r="J578" i="4"/>
  <c r="I578" i="4"/>
  <c r="H578" i="4"/>
  <c r="G578" i="4"/>
  <c r="F578" i="4"/>
  <c r="A578" i="4"/>
  <c r="L577" i="4"/>
  <c r="K577" i="4"/>
  <c r="I577" i="4"/>
  <c r="G577" i="4"/>
  <c r="F577" i="4"/>
  <c r="A577" i="4"/>
  <c r="L576" i="4"/>
  <c r="K576" i="4"/>
  <c r="I576" i="4"/>
  <c r="G576" i="4"/>
  <c r="H576" i="4" s="1"/>
  <c r="F576" i="4"/>
  <c r="A576" i="4"/>
  <c r="L575" i="4"/>
  <c r="K575" i="4"/>
  <c r="J575" i="4"/>
  <c r="I575" i="4"/>
  <c r="H575" i="4"/>
  <c r="G575" i="4"/>
  <c r="F575" i="4"/>
  <c r="A575" i="4"/>
  <c r="N574" i="4" a="1"/>
  <c r="N574" i="4" s="1"/>
  <c r="L574" i="4"/>
  <c r="K574" i="4"/>
  <c r="E574" i="4" s="1" a="1"/>
  <c r="E574" i="4" s="1"/>
  <c r="I574" i="4"/>
  <c r="H574" i="4"/>
  <c r="G574" i="4"/>
  <c r="J574" i="4" s="1"/>
  <c r="F574" i="4"/>
  <c r="B574" i="4" a="1"/>
  <c r="B574" i="4" s="1"/>
  <c r="A574" i="4"/>
  <c r="L573" i="4"/>
  <c r="K573" i="4"/>
  <c r="I573" i="4"/>
  <c r="G573" i="4"/>
  <c r="F573" i="4"/>
  <c r="A573" i="4"/>
  <c r="L572" i="4"/>
  <c r="K572" i="4"/>
  <c r="I572" i="4"/>
  <c r="H572" i="4"/>
  <c r="G572" i="4"/>
  <c r="J572" i="4" s="1"/>
  <c r="F572" i="4"/>
  <c r="A572" i="4"/>
  <c r="C572" i="4" s="1" a="1"/>
  <c r="C572" i="4" s="1"/>
  <c r="L571" i="4"/>
  <c r="K571" i="4"/>
  <c r="I571" i="4"/>
  <c r="G571" i="4"/>
  <c r="F571" i="4"/>
  <c r="A571" i="4"/>
  <c r="L570" i="4"/>
  <c r="K570" i="4"/>
  <c r="J570" i="4"/>
  <c r="I570" i="4"/>
  <c r="H570" i="4"/>
  <c r="G570" i="4"/>
  <c r="F570" i="4"/>
  <c r="A570" i="4"/>
  <c r="L569" i="4"/>
  <c r="K569" i="4"/>
  <c r="I569" i="4"/>
  <c r="G569" i="4"/>
  <c r="F569" i="4"/>
  <c r="A569" i="4"/>
  <c r="L568" i="4"/>
  <c r="K568" i="4"/>
  <c r="I568" i="4"/>
  <c r="G568" i="4"/>
  <c r="F568" i="4"/>
  <c r="B568" i="4" a="1"/>
  <c r="B568" i="4" s="1"/>
  <c r="A568" i="4"/>
  <c r="L567" i="4"/>
  <c r="K567" i="4"/>
  <c r="J567" i="4"/>
  <c r="I567" i="4"/>
  <c r="G567" i="4"/>
  <c r="H567" i="4" s="1"/>
  <c r="F567" i="4"/>
  <c r="E567" i="4" a="1"/>
  <c r="E567" i="4" s="1"/>
  <c r="A567" i="4"/>
  <c r="L566" i="4"/>
  <c r="K566" i="4"/>
  <c r="I566" i="4"/>
  <c r="G566" i="4"/>
  <c r="J566" i="4" s="1"/>
  <c r="F566" i="4"/>
  <c r="A566" i="4"/>
  <c r="L565" i="4"/>
  <c r="K565" i="4"/>
  <c r="B565" i="4" s="1" a="1"/>
  <c r="B565" i="4" s="1"/>
  <c r="I565" i="4"/>
  <c r="G565" i="4"/>
  <c r="F565" i="4"/>
  <c r="A565" i="4"/>
  <c r="L564" i="4"/>
  <c r="K564" i="4"/>
  <c r="I564" i="4"/>
  <c r="G564" i="4"/>
  <c r="F564" i="4"/>
  <c r="A564" i="4"/>
  <c r="C564" i="4" s="1" a="1"/>
  <c r="C564" i="4" s="1"/>
  <c r="L563" i="4"/>
  <c r="K563" i="4"/>
  <c r="I563" i="4"/>
  <c r="G563" i="4"/>
  <c r="H563" i="4" s="1"/>
  <c r="F563" i="4"/>
  <c r="C563" i="4" a="1"/>
  <c r="C563" i="4" s="1"/>
  <c r="A563" i="4"/>
  <c r="N562" i="4" a="1"/>
  <c r="N562" i="4" s="1"/>
  <c r="L562" i="4"/>
  <c r="K562" i="4"/>
  <c r="B562" i="4" s="1" a="1"/>
  <c r="B562" i="4" s="1"/>
  <c r="J562" i="4"/>
  <c r="I562" i="4"/>
  <c r="G562" i="4"/>
  <c r="H562" i="4" s="1"/>
  <c r="F562" i="4"/>
  <c r="E562" i="4" a="1"/>
  <c r="E562" i="4" s="1"/>
  <c r="C562" i="4" a="1"/>
  <c r="C562" i="4" s="1"/>
  <c r="A562" i="4"/>
  <c r="L561" i="4"/>
  <c r="K561" i="4"/>
  <c r="N561" i="4" s="1" a="1"/>
  <c r="N561" i="4" s="1"/>
  <c r="I561" i="4"/>
  <c r="G561" i="4"/>
  <c r="J561" i="4" s="1"/>
  <c r="F561" i="4"/>
  <c r="A561" i="4"/>
  <c r="L560" i="4"/>
  <c r="K560" i="4"/>
  <c r="I560" i="4"/>
  <c r="H560" i="4"/>
  <c r="G560" i="4"/>
  <c r="J560" i="4" s="1"/>
  <c r="F560" i="4"/>
  <c r="A560" i="4"/>
  <c r="M559" i="4" a="1"/>
  <c r="M559" i="4" s="1"/>
  <c r="L559" i="4"/>
  <c r="K559" i="4"/>
  <c r="I559" i="4"/>
  <c r="H559" i="4"/>
  <c r="G559" i="4"/>
  <c r="J559" i="4" s="1"/>
  <c r="F559" i="4"/>
  <c r="A559" i="4"/>
  <c r="L558" i="4"/>
  <c r="K558" i="4"/>
  <c r="I558" i="4"/>
  <c r="H558" i="4"/>
  <c r="G558" i="4"/>
  <c r="J558" i="4" s="1"/>
  <c r="F558" i="4"/>
  <c r="D558" i="4" a="1"/>
  <c r="D558" i="4" s="1"/>
  <c r="B558" i="4" a="1"/>
  <c r="B558" i="4" s="1"/>
  <c r="A558" i="4"/>
  <c r="N557" i="4" a="1"/>
  <c r="N557" i="4" s="1"/>
  <c r="M557" i="4" a="1"/>
  <c r="M557" i="4" s="1"/>
  <c r="L557" i="4"/>
  <c r="K557" i="4"/>
  <c r="I557" i="4"/>
  <c r="H557" i="4"/>
  <c r="G557" i="4"/>
  <c r="J557" i="4" s="1"/>
  <c r="F557" i="4"/>
  <c r="B557" i="4" a="1"/>
  <c r="B557" i="4" s="1"/>
  <c r="A557" i="4"/>
  <c r="E557" i="4" s="1" a="1"/>
  <c r="E557" i="4" s="1"/>
  <c r="L556" i="4"/>
  <c r="K556" i="4"/>
  <c r="I556" i="4"/>
  <c r="G556" i="4"/>
  <c r="J556" i="4" s="1"/>
  <c r="F556" i="4"/>
  <c r="A556" i="4"/>
  <c r="L555" i="4"/>
  <c r="K555" i="4"/>
  <c r="I555" i="4"/>
  <c r="G555" i="4"/>
  <c r="J555" i="4" s="1"/>
  <c r="F555" i="4"/>
  <c r="A555" i="4"/>
  <c r="N555" i="4" s="1" a="1"/>
  <c r="N555" i="4" s="1"/>
  <c r="L554" i="4"/>
  <c r="K554" i="4"/>
  <c r="I554" i="4"/>
  <c r="G554" i="4"/>
  <c r="J554" i="4" s="1"/>
  <c r="F554" i="4"/>
  <c r="E554" i="4" a="1"/>
  <c r="E554" i="4" s="1"/>
  <c r="B554" i="4" a="1"/>
  <c r="B554" i="4" s="1"/>
  <c r="A554" i="4"/>
  <c r="M554" i="4" s="1" a="1"/>
  <c r="M554" i="4" s="1"/>
  <c r="L553" i="4"/>
  <c r="K553" i="4"/>
  <c r="I553" i="4"/>
  <c r="G553" i="4"/>
  <c r="J553" i="4" s="1"/>
  <c r="F553" i="4"/>
  <c r="D553" i="4" a="1"/>
  <c r="D553" i="4" s="1"/>
  <c r="A553" i="4"/>
  <c r="L552" i="4"/>
  <c r="K552" i="4"/>
  <c r="I552" i="4"/>
  <c r="G552" i="4"/>
  <c r="H552" i="4" s="1"/>
  <c r="F552" i="4"/>
  <c r="A552" i="4"/>
  <c r="N552" i="4" s="1" a="1"/>
  <c r="N552" i="4" s="1"/>
  <c r="N551" i="4" a="1"/>
  <c r="N551" i="4" s="1"/>
  <c r="L551" i="4"/>
  <c r="K551" i="4"/>
  <c r="I551" i="4"/>
  <c r="H551" i="4"/>
  <c r="G551" i="4"/>
  <c r="J551" i="4" s="1"/>
  <c r="F551" i="4"/>
  <c r="B551" i="4" a="1"/>
  <c r="B551" i="4" s="1"/>
  <c r="A551" i="4"/>
  <c r="L550" i="4"/>
  <c r="K550" i="4"/>
  <c r="I550" i="4"/>
  <c r="G550" i="4"/>
  <c r="J550" i="4" s="1"/>
  <c r="F550" i="4"/>
  <c r="A550" i="4"/>
  <c r="L549" i="4"/>
  <c r="K549" i="4"/>
  <c r="B549" i="4" s="1" a="1"/>
  <c r="B549" i="4" s="1"/>
  <c r="I549" i="4"/>
  <c r="G549" i="4"/>
  <c r="H549" i="4" s="1"/>
  <c r="F549" i="4"/>
  <c r="A549" i="4"/>
  <c r="L548" i="4"/>
  <c r="K548" i="4"/>
  <c r="I548" i="4"/>
  <c r="G548" i="4"/>
  <c r="J548" i="4" s="1"/>
  <c r="F548" i="4"/>
  <c r="A548" i="4"/>
  <c r="L547" i="4"/>
  <c r="K547" i="4"/>
  <c r="I547" i="4"/>
  <c r="G547" i="4"/>
  <c r="H547" i="4" s="1"/>
  <c r="F547" i="4"/>
  <c r="A547" i="4"/>
  <c r="N547" i="4" s="1" a="1"/>
  <c r="N547" i="4" s="1"/>
  <c r="L546" i="4"/>
  <c r="K546" i="4"/>
  <c r="I546" i="4"/>
  <c r="G546" i="4"/>
  <c r="J546" i="4" s="1"/>
  <c r="F546" i="4"/>
  <c r="A546" i="4"/>
  <c r="L545" i="4"/>
  <c r="K545" i="4"/>
  <c r="D545" i="4" s="1" a="1"/>
  <c r="D545" i="4" s="1"/>
  <c r="I545" i="4"/>
  <c r="G545" i="4"/>
  <c r="H545" i="4" s="1"/>
  <c r="F545" i="4"/>
  <c r="A545" i="4"/>
  <c r="L544" i="4"/>
  <c r="K544" i="4"/>
  <c r="M544" i="4" s="1" a="1"/>
  <c r="M544" i="4" s="1"/>
  <c r="J544" i="4"/>
  <c r="I544" i="4"/>
  <c r="G544" i="4"/>
  <c r="H544" i="4" s="1"/>
  <c r="F544" i="4"/>
  <c r="A544" i="4"/>
  <c r="L543" i="4"/>
  <c r="K543" i="4"/>
  <c r="E543" i="4" s="1" a="1"/>
  <c r="E543" i="4" s="1"/>
  <c r="J543" i="4"/>
  <c r="I543" i="4"/>
  <c r="G543" i="4"/>
  <c r="H543" i="4" s="1"/>
  <c r="F543" i="4"/>
  <c r="B543" i="4" a="1"/>
  <c r="B543" i="4" s="1"/>
  <c r="A543" i="4"/>
  <c r="L542" i="4"/>
  <c r="K542" i="4"/>
  <c r="N542" i="4" s="1" a="1"/>
  <c r="N542" i="4" s="1"/>
  <c r="I542" i="4"/>
  <c r="G542" i="4"/>
  <c r="F542" i="4"/>
  <c r="A542" i="4"/>
  <c r="L541" i="4"/>
  <c r="K541" i="4"/>
  <c r="I541" i="4"/>
  <c r="G541" i="4"/>
  <c r="F541" i="4"/>
  <c r="D541" i="4" a="1"/>
  <c r="D541" i="4" s="1"/>
  <c r="A541" i="4"/>
  <c r="L540" i="4"/>
  <c r="K540" i="4"/>
  <c r="I540" i="4"/>
  <c r="G540" i="4"/>
  <c r="J540" i="4" s="1"/>
  <c r="F540" i="4"/>
  <c r="A540" i="4"/>
  <c r="M540" i="4" s="1" a="1"/>
  <c r="M540" i="4" s="1"/>
  <c r="L539" i="4"/>
  <c r="K539" i="4"/>
  <c r="I539" i="4"/>
  <c r="G539" i="4"/>
  <c r="H539" i="4" s="1"/>
  <c r="F539" i="4"/>
  <c r="A539" i="4"/>
  <c r="L538" i="4"/>
  <c r="K538" i="4"/>
  <c r="I538" i="4"/>
  <c r="H538" i="4"/>
  <c r="G538" i="4"/>
  <c r="J538" i="4" s="1"/>
  <c r="F538" i="4"/>
  <c r="A538" i="4"/>
  <c r="B538" i="4" s="1" a="1"/>
  <c r="B538" i="4" s="1"/>
  <c r="L537" i="4"/>
  <c r="K537" i="4"/>
  <c r="I537" i="4"/>
  <c r="G537" i="4"/>
  <c r="H537" i="4" s="1"/>
  <c r="F537" i="4"/>
  <c r="A537" i="4"/>
  <c r="E537" i="4" s="1" a="1"/>
  <c r="E537" i="4" s="1"/>
  <c r="L536" i="4"/>
  <c r="K536" i="4"/>
  <c r="I536" i="4"/>
  <c r="G536" i="4"/>
  <c r="J536" i="4" s="1"/>
  <c r="F536" i="4"/>
  <c r="A536" i="4"/>
  <c r="L535" i="4"/>
  <c r="K535" i="4"/>
  <c r="I535" i="4"/>
  <c r="G535" i="4"/>
  <c r="H535" i="4" s="1"/>
  <c r="F535" i="4"/>
  <c r="A535" i="4"/>
  <c r="L534" i="4"/>
  <c r="K534" i="4"/>
  <c r="I534" i="4"/>
  <c r="H534" i="4"/>
  <c r="G534" i="4"/>
  <c r="J534" i="4" s="1"/>
  <c r="F534" i="4"/>
  <c r="A534" i="4"/>
  <c r="L533" i="4"/>
  <c r="K533" i="4"/>
  <c r="I533" i="4"/>
  <c r="G533" i="4"/>
  <c r="F533" i="4"/>
  <c r="A533" i="4"/>
  <c r="B533" i="4" s="1" a="1"/>
  <c r="B533" i="4" s="1"/>
  <c r="L532" i="4"/>
  <c r="K532" i="4"/>
  <c r="I532" i="4"/>
  <c r="G532" i="4"/>
  <c r="F532" i="4"/>
  <c r="A532" i="4"/>
  <c r="M531" i="4" a="1"/>
  <c r="M531" i="4" s="1"/>
  <c r="L531" i="4"/>
  <c r="B531" i="4" s="1" a="1"/>
  <c r="B531" i="4" s="1"/>
  <c r="K531" i="4"/>
  <c r="I531" i="4"/>
  <c r="G531" i="4"/>
  <c r="H531" i="4" s="1"/>
  <c r="F531" i="4"/>
  <c r="A531" i="4"/>
  <c r="L530" i="4"/>
  <c r="N530" i="4" s="1" a="1"/>
  <c r="N530" i="4" s="1"/>
  <c r="K530" i="4"/>
  <c r="I530" i="4"/>
  <c r="G530" i="4"/>
  <c r="J530" i="4" s="1"/>
  <c r="F530" i="4"/>
  <c r="A530" i="4"/>
  <c r="L529" i="4"/>
  <c r="K529" i="4"/>
  <c r="M529" i="4" s="1" a="1"/>
  <c r="M529" i="4" s="1"/>
  <c r="I529" i="4"/>
  <c r="G529" i="4"/>
  <c r="F529" i="4"/>
  <c r="A529" i="4"/>
  <c r="L528" i="4"/>
  <c r="K528" i="4"/>
  <c r="M528" i="4" s="1" a="1"/>
  <c r="M528" i="4" s="1"/>
  <c r="J528" i="4"/>
  <c r="I528" i="4"/>
  <c r="G528" i="4"/>
  <c r="H528" i="4" s="1"/>
  <c r="F528" i="4"/>
  <c r="A528" i="4"/>
  <c r="L527" i="4"/>
  <c r="K527" i="4"/>
  <c r="E527" i="4" s="1" a="1"/>
  <c r="E527" i="4" s="1"/>
  <c r="I527" i="4"/>
  <c r="G527" i="4"/>
  <c r="H527" i="4" s="1"/>
  <c r="F527" i="4"/>
  <c r="A527" i="4"/>
  <c r="L526" i="4"/>
  <c r="K526" i="4"/>
  <c r="I526" i="4"/>
  <c r="G526" i="4"/>
  <c r="J526" i="4" s="1"/>
  <c r="F526" i="4"/>
  <c r="B526" i="4" a="1"/>
  <c r="B526" i="4" s="1"/>
  <c r="A526" i="4"/>
  <c r="L525" i="4"/>
  <c r="K525" i="4"/>
  <c r="E525" i="4" s="1" a="1"/>
  <c r="E525" i="4" s="1"/>
  <c r="I525" i="4"/>
  <c r="G525" i="4"/>
  <c r="H525" i="4" s="1"/>
  <c r="F525" i="4"/>
  <c r="D525" i="4" a="1"/>
  <c r="D525" i="4" s="1"/>
  <c r="B525" i="4" a="1"/>
  <c r="B525" i="4" s="1"/>
  <c r="A525" i="4"/>
  <c r="L524" i="4"/>
  <c r="K524" i="4"/>
  <c r="I524" i="4"/>
  <c r="G524" i="4"/>
  <c r="F524" i="4"/>
  <c r="D524" i="4" a="1"/>
  <c r="D524" i="4" s="1"/>
  <c r="A524" i="4"/>
  <c r="L523" i="4"/>
  <c r="K523" i="4"/>
  <c r="I523" i="4"/>
  <c r="G523" i="4"/>
  <c r="H523" i="4" s="1"/>
  <c r="F523" i="4"/>
  <c r="A523" i="4"/>
  <c r="L522" i="4"/>
  <c r="K522" i="4"/>
  <c r="I522" i="4"/>
  <c r="G522" i="4"/>
  <c r="J522" i="4" s="1"/>
  <c r="F522" i="4"/>
  <c r="A522" i="4"/>
  <c r="B522" i="4" s="1" a="1"/>
  <c r="B522" i="4" s="1"/>
  <c r="L521" i="4"/>
  <c r="K521" i="4"/>
  <c r="M521" i="4" s="1" a="1"/>
  <c r="M521" i="4" s="1"/>
  <c r="I521" i="4"/>
  <c r="G521" i="4"/>
  <c r="H521" i="4" s="1"/>
  <c r="F521" i="4"/>
  <c r="D521" i="4" a="1"/>
  <c r="D521" i="4" s="1"/>
  <c r="A521" i="4"/>
  <c r="L520" i="4"/>
  <c r="D520" i="4" s="1" a="1"/>
  <c r="D520" i="4" s="1"/>
  <c r="K520" i="4"/>
  <c r="I520" i="4"/>
  <c r="G520" i="4"/>
  <c r="H520" i="4" s="1"/>
  <c r="F520" i="4"/>
  <c r="A520" i="4"/>
  <c r="L519" i="4"/>
  <c r="K519" i="4"/>
  <c r="E519" i="4" s="1" a="1"/>
  <c r="E519" i="4" s="1"/>
  <c r="I519" i="4"/>
  <c r="G519" i="4"/>
  <c r="H519" i="4" s="1"/>
  <c r="F519" i="4"/>
  <c r="A519" i="4"/>
  <c r="L518" i="4"/>
  <c r="K518" i="4"/>
  <c r="B518" i="4" s="1" a="1"/>
  <c r="B518" i="4" s="1"/>
  <c r="I518" i="4"/>
  <c r="G518" i="4"/>
  <c r="J518" i="4" s="1"/>
  <c r="F518" i="4"/>
  <c r="A518" i="4"/>
  <c r="L517" i="4"/>
  <c r="B517" i="4" s="1" a="1"/>
  <c r="B517" i="4" s="1"/>
  <c r="K517" i="4"/>
  <c r="I517" i="4"/>
  <c r="G517" i="4"/>
  <c r="H517" i="4" s="1"/>
  <c r="F517" i="4"/>
  <c r="A517" i="4"/>
  <c r="L516" i="4"/>
  <c r="K516" i="4"/>
  <c r="I516" i="4"/>
  <c r="G516" i="4"/>
  <c r="H516" i="4" s="1"/>
  <c r="F516" i="4"/>
  <c r="D516" i="4" a="1"/>
  <c r="D516" i="4" s="1"/>
  <c r="A516" i="4"/>
  <c r="L515" i="4"/>
  <c r="E515" i="4" s="1" a="1"/>
  <c r="E515" i="4" s="1"/>
  <c r="K515" i="4"/>
  <c r="I515" i="4"/>
  <c r="G515" i="4"/>
  <c r="H515" i="4" s="1"/>
  <c r="F515" i="4"/>
  <c r="A515" i="4"/>
  <c r="L514" i="4"/>
  <c r="K514" i="4"/>
  <c r="I514" i="4"/>
  <c r="G514" i="4"/>
  <c r="H514" i="4" s="1"/>
  <c r="F514" i="4"/>
  <c r="A514" i="4"/>
  <c r="L513" i="4"/>
  <c r="K513" i="4"/>
  <c r="I513" i="4"/>
  <c r="G513" i="4"/>
  <c r="H513" i="4" s="1"/>
  <c r="F513" i="4"/>
  <c r="A513" i="4"/>
  <c r="L512" i="4"/>
  <c r="K512" i="4"/>
  <c r="J512" i="4"/>
  <c r="I512" i="4"/>
  <c r="G512" i="4"/>
  <c r="H512" i="4" s="1"/>
  <c r="F512" i="4"/>
  <c r="A512" i="4"/>
  <c r="L511" i="4"/>
  <c r="K511" i="4"/>
  <c r="I511" i="4"/>
  <c r="G511" i="4"/>
  <c r="H511" i="4" s="1"/>
  <c r="F511" i="4"/>
  <c r="A511" i="4"/>
  <c r="L510" i="4"/>
  <c r="K510" i="4"/>
  <c r="I510" i="4"/>
  <c r="G510" i="4"/>
  <c r="J510" i="4" s="1"/>
  <c r="F510" i="4"/>
  <c r="A510" i="4"/>
  <c r="E510" i="4" s="1" a="1"/>
  <c r="E510" i="4" s="1"/>
  <c r="L509" i="4"/>
  <c r="K509" i="4"/>
  <c r="I509" i="4"/>
  <c r="G509" i="4"/>
  <c r="H509" i="4" s="1"/>
  <c r="F509" i="4"/>
  <c r="A509" i="4"/>
  <c r="D509" i="4" s="1" a="1"/>
  <c r="D509" i="4" s="1"/>
  <c r="L508" i="4"/>
  <c r="K508" i="4"/>
  <c r="I508" i="4"/>
  <c r="G508" i="4"/>
  <c r="F508" i="4"/>
  <c r="D508" i="4" a="1"/>
  <c r="D508" i="4" s="1"/>
  <c r="A508" i="4"/>
  <c r="L507" i="4"/>
  <c r="K507" i="4"/>
  <c r="I507" i="4"/>
  <c r="G507" i="4"/>
  <c r="H507" i="4" s="1"/>
  <c r="F507" i="4"/>
  <c r="A507" i="4"/>
  <c r="L506" i="4"/>
  <c r="K506" i="4"/>
  <c r="I506" i="4"/>
  <c r="G506" i="4"/>
  <c r="J506" i="4" s="1"/>
  <c r="F506" i="4"/>
  <c r="A506" i="4"/>
  <c r="E506" i="4" s="1" a="1"/>
  <c r="E506" i="4" s="1"/>
  <c r="L505" i="4"/>
  <c r="K505" i="4"/>
  <c r="B505" i="4" s="1" a="1"/>
  <c r="B505" i="4" s="1"/>
  <c r="I505" i="4"/>
  <c r="G505" i="4"/>
  <c r="H505" i="4" s="1"/>
  <c r="F505" i="4"/>
  <c r="A505" i="4"/>
  <c r="L504" i="4"/>
  <c r="K504" i="4"/>
  <c r="D504" i="4" s="1" a="1"/>
  <c r="D504" i="4" s="1"/>
  <c r="J504" i="4"/>
  <c r="I504" i="4"/>
  <c r="G504" i="4"/>
  <c r="H504" i="4" s="1"/>
  <c r="F504" i="4"/>
  <c r="A504" i="4"/>
  <c r="L503" i="4"/>
  <c r="M503" i="4" s="1" a="1"/>
  <c r="M503" i="4" s="1"/>
  <c r="K503" i="4"/>
  <c r="I503" i="4"/>
  <c r="G503" i="4"/>
  <c r="H503" i="4" s="1"/>
  <c r="F503" i="4"/>
  <c r="A503" i="4"/>
  <c r="L502" i="4"/>
  <c r="K502" i="4"/>
  <c r="I502" i="4"/>
  <c r="G502" i="4"/>
  <c r="J502" i="4" s="1"/>
  <c r="F502" i="4"/>
  <c r="A502" i="4"/>
  <c r="E502" i="4" s="1" a="1"/>
  <c r="E502" i="4" s="1"/>
  <c r="L501" i="4"/>
  <c r="K501" i="4"/>
  <c r="I501" i="4"/>
  <c r="G501" i="4"/>
  <c r="H501" i="4" s="1"/>
  <c r="F501" i="4"/>
  <c r="D501" i="4" a="1"/>
  <c r="D501" i="4" s="1"/>
  <c r="A501" i="4"/>
  <c r="C501" i="4" s="1" a="1"/>
  <c r="C501" i="4" s="1"/>
  <c r="N500" i="4" a="1"/>
  <c r="N500" i="4" s="1"/>
  <c r="L500" i="4"/>
  <c r="K500" i="4"/>
  <c r="I500" i="4"/>
  <c r="G500" i="4"/>
  <c r="F500" i="4"/>
  <c r="E500" i="4" a="1"/>
  <c r="E500" i="4" s="1"/>
  <c r="D500" i="4" a="1"/>
  <c r="D500" i="4" s="1"/>
  <c r="C500" i="4" a="1"/>
  <c r="C500" i="4" s="1"/>
  <c r="B500" i="4" a="1"/>
  <c r="B500" i="4" s="1"/>
  <c r="A500" i="4"/>
  <c r="M500" i="4" s="1" a="1"/>
  <c r="M500" i="4" s="1"/>
  <c r="L499" i="4"/>
  <c r="K499" i="4"/>
  <c r="I499" i="4"/>
  <c r="G499" i="4"/>
  <c r="H499" i="4" s="1"/>
  <c r="F499" i="4"/>
  <c r="A499" i="4"/>
  <c r="N498" i="4" a="1"/>
  <c r="N498" i="4" s="1"/>
  <c r="L498" i="4"/>
  <c r="K498" i="4"/>
  <c r="J498" i="4"/>
  <c r="I498" i="4"/>
  <c r="H498" i="4"/>
  <c r="G498" i="4"/>
  <c r="F498" i="4"/>
  <c r="E498" i="4" a="1"/>
  <c r="E498" i="4" s="1"/>
  <c r="D498" i="4" a="1"/>
  <c r="D498" i="4" s="1"/>
  <c r="A498" i="4"/>
  <c r="B498" i="4" s="1" a="1"/>
  <c r="B498" i="4" s="1"/>
  <c r="L497" i="4"/>
  <c r="K497" i="4"/>
  <c r="J497" i="4"/>
  <c r="I497" i="4"/>
  <c r="G497" i="4"/>
  <c r="H497" i="4" s="1"/>
  <c r="F497" i="4"/>
  <c r="C497" i="4" a="1"/>
  <c r="C497" i="4" s="1"/>
  <c r="A497" i="4"/>
  <c r="L496" i="4"/>
  <c r="K496" i="4"/>
  <c r="C496" i="4" s="1" a="1"/>
  <c r="C496" i="4" s="1"/>
  <c r="I496" i="4"/>
  <c r="H496" i="4"/>
  <c r="G496" i="4"/>
  <c r="J496" i="4" s="1"/>
  <c r="F496" i="4"/>
  <c r="E496" i="4" a="1"/>
  <c r="E496" i="4" s="1"/>
  <c r="B496" i="4" a="1"/>
  <c r="B496" i="4" s="1"/>
  <c r="A496" i="4"/>
  <c r="L495" i="4"/>
  <c r="K495" i="4"/>
  <c r="I495" i="4"/>
  <c r="G495" i="4"/>
  <c r="F495" i="4"/>
  <c r="A495" i="4"/>
  <c r="N494" i="4" a="1"/>
  <c r="N494" i="4" s="1"/>
  <c r="L494" i="4"/>
  <c r="K494" i="4"/>
  <c r="I494" i="4"/>
  <c r="G494" i="4"/>
  <c r="H494" i="4" s="1"/>
  <c r="F494" i="4"/>
  <c r="E494" i="4" a="1"/>
  <c r="E494" i="4" s="1"/>
  <c r="D494" i="4" a="1"/>
  <c r="D494" i="4" s="1"/>
  <c r="A494" i="4"/>
  <c r="L493" i="4"/>
  <c r="K493" i="4"/>
  <c r="J493" i="4"/>
  <c r="I493" i="4"/>
  <c r="G493" i="4"/>
  <c r="H493" i="4" s="1"/>
  <c r="F493" i="4"/>
  <c r="D493" i="4" a="1"/>
  <c r="D493" i="4" s="1"/>
  <c r="B493" i="4" a="1"/>
  <c r="B493" i="4" s="1"/>
  <c r="A493" i="4"/>
  <c r="L492" i="4"/>
  <c r="K492" i="4"/>
  <c r="B492" i="4" s="1" a="1"/>
  <c r="B492" i="4" s="1"/>
  <c r="J492" i="4"/>
  <c r="I492" i="4"/>
  <c r="H492" i="4"/>
  <c r="G492" i="4"/>
  <c r="F492" i="4"/>
  <c r="A492" i="4"/>
  <c r="L491" i="4"/>
  <c r="K491" i="4"/>
  <c r="I491" i="4"/>
  <c r="G491" i="4"/>
  <c r="F491" i="4"/>
  <c r="A491" i="4"/>
  <c r="L490" i="4"/>
  <c r="B490" i="4" s="1" a="1"/>
  <c r="B490" i="4" s="1"/>
  <c r="K490" i="4"/>
  <c r="J490" i="4"/>
  <c r="I490" i="4"/>
  <c r="G490" i="4"/>
  <c r="H490" i="4" s="1"/>
  <c r="F490" i="4"/>
  <c r="A490" i="4"/>
  <c r="L489" i="4"/>
  <c r="K489" i="4"/>
  <c r="C489" i="4" s="1" a="1"/>
  <c r="C489" i="4" s="1"/>
  <c r="I489" i="4"/>
  <c r="H489" i="4"/>
  <c r="G489" i="4"/>
  <c r="J489" i="4" s="1"/>
  <c r="F489" i="4"/>
  <c r="A489" i="4"/>
  <c r="N488" i="4"/>
  <c r="N488" i="4" a="1"/>
  <c r="L488" i="4"/>
  <c r="K488" i="4"/>
  <c r="J488" i="4"/>
  <c r="I488" i="4"/>
  <c r="G488" i="4"/>
  <c r="H488" i="4" s="1"/>
  <c r="F488" i="4"/>
  <c r="E488" i="4" a="1"/>
  <c r="E488" i="4" s="1"/>
  <c r="B488" i="4" a="1"/>
  <c r="B488" i="4" s="1"/>
  <c r="A488" i="4"/>
  <c r="L487" i="4"/>
  <c r="K487" i="4"/>
  <c r="D487" i="4" s="1" a="1"/>
  <c r="D487" i="4" s="1"/>
  <c r="I487" i="4"/>
  <c r="G487" i="4"/>
  <c r="F487" i="4"/>
  <c r="E487" i="4" a="1"/>
  <c r="E487" i="4" s="1"/>
  <c r="A487" i="4"/>
  <c r="L486" i="4"/>
  <c r="K486" i="4"/>
  <c r="J486" i="4"/>
  <c r="I486" i="4"/>
  <c r="H486" i="4"/>
  <c r="G486" i="4"/>
  <c r="F486" i="4"/>
  <c r="A486" i="4"/>
  <c r="L485" i="4"/>
  <c r="K485" i="4"/>
  <c r="J485" i="4"/>
  <c r="I485" i="4"/>
  <c r="H485" i="4"/>
  <c r="G485" i="4"/>
  <c r="F485" i="4"/>
  <c r="A485" i="4"/>
  <c r="N485" i="4" s="1" a="1"/>
  <c r="N485" i="4" s="1"/>
  <c r="N484" i="4" a="1"/>
  <c r="N484" i="4" s="1"/>
  <c r="L484" i="4"/>
  <c r="K484" i="4"/>
  <c r="B484" i="4" s="1" a="1"/>
  <c r="B484" i="4" s="1"/>
  <c r="I484" i="4"/>
  <c r="H484" i="4"/>
  <c r="G484" i="4"/>
  <c r="J484" i="4" s="1"/>
  <c r="F484" i="4"/>
  <c r="E484" i="4" a="1"/>
  <c r="E484" i="4" s="1"/>
  <c r="C484" i="4" a="1"/>
  <c r="C484" i="4" s="1"/>
  <c r="A484" i="4"/>
  <c r="L483" i="4"/>
  <c r="K483" i="4"/>
  <c r="J483" i="4"/>
  <c r="I483" i="4"/>
  <c r="G483" i="4"/>
  <c r="H483" i="4" s="1"/>
  <c r="F483" i="4"/>
  <c r="A483" i="4"/>
  <c r="L482" i="4"/>
  <c r="K482" i="4"/>
  <c r="J482" i="4"/>
  <c r="I482" i="4"/>
  <c r="G482" i="4"/>
  <c r="H482" i="4" s="1"/>
  <c r="F482" i="4"/>
  <c r="A482" i="4"/>
  <c r="L481" i="4"/>
  <c r="N481" i="4" s="1" a="1"/>
  <c r="N481" i="4" s="1"/>
  <c r="K481" i="4"/>
  <c r="J481" i="4"/>
  <c r="I481" i="4"/>
  <c r="G481" i="4"/>
  <c r="H481" i="4" s="1"/>
  <c r="F481" i="4"/>
  <c r="E481" i="4" a="1"/>
  <c r="E481" i="4" s="1"/>
  <c r="A481" i="4"/>
  <c r="L480" i="4"/>
  <c r="B480" i="4" s="1" a="1"/>
  <c r="B480" i="4" s="1"/>
  <c r="K480" i="4"/>
  <c r="J480" i="4"/>
  <c r="I480" i="4"/>
  <c r="H480" i="4"/>
  <c r="G480" i="4"/>
  <c r="F480" i="4"/>
  <c r="D480" i="4" a="1"/>
  <c r="D480" i="4" s="1"/>
  <c r="A480" i="4"/>
  <c r="L479" i="4"/>
  <c r="K479" i="4"/>
  <c r="C479" i="4" s="1" a="1"/>
  <c r="C479" i="4" s="1"/>
  <c r="I479" i="4"/>
  <c r="G479" i="4"/>
  <c r="F479" i="4"/>
  <c r="A479" i="4"/>
  <c r="L478" i="4"/>
  <c r="K478" i="4"/>
  <c r="J478" i="4"/>
  <c r="I478" i="4"/>
  <c r="G478" i="4"/>
  <c r="H478" i="4" s="1"/>
  <c r="F478" i="4"/>
  <c r="A478" i="4"/>
  <c r="N477" i="4" a="1"/>
  <c r="N477" i="4" s="1"/>
  <c r="L477" i="4"/>
  <c r="K477" i="4"/>
  <c r="E477" i="4" s="1" a="1"/>
  <c r="E477" i="4" s="1"/>
  <c r="I477" i="4"/>
  <c r="H477" i="4"/>
  <c r="G477" i="4"/>
  <c r="J477" i="4" s="1"/>
  <c r="F477" i="4"/>
  <c r="D477" i="4" a="1"/>
  <c r="D477" i="4" s="1"/>
  <c r="C477" i="4" a="1"/>
  <c r="C477" i="4" s="1"/>
  <c r="A477" i="4"/>
  <c r="L476" i="4"/>
  <c r="K476" i="4"/>
  <c r="I476" i="4"/>
  <c r="G476" i="4"/>
  <c r="J476" i="4" s="1"/>
  <c r="F476" i="4"/>
  <c r="A476" i="4"/>
  <c r="L475" i="4"/>
  <c r="D475" i="4" s="1" a="1"/>
  <c r="K475" i="4"/>
  <c r="J475" i="4"/>
  <c r="I475" i="4"/>
  <c r="H475" i="4"/>
  <c r="G475" i="4"/>
  <c r="F475" i="4"/>
  <c r="E475" i="4" a="1"/>
  <c r="E475" i="4" s="1"/>
  <c r="D475" i="4"/>
  <c r="C475" i="4" a="1"/>
  <c r="C475" i="4" s="1"/>
  <c r="B475" i="4"/>
  <c r="B475" i="4" a="1"/>
  <c r="A475" i="4"/>
  <c r="L474" i="4"/>
  <c r="K474" i="4"/>
  <c r="J474" i="4"/>
  <c r="I474" i="4"/>
  <c r="G474" i="4"/>
  <c r="H474" i="4" s="1"/>
  <c r="F474" i="4"/>
  <c r="A474" i="4"/>
  <c r="L473" i="4"/>
  <c r="E473" i="4" s="1" a="1"/>
  <c r="E473" i="4" s="1"/>
  <c r="K473" i="4"/>
  <c r="I473" i="4"/>
  <c r="G473" i="4"/>
  <c r="F473" i="4"/>
  <c r="D473" i="4" a="1"/>
  <c r="D473" i="4" s="1"/>
  <c r="A473" i="4"/>
  <c r="B473" i="4" s="1" a="1"/>
  <c r="B473" i="4" s="1"/>
  <c r="L472" i="4"/>
  <c r="K472" i="4"/>
  <c r="J472" i="4"/>
  <c r="I472" i="4"/>
  <c r="G472" i="4"/>
  <c r="H472" i="4" s="1"/>
  <c r="F472" i="4"/>
  <c r="E472" i="4" a="1"/>
  <c r="E472" i="4" s="1"/>
  <c r="A472" i="4"/>
  <c r="L471" i="4"/>
  <c r="K471" i="4"/>
  <c r="I471" i="4"/>
  <c r="H471" i="4"/>
  <c r="G471" i="4"/>
  <c r="J471" i="4" s="1"/>
  <c r="F471" i="4"/>
  <c r="A471" i="4"/>
  <c r="L470" i="4"/>
  <c r="D470" i="4" s="1" a="1"/>
  <c r="D470" i="4" s="1"/>
  <c r="K470" i="4"/>
  <c r="I470" i="4"/>
  <c r="G470" i="4"/>
  <c r="H470" i="4" s="1"/>
  <c r="F470" i="4"/>
  <c r="A470" i="4"/>
  <c r="L469" i="4"/>
  <c r="K469" i="4"/>
  <c r="I469" i="4"/>
  <c r="H469" i="4"/>
  <c r="G469" i="4"/>
  <c r="J469" i="4" s="1"/>
  <c r="F469" i="4"/>
  <c r="B469" i="4" a="1"/>
  <c r="B469" i="4" s="1"/>
  <c r="A469" i="4"/>
  <c r="L468" i="4"/>
  <c r="K468" i="4"/>
  <c r="I468" i="4"/>
  <c r="G468" i="4"/>
  <c r="J468" i="4" s="1"/>
  <c r="F468" i="4"/>
  <c r="A468" i="4"/>
  <c r="L467" i="4"/>
  <c r="B467" i="4" s="1" a="1"/>
  <c r="B467" i="4" s="1"/>
  <c r="K467" i="4"/>
  <c r="I467" i="4"/>
  <c r="G467" i="4"/>
  <c r="J467" i="4" s="1"/>
  <c r="F467" i="4"/>
  <c r="A467" i="4"/>
  <c r="L466" i="4"/>
  <c r="K466" i="4"/>
  <c r="J466" i="4"/>
  <c r="I466" i="4"/>
  <c r="H466" i="4"/>
  <c r="G466" i="4"/>
  <c r="F466" i="4"/>
  <c r="D466" i="4" a="1"/>
  <c r="D466" i="4" s="1"/>
  <c r="A466" i="4"/>
  <c r="L465" i="4"/>
  <c r="B465" i="4" s="1" a="1"/>
  <c r="B465" i="4" s="1"/>
  <c r="K465" i="4"/>
  <c r="I465" i="4"/>
  <c r="G465" i="4"/>
  <c r="F465" i="4"/>
  <c r="E465" i="4" a="1"/>
  <c r="E465" i="4" s="1"/>
  <c r="D465" i="4" a="1"/>
  <c r="D465" i="4" s="1"/>
  <c r="A465" i="4"/>
  <c r="L464" i="4"/>
  <c r="K464" i="4"/>
  <c r="J464" i="4"/>
  <c r="I464" i="4"/>
  <c r="H464" i="4"/>
  <c r="G464" i="4"/>
  <c r="F464" i="4"/>
  <c r="A464" i="4"/>
  <c r="M464" i="4" s="1" a="1"/>
  <c r="M464" i="4" s="1"/>
  <c r="L463" i="4"/>
  <c r="D463" i="4" s="1" a="1"/>
  <c r="D463" i="4" s="1"/>
  <c r="K463" i="4"/>
  <c r="I463" i="4"/>
  <c r="G463" i="4"/>
  <c r="F463" i="4"/>
  <c r="A463" i="4"/>
  <c r="L462" i="4"/>
  <c r="K462" i="4"/>
  <c r="I462" i="4"/>
  <c r="H462" i="4"/>
  <c r="G462" i="4"/>
  <c r="J462" i="4" s="1"/>
  <c r="F462" i="4"/>
  <c r="B462" i="4" a="1"/>
  <c r="B462" i="4" s="1"/>
  <c r="A462" i="4"/>
  <c r="L461" i="4"/>
  <c r="K461" i="4"/>
  <c r="I461" i="4"/>
  <c r="G461" i="4"/>
  <c r="J461" i="4" s="1"/>
  <c r="F461" i="4"/>
  <c r="A461" i="4"/>
  <c r="L460" i="4"/>
  <c r="K460" i="4"/>
  <c r="I460" i="4"/>
  <c r="G460" i="4"/>
  <c r="F460" i="4"/>
  <c r="A460" i="4"/>
  <c r="L459" i="4"/>
  <c r="K459" i="4"/>
  <c r="I459" i="4"/>
  <c r="H459" i="4"/>
  <c r="G459" i="4"/>
  <c r="J459" i="4" s="1"/>
  <c r="F459" i="4"/>
  <c r="E459" i="4" a="1"/>
  <c r="E459" i="4" s="1"/>
  <c r="C459" i="4" a="1"/>
  <c r="C459" i="4" s="1"/>
  <c r="A459" i="4"/>
  <c r="D459" i="4" s="1" a="1"/>
  <c r="D459" i="4" s="1"/>
  <c r="L458" i="4"/>
  <c r="C458" i="4" s="1" a="1"/>
  <c r="C458" i="4" s="1"/>
  <c r="K458" i="4"/>
  <c r="J458" i="4"/>
  <c r="I458" i="4"/>
  <c r="H458" i="4"/>
  <c r="G458" i="4"/>
  <c r="F458" i="4"/>
  <c r="D458" i="4" a="1"/>
  <c r="D458" i="4" s="1"/>
  <c r="A458" i="4"/>
  <c r="L457" i="4"/>
  <c r="K457" i="4"/>
  <c r="I457" i="4"/>
  <c r="G457" i="4"/>
  <c r="F457" i="4"/>
  <c r="E457" i="4" a="1"/>
  <c r="E457" i="4" s="1"/>
  <c r="A457" i="4"/>
  <c r="L456" i="4"/>
  <c r="K456" i="4"/>
  <c r="I456" i="4"/>
  <c r="H456" i="4"/>
  <c r="G456" i="4"/>
  <c r="J456" i="4" s="1"/>
  <c r="F456" i="4"/>
  <c r="A456" i="4"/>
  <c r="B456" i="4" s="1" a="1"/>
  <c r="B456" i="4" s="1"/>
  <c r="L455" i="4"/>
  <c r="D455" i="4" s="1" a="1"/>
  <c r="D455" i="4" s="1"/>
  <c r="K455" i="4"/>
  <c r="I455" i="4"/>
  <c r="H455" i="4"/>
  <c r="G455" i="4"/>
  <c r="J455" i="4" s="1"/>
  <c r="F455" i="4"/>
  <c r="E455" i="4" a="1"/>
  <c r="E455" i="4" s="1"/>
  <c r="B455" i="4" a="1"/>
  <c r="B455" i="4" s="1"/>
  <c r="A455" i="4"/>
  <c r="L454" i="4"/>
  <c r="K454" i="4"/>
  <c r="I454" i="4"/>
  <c r="G454" i="4"/>
  <c r="F454" i="4"/>
  <c r="A454" i="4"/>
  <c r="L453" i="4"/>
  <c r="K453" i="4"/>
  <c r="I453" i="4"/>
  <c r="G453" i="4"/>
  <c r="F453" i="4"/>
  <c r="A453" i="4"/>
  <c r="L452" i="4"/>
  <c r="K452" i="4"/>
  <c r="D452" i="4" s="1" a="1"/>
  <c r="D452" i="4" s="1"/>
  <c r="I452" i="4"/>
  <c r="H452" i="4"/>
  <c r="G452" i="4"/>
  <c r="J452" i="4" s="1"/>
  <c r="F452" i="4"/>
  <c r="A452" i="4"/>
  <c r="L451" i="4"/>
  <c r="K451" i="4"/>
  <c r="N451" i="4" s="1" a="1"/>
  <c r="N451" i="4" s="1"/>
  <c r="J451" i="4"/>
  <c r="I451" i="4"/>
  <c r="G451" i="4"/>
  <c r="H451" i="4" s="1"/>
  <c r="F451" i="4"/>
  <c r="B451" i="4" a="1"/>
  <c r="B451" i="4" s="1"/>
  <c r="A451" i="4"/>
  <c r="L450" i="4"/>
  <c r="K450" i="4"/>
  <c r="N450" i="4" s="1" a="1"/>
  <c r="N450" i="4" s="1"/>
  <c r="I450" i="4"/>
  <c r="G450" i="4"/>
  <c r="H450" i="4" s="1"/>
  <c r="F450" i="4"/>
  <c r="C450" i="4" a="1"/>
  <c r="C450" i="4" s="1"/>
  <c r="A450" i="4"/>
  <c r="E450" i="4" s="1" a="1"/>
  <c r="E450" i="4" s="1"/>
  <c r="L449" i="4"/>
  <c r="K449" i="4"/>
  <c r="I449" i="4"/>
  <c r="G449" i="4"/>
  <c r="F449" i="4"/>
  <c r="D449" i="4" a="1"/>
  <c r="D449" i="4" s="1"/>
  <c r="C449" i="4" a="1"/>
  <c r="C449" i="4" s="1"/>
  <c r="A449" i="4"/>
  <c r="N449" i="4" s="1" a="1"/>
  <c r="N449" i="4" s="1"/>
  <c r="L448" i="4"/>
  <c r="K448" i="4"/>
  <c r="B448" i="4" s="1" a="1"/>
  <c r="B448" i="4" s="1"/>
  <c r="I448" i="4"/>
  <c r="G448" i="4"/>
  <c r="H448" i="4" s="1"/>
  <c r="F448" i="4"/>
  <c r="E448" i="4" a="1"/>
  <c r="E448" i="4" s="1"/>
  <c r="D448" i="4" a="1"/>
  <c r="D448" i="4" s="1"/>
  <c r="A448" i="4"/>
  <c r="L447" i="4"/>
  <c r="K447" i="4"/>
  <c r="I447" i="4"/>
  <c r="G447" i="4"/>
  <c r="F447" i="4"/>
  <c r="A447" i="4"/>
  <c r="C447" i="4" s="1" a="1"/>
  <c r="C447" i="4" s="1"/>
  <c r="L446" i="4"/>
  <c r="K446" i="4"/>
  <c r="I446" i="4"/>
  <c r="G446" i="4"/>
  <c r="H446" i="4" s="1"/>
  <c r="F446" i="4"/>
  <c r="A446" i="4"/>
  <c r="L445" i="4"/>
  <c r="K445" i="4"/>
  <c r="J445" i="4"/>
  <c r="I445" i="4"/>
  <c r="H445" i="4"/>
  <c r="G445" i="4"/>
  <c r="F445" i="4"/>
  <c r="A445" i="4"/>
  <c r="L444" i="4"/>
  <c r="K444" i="4"/>
  <c r="B444" i="4" s="1" a="1"/>
  <c r="B444" i="4" s="1"/>
  <c r="I444" i="4"/>
  <c r="H444" i="4"/>
  <c r="G444" i="4"/>
  <c r="J444" i="4" s="1"/>
  <c r="F444" i="4"/>
  <c r="E444" i="4" a="1"/>
  <c r="E444" i="4" s="1"/>
  <c r="A444" i="4"/>
  <c r="M444" i="4" s="1" a="1"/>
  <c r="M444" i="4" s="1"/>
  <c r="L443" i="4"/>
  <c r="K443" i="4"/>
  <c r="J443" i="4"/>
  <c r="I443" i="4"/>
  <c r="G443" i="4"/>
  <c r="H443" i="4" s="1"/>
  <c r="F443" i="4"/>
  <c r="A443" i="4"/>
  <c r="E443" i="4" s="1" a="1"/>
  <c r="E443" i="4" s="1"/>
  <c r="M442" i="4" a="1"/>
  <c r="M442" i="4" s="1"/>
  <c r="L442" i="4"/>
  <c r="N442" i="4" s="1" a="1"/>
  <c r="N442" i="4" s="1"/>
  <c r="K442" i="4"/>
  <c r="I442" i="4"/>
  <c r="H442" i="4"/>
  <c r="G442" i="4"/>
  <c r="J442" i="4" s="1"/>
  <c r="F442" i="4"/>
  <c r="E442" i="4" a="1"/>
  <c r="E442" i="4" s="1"/>
  <c r="C442" i="4" a="1"/>
  <c r="C442" i="4" s="1"/>
  <c r="B442" i="4" a="1"/>
  <c r="B442" i="4" s="1"/>
  <c r="A442" i="4"/>
  <c r="L441" i="4"/>
  <c r="K441" i="4"/>
  <c r="D441" i="4" s="1" a="1"/>
  <c r="D441" i="4" s="1"/>
  <c r="I441" i="4"/>
  <c r="G441" i="4"/>
  <c r="J441" i="4" s="1"/>
  <c r="F441" i="4"/>
  <c r="A441" i="4"/>
  <c r="L440" i="4"/>
  <c r="K440" i="4"/>
  <c r="C440" i="4" s="1" a="1"/>
  <c r="C440" i="4" s="1"/>
  <c r="I440" i="4"/>
  <c r="G440" i="4"/>
  <c r="J440" i="4" s="1"/>
  <c r="F440" i="4"/>
  <c r="A440" i="4"/>
  <c r="L439" i="4"/>
  <c r="K439" i="4"/>
  <c r="I439" i="4"/>
  <c r="G439" i="4"/>
  <c r="H439" i="4" s="1"/>
  <c r="F439" i="4"/>
  <c r="A439" i="4"/>
  <c r="L438" i="4"/>
  <c r="K438" i="4"/>
  <c r="I438" i="4"/>
  <c r="G438" i="4"/>
  <c r="F438" i="4"/>
  <c r="B438" i="4" a="1"/>
  <c r="B438" i="4" s="1"/>
  <c r="A438" i="4"/>
  <c r="N438" i="4" s="1" a="1"/>
  <c r="N438" i="4" s="1"/>
  <c r="L437" i="4"/>
  <c r="K437" i="4"/>
  <c r="I437" i="4"/>
  <c r="H437" i="4"/>
  <c r="G437" i="4"/>
  <c r="J437" i="4" s="1"/>
  <c r="F437" i="4"/>
  <c r="C437" i="4" a="1"/>
  <c r="C437" i="4" s="1"/>
  <c r="A437" i="4"/>
  <c r="L436" i="4"/>
  <c r="K436" i="4"/>
  <c r="I436" i="4"/>
  <c r="G436" i="4"/>
  <c r="J436" i="4" s="1"/>
  <c r="F436" i="4"/>
  <c r="B436" i="4" a="1"/>
  <c r="B436" i="4" s="1"/>
  <c r="A436" i="4"/>
  <c r="E436" i="4" s="1" a="1"/>
  <c r="E436" i="4" s="1"/>
  <c r="L435" i="4"/>
  <c r="K435" i="4"/>
  <c r="I435" i="4"/>
  <c r="G435" i="4"/>
  <c r="F435" i="4"/>
  <c r="A435" i="4"/>
  <c r="L434" i="4"/>
  <c r="K434" i="4"/>
  <c r="E434" i="4" s="1" a="1"/>
  <c r="E434" i="4" s="1"/>
  <c r="I434" i="4"/>
  <c r="G434" i="4"/>
  <c r="F434" i="4"/>
  <c r="A434" i="4"/>
  <c r="L433" i="4"/>
  <c r="K433" i="4"/>
  <c r="I433" i="4"/>
  <c r="G433" i="4"/>
  <c r="F433" i="4"/>
  <c r="D433" i="4" a="1"/>
  <c r="D433" i="4" s="1"/>
  <c r="A433" i="4"/>
  <c r="M433" i="4" s="1" a="1"/>
  <c r="M433" i="4" s="1"/>
  <c r="L432" i="4"/>
  <c r="M432" i="4" s="1" a="1"/>
  <c r="M432" i="4" s="1"/>
  <c r="K432" i="4"/>
  <c r="I432" i="4"/>
  <c r="G432" i="4"/>
  <c r="F432" i="4"/>
  <c r="A432" i="4"/>
  <c r="N431" i="4" a="1"/>
  <c r="N431" i="4" s="1"/>
  <c r="M431" i="4" a="1"/>
  <c r="M431" i="4" s="1"/>
  <c r="L431" i="4"/>
  <c r="K431" i="4"/>
  <c r="I431" i="4"/>
  <c r="H431" i="4"/>
  <c r="G431" i="4"/>
  <c r="J431" i="4" s="1"/>
  <c r="F431" i="4"/>
  <c r="E431" i="4" a="1"/>
  <c r="E431" i="4" s="1"/>
  <c r="C431" i="4" a="1"/>
  <c r="C431" i="4" s="1"/>
  <c r="A431" i="4"/>
  <c r="L430" i="4"/>
  <c r="K430" i="4"/>
  <c r="I430" i="4"/>
  <c r="G430" i="4"/>
  <c r="F430" i="4"/>
  <c r="D430" i="4" a="1"/>
  <c r="D430" i="4" s="1"/>
  <c r="A430" i="4"/>
  <c r="M430" i="4" s="1" a="1"/>
  <c r="M430" i="4" s="1"/>
  <c r="L429" i="4"/>
  <c r="K429" i="4"/>
  <c r="I429" i="4"/>
  <c r="G429" i="4"/>
  <c r="F429" i="4"/>
  <c r="A429" i="4"/>
  <c r="L428" i="4"/>
  <c r="K428" i="4"/>
  <c r="I428" i="4"/>
  <c r="G428" i="4"/>
  <c r="H428" i="4" s="1"/>
  <c r="F428" i="4"/>
  <c r="A428" i="4"/>
  <c r="L427" i="4"/>
  <c r="K427" i="4"/>
  <c r="I427" i="4"/>
  <c r="G427" i="4"/>
  <c r="F427" i="4"/>
  <c r="A427" i="4"/>
  <c r="L426" i="4"/>
  <c r="K426" i="4"/>
  <c r="J426" i="4"/>
  <c r="I426" i="4"/>
  <c r="H426" i="4"/>
  <c r="G426" i="4"/>
  <c r="F426" i="4"/>
  <c r="A426" i="4"/>
  <c r="N426" i="4" s="1" a="1"/>
  <c r="N426" i="4" s="1"/>
  <c r="L425" i="4"/>
  <c r="K425" i="4"/>
  <c r="E425" i="4" s="1" a="1"/>
  <c r="E425" i="4" s="1"/>
  <c r="I425" i="4"/>
  <c r="H425" i="4"/>
  <c r="G425" i="4"/>
  <c r="J425" i="4" s="1"/>
  <c r="F425" i="4"/>
  <c r="A425" i="4"/>
  <c r="L424" i="4"/>
  <c r="K424" i="4"/>
  <c r="J424" i="4"/>
  <c r="I424" i="4"/>
  <c r="G424" i="4"/>
  <c r="H424" i="4" s="1"/>
  <c r="F424" i="4"/>
  <c r="A424" i="4"/>
  <c r="L423" i="4"/>
  <c r="K423" i="4"/>
  <c r="I423" i="4"/>
  <c r="H423" i="4"/>
  <c r="G423" i="4"/>
  <c r="J423" i="4" s="1"/>
  <c r="F423" i="4"/>
  <c r="A423" i="4"/>
  <c r="L422" i="4"/>
  <c r="K422" i="4"/>
  <c r="I422" i="4"/>
  <c r="G422" i="4"/>
  <c r="H422" i="4" s="1"/>
  <c r="F422" i="4"/>
  <c r="A422" i="4"/>
  <c r="M422" i="4" s="1" a="1"/>
  <c r="M422" i="4" s="1"/>
  <c r="L421" i="4"/>
  <c r="K421" i="4"/>
  <c r="I421" i="4"/>
  <c r="H421" i="4"/>
  <c r="G421" i="4"/>
  <c r="J421" i="4" s="1"/>
  <c r="F421" i="4"/>
  <c r="B421" i="4" a="1"/>
  <c r="B421" i="4" s="1"/>
  <c r="A421" i="4"/>
  <c r="C421" i="4" s="1" a="1"/>
  <c r="C421" i="4" s="1"/>
  <c r="M420" i="4" a="1"/>
  <c r="M420" i="4" s="1"/>
  <c r="L420" i="4"/>
  <c r="K420" i="4"/>
  <c r="I420" i="4"/>
  <c r="G420" i="4"/>
  <c r="F420" i="4"/>
  <c r="E420" i="4" a="1"/>
  <c r="E420" i="4" s="1"/>
  <c r="D420" i="4" a="1"/>
  <c r="D420" i="4" s="1"/>
  <c r="A420" i="4"/>
  <c r="L419" i="4"/>
  <c r="K419" i="4"/>
  <c r="I419" i="4"/>
  <c r="G419" i="4"/>
  <c r="F419" i="4"/>
  <c r="C419" i="4" a="1"/>
  <c r="C419" i="4" s="1"/>
  <c r="A419" i="4"/>
  <c r="M418" i="4" a="1"/>
  <c r="M418" i="4" s="1"/>
  <c r="L418" i="4"/>
  <c r="K418" i="4"/>
  <c r="I418" i="4"/>
  <c r="G418" i="4"/>
  <c r="J418" i="4" s="1"/>
  <c r="F418" i="4"/>
  <c r="A418" i="4"/>
  <c r="D418" i="4" s="1" a="1"/>
  <c r="D418" i="4" s="1"/>
  <c r="L417" i="4"/>
  <c r="K417" i="4"/>
  <c r="I417" i="4"/>
  <c r="H417" i="4"/>
  <c r="G417" i="4"/>
  <c r="J417" i="4" s="1"/>
  <c r="F417" i="4"/>
  <c r="A417" i="4"/>
  <c r="L416" i="4"/>
  <c r="K416" i="4"/>
  <c r="I416" i="4"/>
  <c r="G416" i="4"/>
  <c r="H416" i="4" s="1"/>
  <c r="F416" i="4"/>
  <c r="A416" i="4"/>
  <c r="L415" i="4"/>
  <c r="K415" i="4"/>
  <c r="I415" i="4"/>
  <c r="G415" i="4"/>
  <c r="F415" i="4"/>
  <c r="A415" i="4"/>
  <c r="L414" i="4"/>
  <c r="K414" i="4"/>
  <c r="I414" i="4"/>
  <c r="G414" i="4"/>
  <c r="F414" i="4"/>
  <c r="D414" i="4" a="1"/>
  <c r="D414" i="4" s="1"/>
  <c r="A414" i="4"/>
  <c r="M414" i="4" s="1" a="1"/>
  <c r="M414" i="4" s="1"/>
  <c r="L413" i="4"/>
  <c r="K413" i="4"/>
  <c r="B413" i="4" s="1" a="1"/>
  <c r="B413" i="4" s="1"/>
  <c r="I413" i="4"/>
  <c r="G413" i="4"/>
  <c r="F413" i="4"/>
  <c r="A413" i="4"/>
  <c r="L412" i="4"/>
  <c r="K412" i="4"/>
  <c r="I412" i="4"/>
  <c r="G412" i="4"/>
  <c r="F412" i="4"/>
  <c r="A412" i="4"/>
  <c r="E412" i="4" s="1" a="1"/>
  <c r="E412" i="4" s="1"/>
  <c r="L411" i="4"/>
  <c r="K411" i="4"/>
  <c r="I411" i="4"/>
  <c r="G411" i="4"/>
  <c r="J411" i="4" s="1"/>
  <c r="F411" i="4"/>
  <c r="A411" i="4"/>
  <c r="N410" i="4" a="1"/>
  <c r="N410" i="4" s="1"/>
  <c r="L410" i="4"/>
  <c r="K410" i="4"/>
  <c r="J410" i="4"/>
  <c r="I410" i="4"/>
  <c r="G410" i="4"/>
  <c r="H410" i="4" s="1"/>
  <c r="F410" i="4"/>
  <c r="D410" i="4" a="1"/>
  <c r="D410" i="4" s="1"/>
  <c r="A410" i="4"/>
  <c r="C410" i="4" s="1" a="1"/>
  <c r="C410" i="4" s="1"/>
  <c r="M409" i="4" a="1"/>
  <c r="M409" i="4" s="1"/>
  <c r="L409" i="4"/>
  <c r="K409" i="4"/>
  <c r="B409" i="4" s="1" a="1"/>
  <c r="B409" i="4" s="1"/>
  <c r="I409" i="4"/>
  <c r="G409" i="4"/>
  <c r="F409" i="4"/>
  <c r="A409" i="4"/>
  <c r="N408" i="4" a="1"/>
  <c r="N408" i="4" s="1"/>
  <c r="L408" i="4"/>
  <c r="K408" i="4"/>
  <c r="J408" i="4"/>
  <c r="I408" i="4"/>
  <c r="G408" i="4"/>
  <c r="H408" i="4" s="1"/>
  <c r="F408" i="4"/>
  <c r="B408" i="4" a="1"/>
  <c r="B408" i="4" s="1"/>
  <c r="A408" i="4"/>
  <c r="M408" i="4" s="1" a="1"/>
  <c r="M408" i="4" s="1"/>
  <c r="L407" i="4"/>
  <c r="K407" i="4"/>
  <c r="J407" i="4"/>
  <c r="I407" i="4"/>
  <c r="G407" i="4"/>
  <c r="H407" i="4" s="1"/>
  <c r="F407" i="4"/>
  <c r="A407" i="4"/>
  <c r="L406" i="4"/>
  <c r="K406" i="4"/>
  <c r="J406" i="4"/>
  <c r="I406" i="4"/>
  <c r="G406" i="4"/>
  <c r="H406" i="4" s="1"/>
  <c r="F406" i="4"/>
  <c r="A406" i="4"/>
  <c r="L405" i="4"/>
  <c r="K405" i="4"/>
  <c r="J405" i="4"/>
  <c r="I405" i="4"/>
  <c r="G405" i="4"/>
  <c r="H405" i="4" s="1"/>
  <c r="F405" i="4"/>
  <c r="A405" i="4"/>
  <c r="L404" i="4"/>
  <c r="K404" i="4"/>
  <c r="I404" i="4"/>
  <c r="G404" i="4"/>
  <c r="H404" i="4" s="1"/>
  <c r="F404" i="4"/>
  <c r="A404" i="4"/>
  <c r="N404" i="4" s="1" a="1"/>
  <c r="N404" i="4" s="1"/>
  <c r="L403" i="4"/>
  <c r="K403" i="4"/>
  <c r="J403" i="4"/>
  <c r="I403" i="4"/>
  <c r="G403" i="4"/>
  <c r="H403" i="4" s="1"/>
  <c r="F403" i="4"/>
  <c r="A403" i="4"/>
  <c r="L402" i="4"/>
  <c r="K402" i="4"/>
  <c r="J402" i="4"/>
  <c r="I402" i="4"/>
  <c r="G402" i="4"/>
  <c r="H402" i="4" s="1"/>
  <c r="F402" i="4"/>
  <c r="A402" i="4"/>
  <c r="M402" i="4" s="1" a="1"/>
  <c r="M402" i="4" s="1"/>
  <c r="L401" i="4"/>
  <c r="K401" i="4"/>
  <c r="I401" i="4"/>
  <c r="G401" i="4"/>
  <c r="H401" i="4" s="1"/>
  <c r="F401" i="4"/>
  <c r="B401" i="4" a="1"/>
  <c r="B401" i="4" s="1"/>
  <c r="A401" i="4"/>
  <c r="L400" i="4"/>
  <c r="K400" i="4"/>
  <c r="I400" i="4"/>
  <c r="G400" i="4"/>
  <c r="F400" i="4"/>
  <c r="A400" i="4"/>
  <c r="L399" i="4"/>
  <c r="K399" i="4"/>
  <c r="J399" i="4"/>
  <c r="I399" i="4"/>
  <c r="G399" i="4"/>
  <c r="H399" i="4" s="1"/>
  <c r="F399" i="4"/>
  <c r="A399" i="4"/>
  <c r="L398" i="4"/>
  <c r="K398" i="4"/>
  <c r="I398" i="4"/>
  <c r="G398" i="4"/>
  <c r="F398" i="4"/>
  <c r="A398" i="4"/>
  <c r="L397" i="4"/>
  <c r="K397" i="4"/>
  <c r="J397" i="4"/>
  <c r="I397" i="4"/>
  <c r="G397" i="4"/>
  <c r="H397" i="4" s="1"/>
  <c r="F397" i="4"/>
  <c r="A397" i="4"/>
  <c r="D397" i="4" s="1" a="1"/>
  <c r="D397" i="4" s="1"/>
  <c r="L396" i="4"/>
  <c r="K396" i="4"/>
  <c r="I396" i="4"/>
  <c r="G396" i="4"/>
  <c r="H396" i="4" s="1"/>
  <c r="F396" i="4"/>
  <c r="A396" i="4"/>
  <c r="N395" i="4" a="1"/>
  <c r="N395" i="4" s="1"/>
  <c r="M395" i="4" a="1"/>
  <c r="M395" i="4" s="1"/>
  <c r="L395" i="4"/>
  <c r="K395" i="4"/>
  <c r="I395" i="4"/>
  <c r="G395" i="4"/>
  <c r="J395" i="4" s="1"/>
  <c r="F395" i="4"/>
  <c r="D395" i="4" a="1"/>
  <c r="D395" i="4" s="1"/>
  <c r="C395" i="4" a="1"/>
  <c r="C395" i="4" s="1"/>
  <c r="B395" i="4" a="1"/>
  <c r="B395" i="4" s="1"/>
  <c r="A395" i="4"/>
  <c r="L394" i="4"/>
  <c r="B394" i="4" s="1" a="1"/>
  <c r="B394" i="4" s="1"/>
  <c r="K394" i="4"/>
  <c r="I394" i="4"/>
  <c r="G394" i="4"/>
  <c r="F394" i="4"/>
  <c r="A394" i="4"/>
  <c r="L393" i="4"/>
  <c r="K393" i="4"/>
  <c r="D393" i="4" s="1" a="1"/>
  <c r="D393" i="4" s="1"/>
  <c r="I393" i="4"/>
  <c r="G393" i="4"/>
  <c r="F393" i="4"/>
  <c r="A393" i="4"/>
  <c r="L392" i="4"/>
  <c r="K392" i="4"/>
  <c r="I392" i="4"/>
  <c r="G392" i="4"/>
  <c r="J392" i="4" s="1"/>
  <c r="F392" i="4"/>
  <c r="B392" i="4" a="1"/>
  <c r="B392" i="4" s="1"/>
  <c r="A392" i="4"/>
  <c r="L391" i="4"/>
  <c r="D391" i="4" s="1" a="1"/>
  <c r="D391" i="4" s="1"/>
  <c r="K391" i="4"/>
  <c r="I391" i="4"/>
  <c r="G391" i="4"/>
  <c r="H391" i="4" s="1"/>
  <c r="F391" i="4"/>
  <c r="A391" i="4"/>
  <c r="L390" i="4"/>
  <c r="K390" i="4"/>
  <c r="I390" i="4"/>
  <c r="G390" i="4"/>
  <c r="J390" i="4" s="1"/>
  <c r="F390" i="4"/>
  <c r="A390" i="4"/>
  <c r="L389" i="4"/>
  <c r="K389" i="4"/>
  <c r="I389" i="4"/>
  <c r="G389" i="4"/>
  <c r="J389" i="4" s="1"/>
  <c r="F389" i="4"/>
  <c r="A389" i="4"/>
  <c r="L388" i="4"/>
  <c r="K388" i="4"/>
  <c r="J388" i="4"/>
  <c r="I388" i="4"/>
  <c r="H388" i="4"/>
  <c r="G388" i="4"/>
  <c r="F388" i="4"/>
  <c r="C388" i="4" a="1"/>
  <c r="C388" i="4" s="1"/>
  <c r="A388" i="4"/>
  <c r="L387" i="4"/>
  <c r="K387" i="4"/>
  <c r="I387" i="4"/>
  <c r="G387" i="4"/>
  <c r="H387" i="4" s="1"/>
  <c r="F387" i="4"/>
  <c r="C387" i="4" a="1"/>
  <c r="C387" i="4" s="1"/>
  <c r="A387" i="4"/>
  <c r="E387" i="4" s="1" a="1"/>
  <c r="E387" i="4" s="1"/>
  <c r="L386" i="4"/>
  <c r="K386" i="4"/>
  <c r="I386" i="4"/>
  <c r="G386" i="4"/>
  <c r="J386" i="4" s="1"/>
  <c r="F386" i="4"/>
  <c r="A386" i="4"/>
  <c r="B386" i="4" s="1" a="1"/>
  <c r="B386" i="4" s="1"/>
  <c r="L385" i="4"/>
  <c r="K385" i="4"/>
  <c r="I385" i="4"/>
  <c r="G385" i="4"/>
  <c r="J385" i="4" s="1"/>
  <c r="F385" i="4"/>
  <c r="D385" i="4" a="1"/>
  <c r="D385" i="4" s="1"/>
  <c r="A385" i="4"/>
  <c r="L384" i="4"/>
  <c r="K384" i="4"/>
  <c r="I384" i="4"/>
  <c r="G384" i="4"/>
  <c r="J384" i="4" s="1"/>
  <c r="F384" i="4"/>
  <c r="E384" i="4" a="1"/>
  <c r="E384" i="4" s="1"/>
  <c r="D384" i="4" a="1"/>
  <c r="D384" i="4" s="1"/>
  <c r="A384" i="4"/>
  <c r="L383" i="4"/>
  <c r="K383" i="4"/>
  <c r="I383" i="4"/>
  <c r="G383" i="4"/>
  <c r="J383" i="4" s="1"/>
  <c r="F383" i="4"/>
  <c r="A383" i="4"/>
  <c r="L382" i="4"/>
  <c r="K382" i="4"/>
  <c r="I382" i="4"/>
  <c r="G382" i="4"/>
  <c r="J382" i="4" s="1"/>
  <c r="F382" i="4"/>
  <c r="E382" i="4" a="1"/>
  <c r="E382" i="4" s="1"/>
  <c r="C382" i="4" a="1"/>
  <c r="C382" i="4" s="1"/>
  <c r="B382" i="4" a="1"/>
  <c r="B382" i="4" s="1"/>
  <c r="A382" i="4"/>
  <c r="L381" i="4"/>
  <c r="K381" i="4"/>
  <c r="I381" i="4"/>
  <c r="H381" i="4"/>
  <c r="G381" i="4"/>
  <c r="J381" i="4" s="1"/>
  <c r="F381" i="4"/>
  <c r="A381" i="4"/>
  <c r="L380" i="4"/>
  <c r="K380" i="4"/>
  <c r="I380" i="4"/>
  <c r="G380" i="4"/>
  <c r="F380" i="4"/>
  <c r="A380" i="4"/>
  <c r="M379" i="4" a="1"/>
  <c r="M379" i="4" s="1"/>
  <c r="L379" i="4"/>
  <c r="K379" i="4"/>
  <c r="I379" i="4"/>
  <c r="H379" i="4"/>
  <c r="G379" i="4"/>
  <c r="J379" i="4" s="1"/>
  <c r="F379" i="4"/>
  <c r="C379" i="4" a="1"/>
  <c r="C379" i="4" s="1"/>
  <c r="A379" i="4"/>
  <c r="E379" i="4" s="1" a="1"/>
  <c r="E379" i="4" s="1"/>
  <c r="L378" i="4"/>
  <c r="K378" i="4"/>
  <c r="I378" i="4"/>
  <c r="G378" i="4"/>
  <c r="F378" i="4"/>
  <c r="A378" i="4"/>
  <c r="L377" i="4"/>
  <c r="K377" i="4"/>
  <c r="I377" i="4"/>
  <c r="G377" i="4"/>
  <c r="H377" i="4" s="1"/>
  <c r="F377" i="4"/>
  <c r="A377" i="4"/>
  <c r="L376" i="4"/>
  <c r="K376" i="4"/>
  <c r="I376" i="4"/>
  <c r="G376" i="4"/>
  <c r="J376" i="4" s="1"/>
  <c r="F376" i="4"/>
  <c r="B376" i="4" a="1"/>
  <c r="B376" i="4" s="1"/>
  <c r="A376" i="4"/>
  <c r="L375" i="4"/>
  <c r="K375" i="4"/>
  <c r="E375" i="4" s="1" a="1"/>
  <c r="E375" i="4" s="1"/>
  <c r="I375" i="4"/>
  <c r="G375" i="4"/>
  <c r="F375" i="4"/>
  <c r="D375" i="4" a="1"/>
  <c r="D375" i="4" s="1"/>
  <c r="A375" i="4"/>
  <c r="L374" i="4"/>
  <c r="K374" i="4"/>
  <c r="J374" i="4"/>
  <c r="I374" i="4"/>
  <c r="H374" i="4"/>
  <c r="G374" i="4"/>
  <c r="F374" i="4"/>
  <c r="A374" i="4"/>
  <c r="L373" i="4"/>
  <c r="K373" i="4"/>
  <c r="I373" i="4"/>
  <c r="H373" i="4"/>
  <c r="G373" i="4"/>
  <c r="J373" i="4" s="1"/>
  <c r="F373" i="4"/>
  <c r="A373" i="4"/>
  <c r="B373" i="4" s="1" a="1"/>
  <c r="B373" i="4" s="1"/>
  <c r="L372" i="4"/>
  <c r="N372" i="4" s="1" a="1"/>
  <c r="N372" i="4" s="1"/>
  <c r="K372" i="4"/>
  <c r="J372" i="4"/>
  <c r="I372" i="4"/>
  <c r="H372" i="4"/>
  <c r="G372" i="4"/>
  <c r="F372" i="4"/>
  <c r="D372" i="4" a="1"/>
  <c r="D372" i="4" s="1"/>
  <c r="C372" i="4" a="1"/>
  <c r="C372" i="4" s="1"/>
  <c r="A372" i="4"/>
  <c r="L371" i="4"/>
  <c r="M371" i="4" s="1" a="1"/>
  <c r="M371" i="4" s="1"/>
  <c r="K371" i="4"/>
  <c r="I371" i="4"/>
  <c r="G371" i="4"/>
  <c r="F371" i="4"/>
  <c r="A371" i="4"/>
  <c r="L370" i="4"/>
  <c r="K370" i="4"/>
  <c r="C370" i="4" s="1" a="1"/>
  <c r="C370" i="4" s="1"/>
  <c r="I370" i="4"/>
  <c r="G370" i="4"/>
  <c r="J370" i="4" s="1"/>
  <c r="F370" i="4"/>
  <c r="B370" i="4" a="1"/>
  <c r="B370" i="4" s="1"/>
  <c r="A370" i="4"/>
  <c r="L369" i="4"/>
  <c r="K369" i="4"/>
  <c r="I369" i="4"/>
  <c r="G369" i="4"/>
  <c r="F369" i="4"/>
  <c r="A369" i="4"/>
  <c r="L368" i="4"/>
  <c r="K368" i="4"/>
  <c r="I368" i="4"/>
  <c r="H368" i="4"/>
  <c r="G368" i="4"/>
  <c r="J368" i="4" s="1"/>
  <c r="F368" i="4"/>
  <c r="A368" i="4"/>
  <c r="N367" i="4" a="1"/>
  <c r="N367" i="4" s="1"/>
  <c r="L367" i="4"/>
  <c r="K367" i="4"/>
  <c r="I367" i="4"/>
  <c r="G367" i="4"/>
  <c r="J367" i="4" s="1"/>
  <c r="F367" i="4"/>
  <c r="B367" i="4" a="1"/>
  <c r="B367" i="4" s="1"/>
  <c r="A367" i="4"/>
  <c r="L366" i="4"/>
  <c r="D366" i="4" s="1" a="1"/>
  <c r="D366" i="4" s="1"/>
  <c r="K366" i="4"/>
  <c r="I366" i="4"/>
  <c r="G366" i="4"/>
  <c r="H366" i="4" s="1"/>
  <c r="F366" i="4"/>
  <c r="E366" i="4" a="1"/>
  <c r="E366" i="4" s="1"/>
  <c r="A366" i="4"/>
  <c r="L365" i="4"/>
  <c r="K365" i="4"/>
  <c r="C365" i="4" s="1" a="1"/>
  <c r="C365" i="4" s="1"/>
  <c r="J365" i="4"/>
  <c r="I365" i="4"/>
  <c r="H365" i="4"/>
  <c r="G365" i="4"/>
  <c r="F365" i="4"/>
  <c r="D365" i="4" a="1"/>
  <c r="D365" i="4" s="1"/>
  <c r="A365" i="4"/>
  <c r="E365" i="4" s="1" a="1"/>
  <c r="E365" i="4" s="1"/>
  <c r="L364" i="4"/>
  <c r="K364" i="4"/>
  <c r="I364" i="4"/>
  <c r="G364" i="4"/>
  <c r="H364" i="4" s="1"/>
  <c r="F364" i="4"/>
  <c r="A364" i="4"/>
  <c r="N363" i="4" a="1"/>
  <c r="N363" i="4" s="1"/>
  <c r="M363" i="4" a="1"/>
  <c r="M363" i="4" s="1"/>
  <c r="L363" i="4"/>
  <c r="K363" i="4"/>
  <c r="I363" i="4"/>
  <c r="G363" i="4"/>
  <c r="H363" i="4" s="1"/>
  <c r="F363" i="4"/>
  <c r="D363" i="4" a="1"/>
  <c r="D363" i="4" s="1"/>
  <c r="C363" i="4" a="1"/>
  <c r="C363" i="4" s="1"/>
  <c r="A363" i="4"/>
  <c r="E363" i="4" s="1" a="1"/>
  <c r="E363" i="4" s="1"/>
  <c r="L362" i="4"/>
  <c r="K362" i="4"/>
  <c r="I362" i="4"/>
  <c r="G362" i="4"/>
  <c r="F362" i="4"/>
  <c r="C362" i="4" a="1"/>
  <c r="C362" i="4" s="1"/>
  <c r="A362" i="4"/>
  <c r="L361" i="4"/>
  <c r="K361" i="4"/>
  <c r="I361" i="4"/>
  <c r="G361" i="4"/>
  <c r="F361" i="4"/>
  <c r="D361" i="4" a="1"/>
  <c r="D361" i="4" s="1"/>
  <c r="C361" i="4" a="1"/>
  <c r="C361" i="4" s="1"/>
  <c r="A361" i="4"/>
  <c r="L360" i="4"/>
  <c r="K360" i="4"/>
  <c r="I360" i="4"/>
  <c r="G360" i="4"/>
  <c r="J360" i="4" s="1"/>
  <c r="F360" i="4"/>
  <c r="D360" i="4" a="1"/>
  <c r="D360" i="4" s="1"/>
  <c r="C360" i="4" a="1"/>
  <c r="C360" i="4" s="1"/>
  <c r="A360" i="4"/>
  <c r="L359" i="4"/>
  <c r="K359" i="4"/>
  <c r="I359" i="4"/>
  <c r="H359" i="4"/>
  <c r="G359" i="4"/>
  <c r="J359" i="4" s="1"/>
  <c r="F359" i="4"/>
  <c r="D359" i="4" a="1"/>
  <c r="D359" i="4" s="1"/>
  <c r="A359" i="4"/>
  <c r="L358" i="4"/>
  <c r="K358" i="4"/>
  <c r="I358" i="4"/>
  <c r="G358" i="4"/>
  <c r="F358" i="4"/>
  <c r="A358" i="4"/>
  <c r="L357" i="4"/>
  <c r="K357" i="4"/>
  <c r="I357" i="4"/>
  <c r="G357" i="4"/>
  <c r="J357" i="4" s="1"/>
  <c r="F357" i="4"/>
  <c r="A357" i="4"/>
  <c r="C357" i="4" s="1" a="1"/>
  <c r="C357" i="4" s="1"/>
  <c r="N356" i="4" a="1"/>
  <c r="N356" i="4" s="1"/>
  <c r="L356" i="4"/>
  <c r="E356" i="4" s="1" a="1"/>
  <c r="E356" i="4" s="1"/>
  <c r="K356" i="4"/>
  <c r="I356" i="4"/>
  <c r="G356" i="4"/>
  <c r="F356" i="4"/>
  <c r="C356" i="4" a="1"/>
  <c r="C356" i="4" s="1"/>
  <c r="B356" i="4" a="1"/>
  <c r="B356" i="4" s="1"/>
  <c r="A356" i="4"/>
  <c r="L355" i="4"/>
  <c r="K355" i="4"/>
  <c r="I355" i="4"/>
  <c r="G355" i="4"/>
  <c r="F355" i="4"/>
  <c r="A355" i="4"/>
  <c r="N354" i="4" a="1"/>
  <c r="N354" i="4" s="1"/>
  <c r="L354" i="4"/>
  <c r="D354" i="4" s="1" a="1"/>
  <c r="D354" i="4" s="1"/>
  <c r="K354" i="4"/>
  <c r="I354" i="4"/>
  <c r="G354" i="4"/>
  <c r="J354" i="4" s="1"/>
  <c r="F354" i="4"/>
  <c r="A354" i="4"/>
  <c r="L353" i="4"/>
  <c r="K353" i="4"/>
  <c r="M353" i="4" s="1" a="1"/>
  <c r="M353" i="4" s="1"/>
  <c r="J353" i="4"/>
  <c r="I353" i="4"/>
  <c r="H353" i="4"/>
  <c r="G353" i="4"/>
  <c r="F353" i="4"/>
  <c r="B353" i="4" a="1"/>
  <c r="B353" i="4" s="1"/>
  <c r="A353" i="4"/>
  <c r="L352" i="4"/>
  <c r="K352" i="4"/>
  <c r="J352" i="4"/>
  <c r="I352" i="4"/>
  <c r="H352" i="4"/>
  <c r="G352" i="4"/>
  <c r="F352" i="4"/>
  <c r="A352" i="4"/>
  <c r="C352" i="4" s="1" a="1"/>
  <c r="C352" i="4" s="1"/>
  <c r="L351" i="4"/>
  <c r="K351" i="4"/>
  <c r="I351" i="4"/>
  <c r="G351" i="4"/>
  <c r="H351" i="4" s="1"/>
  <c r="F351" i="4"/>
  <c r="A351" i="4"/>
  <c r="L350" i="4"/>
  <c r="K350" i="4"/>
  <c r="E350" i="4" s="1" a="1"/>
  <c r="E350" i="4" s="1"/>
  <c r="I350" i="4"/>
  <c r="G350" i="4"/>
  <c r="F350" i="4"/>
  <c r="A350" i="4"/>
  <c r="N349" i="4" a="1"/>
  <c r="N349" i="4" s="1"/>
  <c r="L349" i="4"/>
  <c r="K349" i="4"/>
  <c r="I349" i="4"/>
  <c r="G349" i="4"/>
  <c r="J349" i="4" s="1"/>
  <c r="F349" i="4"/>
  <c r="A349" i="4"/>
  <c r="M349" i="4" s="1" a="1"/>
  <c r="M349" i="4" s="1"/>
  <c r="L348" i="4"/>
  <c r="K348" i="4"/>
  <c r="I348" i="4"/>
  <c r="G348" i="4"/>
  <c r="H348" i="4" s="1"/>
  <c r="F348" i="4"/>
  <c r="A348" i="4"/>
  <c r="L347" i="4"/>
  <c r="M347" i="4" s="1" a="1"/>
  <c r="M347" i="4" s="1"/>
  <c r="K347" i="4"/>
  <c r="J347" i="4"/>
  <c r="I347" i="4"/>
  <c r="H347" i="4"/>
  <c r="G347" i="4"/>
  <c r="F347" i="4"/>
  <c r="D347" i="4" a="1"/>
  <c r="D347" i="4" s="1"/>
  <c r="A347" i="4"/>
  <c r="L346" i="4"/>
  <c r="K346" i="4"/>
  <c r="J346" i="4"/>
  <c r="I346" i="4"/>
  <c r="H346" i="4"/>
  <c r="G346" i="4"/>
  <c r="F346" i="4"/>
  <c r="C346" i="4" a="1"/>
  <c r="C346" i="4" s="1"/>
  <c r="B346" i="4" a="1"/>
  <c r="B346" i="4" s="1"/>
  <c r="A346" i="4"/>
  <c r="L345" i="4"/>
  <c r="K345" i="4"/>
  <c r="J345" i="4"/>
  <c r="I345" i="4"/>
  <c r="G345" i="4"/>
  <c r="H345" i="4" s="1"/>
  <c r="F345" i="4"/>
  <c r="A345" i="4"/>
  <c r="L344" i="4"/>
  <c r="K344" i="4"/>
  <c r="I344" i="4"/>
  <c r="H344" i="4"/>
  <c r="G344" i="4"/>
  <c r="J344" i="4" s="1"/>
  <c r="F344" i="4"/>
  <c r="A344" i="4"/>
  <c r="B344" i="4" s="1" a="1"/>
  <c r="B344" i="4" s="1"/>
  <c r="L343" i="4"/>
  <c r="K343" i="4"/>
  <c r="J343" i="4"/>
  <c r="I343" i="4"/>
  <c r="G343" i="4"/>
  <c r="H343" i="4" s="1"/>
  <c r="F343" i="4"/>
  <c r="A343" i="4"/>
  <c r="C343" i="4" s="1" a="1"/>
  <c r="C343" i="4" s="1"/>
  <c r="L342" i="4"/>
  <c r="K342" i="4"/>
  <c r="I342" i="4"/>
  <c r="G342" i="4"/>
  <c r="F342" i="4"/>
  <c r="A342" i="4"/>
  <c r="D342" i="4" s="1" a="1"/>
  <c r="D342" i="4" s="1"/>
  <c r="L341" i="4"/>
  <c r="K341" i="4"/>
  <c r="I341" i="4"/>
  <c r="H341" i="4"/>
  <c r="G341" i="4"/>
  <c r="J341" i="4" s="1"/>
  <c r="F341" i="4"/>
  <c r="E341" i="4" a="1"/>
  <c r="E341" i="4" s="1"/>
  <c r="A341" i="4"/>
  <c r="L340" i="4"/>
  <c r="K340" i="4"/>
  <c r="D340" i="4" s="1" a="1"/>
  <c r="D340" i="4" s="1"/>
  <c r="I340" i="4"/>
  <c r="G340" i="4"/>
  <c r="H340" i="4" s="1"/>
  <c r="F340" i="4"/>
  <c r="E340" i="4" a="1"/>
  <c r="E340" i="4" s="1"/>
  <c r="A340" i="4"/>
  <c r="N340" i="4" s="1" a="1"/>
  <c r="N340" i="4" s="1"/>
  <c r="L339" i="4"/>
  <c r="K339" i="4"/>
  <c r="E339" i="4" s="1" a="1"/>
  <c r="E339" i="4" s="1"/>
  <c r="J339" i="4"/>
  <c r="I339" i="4"/>
  <c r="G339" i="4"/>
  <c r="H339" i="4" s="1"/>
  <c r="F339" i="4"/>
  <c r="A339" i="4"/>
  <c r="N338" i="4" a="1"/>
  <c r="N338" i="4" s="1"/>
  <c r="L338" i="4"/>
  <c r="K338" i="4"/>
  <c r="I338" i="4"/>
  <c r="G338" i="4"/>
  <c r="F338" i="4"/>
  <c r="D338" i="4" a="1"/>
  <c r="D338" i="4" s="1"/>
  <c r="B338" i="4" a="1"/>
  <c r="B338" i="4" s="1"/>
  <c r="A338" i="4"/>
  <c r="L337" i="4"/>
  <c r="K337" i="4"/>
  <c r="I337" i="4"/>
  <c r="H337" i="4"/>
  <c r="G337" i="4"/>
  <c r="J337" i="4" s="1"/>
  <c r="F337" i="4"/>
  <c r="D337" i="4" a="1"/>
  <c r="D337" i="4" s="1"/>
  <c r="A337" i="4"/>
  <c r="E337" i="4" s="1" a="1"/>
  <c r="E337" i="4" s="1"/>
  <c r="L336" i="4"/>
  <c r="K336" i="4"/>
  <c r="I336" i="4"/>
  <c r="H336" i="4"/>
  <c r="G336" i="4"/>
  <c r="J336" i="4" s="1"/>
  <c r="F336" i="4"/>
  <c r="E336" i="4" a="1"/>
  <c r="E336" i="4" s="1"/>
  <c r="A336" i="4"/>
  <c r="L335" i="4"/>
  <c r="K335" i="4"/>
  <c r="D335" i="4" s="1" a="1"/>
  <c r="D335" i="4" s="1"/>
  <c r="J335" i="4"/>
  <c r="I335" i="4"/>
  <c r="H335" i="4"/>
  <c r="G335" i="4"/>
  <c r="F335" i="4"/>
  <c r="A335" i="4"/>
  <c r="L334" i="4"/>
  <c r="K334" i="4"/>
  <c r="I334" i="4"/>
  <c r="G334" i="4"/>
  <c r="F334" i="4"/>
  <c r="A334" i="4"/>
  <c r="L333" i="4"/>
  <c r="K333" i="4"/>
  <c r="J333" i="4"/>
  <c r="I333" i="4"/>
  <c r="H333" i="4"/>
  <c r="G333" i="4"/>
  <c r="F333" i="4"/>
  <c r="A333" i="4"/>
  <c r="L332" i="4"/>
  <c r="E332" i="4" s="1" a="1"/>
  <c r="E332" i="4" s="1"/>
  <c r="K332" i="4"/>
  <c r="J332" i="4"/>
  <c r="I332" i="4"/>
  <c r="G332" i="4"/>
  <c r="H332" i="4" s="1"/>
  <c r="F332" i="4"/>
  <c r="C332" i="4" a="1"/>
  <c r="C332" i="4" s="1"/>
  <c r="A332" i="4"/>
  <c r="L331" i="4"/>
  <c r="K331" i="4"/>
  <c r="I331" i="4"/>
  <c r="H331" i="4"/>
  <c r="G331" i="4"/>
  <c r="J331" i="4" s="1"/>
  <c r="F331" i="4"/>
  <c r="B331" i="4" a="1"/>
  <c r="B331" i="4" s="1"/>
  <c r="A331" i="4"/>
  <c r="L330" i="4"/>
  <c r="K330" i="4"/>
  <c r="I330" i="4"/>
  <c r="G330" i="4"/>
  <c r="J330" i="4" s="1"/>
  <c r="F330" i="4"/>
  <c r="A330" i="4"/>
  <c r="N329" i="4" a="1"/>
  <c r="N329" i="4" s="1"/>
  <c r="L329" i="4"/>
  <c r="K329" i="4"/>
  <c r="I329" i="4"/>
  <c r="G329" i="4"/>
  <c r="F329" i="4"/>
  <c r="C329" i="4" a="1"/>
  <c r="C329" i="4" s="1"/>
  <c r="A329" i="4"/>
  <c r="N328" i="4" a="1"/>
  <c r="N328" i="4" s="1"/>
  <c r="L328" i="4"/>
  <c r="K328" i="4"/>
  <c r="I328" i="4"/>
  <c r="G328" i="4"/>
  <c r="J328" i="4" s="1"/>
  <c r="F328" i="4"/>
  <c r="E328" i="4" a="1"/>
  <c r="E328" i="4" s="1"/>
  <c r="A328" i="4"/>
  <c r="L327" i="4"/>
  <c r="K327" i="4"/>
  <c r="I327" i="4"/>
  <c r="G327" i="4"/>
  <c r="F327" i="4"/>
  <c r="E327" i="4" a="1"/>
  <c r="E327" i="4" s="1"/>
  <c r="A327" i="4"/>
  <c r="N327" i="4" s="1" a="1"/>
  <c r="N327" i="4" s="1"/>
  <c r="L326" i="4"/>
  <c r="K326" i="4"/>
  <c r="J326" i="4"/>
  <c r="I326" i="4"/>
  <c r="H326" i="4"/>
  <c r="G326" i="4"/>
  <c r="F326" i="4"/>
  <c r="A326" i="4"/>
  <c r="L325" i="4"/>
  <c r="K325" i="4"/>
  <c r="I325" i="4"/>
  <c r="G325" i="4"/>
  <c r="J325" i="4" s="1"/>
  <c r="F325" i="4"/>
  <c r="A325" i="4"/>
  <c r="L324" i="4"/>
  <c r="K324" i="4"/>
  <c r="I324" i="4"/>
  <c r="H324" i="4"/>
  <c r="G324" i="4"/>
  <c r="J324" i="4" s="1"/>
  <c r="F324" i="4"/>
  <c r="A324" i="4"/>
  <c r="L323" i="4"/>
  <c r="K323" i="4"/>
  <c r="I323" i="4"/>
  <c r="G323" i="4"/>
  <c r="F323" i="4"/>
  <c r="A323" i="4"/>
  <c r="L322" i="4"/>
  <c r="K322" i="4"/>
  <c r="I322" i="4"/>
  <c r="G322" i="4"/>
  <c r="J322" i="4" s="1"/>
  <c r="F322" i="4"/>
  <c r="A322" i="4"/>
  <c r="L321" i="4"/>
  <c r="N321" i="4" s="1" a="1"/>
  <c r="N321" i="4" s="1"/>
  <c r="K321" i="4"/>
  <c r="I321" i="4"/>
  <c r="G321" i="4"/>
  <c r="H321" i="4" s="1"/>
  <c r="F321" i="4"/>
  <c r="E321" i="4" a="1"/>
  <c r="E321" i="4" s="1"/>
  <c r="B321" i="4" a="1"/>
  <c r="B321" i="4" s="1"/>
  <c r="A321" i="4"/>
  <c r="C321" i="4" s="1" a="1"/>
  <c r="C321" i="4" s="1"/>
  <c r="L320" i="4"/>
  <c r="K320" i="4"/>
  <c r="I320" i="4"/>
  <c r="H320" i="4"/>
  <c r="G320" i="4"/>
  <c r="J320" i="4" s="1"/>
  <c r="F320" i="4"/>
  <c r="E320" i="4" a="1"/>
  <c r="E320" i="4" s="1"/>
  <c r="A320" i="4"/>
  <c r="M320" i="4" s="1" a="1"/>
  <c r="M320" i="4" s="1"/>
  <c r="L319" i="4"/>
  <c r="K319" i="4"/>
  <c r="E319" i="4" s="1" a="1"/>
  <c r="E319" i="4" s="1"/>
  <c r="I319" i="4"/>
  <c r="H319" i="4"/>
  <c r="G319" i="4"/>
  <c r="J319" i="4" s="1"/>
  <c r="F319" i="4"/>
  <c r="C319" i="4" a="1"/>
  <c r="C319" i="4" s="1"/>
  <c r="A319" i="4"/>
  <c r="N318" i="4" a="1"/>
  <c r="N318" i="4" s="1"/>
  <c r="L318" i="4"/>
  <c r="K318" i="4"/>
  <c r="C318" i="4" s="1" a="1"/>
  <c r="C318" i="4" s="1"/>
  <c r="I318" i="4"/>
  <c r="G318" i="4"/>
  <c r="H318" i="4" s="1"/>
  <c r="F318" i="4"/>
  <c r="E318" i="4" a="1"/>
  <c r="E318" i="4" s="1"/>
  <c r="A318" i="4"/>
  <c r="L317" i="4"/>
  <c r="K317" i="4"/>
  <c r="B317" i="4" s="1" a="1"/>
  <c r="B317" i="4" s="1"/>
  <c r="I317" i="4"/>
  <c r="G317" i="4"/>
  <c r="F317" i="4"/>
  <c r="D317" i="4" a="1"/>
  <c r="D317" i="4" s="1"/>
  <c r="A317" i="4"/>
  <c r="L316" i="4"/>
  <c r="K316" i="4"/>
  <c r="I316" i="4"/>
  <c r="H316" i="4"/>
  <c r="G316" i="4"/>
  <c r="J316" i="4" s="1"/>
  <c r="F316" i="4"/>
  <c r="A316" i="4"/>
  <c r="L315" i="4"/>
  <c r="K315" i="4"/>
  <c r="I315" i="4"/>
  <c r="H315" i="4"/>
  <c r="G315" i="4"/>
  <c r="J315" i="4" s="1"/>
  <c r="F315" i="4"/>
  <c r="A315" i="4"/>
  <c r="L314" i="4"/>
  <c r="K314" i="4"/>
  <c r="I314" i="4"/>
  <c r="G314" i="4"/>
  <c r="F314" i="4"/>
  <c r="A314" i="4"/>
  <c r="L313" i="4"/>
  <c r="K313" i="4"/>
  <c r="B313" i="4" s="1" a="1"/>
  <c r="B313" i="4" s="1"/>
  <c r="J313" i="4"/>
  <c r="I313" i="4"/>
  <c r="G313" i="4"/>
  <c r="H313" i="4" s="1"/>
  <c r="F313" i="4"/>
  <c r="E313" i="4" a="1"/>
  <c r="E313" i="4" s="1"/>
  <c r="A313" i="4"/>
  <c r="L312" i="4"/>
  <c r="E312" i="4" s="1" a="1"/>
  <c r="E312" i="4" s="1"/>
  <c r="K312" i="4"/>
  <c r="I312" i="4"/>
  <c r="G312" i="4"/>
  <c r="F312" i="4"/>
  <c r="A312" i="4"/>
  <c r="N311" i="4" a="1"/>
  <c r="N311" i="4" s="1"/>
  <c r="L311" i="4"/>
  <c r="K311" i="4"/>
  <c r="J311" i="4"/>
  <c r="I311" i="4"/>
  <c r="H311" i="4"/>
  <c r="G311" i="4"/>
  <c r="F311" i="4"/>
  <c r="E311" i="4" a="1"/>
  <c r="E311" i="4" s="1"/>
  <c r="A311" i="4"/>
  <c r="L310" i="4"/>
  <c r="K310" i="4"/>
  <c r="D310" i="4" s="1" a="1"/>
  <c r="D310" i="4" s="1"/>
  <c r="I310" i="4"/>
  <c r="H310" i="4"/>
  <c r="G310" i="4"/>
  <c r="J310" i="4" s="1"/>
  <c r="F310" i="4"/>
  <c r="C310" i="4" a="1"/>
  <c r="C310" i="4" s="1"/>
  <c r="A310" i="4"/>
  <c r="L309" i="4"/>
  <c r="K309" i="4"/>
  <c r="J309" i="4"/>
  <c r="I309" i="4"/>
  <c r="G309" i="4"/>
  <c r="H309" i="4" s="1"/>
  <c r="F309" i="4"/>
  <c r="D309" i="4" a="1"/>
  <c r="D309" i="4" s="1"/>
  <c r="A309" i="4"/>
  <c r="L308" i="4"/>
  <c r="K308" i="4"/>
  <c r="I308" i="4"/>
  <c r="G308" i="4"/>
  <c r="F308" i="4"/>
  <c r="A308" i="4"/>
  <c r="L307" i="4"/>
  <c r="K307" i="4"/>
  <c r="I307" i="4"/>
  <c r="H307" i="4"/>
  <c r="G307" i="4"/>
  <c r="J307" i="4" s="1"/>
  <c r="F307" i="4"/>
  <c r="B307" i="4" a="1"/>
  <c r="B307" i="4" s="1"/>
  <c r="A307" i="4"/>
  <c r="L306" i="4"/>
  <c r="K306" i="4"/>
  <c r="I306" i="4"/>
  <c r="G306" i="4"/>
  <c r="H306" i="4" s="1"/>
  <c r="F306" i="4"/>
  <c r="A306" i="4"/>
  <c r="B306" i="4" s="1" a="1"/>
  <c r="B306" i="4" s="1"/>
  <c r="L305" i="4"/>
  <c r="K305" i="4"/>
  <c r="I305" i="4"/>
  <c r="G305" i="4"/>
  <c r="H305" i="4" s="1"/>
  <c r="F305" i="4"/>
  <c r="A305" i="4"/>
  <c r="L304" i="4"/>
  <c r="B304" i="4" s="1" a="1"/>
  <c r="B304" i="4" s="1"/>
  <c r="K304" i="4"/>
  <c r="I304" i="4"/>
  <c r="G304" i="4"/>
  <c r="J304" i="4" s="1"/>
  <c r="F304" i="4"/>
  <c r="A304" i="4"/>
  <c r="L303" i="4"/>
  <c r="K303" i="4"/>
  <c r="J303" i="4"/>
  <c r="I303" i="4"/>
  <c r="G303" i="4"/>
  <c r="H303" i="4" s="1"/>
  <c r="F303" i="4"/>
  <c r="A303" i="4"/>
  <c r="L302" i="4"/>
  <c r="K302" i="4"/>
  <c r="I302" i="4"/>
  <c r="G302" i="4"/>
  <c r="H302" i="4" s="1"/>
  <c r="F302" i="4"/>
  <c r="A302" i="4"/>
  <c r="L301" i="4"/>
  <c r="K301" i="4"/>
  <c r="I301" i="4"/>
  <c r="G301" i="4"/>
  <c r="F301" i="4"/>
  <c r="A301" i="4"/>
  <c r="L300" i="4"/>
  <c r="K300" i="4"/>
  <c r="D300" i="4" s="1" a="1"/>
  <c r="D300" i="4" s="1"/>
  <c r="J300" i="4"/>
  <c r="I300" i="4"/>
  <c r="H300" i="4"/>
  <c r="G300" i="4"/>
  <c r="F300" i="4"/>
  <c r="A300" i="4"/>
  <c r="L299" i="4"/>
  <c r="K299" i="4"/>
  <c r="J299" i="4"/>
  <c r="I299" i="4"/>
  <c r="H299" i="4"/>
  <c r="G299" i="4"/>
  <c r="F299" i="4"/>
  <c r="A299" i="4"/>
  <c r="D299" i="4" s="1" a="1"/>
  <c r="D299" i="4" s="1"/>
  <c r="L298" i="4"/>
  <c r="K298" i="4"/>
  <c r="I298" i="4"/>
  <c r="H298" i="4"/>
  <c r="G298" i="4"/>
  <c r="J298" i="4" s="1"/>
  <c r="F298" i="4"/>
  <c r="A298" i="4"/>
  <c r="L297" i="4"/>
  <c r="K297" i="4"/>
  <c r="J297" i="4"/>
  <c r="I297" i="4"/>
  <c r="H297" i="4"/>
  <c r="G297" i="4"/>
  <c r="F297" i="4"/>
  <c r="C297" i="4" a="1"/>
  <c r="C297" i="4" s="1"/>
  <c r="A297" i="4"/>
  <c r="M296" i="4" a="1"/>
  <c r="M296" i="4" s="1"/>
  <c r="L296" i="4"/>
  <c r="K296" i="4"/>
  <c r="I296" i="4"/>
  <c r="G296" i="4"/>
  <c r="F296" i="4"/>
  <c r="A296" i="4"/>
  <c r="L295" i="4"/>
  <c r="K295" i="4"/>
  <c r="C295" i="4" s="1" a="1"/>
  <c r="C295" i="4" s="1"/>
  <c r="I295" i="4"/>
  <c r="G295" i="4"/>
  <c r="F295" i="4"/>
  <c r="E295" i="4" a="1"/>
  <c r="E295" i="4" s="1"/>
  <c r="B295" i="4" a="1"/>
  <c r="B295" i="4" s="1"/>
  <c r="A295" i="4"/>
  <c r="L294" i="4"/>
  <c r="K294" i="4"/>
  <c r="J294" i="4"/>
  <c r="I294" i="4"/>
  <c r="G294" i="4"/>
  <c r="H294" i="4" s="1"/>
  <c r="F294" i="4"/>
  <c r="D294" i="4" a="1"/>
  <c r="D294" i="4" s="1"/>
  <c r="A294" i="4"/>
  <c r="L293" i="4"/>
  <c r="K293" i="4"/>
  <c r="J293" i="4"/>
  <c r="I293" i="4"/>
  <c r="G293" i="4"/>
  <c r="H293" i="4" s="1"/>
  <c r="F293" i="4"/>
  <c r="B293" i="4" a="1"/>
  <c r="B293" i="4" s="1"/>
  <c r="A293" i="4"/>
  <c r="L292" i="4"/>
  <c r="K292" i="4"/>
  <c r="B292" i="4" s="1" a="1"/>
  <c r="B292" i="4" s="1"/>
  <c r="J292" i="4"/>
  <c r="I292" i="4"/>
  <c r="G292" i="4"/>
  <c r="H292" i="4" s="1"/>
  <c r="F292" i="4"/>
  <c r="A292" i="4"/>
  <c r="L291" i="4"/>
  <c r="C291" i="4" s="1" a="1"/>
  <c r="C291" i="4" s="1"/>
  <c r="K291" i="4"/>
  <c r="I291" i="4"/>
  <c r="G291" i="4"/>
  <c r="J291" i="4" s="1"/>
  <c r="F291" i="4"/>
  <c r="A291" i="4"/>
  <c r="L290" i="4"/>
  <c r="K290" i="4"/>
  <c r="I290" i="4"/>
  <c r="G290" i="4"/>
  <c r="H290" i="4" s="1"/>
  <c r="F290" i="4"/>
  <c r="A290" i="4"/>
  <c r="N290" i="4" s="1" a="1"/>
  <c r="N290" i="4" s="1"/>
  <c r="L289" i="4"/>
  <c r="K289" i="4"/>
  <c r="I289" i="4"/>
  <c r="G289" i="4"/>
  <c r="F289" i="4"/>
  <c r="A289" i="4"/>
  <c r="C289" i="4" s="1" a="1"/>
  <c r="C289" i="4" s="1"/>
  <c r="L288" i="4"/>
  <c r="K288" i="4"/>
  <c r="I288" i="4"/>
  <c r="H288" i="4"/>
  <c r="G288" i="4"/>
  <c r="J288" i="4" s="1"/>
  <c r="F288" i="4"/>
  <c r="D288" i="4" a="1"/>
  <c r="D288" i="4" s="1"/>
  <c r="B288" i="4" a="1"/>
  <c r="B288" i="4" s="1"/>
  <c r="A288" i="4"/>
  <c r="N287" i="4" a="1"/>
  <c r="N287" i="4" s="1"/>
  <c r="L287" i="4"/>
  <c r="K287" i="4"/>
  <c r="I287" i="4"/>
  <c r="G287" i="4"/>
  <c r="J287" i="4" s="1"/>
  <c r="F287" i="4"/>
  <c r="A287" i="4"/>
  <c r="L286" i="4"/>
  <c r="N286" i="4" s="1" a="1"/>
  <c r="N286" i="4" s="1"/>
  <c r="K286" i="4"/>
  <c r="I286" i="4"/>
  <c r="G286" i="4"/>
  <c r="F286" i="4"/>
  <c r="C286" i="4" a="1"/>
  <c r="C286" i="4" s="1"/>
  <c r="A286" i="4"/>
  <c r="N285" i="4" a="1"/>
  <c r="N285" i="4" s="1"/>
  <c r="L285" i="4"/>
  <c r="K285" i="4"/>
  <c r="I285" i="4"/>
  <c r="H285" i="4"/>
  <c r="G285" i="4"/>
  <c r="J285" i="4" s="1"/>
  <c r="F285" i="4"/>
  <c r="B285" i="4" a="1"/>
  <c r="B285" i="4" s="1"/>
  <c r="A285" i="4"/>
  <c r="L284" i="4"/>
  <c r="K284" i="4"/>
  <c r="I284" i="4"/>
  <c r="G284" i="4"/>
  <c r="H284" i="4" s="1"/>
  <c r="F284" i="4"/>
  <c r="E284" i="4" a="1"/>
  <c r="E284" i="4" s="1"/>
  <c r="A284" i="4"/>
  <c r="L283" i="4"/>
  <c r="K283" i="4"/>
  <c r="J283" i="4"/>
  <c r="I283" i="4"/>
  <c r="H283" i="4"/>
  <c r="G283" i="4"/>
  <c r="F283" i="4"/>
  <c r="D283" i="4" a="1"/>
  <c r="D283" i="4" s="1"/>
  <c r="A283" i="4"/>
  <c r="L282" i="4"/>
  <c r="K282" i="4"/>
  <c r="I282" i="4"/>
  <c r="H282" i="4"/>
  <c r="G282" i="4"/>
  <c r="J282" i="4" s="1"/>
  <c r="F282" i="4"/>
  <c r="A282" i="4"/>
  <c r="L281" i="4"/>
  <c r="K281" i="4"/>
  <c r="J281" i="4"/>
  <c r="I281" i="4"/>
  <c r="H281" i="4"/>
  <c r="G281" i="4"/>
  <c r="F281" i="4"/>
  <c r="E281" i="4" a="1"/>
  <c r="E281" i="4" s="1"/>
  <c r="C281" i="4" a="1"/>
  <c r="C281" i="4" s="1"/>
  <c r="A281" i="4"/>
  <c r="L280" i="4"/>
  <c r="K280" i="4"/>
  <c r="J280" i="4"/>
  <c r="I280" i="4"/>
  <c r="H280" i="4"/>
  <c r="G280" i="4"/>
  <c r="F280" i="4"/>
  <c r="A280" i="4"/>
  <c r="L279" i="4"/>
  <c r="K279" i="4"/>
  <c r="I279" i="4"/>
  <c r="G279" i="4"/>
  <c r="J279" i="4" s="1"/>
  <c r="F279" i="4"/>
  <c r="B279" i="4" a="1"/>
  <c r="B279" i="4" s="1"/>
  <c r="A279" i="4"/>
  <c r="L278" i="4"/>
  <c r="K278" i="4"/>
  <c r="I278" i="4"/>
  <c r="H278" i="4"/>
  <c r="G278" i="4"/>
  <c r="J278" i="4" s="1"/>
  <c r="F278" i="4"/>
  <c r="A278" i="4"/>
  <c r="M278" i="4" s="1" a="1"/>
  <c r="M278" i="4" s="1"/>
  <c r="L277" i="4"/>
  <c r="K277" i="4"/>
  <c r="B277" i="4" s="1" a="1"/>
  <c r="B277" i="4" s="1"/>
  <c r="I277" i="4"/>
  <c r="G277" i="4"/>
  <c r="H277" i="4" s="1"/>
  <c r="F277" i="4"/>
  <c r="A277" i="4"/>
  <c r="N276" i="4" a="1"/>
  <c r="N276" i="4" s="1"/>
  <c r="L276" i="4"/>
  <c r="K276" i="4"/>
  <c r="I276" i="4"/>
  <c r="G276" i="4"/>
  <c r="H276" i="4" s="1"/>
  <c r="F276" i="4"/>
  <c r="D276" i="4" a="1"/>
  <c r="D276" i="4" s="1"/>
  <c r="B276" i="4" a="1"/>
  <c r="B276" i="4" s="1"/>
  <c r="A276" i="4"/>
  <c r="L275" i="4"/>
  <c r="K275" i="4"/>
  <c r="B275" i="4" s="1" a="1"/>
  <c r="B275" i="4" s="1"/>
  <c r="I275" i="4"/>
  <c r="H275" i="4"/>
  <c r="G275" i="4"/>
  <c r="J275" i="4" s="1"/>
  <c r="F275" i="4"/>
  <c r="A275" i="4"/>
  <c r="L274" i="4"/>
  <c r="N274" i="4" s="1" a="1"/>
  <c r="N274" i="4" s="1"/>
  <c r="K274" i="4"/>
  <c r="I274" i="4"/>
  <c r="G274" i="4"/>
  <c r="H274" i="4" s="1"/>
  <c r="F274" i="4"/>
  <c r="D274" i="4" a="1"/>
  <c r="D274" i="4" s="1"/>
  <c r="A274" i="4"/>
  <c r="N273" i="4" a="1"/>
  <c r="N273" i="4" s="1"/>
  <c r="L273" i="4"/>
  <c r="K273" i="4"/>
  <c r="E273" i="4" s="1" a="1"/>
  <c r="E273" i="4" s="1"/>
  <c r="I273" i="4"/>
  <c r="G273" i="4"/>
  <c r="F273" i="4"/>
  <c r="C273" i="4" a="1"/>
  <c r="C273" i="4" s="1"/>
  <c r="A273" i="4"/>
  <c r="L272" i="4"/>
  <c r="K272" i="4"/>
  <c r="I272" i="4"/>
  <c r="G272" i="4"/>
  <c r="F272" i="4"/>
  <c r="A272" i="4"/>
  <c r="B272" i="4" s="1" a="1"/>
  <c r="B272" i="4" s="1"/>
  <c r="L271" i="4"/>
  <c r="K271" i="4"/>
  <c r="I271" i="4"/>
  <c r="G271" i="4"/>
  <c r="F271" i="4"/>
  <c r="D271" i="4" a="1"/>
  <c r="D271" i="4" s="1"/>
  <c r="A271" i="4"/>
  <c r="M271" i="4" s="1" a="1"/>
  <c r="M271" i="4" s="1"/>
  <c r="N270" i="4" a="1"/>
  <c r="N270" i="4" s="1"/>
  <c r="L270" i="4"/>
  <c r="K270" i="4"/>
  <c r="I270" i="4"/>
  <c r="G270" i="4"/>
  <c r="F270" i="4"/>
  <c r="E270" i="4" a="1"/>
  <c r="E270" i="4" s="1"/>
  <c r="A270" i="4"/>
  <c r="D270" i="4" s="1" a="1"/>
  <c r="D270" i="4" s="1"/>
  <c r="L269" i="4"/>
  <c r="K269" i="4"/>
  <c r="I269" i="4"/>
  <c r="G269" i="4"/>
  <c r="F269" i="4"/>
  <c r="A269" i="4"/>
  <c r="L268" i="4"/>
  <c r="K268" i="4"/>
  <c r="D268" i="4" s="1" a="1"/>
  <c r="D268" i="4" s="1"/>
  <c r="J268" i="4"/>
  <c r="I268" i="4"/>
  <c r="H268" i="4"/>
  <c r="G268" i="4"/>
  <c r="F268" i="4"/>
  <c r="A268" i="4"/>
  <c r="L267" i="4"/>
  <c r="D267" i="4" s="1" a="1"/>
  <c r="D267" i="4" s="1"/>
  <c r="K267" i="4"/>
  <c r="I267" i="4"/>
  <c r="H267" i="4"/>
  <c r="G267" i="4"/>
  <c r="J267" i="4" s="1"/>
  <c r="F267" i="4"/>
  <c r="A267" i="4"/>
  <c r="L266" i="4"/>
  <c r="K266" i="4"/>
  <c r="C266" i="4" s="1" a="1"/>
  <c r="C266" i="4" s="1"/>
  <c r="I266" i="4"/>
  <c r="G266" i="4"/>
  <c r="J266" i="4" s="1"/>
  <c r="F266" i="4"/>
  <c r="A266" i="4"/>
  <c r="L265" i="4"/>
  <c r="K265" i="4"/>
  <c r="C265" i="4" s="1" a="1"/>
  <c r="C265" i="4" s="1"/>
  <c r="J265" i="4"/>
  <c r="I265" i="4"/>
  <c r="G265" i="4"/>
  <c r="H265" i="4" s="1"/>
  <c r="F265" i="4"/>
  <c r="A265" i="4"/>
  <c r="L264" i="4"/>
  <c r="K264" i="4"/>
  <c r="I264" i="4"/>
  <c r="H264" i="4"/>
  <c r="G264" i="4"/>
  <c r="J264" i="4" s="1"/>
  <c r="F264" i="4"/>
  <c r="A264" i="4"/>
  <c r="N263" i="4" a="1"/>
  <c r="N263" i="4" s="1"/>
  <c r="L263" i="4"/>
  <c r="K263" i="4"/>
  <c r="C263" i="4" s="1" a="1"/>
  <c r="C263" i="4" s="1"/>
  <c r="I263" i="4"/>
  <c r="G263" i="4"/>
  <c r="J263" i="4" s="1"/>
  <c r="F263" i="4"/>
  <c r="E263" i="4" a="1"/>
  <c r="E263" i="4" s="1"/>
  <c r="B263" i="4" a="1"/>
  <c r="B263" i="4" s="1"/>
  <c r="A263" i="4"/>
  <c r="L262" i="4"/>
  <c r="D262" i="4" s="1" a="1"/>
  <c r="D262" i="4" s="1"/>
  <c r="K262" i="4"/>
  <c r="J262" i="4"/>
  <c r="I262" i="4"/>
  <c r="G262" i="4"/>
  <c r="H262" i="4" s="1"/>
  <c r="F262" i="4"/>
  <c r="A262" i="4"/>
  <c r="L261" i="4"/>
  <c r="K261" i="4"/>
  <c r="I261" i="4"/>
  <c r="G261" i="4"/>
  <c r="H261" i="4" s="1"/>
  <c r="F261" i="4"/>
  <c r="A261" i="4"/>
  <c r="L260" i="4"/>
  <c r="K260" i="4"/>
  <c r="I260" i="4"/>
  <c r="G260" i="4"/>
  <c r="F260" i="4"/>
  <c r="A260" i="4"/>
  <c r="N260" i="4" s="1" a="1"/>
  <c r="N260" i="4" s="1"/>
  <c r="L259" i="4"/>
  <c r="K259" i="4"/>
  <c r="J259" i="4"/>
  <c r="I259" i="4"/>
  <c r="H259" i="4"/>
  <c r="G259" i="4"/>
  <c r="F259" i="4"/>
  <c r="C259" i="4" a="1"/>
  <c r="C259" i="4" s="1"/>
  <c r="A259" i="4"/>
  <c r="L258" i="4"/>
  <c r="K258" i="4"/>
  <c r="N258" i="4" s="1" a="1"/>
  <c r="N258" i="4" s="1"/>
  <c r="I258" i="4"/>
  <c r="G258" i="4"/>
  <c r="H258" i="4" s="1"/>
  <c r="F258" i="4"/>
  <c r="D258" i="4" a="1"/>
  <c r="D258" i="4" s="1"/>
  <c r="B258" i="4" a="1"/>
  <c r="B258" i="4" s="1"/>
  <c r="A258" i="4"/>
  <c r="L257" i="4"/>
  <c r="K257" i="4"/>
  <c r="I257" i="4"/>
  <c r="G257" i="4"/>
  <c r="F257" i="4"/>
  <c r="A257" i="4"/>
  <c r="B257" i="4" s="1" a="1"/>
  <c r="B257" i="4" s="1"/>
  <c r="L256" i="4"/>
  <c r="K256" i="4"/>
  <c r="E256" i="4" s="1" a="1"/>
  <c r="E256" i="4" s="1"/>
  <c r="I256" i="4"/>
  <c r="G256" i="4"/>
  <c r="J256" i="4" s="1"/>
  <c r="F256" i="4"/>
  <c r="A256" i="4"/>
  <c r="L255" i="4"/>
  <c r="K255" i="4"/>
  <c r="J255" i="4"/>
  <c r="I255" i="4"/>
  <c r="G255" i="4"/>
  <c r="H255" i="4" s="1"/>
  <c r="F255" i="4"/>
  <c r="A255" i="4"/>
  <c r="L254" i="4"/>
  <c r="B254" i="4" s="1" a="1"/>
  <c r="B254" i="4" s="1"/>
  <c r="K254" i="4"/>
  <c r="I254" i="4"/>
  <c r="G254" i="4"/>
  <c r="F254" i="4"/>
  <c r="A254" i="4"/>
  <c r="L253" i="4"/>
  <c r="K253" i="4"/>
  <c r="I253" i="4"/>
  <c r="G253" i="4"/>
  <c r="F253" i="4"/>
  <c r="A253" i="4"/>
  <c r="L252" i="4"/>
  <c r="K252" i="4"/>
  <c r="J252" i="4"/>
  <c r="I252" i="4"/>
  <c r="H252" i="4"/>
  <c r="G252" i="4"/>
  <c r="F252" i="4"/>
  <c r="A252" i="4"/>
  <c r="L251" i="4"/>
  <c r="K251" i="4"/>
  <c r="I251" i="4"/>
  <c r="G251" i="4"/>
  <c r="H251" i="4" s="1"/>
  <c r="F251" i="4"/>
  <c r="A251" i="4"/>
  <c r="L250" i="4"/>
  <c r="K250" i="4"/>
  <c r="I250" i="4"/>
  <c r="H250" i="4"/>
  <c r="G250" i="4"/>
  <c r="J250" i="4" s="1"/>
  <c r="F250" i="4"/>
  <c r="C250" i="4" a="1"/>
  <c r="C250" i="4" s="1"/>
  <c r="A250" i="4"/>
  <c r="L249" i="4"/>
  <c r="K249" i="4"/>
  <c r="J249" i="4"/>
  <c r="I249" i="4"/>
  <c r="G249" i="4"/>
  <c r="H249" i="4" s="1"/>
  <c r="F249" i="4"/>
  <c r="D249" i="4" a="1"/>
  <c r="D249" i="4" s="1"/>
  <c r="A249" i="4"/>
  <c r="L248" i="4"/>
  <c r="K248" i="4"/>
  <c r="I248" i="4"/>
  <c r="H248" i="4"/>
  <c r="G248" i="4"/>
  <c r="J248" i="4" s="1"/>
  <c r="F248" i="4"/>
  <c r="C248" i="4" a="1"/>
  <c r="C248" i="4" s="1"/>
  <c r="A248" i="4"/>
  <c r="E248" i="4" s="1" a="1"/>
  <c r="E248" i="4" s="1"/>
  <c r="L247" i="4"/>
  <c r="K247" i="4"/>
  <c r="J247" i="4"/>
  <c r="I247" i="4"/>
  <c r="G247" i="4"/>
  <c r="H247" i="4" s="1"/>
  <c r="F247" i="4"/>
  <c r="A247" i="4"/>
  <c r="L246" i="4"/>
  <c r="K246" i="4"/>
  <c r="I246" i="4"/>
  <c r="G246" i="4"/>
  <c r="F246" i="4"/>
  <c r="A246" i="4"/>
  <c r="L245" i="4"/>
  <c r="E245" i="4" s="1" a="1"/>
  <c r="E245" i="4" s="1"/>
  <c r="K245" i="4"/>
  <c r="J245" i="4"/>
  <c r="I245" i="4"/>
  <c r="H245" i="4"/>
  <c r="G245" i="4"/>
  <c r="F245" i="4"/>
  <c r="D245" i="4" a="1"/>
  <c r="D245" i="4" s="1"/>
  <c r="A245" i="4"/>
  <c r="L244" i="4"/>
  <c r="E244" i="4" s="1" a="1"/>
  <c r="E244" i="4" s="1"/>
  <c r="K244" i="4"/>
  <c r="I244" i="4"/>
  <c r="H244" i="4"/>
  <c r="G244" i="4"/>
  <c r="J244" i="4" s="1"/>
  <c r="F244" i="4"/>
  <c r="A244" i="4"/>
  <c r="L243" i="4"/>
  <c r="K243" i="4"/>
  <c r="D243" i="4" s="1" a="1"/>
  <c r="D243" i="4" s="1"/>
  <c r="I243" i="4"/>
  <c r="G243" i="4"/>
  <c r="F243" i="4"/>
  <c r="A243" i="4"/>
  <c r="L242" i="4"/>
  <c r="K242" i="4"/>
  <c r="B242" i="4" s="1" a="1"/>
  <c r="B242" i="4" s="1"/>
  <c r="I242" i="4"/>
  <c r="G242" i="4"/>
  <c r="F242" i="4"/>
  <c r="E242" i="4" a="1"/>
  <c r="E242" i="4" s="1"/>
  <c r="A242" i="4"/>
  <c r="L241" i="4"/>
  <c r="K241" i="4"/>
  <c r="I241" i="4"/>
  <c r="G241" i="4"/>
  <c r="F241" i="4"/>
  <c r="A241" i="4"/>
  <c r="B241" i="4" s="1" a="1"/>
  <c r="B241" i="4" s="1"/>
  <c r="L240" i="4"/>
  <c r="K240" i="4"/>
  <c r="D240" i="4" s="1" a="1"/>
  <c r="D240" i="4" s="1"/>
  <c r="J240" i="4"/>
  <c r="I240" i="4"/>
  <c r="G240" i="4"/>
  <c r="H240" i="4" s="1"/>
  <c r="F240" i="4"/>
  <c r="C240" i="4" a="1"/>
  <c r="C240" i="4" s="1"/>
  <c r="A240" i="4"/>
  <c r="L239" i="4"/>
  <c r="K239" i="4"/>
  <c r="I239" i="4"/>
  <c r="H239" i="4"/>
  <c r="G239" i="4"/>
  <c r="J239" i="4" s="1"/>
  <c r="F239" i="4"/>
  <c r="A239" i="4"/>
  <c r="L238" i="4"/>
  <c r="K238" i="4"/>
  <c r="D238" i="4" s="1" a="1"/>
  <c r="D238" i="4" s="1"/>
  <c r="J238" i="4"/>
  <c r="I238" i="4"/>
  <c r="H238" i="4"/>
  <c r="G238" i="4"/>
  <c r="F238" i="4"/>
  <c r="E238" i="4" a="1"/>
  <c r="E238" i="4" s="1"/>
  <c r="C238" i="4" a="1"/>
  <c r="C238" i="4" s="1"/>
  <c r="B238" i="4" a="1"/>
  <c r="B238" i="4" s="1"/>
  <c r="A238" i="4"/>
  <c r="L237" i="4"/>
  <c r="K237" i="4"/>
  <c r="J237" i="4"/>
  <c r="I237" i="4"/>
  <c r="H237" i="4"/>
  <c r="G237" i="4"/>
  <c r="F237" i="4"/>
  <c r="E237" i="4" a="1"/>
  <c r="E237" i="4" s="1"/>
  <c r="A237" i="4"/>
  <c r="B237" i="4" s="1" a="1"/>
  <c r="B237" i="4" s="1"/>
  <c r="L236" i="4"/>
  <c r="K236" i="4"/>
  <c r="J236" i="4"/>
  <c r="I236" i="4"/>
  <c r="G236" i="4"/>
  <c r="H236" i="4" s="1"/>
  <c r="F236" i="4"/>
  <c r="A236" i="4"/>
  <c r="L235" i="4"/>
  <c r="K235" i="4"/>
  <c r="J235" i="4"/>
  <c r="I235" i="4"/>
  <c r="H235" i="4"/>
  <c r="G235" i="4"/>
  <c r="F235" i="4"/>
  <c r="D235" i="4" a="1"/>
  <c r="D235" i="4" s="1"/>
  <c r="B235" i="4" a="1"/>
  <c r="B235" i="4" s="1"/>
  <c r="A235" i="4"/>
  <c r="L234" i="4"/>
  <c r="K234" i="4"/>
  <c r="I234" i="4"/>
  <c r="H234" i="4"/>
  <c r="G234" i="4"/>
  <c r="J234" i="4" s="1"/>
  <c r="F234" i="4"/>
  <c r="E234" i="4" a="1"/>
  <c r="E234" i="4" s="1"/>
  <c r="D234" i="4" a="1"/>
  <c r="D234" i="4" s="1"/>
  <c r="B234" i="4" a="1"/>
  <c r="B234" i="4" s="1"/>
  <c r="A234" i="4"/>
  <c r="L233" i="4"/>
  <c r="K233" i="4"/>
  <c r="J233" i="4"/>
  <c r="I233" i="4"/>
  <c r="G233" i="4"/>
  <c r="H233" i="4" s="1"/>
  <c r="F233" i="4"/>
  <c r="B233" i="4" a="1"/>
  <c r="B233" i="4" s="1"/>
  <c r="A233" i="4"/>
  <c r="L232" i="4"/>
  <c r="K232" i="4"/>
  <c r="C232" i="4" s="1" a="1"/>
  <c r="C232" i="4" s="1"/>
  <c r="J232" i="4"/>
  <c r="I232" i="4"/>
  <c r="G232" i="4"/>
  <c r="H232" i="4" s="1"/>
  <c r="F232" i="4"/>
  <c r="A232" i="4"/>
  <c r="L231" i="4"/>
  <c r="E231" i="4" s="1" a="1"/>
  <c r="E231" i="4" s="1"/>
  <c r="K231" i="4"/>
  <c r="I231" i="4"/>
  <c r="H231" i="4"/>
  <c r="G231" i="4"/>
  <c r="J231" i="4" s="1"/>
  <c r="F231" i="4"/>
  <c r="C231" i="4" a="1"/>
  <c r="C231" i="4" s="1"/>
  <c r="A231" i="4"/>
  <c r="L230" i="4"/>
  <c r="K230" i="4"/>
  <c r="J230" i="4"/>
  <c r="I230" i="4"/>
  <c r="H230" i="4"/>
  <c r="G230" i="4"/>
  <c r="F230" i="4"/>
  <c r="E230" i="4" a="1"/>
  <c r="E230" i="4" s="1"/>
  <c r="A230" i="4"/>
  <c r="D230" i="4" s="1" a="1"/>
  <c r="D230" i="4" s="1"/>
  <c r="L229" i="4"/>
  <c r="K229" i="4"/>
  <c r="J229" i="4"/>
  <c r="I229" i="4"/>
  <c r="G229" i="4"/>
  <c r="H229" i="4" s="1"/>
  <c r="F229" i="4"/>
  <c r="E229" i="4" a="1"/>
  <c r="E229" i="4" s="1"/>
  <c r="C229" i="4" a="1"/>
  <c r="C229" i="4" s="1"/>
  <c r="A229" i="4"/>
  <c r="L228" i="4"/>
  <c r="K228" i="4"/>
  <c r="D228" i="4" s="1" a="1"/>
  <c r="D228" i="4" s="1"/>
  <c r="J228" i="4"/>
  <c r="I228" i="4"/>
  <c r="H228" i="4"/>
  <c r="G228" i="4"/>
  <c r="F228" i="4"/>
  <c r="B228" i="4" a="1"/>
  <c r="B228" i="4" s="1"/>
  <c r="A228" i="4"/>
  <c r="L227" i="4"/>
  <c r="K227" i="4"/>
  <c r="D227" i="4" s="1" a="1"/>
  <c r="D227" i="4" s="1"/>
  <c r="I227" i="4"/>
  <c r="G227" i="4"/>
  <c r="J227" i="4" s="1"/>
  <c r="F227" i="4"/>
  <c r="C227" i="4" a="1"/>
  <c r="C227" i="4" s="1"/>
  <c r="B227" i="4" a="1"/>
  <c r="B227" i="4" s="1"/>
  <c r="A227" i="4"/>
  <c r="L226" i="4"/>
  <c r="E226" i="4" s="1" a="1"/>
  <c r="E226" i="4" s="1"/>
  <c r="K226" i="4"/>
  <c r="I226" i="4"/>
  <c r="G226" i="4"/>
  <c r="J226" i="4" s="1"/>
  <c r="F226" i="4"/>
  <c r="B226" i="4" a="1"/>
  <c r="B226" i="4" s="1"/>
  <c r="A226" i="4"/>
  <c r="L225" i="4"/>
  <c r="K225" i="4"/>
  <c r="E225" i="4" s="1" a="1"/>
  <c r="E225" i="4" s="1"/>
  <c r="I225" i="4"/>
  <c r="G225" i="4"/>
  <c r="F225" i="4"/>
  <c r="C225" i="4" a="1"/>
  <c r="C225" i="4" s="1"/>
  <c r="A225" i="4"/>
  <c r="L224" i="4"/>
  <c r="K224" i="4"/>
  <c r="J224" i="4"/>
  <c r="I224" i="4"/>
  <c r="G224" i="4"/>
  <c r="H224" i="4" s="1"/>
  <c r="F224" i="4"/>
  <c r="A224" i="4"/>
  <c r="C224" i="4" s="1" a="1"/>
  <c r="C224" i="4" s="1"/>
  <c r="L223" i="4"/>
  <c r="K223" i="4"/>
  <c r="D223" i="4" s="1" a="1"/>
  <c r="D223" i="4" s="1"/>
  <c r="J223" i="4"/>
  <c r="I223" i="4"/>
  <c r="G223" i="4"/>
  <c r="H223" i="4" s="1"/>
  <c r="F223" i="4"/>
  <c r="E223" i="4" a="1"/>
  <c r="E223" i="4" s="1"/>
  <c r="A223" i="4"/>
  <c r="L222" i="4"/>
  <c r="K222" i="4"/>
  <c r="D222" i="4" s="1" a="1"/>
  <c r="D222" i="4" s="1"/>
  <c r="J222" i="4"/>
  <c r="I222" i="4"/>
  <c r="H222" i="4"/>
  <c r="G222" i="4"/>
  <c r="F222" i="4"/>
  <c r="E222" i="4" a="1"/>
  <c r="E222" i="4" s="1"/>
  <c r="C222" i="4" a="1"/>
  <c r="C222" i="4" s="1"/>
  <c r="B222" i="4" a="1"/>
  <c r="B222" i="4" s="1"/>
  <c r="A222" i="4"/>
  <c r="L221" i="4"/>
  <c r="K221" i="4"/>
  <c r="J221" i="4"/>
  <c r="I221" i="4"/>
  <c r="G221" i="4"/>
  <c r="H221" i="4" s="1"/>
  <c r="F221" i="4"/>
  <c r="E221" i="4" a="1"/>
  <c r="E221" i="4" s="1"/>
  <c r="A221" i="4"/>
  <c r="B221" i="4" s="1" a="1"/>
  <c r="B221" i="4" s="1"/>
  <c r="L220" i="4"/>
  <c r="K220" i="4"/>
  <c r="I220" i="4"/>
  <c r="G220" i="4"/>
  <c r="F220" i="4"/>
  <c r="B220" i="4" a="1"/>
  <c r="B220" i="4" s="1"/>
  <c r="A220" i="4"/>
  <c r="D220" i="4" s="1" a="1"/>
  <c r="D220" i="4" s="1"/>
  <c r="L219" i="4"/>
  <c r="K219" i="4"/>
  <c r="J219" i="4"/>
  <c r="I219" i="4"/>
  <c r="G219" i="4"/>
  <c r="H219" i="4" s="1"/>
  <c r="F219" i="4"/>
  <c r="D219" i="4" a="1"/>
  <c r="D219" i="4" s="1"/>
  <c r="C219" i="4" a="1"/>
  <c r="C219" i="4" s="1"/>
  <c r="A219" i="4"/>
  <c r="B219" i="4" s="1" a="1"/>
  <c r="B219" i="4" s="1"/>
  <c r="L218" i="4"/>
  <c r="K218" i="4"/>
  <c r="D218" i="4" s="1" a="1"/>
  <c r="D218" i="4" s="1"/>
  <c r="I218" i="4"/>
  <c r="G218" i="4"/>
  <c r="F218" i="4"/>
  <c r="A218" i="4"/>
  <c r="C218" i="4" s="1" a="1"/>
  <c r="C218" i="4" s="1"/>
  <c r="L217" i="4"/>
  <c r="E217" i="4" s="1" a="1"/>
  <c r="E217" i="4" s="1"/>
  <c r="K217" i="4"/>
  <c r="J217" i="4"/>
  <c r="I217" i="4"/>
  <c r="H217" i="4"/>
  <c r="G217" i="4"/>
  <c r="F217" i="4"/>
  <c r="D217" i="4" a="1"/>
  <c r="D217" i="4" s="1"/>
  <c r="A217" i="4"/>
  <c r="L216" i="4"/>
  <c r="K216" i="4"/>
  <c r="J216" i="4"/>
  <c r="I216" i="4"/>
  <c r="H216" i="4"/>
  <c r="G216" i="4"/>
  <c r="F216" i="4"/>
  <c r="C216" i="4" a="1"/>
  <c r="C216" i="4" s="1"/>
  <c r="B216" i="4" a="1"/>
  <c r="B216" i="4" s="1"/>
  <c r="A216" i="4"/>
  <c r="E216" i="4" s="1" a="1"/>
  <c r="E216" i="4" s="1"/>
  <c r="L215" i="4"/>
  <c r="D215" i="4" s="1" a="1"/>
  <c r="D215" i="4" s="1"/>
  <c r="K215" i="4"/>
  <c r="I215" i="4"/>
  <c r="G215" i="4"/>
  <c r="F215" i="4"/>
  <c r="E215" i="4"/>
  <c r="E215" i="4" a="1"/>
  <c r="B215" i="4" a="1"/>
  <c r="B215" i="4" s="1"/>
  <c r="A215" i="4"/>
  <c r="L214" i="4"/>
  <c r="K214" i="4"/>
  <c r="J214" i="4"/>
  <c r="I214" i="4"/>
  <c r="G214" i="4"/>
  <c r="H214" i="4" s="1"/>
  <c r="F214" i="4"/>
  <c r="E214" i="4" a="1"/>
  <c r="E214" i="4" s="1"/>
  <c r="C214" i="4" a="1"/>
  <c r="C214" i="4" s="1"/>
  <c r="A214" i="4"/>
  <c r="D214" i="4" s="1" a="1"/>
  <c r="D214" i="4" s="1"/>
  <c r="L213" i="4"/>
  <c r="K213" i="4"/>
  <c r="D213" i="4" s="1" a="1"/>
  <c r="D213" i="4" s="1"/>
  <c r="I213" i="4"/>
  <c r="H213" i="4"/>
  <c r="G213" i="4"/>
  <c r="J213" i="4" s="1"/>
  <c r="F213" i="4"/>
  <c r="C213" i="4" a="1"/>
  <c r="C213" i="4" s="1"/>
  <c r="A213" i="4"/>
  <c r="L212" i="4"/>
  <c r="K212" i="4"/>
  <c r="J212" i="4"/>
  <c r="I212" i="4"/>
  <c r="H212" i="4"/>
  <c r="G212" i="4"/>
  <c r="F212" i="4"/>
  <c r="C212" i="4"/>
  <c r="C212" i="4" a="1"/>
  <c r="A212" i="4"/>
  <c r="M211" i="4" a="1"/>
  <c r="M211" i="4" s="1"/>
  <c r="L211" i="4"/>
  <c r="K211" i="4"/>
  <c r="J211" i="4"/>
  <c r="I211" i="4"/>
  <c r="H211" i="4"/>
  <c r="G211" i="4"/>
  <c r="F211" i="4"/>
  <c r="B211" i="4" a="1"/>
  <c r="B211" i="4" s="1"/>
  <c r="A211" i="4"/>
  <c r="L210" i="4"/>
  <c r="K210" i="4"/>
  <c r="D210" i="4" s="1" a="1"/>
  <c r="D210" i="4" s="1"/>
  <c r="J210" i="4"/>
  <c r="I210" i="4"/>
  <c r="H210" i="4"/>
  <c r="G210" i="4"/>
  <c r="F210" i="4"/>
  <c r="E210" i="4" a="1"/>
  <c r="E210" i="4" s="1"/>
  <c r="C210" i="4" a="1"/>
  <c r="C210" i="4" s="1"/>
  <c r="B210" i="4" a="1"/>
  <c r="B210" i="4" s="1"/>
  <c r="A210" i="4"/>
  <c r="M209" i="4" a="1"/>
  <c r="M209" i="4" s="1"/>
  <c r="L209" i="4"/>
  <c r="D209" i="4" s="1" a="1"/>
  <c r="D209" i="4" s="1"/>
  <c r="K209" i="4"/>
  <c r="J209" i="4"/>
  <c r="I209" i="4"/>
  <c r="H209" i="4"/>
  <c r="G209" i="4"/>
  <c r="F209" i="4"/>
  <c r="E209" i="4"/>
  <c r="E209" i="4" a="1"/>
  <c r="B209" i="4" a="1"/>
  <c r="B209" i="4" s="1"/>
  <c r="A209" i="4"/>
  <c r="L208" i="4"/>
  <c r="K208" i="4"/>
  <c r="J208" i="4"/>
  <c r="I208" i="4"/>
  <c r="G208" i="4"/>
  <c r="H208" i="4" s="1"/>
  <c r="F208" i="4"/>
  <c r="A208" i="4"/>
  <c r="L207" i="4"/>
  <c r="K207" i="4"/>
  <c r="I207" i="4"/>
  <c r="G207" i="4"/>
  <c r="J207" i="4" s="1"/>
  <c r="F207" i="4"/>
  <c r="C207" i="4" a="1"/>
  <c r="C207" i="4" s="1"/>
  <c r="A207" i="4"/>
  <c r="L206" i="4"/>
  <c r="K206" i="4"/>
  <c r="J206" i="4"/>
  <c r="I206" i="4"/>
  <c r="H206" i="4"/>
  <c r="G206" i="4"/>
  <c r="F206" i="4"/>
  <c r="A206" i="4"/>
  <c r="L205" i="4"/>
  <c r="K205" i="4"/>
  <c r="I205" i="4"/>
  <c r="G205" i="4"/>
  <c r="F205" i="4"/>
  <c r="C205" i="4" a="1"/>
  <c r="C205" i="4" s="1"/>
  <c r="A205" i="4"/>
  <c r="L204" i="4"/>
  <c r="K204" i="4"/>
  <c r="E204" i="4" s="1" a="1"/>
  <c r="E204" i="4" s="1"/>
  <c r="J204" i="4"/>
  <c r="I204" i="4"/>
  <c r="H204" i="4"/>
  <c r="G204" i="4"/>
  <c r="F204" i="4"/>
  <c r="B204" i="4" a="1"/>
  <c r="B204" i="4" s="1"/>
  <c r="A204" i="4"/>
  <c r="M203" i="4" a="1"/>
  <c r="M203" i="4" s="1"/>
  <c r="L203" i="4"/>
  <c r="K203" i="4"/>
  <c r="J203" i="4"/>
  <c r="I203" i="4"/>
  <c r="H203" i="4"/>
  <c r="G203" i="4"/>
  <c r="F203" i="4"/>
  <c r="E203" i="4"/>
  <c r="E203" i="4" a="1"/>
  <c r="A203" i="4"/>
  <c r="D203" i="4" s="1" a="1"/>
  <c r="D203" i="4" s="1"/>
  <c r="L202" i="4"/>
  <c r="K202" i="4"/>
  <c r="I202" i="4"/>
  <c r="G202" i="4"/>
  <c r="F202" i="4"/>
  <c r="C202" i="4" a="1"/>
  <c r="C202" i="4" s="1"/>
  <c r="A202" i="4"/>
  <c r="E202" i="4" s="1" a="1"/>
  <c r="E202" i="4" s="1"/>
  <c r="M201" i="4" a="1"/>
  <c r="M201" i="4" s="1"/>
  <c r="L201" i="4"/>
  <c r="K201" i="4"/>
  <c r="I201" i="4"/>
  <c r="G201" i="4"/>
  <c r="F201" i="4"/>
  <c r="B201" i="4" a="1"/>
  <c r="B201" i="4" s="1"/>
  <c r="A201" i="4"/>
  <c r="E201" i="4" s="1" a="1"/>
  <c r="E201" i="4" s="1"/>
  <c r="L200" i="4"/>
  <c r="K200" i="4"/>
  <c r="D200" i="4" s="1" a="1"/>
  <c r="D200" i="4" s="1"/>
  <c r="J200" i="4"/>
  <c r="I200" i="4"/>
  <c r="H200" i="4"/>
  <c r="G200" i="4"/>
  <c r="F200" i="4"/>
  <c r="E200" i="4" a="1"/>
  <c r="E200" i="4" s="1"/>
  <c r="B200" i="4" a="1"/>
  <c r="B200" i="4" s="1"/>
  <c r="A200" i="4"/>
  <c r="M199" i="4" a="1"/>
  <c r="M199" i="4" s="1"/>
  <c r="L199" i="4"/>
  <c r="K199" i="4"/>
  <c r="J199" i="4"/>
  <c r="I199" i="4"/>
  <c r="H199" i="4"/>
  <c r="G199" i="4"/>
  <c r="F199" i="4"/>
  <c r="C199" i="4" a="1"/>
  <c r="C199" i="4" s="1"/>
  <c r="B199" i="4" a="1"/>
  <c r="B199" i="4" s="1"/>
  <c r="A199" i="4"/>
  <c r="D199" i="4" s="1" a="1"/>
  <c r="D199" i="4" s="1"/>
  <c r="L198" i="4"/>
  <c r="K198" i="4"/>
  <c r="I198" i="4"/>
  <c r="H198" i="4"/>
  <c r="G198" i="4"/>
  <c r="J198" i="4" s="1"/>
  <c r="F198" i="4"/>
  <c r="D198" i="4" a="1"/>
  <c r="D198" i="4" s="1"/>
  <c r="B198" i="4" a="1"/>
  <c r="B198" i="4" s="1"/>
  <c r="A198" i="4"/>
  <c r="L197" i="4"/>
  <c r="K197" i="4"/>
  <c r="J197" i="4"/>
  <c r="I197" i="4"/>
  <c r="G197" i="4"/>
  <c r="H197" i="4" s="1"/>
  <c r="F197" i="4"/>
  <c r="C197" i="4" a="1"/>
  <c r="C197" i="4" s="1"/>
  <c r="B197" i="4" a="1"/>
  <c r="B197" i="4" s="1"/>
  <c r="A197" i="4"/>
  <c r="L196" i="4"/>
  <c r="K196" i="4"/>
  <c r="I196" i="4"/>
  <c r="G196" i="4"/>
  <c r="J196" i="4" s="1"/>
  <c r="F196" i="4"/>
  <c r="E196" i="4" a="1"/>
  <c r="E196" i="4" s="1"/>
  <c r="D196" i="4" a="1"/>
  <c r="D196" i="4" s="1"/>
  <c r="A196" i="4"/>
  <c r="M195" i="4" a="1"/>
  <c r="M195" i="4" s="1"/>
  <c r="L195" i="4"/>
  <c r="K195" i="4"/>
  <c r="E195" i="4" s="1" a="1"/>
  <c r="E195" i="4" s="1"/>
  <c r="J195" i="4"/>
  <c r="I195" i="4"/>
  <c r="H195" i="4"/>
  <c r="G195" i="4"/>
  <c r="F195" i="4"/>
  <c r="D195" i="4" a="1"/>
  <c r="D195" i="4" s="1"/>
  <c r="B195" i="4" a="1"/>
  <c r="B195" i="4" s="1"/>
  <c r="A195" i="4"/>
  <c r="N194" i="4" a="1"/>
  <c r="N194" i="4" s="1"/>
  <c r="L194" i="4"/>
  <c r="K194" i="4"/>
  <c r="J194" i="4"/>
  <c r="I194" i="4"/>
  <c r="G194" i="4"/>
  <c r="H194" i="4" s="1"/>
  <c r="F194" i="4"/>
  <c r="E194" i="4" a="1"/>
  <c r="E194" i="4" s="1"/>
  <c r="B194" i="4" a="1"/>
  <c r="B194" i="4" s="1"/>
  <c r="A194" i="4"/>
  <c r="L193" i="4"/>
  <c r="K193" i="4"/>
  <c r="J193" i="4"/>
  <c r="I193" i="4"/>
  <c r="G193" i="4"/>
  <c r="H193" i="4" s="1"/>
  <c r="F193" i="4"/>
  <c r="D193" i="4"/>
  <c r="D193" i="4" a="1"/>
  <c r="A193" i="4"/>
  <c r="L192" i="4"/>
  <c r="K192" i="4"/>
  <c r="N192" i="4" s="1" a="1"/>
  <c r="N192" i="4" s="1"/>
  <c r="I192" i="4"/>
  <c r="G192" i="4"/>
  <c r="F192" i="4"/>
  <c r="C192" i="4" a="1"/>
  <c r="C192" i="4" s="1"/>
  <c r="B192" i="4" a="1"/>
  <c r="B192" i="4" s="1"/>
  <c r="A192" i="4"/>
  <c r="N191" i="4" a="1"/>
  <c r="N191" i="4" s="1"/>
  <c r="L191" i="4"/>
  <c r="K191" i="4"/>
  <c r="I191" i="4"/>
  <c r="H191" i="4"/>
  <c r="G191" i="4"/>
  <c r="J191" i="4" s="1"/>
  <c r="F191" i="4"/>
  <c r="A191" i="4"/>
  <c r="N190" i="4" a="1"/>
  <c r="N190" i="4" s="1"/>
  <c r="L190" i="4"/>
  <c r="K190" i="4"/>
  <c r="J190" i="4"/>
  <c r="I190" i="4"/>
  <c r="H190" i="4"/>
  <c r="G190" i="4"/>
  <c r="F190" i="4"/>
  <c r="E190" i="4" a="1"/>
  <c r="E190" i="4" s="1"/>
  <c r="B190" i="4" a="1"/>
  <c r="B190" i="4" s="1"/>
  <c r="A190" i="4"/>
  <c r="L189" i="4"/>
  <c r="K189" i="4"/>
  <c r="I189" i="4"/>
  <c r="H189" i="4"/>
  <c r="G189" i="4"/>
  <c r="J189" i="4" s="1"/>
  <c r="F189" i="4"/>
  <c r="D189" i="4" a="1"/>
  <c r="D189" i="4" s="1"/>
  <c r="B189" i="4" a="1"/>
  <c r="B189" i="4" s="1"/>
  <c r="A189" i="4"/>
  <c r="L188" i="4"/>
  <c r="K188" i="4"/>
  <c r="J188" i="4"/>
  <c r="I188" i="4"/>
  <c r="G188" i="4"/>
  <c r="H188" i="4" s="1"/>
  <c r="F188" i="4"/>
  <c r="A188" i="4"/>
  <c r="D188" i="4" s="1" a="1"/>
  <c r="D188" i="4" s="1"/>
  <c r="N187" i="4" a="1"/>
  <c r="N187" i="4" s="1"/>
  <c r="L187" i="4"/>
  <c r="K187" i="4"/>
  <c r="J187" i="4"/>
  <c r="I187" i="4"/>
  <c r="H187" i="4"/>
  <c r="G187" i="4"/>
  <c r="F187" i="4"/>
  <c r="E187" i="4" a="1"/>
  <c r="E187" i="4" s="1"/>
  <c r="C187" i="4" a="1"/>
  <c r="C187" i="4" s="1"/>
  <c r="A187" i="4"/>
  <c r="L186" i="4"/>
  <c r="K186" i="4"/>
  <c r="J186" i="4"/>
  <c r="I186" i="4"/>
  <c r="G186" i="4"/>
  <c r="H186" i="4" s="1"/>
  <c r="F186" i="4"/>
  <c r="A186" i="4"/>
  <c r="N186" i="4" s="1" a="1"/>
  <c r="N186" i="4" s="1"/>
  <c r="N185" i="4" a="1"/>
  <c r="N185" i="4" s="1"/>
  <c r="L185" i="4"/>
  <c r="K185" i="4"/>
  <c r="J185" i="4"/>
  <c r="I185" i="4"/>
  <c r="G185" i="4"/>
  <c r="H185" i="4" s="1"/>
  <c r="F185" i="4"/>
  <c r="E185" i="4" a="1"/>
  <c r="E185" i="4" s="1"/>
  <c r="A185" i="4"/>
  <c r="M184" i="4" a="1"/>
  <c r="M184" i="4" s="1"/>
  <c r="L184" i="4"/>
  <c r="K184" i="4"/>
  <c r="I184" i="4"/>
  <c r="H184" i="4"/>
  <c r="G184" i="4"/>
  <c r="J184" i="4" s="1"/>
  <c r="F184" i="4"/>
  <c r="C184" i="4" a="1"/>
  <c r="C184" i="4" s="1"/>
  <c r="A184" i="4"/>
  <c r="L183" i="4"/>
  <c r="K183" i="4"/>
  <c r="N183" i="4" s="1" a="1"/>
  <c r="N183" i="4" s="1"/>
  <c r="J183" i="4"/>
  <c r="I183" i="4"/>
  <c r="G183" i="4"/>
  <c r="H183" i="4" s="1"/>
  <c r="F183" i="4"/>
  <c r="D183" i="4" a="1"/>
  <c r="D183" i="4" s="1"/>
  <c r="C183" i="4"/>
  <c r="C183" i="4" a="1"/>
  <c r="B183" i="4" a="1"/>
  <c r="B183" i="4" s="1"/>
  <c r="A183" i="4"/>
  <c r="L182" i="4"/>
  <c r="K182" i="4"/>
  <c r="J182" i="4"/>
  <c r="I182" i="4"/>
  <c r="H182" i="4"/>
  <c r="G182" i="4"/>
  <c r="F182" i="4"/>
  <c r="E182" i="4" a="1"/>
  <c r="E182" i="4" s="1"/>
  <c r="D182" i="4" a="1"/>
  <c r="D182" i="4" s="1"/>
  <c r="A182" i="4"/>
  <c r="B182" i="4" s="1" a="1"/>
  <c r="B182" i="4" s="1"/>
  <c r="L181" i="4"/>
  <c r="K181" i="4"/>
  <c r="J181" i="4"/>
  <c r="I181" i="4"/>
  <c r="G181" i="4"/>
  <c r="H181" i="4" s="1"/>
  <c r="F181" i="4"/>
  <c r="D181" i="4" a="1"/>
  <c r="D181" i="4" s="1"/>
  <c r="B181" i="4"/>
  <c r="B181" i="4" a="1"/>
  <c r="A181" i="4"/>
  <c r="C181" i="4" s="1" a="1"/>
  <c r="C181" i="4" s="1"/>
  <c r="M180" i="4" a="1"/>
  <c r="M180" i="4" s="1"/>
  <c r="L180" i="4"/>
  <c r="E180" i="4" s="1" a="1"/>
  <c r="E180" i="4" s="1"/>
  <c r="K180" i="4"/>
  <c r="I180" i="4"/>
  <c r="G180" i="4"/>
  <c r="J180" i="4" s="1"/>
  <c r="F180" i="4"/>
  <c r="D180" i="4" a="1"/>
  <c r="D180" i="4" s="1"/>
  <c r="C180" i="4" a="1"/>
  <c r="C180" i="4" s="1"/>
  <c r="B180" i="4" a="1"/>
  <c r="B180" i="4" s="1"/>
  <c r="A180" i="4"/>
  <c r="L179" i="4"/>
  <c r="K179" i="4"/>
  <c r="J179" i="4"/>
  <c r="I179" i="4"/>
  <c r="H179" i="4"/>
  <c r="G179" i="4"/>
  <c r="F179" i="4"/>
  <c r="A179" i="4"/>
  <c r="C179" i="4" s="1" a="1"/>
  <c r="C179" i="4" s="1"/>
  <c r="L178" i="4"/>
  <c r="K178" i="4"/>
  <c r="J178" i="4"/>
  <c r="I178" i="4"/>
  <c r="G178" i="4"/>
  <c r="H178" i="4" s="1"/>
  <c r="F178" i="4"/>
  <c r="E178" i="4" a="1"/>
  <c r="E178" i="4" s="1"/>
  <c r="A178" i="4"/>
  <c r="L177" i="4"/>
  <c r="K177" i="4"/>
  <c r="I177" i="4"/>
  <c r="G177" i="4"/>
  <c r="F177" i="4"/>
  <c r="A177" i="4"/>
  <c r="E177" i="4" s="1" a="1"/>
  <c r="E177" i="4" s="1"/>
  <c r="L176" i="4"/>
  <c r="K176" i="4"/>
  <c r="I176" i="4"/>
  <c r="G176" i="4"/>
  <c r="J176" i="4" s="1"/>
  <c r="F176" i="4"/>
  <c r="E176" i="4" a="1"/>
  <c r="E176" i="4" s="1"/>
  <c r="C176" i="4" a="1"/>
  <c r="C176" i="4" s="1"/>
  <c r="A176" i="4"/>
  <c r="L175" i="4"/>
  <c r="K175" i="4"/>
  <c r="J175" i="4"/>
  <c r="I175" i="4"/>
  <c r="G175" i="4"/>
  <c r="H175" i="4" s="1"/>
  <c r="F175" i="4"/>
  <c r="D175" i="4" a="1"/>
  <c r="D175" i="4" s="1"/>
  <c r="A175" i="4"/>
  <c r="N174" i="4" a="1"/>
  <c r="N174" i="4" s="1"/>
  <c r="L174" i="4"/>
  <c r="D174" i="4" s="1" a="1"/>
  <c r="D174" i="4" s="1"/>
  <c r="K174" i="4"/>
  <c r="I174" i="4"/>
  <c r="H174" i="4"/>
  <c r="G174" i="4"/>
  <c r="J174" i="4" s="1"/>
  <c r="F174" i="4"/>
  <c r="C174" i="4" a="1"/>
  <c r="C174" i="4" s="1"/>
  <c r="B174" i="4" a="1"/>
  <c r="B174" i="4" s="1"/>
  <c r="A174" i="4"/>
  <c r="L173" i="4"/>
  <c r="K173" i="4"/>
  <c r="I173" i="4"/>
  <c r="H173" i="4"/>
  <c r="G173" i="4"/>
  <c r="J173" i="4" s="1"/>
  <c r="F173" i="4"/>
  <c r="E173" i="4" a="1"/>
  <c r="E173" i="4" s="1"/>
  <c r="D173" i="4" a="1"/>
  <c r="D173" i="4" s="1"/>
  <c r="A173" i="4"/>
  <c r="L172" i="4"/>
  <c r="K172" i="4"/>
  <c r="J172" i="4"/>
  <c r="I172" i="4"/>
  <c r="G172" i="4"/>
  <c r="H172" i="4" s="1"/>
  <c r="F172" i="4"/>
  <c r="D172" i="4" a="1"/>
  <c r="D172" i="4" s="1"/>
  <c r="A172" i="4"/>
  <c r="N171" i="4" a="1"/>
  <c r="N171" i="4" s="1"/>
  <c r="L171" i="4"/>
  <c r="K171" i="4"/>
  <c r="J171" i="4"/>
  <c r="I171" i="4"/>
  <c r="H171" i="4"/>
  <c r="G171" i="4"/>
  <c r="F171" i="4"/>
  <c r="E171" i="4" a="1"/>
  <c r="E171" i="4" s="1"/>
  <c r="B171" i="4" a="1"/>
  <c r="B171" i="4" s="1"/>
  <c r="A171" i="4"/>
  <c r="L170" i="4"/>
  <c r="K170" i="4"/>
  <c r="M170" i="4" s="1" a="1"/>
  <c r="M170" i="4" s="1"/>
  <c r="J170" i="4"/>
  <c r="I170" i="4"/>
  <c r="G170" i="4"/>
  <c r="H170" i="4" s="1"/>
  <c r="F170" i="4"/>
  <c r="B170" i="4" a="1"/>
  <c r="B170" i="4" s="1"/>
  <c r="A170" i="4"/>
  <c r="L169" i="4"/>
  <c r="K169" i="4"/>
  <c r="J169" i="4"/>
  <c r="I169" i="4"/>
  <c r="H169" i="4"/>
  <c r="G169" i="4"/>
  <c r="F169" i="4"/>
  <c r="C169" i="4" a="1"/>
  <c r="C169" i="4" s="1"/>
  <c r="A169" i="4"/>
  <c r="D169" i="4" s="1" a="1"/>
  <c r="D169" i="4" s="1"/>
  <c r="N168" i="4" a="1"/>
  <c r="N168" i="4" s="1"/>
  <c r="L168" i="4"/>
  <c r="K168" i="4"/>
  <c r="D168" i="4" s="1" a="1"/>
  <c r="D168" i="4" s="1"/>
  <c r="J168" i="4"/>
  <c r="I168" i="4"/>
  <c r="H168" i="4"/>
  <c r="G168" i="4"/>
  <c r="F168" i="4"/>
  <c r="B168" i="4" a="1"/>
  <c r="B168" i="4" s="1"/>
  <c r="A168" i="4"/>
  <c r="N167" i="4" a="1"/>
  <c r="N167" i="4" s="1"/>
  <c r="L167" i="4"/>
  <c r="K167" i="4"/>
  <c r="I167" i="4"/>
  <c r="H167" i="4"/>
  <c r="G167" i="4"/>
  <c r="J167" i="4" s="1"/>
  <c r="F167" i="4"/>
  <c r="D167" i="4" a="1"/>
  <c r="D167" i="4" s="1"/>
  <c r="C167" i="4" a="1"/>
  <c r="C167" i="4" s="1"/>
  <c r="A167" i="4"/>
  <c r="L166" i="4"/>
  <c r="K166" i="4"/>
  <c r="J166" i="4"/>
  <c r="I166" i="4"/>
  <c r="H166" i="4"/>
  <c r="G166" i="4"/>
  <c r="F166" i="4"/>
  <c r="E166" i="4" a="1"/>
  <c r="E166" i="4" s="1"/>
  <c r="A166" i="4"/>
  <c r="N165" i="4" a="1"/>
  <c r="N165" i="4" s="1"/>
  <c r="L165" i="4"/>
  <c r="K165" i="4"/>
  <c r="B165" i="4" s="1" a="1"/>
  <c r="B165" i="4" s="1"/>
  <c r="I165" i="4"/>
  <c r="G165" i="4"/>
  <c r="F165" i="4"/>
  <c r="D165" i="4" a="1"/>
  <c r="D165" i="4" s="1"/>
  <c r="C165" i="4" a="1"/>
  <c r="C165" i="4" s="1"/>
  <c r="A165" i="4"/>
  <c r="L164" i="4"/>
  <c r="E164" i="4" s="1" a="1"/>
  <c r="E164" i="4" s="1"/>
  <c r="K164" i="4"/>
  <c r="I164" i="4"/>
  <c r="G164" i="4"/>
  <c r="H164" i="4" s="1"/>
  <c r="F164" i="4"/>
  <c r="B164" i="4" a="1"/>
  <c r="B164" i="4" s="1"/>
  <c r="A164" i="4"/>
  <c r="N163" i="4"/>
  <c r="N163" i="4" a="1"/>
  <c r="L163" i="4"/>
  <c r="K163" i="4"/>
  <c r="J163" i="4"/>
  <c r="I163" i="4"/>
  <c r="H163" i="4"/>
  <c r="G163" i="4"/>
  <c r="F163" i="4"/>
  <c r="E163" i="4" a="1"/>
  <c r="E163" i="4" s="1"/>
  <c r="C163" i="4" a="1"/>
  <c r="C163" i="4" s="1"/>
  <c r="A163" i="4"/>
  <c r="L162" i="4"/>
  <c r="K162" i="4"/>
  <c r="I162" i="4"/>
  <c r="G162" i="4"/>
  <c r="H162" i="4" s="1"/>
  <c r="F162" i="4"/>
  <c r="D162" i="4" a="1"/>
  <c r="D162" i="4" s="1"/>
  <c r="A162" i="4"/>
  <c r="N161" i="4" a="1"/>
  <c r="N161" i="4" s="1"/>
  <c r="L161" i="4"/>
  <c r="D161" i="4" s="1" a="1"/>
  <c r="D161" i="4" s="1"/>
  <c r="K161" i="4"/>
  <c r="I161" i="4"/>
  <c r="G161" i="4"/>
  <c r="F161" i="4"/>
  <c r="E161" i="4" a="1"/>
  <c r="E161" i="4" s="1"/>
  <c r="C161" i="4" a="1"/>
  <c r="C161" i="4" s="1"/>
  <c r="B161" i="4" a="1"/>
  <c r="B161" i="4" s="1"/>
  <c r="A161" i="4"/>
  <c r="M161" i="4" s="1" a="1"/>
  <c r="M161" i="4" s="1"/>
  <c r="L160" i="4"/>
  <c r="K160" i="4"/>
  <c r="J160" i="4"/>
  <c r="I160" i="4"/>
  <c r="H160" i="4"/>
  <c r="G160" i="4"/>
  <c r="F160" i="4"/>
  <c r="A160" i="4"/>
  <c r="L159" i="4"/>
  <c r="K159" i="4"/>
  <c r="J159" i="4"/>
  <c r="I159" i="4"/>
  <c r="H159" i="4"/>
  <c r="G159" i="4"/>
  <c r="F159" i="4"/>
  <c r="A159" i="4"/>
  <c r="L158" i="4"/>
  <c r="K158" i="4"/>
  <c r="I158" i="4"/>
  <c r="H158" i="4"/>
  <c r="G158" i="4"/>
  <c r="J158" i="4" s="1"/>
  <c r="F158" i="4"/>
  <c r="E158" i="4" a="1"/>
  <c r="E158" i="4" s="1"/>
  <c r="A158" i="4"/>
  <c r="L157" i="4"/>
  <c r="C157" i="4" s="1" a="1"/>
  <c r="C157" i="4" s="1"/>
  <c r="K157" i="4"/>
  <c r="I157" i="4"/>
  <c r="G157" i="4"/>
  <c r="J157" i="4" s="1"/>
  <c r="F157" i="4"/>
  <c r="A157" i="4"/>
  <c r="L156" i="4"/>
  <c r="K156" i="4"/>
  <c r="C156" i="4" s="1" a="1"/>
  <c r="C156" i="4" s="1"/>
  <c r="I156" i="4"/>
  <c r="H156" i="4"/>
  <c r="G156" i="4"/>
  <c r="J156" i="4" s="1"/>
  <c r="F156" i="4"/>
  <c r="A156" i="4"/>
  <c r="L155" i="4"/>
  <c r="K155" i="4"/>
  <c r="J155" i="4"/>
  <c r="I155" i="4"/>
  <c r="H155" i="4"/>
  <c r="G155" i="4"/>
  <c r="F155" i="4"/>
  <c r="B155" i="4" a="1"/>
  <c r="B155" i="4" s="1"/>
  <c r="A155" i="4"/>
  <c r="L154" i="4"/>
  <c r="K154" i="4"/>
  <c r="J154" i="4"/>
  <c r="I154" i="4"/>
  <c r="G154" i="4"/>
  <c r="H154" i="4" s="1"/>
  <c r="F154" i="4"/>
  <c r="C154" i="4" a="1"/>
  <c r="C154" i="4" s="1"/>
  <c r="A154" i="4"/>
  <c r="B154" i="4" s="1" a="1"/>
  <c r="B154" i="4" s="1"/>
  <c r="L153" i="4"/>
  <c r="K153" i="4"/>
  <c r="I153" i="4"/>
  <c r="G153" i="4"/>
  <c r="J153" i="4" s="1"/>
  <c r="F153" i="4"/>
  <c r="A153" i="4"/>
  <c r="C153" i="4" s="1" a="1"/>
  <c r="C153" i="4" s="1"/>
  <c r="L152" i="4"/>
  <c r="K152" i="4"/>
  <c r="J152" i="4"/>
  <c r="I152" i="4"/>
  <c r="G152" i="4"/>
  <c r="H152" i="4" s="1"/>
  <c r="F152" i="4"/>
  <c r="A152" i="4"/>
  <c r="D152" i="4" s="1" a="1"/>
  <c r="D152" i="4" s="1"/>
  <c r="L151" i="4"/>
  <c r="K151" i="4"/>
  <c r="J151" i="4"/>
  <c r="I151" i="4"/>
  <c r="G151" i="4"/>
  <c r="H151" i="4" s="1"/>
  <c r="F151" i="4"/>
  <c r="C151" i="4" a="1"/>
  <c r="C151" i="4" s="1"/>
  <c r="A151" i="4"/>
  <c r="L150" i="4"/>
  <c r="K150" i="4"/>
  <c r="B150" i="4" s="1" a="1"/>
  <c r="B150" i="4" s="1"/>
  <c r="I150" i="4"/>
  <c r="G150" i="4"/>
  <c r="F150" i="4"/>
  <c r="E150" i="4" a="1"/>
  <c r="E150" i="4" s="1"/>
  <c r="A150" i="4"/>
  <c r="N149" i="4" a="1"/>
  <c r="N149" i="4" s="1"/>
  <c r="L149" i="4"/>
  <c r="K149" i="4"/>
  <c r="I149" i="4"/>
  <c r="G149" i="4"/>
  <c r="J149" i="4" s="1"/>
  <c r="F149" i="4"/>
  <c r="B149" i="4" a="1"/>
  <c r="B149" i="4" s="1"/>
  <c r="A149" i="4"/>
  <c r="L148" i="4"/>
  <c r="D148" i="4" s="1" a="1"/>
  <c r="D148" i="4" s="1"/>
  <c r="K148" i="4"/>
  <c r="I148" i="4"/>
  <c r="H148" i="4"/>
  <c r="G148" i="4"/>
  <c r="J148" i="4" s="1"/>
  <c r="F148" i="4"/>
  <c r="B148" i="4" a="1"/>
  <c r="B148" i="4" s="1"/>
  <c r="A148" i="4"/>
  <c r="L147" i="4"/>
  <c r="M147" i="4" s="1" a="1"/>
  <c r="M147" i="4" s="1"/>
  <c r="K147" i="4"/>
  <c r="N147" i="4" s="1" a="1"/>
  <c r="N147" i="4" s="1"/>
  <c r="J147" i="4"/>
  <c r="I147" i="4"/>
  <c r="G147" i="4"/>
  <c r="H147" i="4" s="1"/>
  <c r="F147" i="4"/>
  <c r="A147" i="4"/>
  <c r="N146" i="4" a="1"/>
  <c r="N146" i="4" s="1"/>
  <c r="L146" i="4"/>
  <c r="C146" i="4" s="1" a="1"/>
  <c r="C146" i="4" s="1"/>
  <c r="K146" i="4"/>
  <c r="B146" i="4" s="1" a="1"/>
  <c r="B146" i="4" s="1"/>
  <c r="I146" i="4"/>
  <c r="G146" i="4"/>
  <c r="J146" i="4" s="1"/>
  <c r="F146" i="4"/>
  <c r="A146" i="4"/>
  <c r="N145" i="4" a="1"/>
  <c r="N145" i="4" s="1"/>
  <c r="M145" i="4" a="1"/>
  <c r="M145" i="4" s="1"/>
  <c r="L145" i="4"/>
  <c r="K145" i="4"/>
  <c r="I145" i="4"/>
  <c r="H145" i="4"/>
  <c r="G145" i="4"/>
  <c r="J145" i="4" s="1"/>
  <c r="F145" i="4"/>
  <c r="E145" i="4" a="1"/>
  <c r="E145" i="4" s="1"/>
  <c r="C145" i="4" a="1"/>
  <c r="C145" i="4" s="1"/>
  <c r="A145" i="4"/>
  <c r="L144" i="4"/>
  <c r="K144" i="4"/>
  <c r="I144" i="4"/>
  <c r="G144" i="4"/>
  <c r="F144" i="4"/>
  <c r="A144" i="4"/>
  <c r="D144" i="4" s="1" a="1"/>
  <c r="D144" i="4" s="1"/>
  <c r="L143" i="4"/>
  <c r="K143" i="4"/>
  <c r="I143" i="4"/>
  <c r="G143" i="4"/>
  <c r="H143" i="4" s="1"/>
  <c r="F143" i="4"/>
  <c r="A143" i="4"/>
  <c r="C143" i="4" s="1" a="1"/>
  <c r="C143" i="4" s="1"/>
  <c r="L142" i="4"/>
  <c r="K142" i="4"/>
  <c r="E142" i="4" s="1" a="1"/>
  <c r="E142" i="4" s="1"/>
  <c r="I142" i="4"/>
  <c r="G142" i="4"/>
  <c r="J142" i="4" s="1"/>
  <c r="F142" i="4"/>
  <c r="D142" i="4" a="1"/>
  <c r="D142" i="4" s="1"/>
  <c r="A142" i="4"/>
  <c r="B142" i="4" s="1" a="1"/>
  <c r="B142" i="4" s="1"/>
  <c r="L141" i="4"/>
  <c r="K141" i="4"/>
  <c r="J141" i="4"/>
  <c r="I141" i="4"/>
  <c r="G141" i="4"/>
  <c r="H141" i="4" s="1"/>
  <c r="F141" i="4"/>
  <c r="A141" i="4"/>
  <c r="L140" i="4"/>
  <c r="K140" i="4"/>
  <c r="I140" i="4"/>
  <c r="G140" i="4"/>
  <c r="F140" i="4"/>
  <c r="A140" i="4"/>
  <c r="D140" i="4" s="1" a="1"/>
  <c r="D140" i="4" s="1"/>
  <c r="L139" i="4"/>
  <c r="K139" i="4"/>
  <c r="I139" i="4"/>
  <c r="G139" i="4"/>
  <c r="F139" i="4"/>
  <c r="A139" i="4"/>
  <c r="L138" i="4"/>
  <c r="K138" i="4"/>
  <c r="J138" i="4"/>
  <c r="I138" i="4"/>
  <c r="G138" i="4"/>
  <c r="H138" i="4" s="1"/>
  <c r="F138" i="4"/>
  <c r="A138" i="4"/>
  <c r="L137" i="4"/>
  <c r="K137" i="4"/>
  <c r="I137" i="4"/>
  <c r="H137" i="4"/>
  <c r="G137" i="4"/>
  <c r="J137" i="4" s="1"/>
  <c r="F137" i="4"/>
  <c r="A137" i="4"/>
  <c r="L136" i="4"/>
  <c r="K136" i="4"/>
  <c r="I136" i="4"/>
  <c r="G136" i="4"/>
  <c r="J136" i="4" s="1"/>
  <c r="F136" i="4"/>
  <c r="A136" i="4"/>
  <c r="L135" i="4"/>
  <c r="K135" i="4"/>
  <c r="J135" i="4"/>
  <c r="I135" i="4"/>
  <c r="G135" i="4"/>
  <c r="H135" i="4" s="1"/>
  <c r="F135" i="4"/>
  <c r="A135" i="4"/>
  <c r="L134" i="4"/>
  <c r="D134" i="4" s="1" a="1"/>
  <c r="D134" i="4" s="1"/>
  <c r="K134" i="4"/>
  <c r="B134" i="4" s="1" a="1"/>
  <c r="B134" i="4" s="1"/>
  <c r="J134" i="4"/>
  <c r="I134" i="4"/>
  <c r="G134" i="4"/>
  <c r="H134" i="4" s="1"/>
  <c r="F134" i="4"/>
  <c r="A134" i="4"/>
  <c r="M133" i="4" a="1"/>
  <c r="M133" i="4" s="1"/>
  <c r="L133" i="4"/>
  <c r="K133" i="4"/>
  <c r="I133" i="4"/>
  <c r="G133" i="4"/>
  <c r="J133" i="4" s="1"/>
  <c r="F133" i="4"/>
  <c r="A133" i="4"/>
  <c r="B133" i="4" s="1" a="1"/>
  <c r="B133" i="4" s="1"/>
  <c r="L132" i="4"/>
  <c r="K132" i="4"/>
  <c r="I132" i="4"/>
  <c r="G132" i="4"/>
  <c r="H132" i="4" s="1"/>
  <c r="F132" i="4"/>
  <c r="A132" i="4"/>
  <c r="L131" i="4"/>
  <c r="K131" i="4"/>
  <c r="J131" i="4"/>
  <c r="I131" i="4"/>
  <c r="G131" i="4"/>
  <c r="H131" i="4" s="1"/>
  <c r="F131" i="4"/>
  <c r="A131" i="4"/>
  <c r="D131" i="4" s="1" a="1"/>
  <c r="D131" i="4" s="1"/>
  <c r="L130" i="4"/>
  <c r="E130" i="4" s="1" a="1"/>
  <c r="E130" i="4" s="1"/>
  <c r="K130" i="4"/>
  <c r="I130" i="4"/>
  <c r="G130" i="4"/>
  <c r="H130" i="4" s="1"/>
  <c r="F130" i="4"/>
  <c r="A130" i="4"/>
  <c r="L129" i="4"/>
  <c r="K129" i="4"/>
  <c r="I129" i="4"/>
  <c r="G129" i="4"/>
  <c r="J129" i="4" s="1"/>
  <c r="F129" i="4"/>
  <c r="D129" i="4" a="1"/>
  <c r="D129" i="4" s="1"/>
  <c r="A129" i="4"/>
  <c r="E129" i="4" s="1" a="1"/>
  <c r="E129" i="4" s="1"/>
  <c r="L128" i="4"/>
  <c r="K128" i="4"/>
  <c r="D128" i="4" s="1" a="1"/>
  <c r="D128" i="4" s="1"/>
  <c r="I128" i="4"/>
  <c r="G128" i="4"/>
  <c r="H128" i="4" s="1"/>
  <c r="F128" i="4"/>
  <c r="C128" i="4" a="1"/>
  <c r="C128" i="4" s="1"/>
  <c r="A128" i="4"/>
  <c r="L127" i="4"/>
  <c r="K127" i="4"/>
  <c r="I127" i="4"/>
  <c r="G127" i="4"/>
  <c r="J127" i="4" s="1"/>
  <c r="F127" i="4"/>
  <c r="A127" i="4"/>
  <c r="D127" i="4" s="1" a="1"/>
  <c r="D127" i="4" s="1"/>
  <c r="A6" i="4"/>
  <c r="F6" i="4"/>
  <c r="G6" i="4"/>
  <c r="H6" i="4"/>
  <c r="I6" i="4"/>
  <c r="J6" i="4"/>
  <c r="K6" i="4"/>
  <c r="D6" i="4" s="1" a="1"/>
  <c r="D6" i="4" s="1"/>
  <c r="L6" i="4"/>
  <c r="A7" i="4"/>
  <c r="B7" i="4" a="1"/>
  <c r="B7" i="4" s="1"/>
  <c r="F7" i="4"/>
  <c r="G7" i="4"/>
  <c r="H7" i="4" s="1"/>
  <c r="I7" i="4"/>
  <c r="K7" i="4"/>
  <c r="L7" i="4"/>
  <c r="A8" i="4"/>
  <c r="E8" i="4" a="1"/>
  <c r="E8" i="4" s="1"/>
  <c r="F8" i="4"/>
  <c r="G8" i="4"/>
  <c r="H8" i="4"/>
  <c r="I8" i="4"/>
  <c r="J8" i="4"/>
  <c r="K8" i="4"/>
  <c r="L8" i="4"/>
  <c r="A9" i="4"/>
  <c r="F9" i="4"/>
  <c r="G9" i="4"/>
  <c r="H9" i="4"/>
  <c r="I9" i="4"/>
  <c r="J9" i="4"/>
  <c r="K9" i="4"/>
  <c r="L9" i="4"/>
  <c r="B9" i="4" s="1" a="1"/>
  <c r="B9" i="4" s="1"/>
  <c r="A10" i="4"/>
  <c r="F10" i="4"/>
  <c r="G10" i="4"/>
  <c r="H10" i="4"/>
  <c r="I10" i="4"/>
  <c r="J10" i="4"/>
  <c r="K10" i="4"/>
  <c r="L10" i="4"/>
  <c r="B10" i="4" s="1" a="1"/>
  <c r="B10" i="4" s="1"/>
  <c r="A11" i="4"/>
  <c r="F11" i="4"/>
  <c r="G11" i="4"/>
  <c r="H11" i="4"/>
  <c r="I11" i="4"/>
  <c r="J11" i="4"/>
  <c r="K11" i="4"/>
  <c r="L11" i="4"/>
  <c r="A12" i="4"/>
  <c r="F12" i="4"/>
  <c r="G12" i="4"/>
  <c r="H12" i="4"/>
  <c r="I12" i="4"/>
  <c r="J12" i="4"/>
  <c r="K12" i="4"/>
  <c r="L12" i="4"/>
  <c r="A13" i="4"/>
  <c r="C13" i="4" a="1"/>
  <c r="C13" i="4" s="1"/>
  <c r="F13" i="4"/>
  <c r="G13" i="4"/>
  <c r="H13" i="4"/>
  <c r="I13" i="4"/>
  <c r="J13" i="4"/>
  <c r="K13" i="4"/>
  <c r="L13" i="4"/>
  <c r="A14" i="4"/>
  <c r="B14" i="4" s="1" a="1"/>
  <c r="B14" i="4" s="1"/>
  <c r="F14" i="4"/>
  <c r="G14" i="4"/>
  <c r="H14" i="4"/>
  <c r="I14" i="4"/>
  <c r="J14" i="4"/>
  <c r="K14" i="4"/>
  <c r="L14" i="4"/>
  <c r="A15" i="4"/>
  <c r="E15" i="4" s="1" a="1"/>
  <c r="E15" i="4" s="1"/>
  <c r="F15" i="4"/>
  <c r="G15" i="4"/>
  <c r="H15" i="4"/>
  <c r="I15" i="4"/>
  <c r="J15" i="4"/>
  <c r="K15" i="4"/>
  <c r="L15" i="4"/>
  <c r="D15" i="4" s="1" a="1"/>
  <c r="D15" i="4" s="1"/>
  <c r="A16" i="4"/>
  <c r="D16" i="4" s="1" a="1"/>
  <c r="D16" i="4" s="1"/>
  <c r="F16" i="4"/>
  <c r="G16" i="4"/>
  <c r="J16" i="4" s="1"/>
  <c r="H16" i="4"/>
  <c r="I16" i="4"/>
  <c r="K16" i="4"/>
  <c r="L16" i="4"/>
  <c r="A17" i="4"/>
  <c r="D17" i="4" a="1"/>
  <c r="D17" i="4" s="1"/>
  <c r="F17" i="4"/>
  <c r="G17" i="4"/>
  <c r="I17" i="4"/>
  <c r="K17" i="4"/>
  <c r="L17" i="4"/>
  <c r="A18" i="4"/>
  <c r="B18" i="4" s="1" a="1"/>
  <c r="B18" i="4" s="1"/>
  <c r="E18" i="4" a="1"/>
  <c r="E18" i="4" s="1"/>
  <c r="F18" i="4"/>
  <c r="G18" i="4"/>
  <c r="J18" i="4" s="1"/>
  <c r="H18" i="4"/>
  <c r="I18" i="4"/>
  <c r="K18" i="4"/>
  <c r="L18" i="4"/>
  <c r="A19" i="4"/>
  <c r="F19" i="4"/>
  <c r="G19" i="4"/>
  <c r="J19" i="4" s="1"/>
  <c r="H19" i="4"/>
  <c r="I19" i="4"/>
  <c r="K19" i="4"/>
  <c r="L19" i="4"/>
  <c r="A20" i="4"/>
  <c r="C20" i="4" s="1" a="1"/>
  <c r="C20" i="4" s="1"/>
  <c r="B20" i="4" a="1"/>
  <c r="B20" i="4" s="1"/>
  <c r="F20" i="4"/>
  <c r="G20" i="4"/>
  <c r="H20" i="4"/>
  <c r="I20" i="4"/>
  <c r="J20" i="4"/>
  <c r="K20" i="4"/>
  <c r="L20" i="4"/>
  <c r="M20" i="4" a="1"/>
  <c r="M20" i="4" s="1"/>
  <c r="A21" i="4"/>
  <c r="B21" i="4" a="1"/>
  <c r="B21" i="4" s="1"/>
  <c r="F21" i="4"/>
  <c r="G21" i="4"/>
  <c r="I21" i="4"/>
  <c r="K21" i="4"/>
  <c r="L21" i="4"/>
  <c r="N21" i="4" a="1"/>
  <c r="N21" i="4" s="1"/>
  <c r="A22" i="4"/>
  <c r="F22" i="4"/>
  <c r="G22" i="4"/>
  <c r="I22" i="4"/>
  <c r="K22" i="4"/>
  <c r="C22" i="4" s="1" a="1"/>
  <c r="C22" i="4" s="1"/>
  <c r="L22" i="4"/>
  <c r="A23" i="4"/>
  <c r="B23" i="4" s="1" a="1"/>
  <c r="B23" i="4" s="1"/>
  <c r="C23" i="4" a="1"/>
  <c r="C23" i="4" s="1"/>
  <c r="E23" i="4" a="1"/>
  <c r="E23" i="4" s="1"/>
  <c r="F23" i="4"/>
  <c r="G23" i="4"/>
  <c r="H23" i="4" s="1"/>
  <c r="I23" i="4"/>
  <c r="J23" i="4"/>
  <c r="K23" i="4"/>
  <c r="L23" i="4"/>
  <c r="A24" i="4"/>
  <c r="B24" i="4" s="1" a="1"/>
  <c r="B24" i="4" s="1"/>
  <c r="F24" i="4"/>
  <c r="G24" i="4"/>
  <c r="H24" i="4"/>
  <c r="I24" i="4"/>
  <c r="J24" i="4"/>
  <c r="K24" i="4"/>
  <c r="L24" i="4"/>
  <c r="A25" i="4"/>
  <c r="F25" i="4"/>
  <c r="G25" i="4"/>
  <c r="I25" i="4"/>
  <c r="K25" i="4"/>
  <c r="L25" i="4"/>
  <c r="C25" i="4" s="1" a="1"/>
  <c r="C25" i="4" s="1"/>
  <c r="A26" i="4"/>
  <c r="C26" i="4" a="1"/>
  <c r="C26" i="4" s="1"/>
  <c r="F26" i="4"/>
  <c r="G26" i="4"/>
  <c r="J26" i="4" s="1"/>
  <c r="H26" i="4"/>
  <c r="I26" i="4"/>
  <c r="K26" i="4"/>
  <c r="L26" i="4"/>
  <c r="D26" i="4" s="1" a="1"/>
  <c r="D26" i="4" s="1"/>
  <c r="A27" i="4"/>
  <c r="M27" i="4" s="1" a="1"/>
  <c r="M27" i="4" s="1"/>
  <c r="F27" i="4"/>
  <c r="G27" i="4"/>
  <c r="I27" i="4"/>
  <c r="K27" i="4"/>
  <c r="L27" i="4"/>
  <c r="A28" i="4"/>
  <c r="F28" i="4"/>
  <c r="G28" i="4"/>
  <c r="J28" i="4" s="1"/>
  <c r="H28" i="4"/>
  <c r="I28" i="4"/>
  <c r="K28" i="4"/>
  <c r="L28" i="4"/>
  <c r="M28" i="4" a="1"/>
  <c r="M28" i="4" s="1"/>
  <c r="A29" i="4"/>
  <c r="B29" i="4" s="1" a="1"/>
  <c r="B29" i="4" s="1"/>
  <c r="F29" i="4"/>
  <c r="G29" i="4"/>
  <c r="H29" i="4" s="1"/>
  <c r="I29" i="4"/>
  <c r="J29" i="4"/>
  <c r="K29" i="4"/>
  <c r="L29" i="4"/>
  <c r="A30" i="4"/>
  <c r="B30" i="4" s="1" a="1"/>
  <c r="B30" i="4" s="1"/>
  <c r="D30" i="4" a="1"/>
  <c r="D30" i="4" s="1"/>
  <c r="F30" i="4"/>
  <c r="G30" i="4"/>
  <c r="H30" i="4"/>
  <c r="I30" i="4"/>
  <c r="J30" i="4"/>
  <c r="K30" i="4"/>
  <c r="L30" i="4"/>
  <c r="M30" i="4" a="1"/>
  <c r="M30" i="4" s="1"/>
  <c r="A31" i="4"/>
  <c r="F31" i="4"/>
  <c r="G31" i="4"/>
  <c r="H31" i="4"/>
  <c r="I31" i="4"/>
  <c r="J31" i="4"/>
  <c r="K31" i="4"/>
  <c r="L31" i="4"/>
  <c r="E31" i="4" s="1" a="1"/>
  <c r="E31" i="4" s="1"/>
  <c r="A32" i="4"/>
  <c r="F32" i="4"/>
  <c r="G32" i="4"/>
  <c r="J32" i="4" s="1"/>
  <c r="H32" i="4"/>
  <c r="I32" i="4"/>
  <c r="K32" i="4"/>
  <c r="C32" i="4" s="1" a="1"/>
  <c r="C32" i="4" s="1"/>
  <c r="L32" i="4"/>
  <c r="A33" i="4"/>
  <c r="F33" i="4"/>
  <c r="G33" i="4"/>
  <c r="J33" i="4" s="1"/>
  <c r="I33" i="4"/>
  <c r="K33" i="4"/>
  <c r="L33" i="4"/>
  <c r="M33" i="4" a="1"/>
  <c r="M33" i="4" s="1"/>
  <c r="A34" i="4"/>
  <c r="C34" i="4" a="1"/>
  <c r="C34" i="4" s="1"/>
  <c r="F34" i="4"/>
  <c r="G34" i="4"/>
  <c r="I34" i="4"/>
  <c r="K34" i="4"/>
  <c r="D34" i="4" s="1" a="1"/>
  <c r="D34" i="4" s="1"/>
  <c r="L34" i="4"/>
  <c r="A35" i="4"/>
  <c r="E35" i="4" a="1"/>
  <c r="E35" i="4" s="1"/>
  <c r="F35" i="4"/>
  <c r="G35" i="4"/>
  <c r="H35" i="4"/>
  <c r="I35" i="4"/>
  <c r="J35" i="4"/>
  <c r="K35" i="4"/>
  <c r="L35" i="4"/>
  <c r="C35" i="4" s="1" a="1"/>
  <c r="C35" i="4" s="1"/>
  <c r="A36" i="4"/>
  <c r="F36" i="4"/>
  <c r="G36" i="4"/>
  <c r="H36" i="4"/>
  <c r="I36" i="4"/>
  <c r="J36" i="4"/>
  <c r="K36" i="4"/>
  <c r="L36" i="4"/>
  <c r="A37" i="4"/>
  <c r="D37" i="4" a="1"/>
  <c r="D37" i="4" s="1"/>
  <c r="F37" i="4"/>
  <c r="G37" i="4"/>
  <c r="I37" i="4"/>
  <c r="K37" i="4"/>
  <c r="L37" i="4"/>
  <c r="N37" i="4" a="1"/>
  <c r="N37" i="4" s="1"/>
  <c r="A38" i="4"/>
  <c r="C38" i="4" s="1" a="1"/>
  <c r="C38" i="4" s="1"/>
  <c r="F38" i="4"/>
  <c r="G38" i="4"/>
  <c r="I38" i="4"/>
  <c r="K38" i="4"/>
  <c r="L38" i="4"/>
  <c r="A39" i="4"/>
  <c r="B39" i="4" a="1"/>
  <c r="B39" i="4" s="1"/>
  <c r="F39" i="4"/>
  <c r="G39" i="4"/>
  <c r="H39" i="4" s="1"/>
  <c r="I39" i="4"/>
  <c r="K39" i="4"/>
  <c r="L39" i="4"/>
  <c r="A40" i="4"/>
  <c r="F40" i="4"/>
  <c r="G40" i="4"/>
  <c r="J40" i="4" s="1"/>
  <c r="H40" i="4"/>
  <c r="I40" i="4"/>
  <c r="K40" i="4"/>
  <c r="L40" i="4"/>
  <c r="A41" i="4"/>
  <c r="F41" i="4"/>
  <c r="G41" i="4"/>
  <c r="I41" i="4"/>
  <c r="K41" i="4"/>
  <c r="B41" i="4" s="1" a="1"/>
  <c r="B41" i="4" s="1"/>
  <c r="L41" i="4"/>
  <c r="A42" i="4"/>
  <c r="D42" i="4" a="1"/>
  <c r="D42" i="4" s="1"/>
  <c r="F42" i="4"/>
  <c r="G42" i="4"/>
  <c r="I42" i="4"/>
  <c r="K42" i="4"/>
  <c r="L42" i="4"/>
  <c r="A43" i="4"/>
  <c r="B43" i="4" a="1"/>
  <c r="B43" i="4" s="1"/>
  <c r="F43" i="4"/>
  <c r="G43" i="4"/>
  <c r="H43" i="4"/>
  <c r="I43" i="4"/>
  <c r="J43" i="4"/>
  <c r="K43" i="4"/>
  <c r="L43" i="4"/>
  <c r="E43" i="4" s="1" a="1"/>
  <c r="E43" i="4" s="1"/>
  <c r="M43" i="4" a="1"/>
  <c r="M43" i="4" s="1"/>
  <c r="A44" i="4"/>
  <c r="F44" i="4"/>
  <c r="G44" i="4"/>
  <c r="J44" i="4" s="1"/>
  <c r="H44" i="4"/>
  <c r="I44" i="4"/>
  <c r="K44" i="4"/>
  <c r="L44" i="4"/>
  <c r="A45" i="4"/>
  <c r="F45" i="4"/>
  <c r="G45" i="4"/>
  <c r="H45" i="4" s="1"/>
  <c r="I45" i="4"/>
  <c r="K45" i="4"/>
  <c r="L45" i="4"/>
  <c r="A46" i="4"/>
  <c r="B46" i="4" a="1"/>
  <c r="B46" i="4" s="1"/>
  <c r="F46" i="4"/>
  <c r="G46" i="4"/>
  <c r="H46" i="4" s="1"/>
  <c r="I46" i="4"/>
  <c r="J46" i="4"/>
  <c r="K46" i="4"/>
  <c r="L46" i="4"/>
  <c r="C46" i="4" s="1" a="1"/>
  <c r="C46" i="4" s="1"/>
  <c r="M46" i="4" a="1"/>
  <c r="M46" i="4" s="1"/>
  <c r="A47" i="4"/>
  <c r="F47" i="4"/>
  <c r="G47" i="4"/>
  <c r="J47" i="4" s="1"/>
  <c r="H47" i="4"/>
  <c r="I47" i="4"/>
  <c r="K47" i="4"/>
  <c r="L47" i="4"/>
  <c r="A48" i="4"/>
  <c r="F48" i="4"/>
  <c r="G48" i="4"/>
  <c r="H48" i="4"/>
  <c r="I48" i="4"/>
  <c r="J48" i="4"/>
  <c r="K48" i="4"/>
  <c r="L48" i="4"/>
  <c r="A49" i="4"/>
  <c r="F49" i="4"/>
  <c r="G49" i="4"/>
  <c r="J49" i="4" s="1"/>
  <c r="I49" i="4"/>
  <c r="K49" i="4"/>
  <c r="L49" i="4"/>
  <c r="A50" i="4"/>
  <c r="E50" i="4" a="1"/>
  <c r="E50" i="4" s="1"/>
  <c r="F50" i="4"/>
  <c r="G50" i="4"/>
  <c r="J50" i="4" s="1"/>
  <c r="I50" i="4"/>
  <c r="K50" i="4"/>
  <c r="L50" i="4"/>
  <c r="A51" i="4"/>
  <c r="F51" i="4"/>
  <c r="G51" i="4"/>
  <c r="J51" i="4" s="1"/>
  <c r="I51" i="4"/>
  <c r="K51" i="4"/>
  <c r="L51" i="4"/>
  <c r="A52" i="4"/>
  <c r="B52" i="4" s="1" a="1"/>
  <c r="B52" i="4" s="1"/>
  <c r="F52" i="4"/>
  <c r="G52" i="4"/>
  <c r="J52" i="4" s="1"/>
  <c r="H52" i="4"/>
  <c r="I52" i="4"/>
  <c r="K52" i="4"/>
  <c r="L52" i="4"/>
  <c r="A53" i="4"/>
  <c r="D53" i="4" s="1" a="1"/>
  <c r="D53" i="4" s="1"/>
  <c r="F53" i="4"/>
  <c r="G53" i="4"/>
  <c r="I53" i="4"/>
  <c r="K53" i="4"/>
  <c r="M53" i="4" s="1" a="1"/>
  <c r="M53" i="4" s="1"/>
  <c r="L53" i="4"/>
  <c r="A54" i="4"/>
  <c r="F54" i="4"/>
  <c r="G54" i="4"/>
  <c r="I54" i="4"/>
  <c r="K54" i="4"/>
  <c r="L54" i="4"/>
  <c r="D54" i="4" s="1" a="1"/>
  <c r="D54" i="4" s="1"/>
  <c r="A55" i="4"/>
  <c r="F55" i="4"/>
  <c r="G55" i="4"/>
  <c r="H55" i="4" s="1"/>
  <c r="I55" i="4"/>
  <c r="K55" i="4"/>
  <c r="L55" i="4"/>
  <c r="A56" i="4"/>
  <c r="D56" i="4" a="1"/>
  <c r="D56" i="4" s="1"/>
  <c r="F56" i="4"/>
  <c r="G56" i="4"/>
  <c r="H56" i="4" s="1"/>
  <c r="I56" i="4"/>
  <c r="K56" i="4"/>
  <c r="L56" i="4"/>
  <c r="A57" i="4"/>
  <c r="B57" i="4" a="1"/>
  <c r="B57" i="4" s="1"/>
  <c r="F57" i="4"/>
  <c r="G57" i="4"/>
  <c r="I57" i="4"/>
  <c r="K57" i="4"/>
  <c r="L57" i="4"/>
  <c r="C57" i="4" s="1" a="1"/>
  <c r="C57" i="4" s="1"/>
  <c r="N57" i="4" a="1"/>
  <c r="N57" i="4" s="1"/>
  <c r="A58" i="4"/>
  <c r="M58" i="4" s="1" a="1"/>
  <c r="M58" i="4" s="1"/>
  <c r="F58" i="4"/>
  <c r="G58" i="4"/>
  <c r="H58" i="4" s="1"/>
  <c r="I58" i="4"/>
  <c r="K58" i="4"/>
  <c r="L58" i="4"/>
  <c r="A59" i="4"/>
  <c r="F59" i="4"/>
  <c r="G59" i="4"/>
  <c r="H59" i="4"/>
  <c r="I59" i="4"/>
  <c r="J59" i="4"/>
  <c r="K59" i="4"/>
  <c r="L59" i="4"/>
  <c r="A60" i="4"/>
  <c r="C60" i="4" a="1"/>
  <c r="C60" i="4" s="1"/>
  <c r="D60" i="4" a="1"/>
  <c r="D60" i="4" s="1"/>
  <c r="F60" i="4"/>
  <c r="G60" i="4"/>
  <c r="H60" i="4"/>
  <c r="I60" i="4"/>
  <c r="J60" i="4"/>
  <c r="K60" i="4"/>
  <c r="L60" i="4"/>
  <c r="A61" i="4"/>
  <c r="E61" i="4" s="1" a="1"/>
  <c r="E61" i="4" s="1"/>
  <c r="F61" i="4"/>
  <c r="G61" i="4"/>
  <c r="I61" i="4"/>
  <c r="K61" i="4"/>
  <c r="L61" i="4"/>
  <c r="N61" i="4" a="1"/>
  <c r="N61" i="4" s="1"/>
  <c r="A62" i="4"/>
  <c r="F62" i="4"/>
  <c r="G62" i="4"/>
  <c r="I62" i="4"/>
  <c r="K62" i="4"/>
  <c r="L62" i="4"/>
  <c r="A63" i="4"/>
  <c r="F63" i="4"/>
  <c r="G63" i="4"/>
  <c r="I63" i="4"/>
  <c r="K63" i="4"/>
  <c r="L63" i="4"/>
  <c r="A64" i="4"/>
  <c r="C64" i="4" a="1"/>
  <c r="C64" i="4" s="1"/>
  <c r="E64" i="4" a="1"/>
  <c r="E64" i="4" s="1"/>
  <c r="F64" i="4"/>
  <c r="G64" i="4"/>
  <c r="H64" i="4" s="1"/>
  <c r="I64" i="4"/>
  <c r="K64" i="4"/>
  <c r="L64" i="4"/>
  <c r="A65" i="4"/>
  <c r="E65" i="4" a="1"/>
  <c r="E65" i="4" s="1"/>
  <c r="F65" i="4"/>
  <c r="G65" i="4"/>
  <c r="I65" i="4"/>
  <c r="K65" i="4"/>
  <c r="L65" i="4"/>
  <c r="B65" i="4" s="1" a="1"/>
  <c r="B65" i="4" s="1"/>
  <c r="A66" i="4"/>
  <c r="B66" i="4" a="1"/>
  <c r="B66" i="4" s="1"/>
  <c r="E66" i="4" a="1"/>
  <c r="E66" i="4" s="1"/>
  <c r="F66" i="4"/>
  <c r="G66" i="4"/>
  <c r="I66" i="4"/>
  <c r="K66" i="4"/>
  <c r="N66" i="4" s="1" a="1"/>
  <c r="N66" i="4" s="1"/>
  <c r="L66" i="4"/>
  <c r="A67" i="4"/>
  <c r="B67" i="4" a="1"/>
  <c r="B67" i="4" s="1"/>
  <c r="D67" i="4" a="1"/>
  <c r="D67" i="4" s="1"/>
  <c r="F67" i="4"/>
  <c r="G67" i="4"/>
  <c r="I67" i="4"/>
  <c r="K67" i="4"/>
  <c r="L67" i="4"/>
  <c r="A68" i="4"/>
  <c r="B68" i="4" a="1"/>
  <c r="B68" i="4" s="1"/>
  <c r="F68" i="4"/>
  <c r="G68" i="4"/>
  <c r="J68" i="4" s="1"/>
  <c r="I68" i="4"/>
  <c r="K68" i="4"/>
  <c r="L68" i="4"/>
  <c r="A69" i="4"/>
  <c r="F69" i="4"/>
  <c r="G69" i="4"/>
  <c r="I69" i="4"/>
  <c r="K69" i="4"/>
  <c r="E69" i="4" s="1" a="1"/>
  <c r="E69" i="4" s="1"/>
  <c r="L69" i="4"/>
  <c r="A70" i="4"/>
  <c r="F70" i="4"/>
  <c r="G70" i="4"/>
  <c r="H70" i="4"/>
  <c r="I70" i="4"/>
  <c r="J70" i="4"/>
  <c r="K70" i="4"/>
  <c r="M70" i="4" s="1" a="1"/>
  <c r="M70" i="4" s="1"/>
  <c r="L70" i="4"/>
  <c r="A71" i="4"/>
  <c r="F71" i="4"/>
  <c r="G71" i="4"/>
  <c r="H71" i="4" s="1"/>
  <c r="I71" i="4"/>
  <c r="J71" i="4"/>
  <c r="K71" i="4"/>
  <c r="N71" i="4" s="1" a="1"/>
  <c r="N71" i="4" s="1"/>
  <c r="L71" i="4"/>
  <c r="A72" i="4"/>
  <c r="F72" i="4"/>
  <c r="G72" i="4"/>
  <c r="I72" i="4"/>
  <c r="K72" i="4"/>
  <c r="B72" i="4" s="1" a="1"/>
  <c r="B72" i="4" s="1"/>
  <c r="L72" i="4"/>
  <c r="C72" i="4" s="1" a="1"/>
  <c r="C72" i="4" s="1"/>
  <c r="N72" i="4" a="1"/>
  <c r="N72" i="4" s="1"/>
  <c r="A73" i="4"/>
  <c r="F73" i="4"/>
  <c r="G73" i="4"/>
  <c r="I73" i="4"/>
  <c r="K73" i="4"/>
  <c r="B73" i="4" s="1" a="1"/>
  <c r="B73" i="4" s="1"/>
  <c r="L73" i="4"/>
  <c r="A74" i="4"/>
  <c r="F74" i="4"/>
  <c r="G74" i="4"/>
  <c r="J74" i="4" s="1"/>
  <c r="H74" i="4"/>
  <c r="I74" i="4"/>
  <c r="K74" i="4"/>
  <c r="C74" i="4" s="1" a="1"/>
  <c r="C74" i="4" s="1"/>
  <c r="L74" i="4"/>
  <c r="A75" i="4"/>
  <c r="F75" i="4"/>
  <c r="G75" i="4"/>
  <c r="I75" i="4"/>
  <c r="K75" i="4"/>
  <c r="L75" i="4"/>
  <c r="D75" i="4" s="1" a="1"/>
  <c r="D75" i="4" s="1"/>
  <c r="A76" i="4"/>
  <c r="B76" i="4" s="1" a="1"/>
  <c r="B76" i="4" s="1"/>
  <c r="F76" i="4"/>
  <c r="G76" i="4"/>
  <c r="H76" i="4" s="1"/>
  <c r="I76" i="4"/>
  <c r="J76" i="4"/>
  <c r="K76" i="4"/>
  <c r="L76" i="4"/>
  <c r="A77" i="4"/>
  <c r="F77" i="4"/>
  <c r="G77" i="4"/>
  <c r="H77" i="4" s="1"/>
  <c r="I77" i="4"/>
  <c r="K77" i="4"/>
  <c r="L77" i="4"/>
  <c r="A78" i="4"/>
  <c r="F78" i="4"/>
  <c r="G78" i="4"/>
  <c r="H78" i="4"/>
  <c r="I78" i="4"/>
  <c r="J78" i="4"/>
  <c r="K78" i="4"/>
  <c r="L78" i="4"/>
  <c r="A79" i="4"/>
  <c r="F79" i="4"/>
  <c r="G79" i="4"/>
  <c r="J79" i="4" s="1"/>
  <c r="H79" i="4"/>
  <c r="I79" i="4"/>
  <c r="K79" i="4"/>
  <c r="L79" i="4"/>
  <c r="A80" i="4"/>
  <c r="F80" i="4"/>
  <c r="G80" i="4"/>
  <c r="H80" i="4"/>
  <c r="I80" i="4"/>
  <c r="J80" i="4"/>
  <c r="K80" i="4"/>
  <c r="E80" i="4" s="1" a="1"/>
  <c r="E80" i="4" s="1"/>
  <c r="L80" i="4"/>
  <c r="A81" i="4"/>
  <c r="F81" i="4"/>
  <c r="G81" i="4"/>
  <c r="H81" i="4" s="1"/>
  <c r="I81" i="4"/>
  <c r="J81" i="4"/>
  <c r="K81" i="4"/>
  <c r="L81" i="4"/>
  <c r="A82" i="4"/>
  <c r="F82" i="4"/>
  <c r="G82" i="4"/>
  <c r="H82" i="4"/>
  <c r="I82" i="4"/>
  <c r="J82" i="4"/>
  <c r="K82" i="4"/>
  <c r="E82" i="4" s="1" a="1"/>
  <c r="E82" i="4" s="1"/>
  <c r="L82" i="4"/>
  <c r="A83" i="4"/>
  <c r="F83" i="4"/>
  <c r="G83" i="4"/>
  <c r="H83" i="4" s="1"/>
  <c r="I83" i="4"/>
  <c r="J83" i="4"/>
  <c r="K83" i="4"/>
  <c r="M83" i="4" s="1" a="1"/>
  <c r="M83" i="4" s="1"/>
  <c r="L83" i="4"/>
  <c r="A84" i="4"/>
  <c r="F84" i="4"/>
  <c r="G84" i="4"/>
  <c r="H84" i="4" s="1"/>
  <c r="I84" i="4"/>
  <c r="J84" i="4"/>
  <c r="K84" i="4"/>
  <c r="L84" i="4"/>
  <c r="A85" i="4"/>
  <c r="N85" i="4" s="1" a="1"/>
  <c r="N85" i="4" s="1"/>
  <c r="C85" i="4" a="1"/>
  <c r="C85" i="4" s="1"/>
  <c r="D85" i="4" a="1"/>
  <c r="D85" i="4" s="1"/>
  <c r="F85" i="4"/>
  <c r="G85" i="4"/>
  <c r="H85" i="4" s="1"/>
  <c r="I85" i="4"/>
  <c r="K85" i="4"/>
  <c r="L85" i="4"/>
  <c r="M85" i="4" a="1"/>
  <c r="M85" i="4" s="1"/>
  <c r="A86" i="4"/>
  <c r="B86" i="4" a="1"/>
  <c r="B86" i="4" s="1"/>
  <c r="F86" i="4"/>
  <c r="G86" i="4"/>
  <c r="H86" i="4" s="1"/>
  <c r="I86" i="4"/>
  <c r="K86" i="4"/>
  <c r="L86" i="4"/>
  <c r="D86" i="4" s="1" a="1"/>
  <c r="D86" i="4" s="1"/>
  <c r="A87" i="4"/>
  <c r="F87" i="4"/>
  <c r="G87" i="4"/>
  <c r="J87" i="4" s="1"/>
  <c r="I87" i="4"/>
  <c r="K87" i="4"/>
  <c r="L87" i="4"/>
  <c r="A88" i="4"/>
  <c r="D88" i="4" s="1" a="1"/>
  <c r="D88" i="4" s="1"/>
  <c r="C88" i="4" a="1"/>
  <c r="C88" i="4" s="1"/>
  <c r="F88" i="4"/>
  <c r="G88" i="4"/>
  <c r="H88" i="4"/>
  <c r="I88" i="4"/>
  <c r="J88" i="4"/>
  <c r="K88" i="4"/>
  <c r="L88" i="4"/>
  <c r="B88" i="4" s="1" a="1"/>
  <c r="B88" i="4" s="1"/>
  <c r="A89" i="4"/>
  <c r="N89" i="4" s="1" a="1"/>
  <c r="N89" i="4" s="1"/>
  <c r="C89" i="4" a="1"/>
  <c r="C89" i="4" s="1"/>
  <c r="D89" i="4" a="1"/>
  <c r="D89" i="4" s="1"/>
  <c r="F89" i="4"/>
  <c r="G89" i="4"/>
  <c r="J89" i="4" s="1"/>
  <c r="I89" i="4"/>
  <c r="K89" i="4"/>
  <c r="L89" i="4"/>
  <c r="M89" i="4" a="1"/>
  <c r="M89" i="4" s="1"/>
  <c r="A90" i="4"/>
  <c r="F90" i="4"/>
  <c r="G90" i="4"/>
  <c r="H90" i="4" s="1"/>
  <c r="I90" i="4"/>
  <c r="J90" i="4"/>
  <c r="K90" i="4"/>
  <c r="B90" i="4" s="1" a="1"/>
  <c r="B90" i="4" s="1"/>
  <c r="L90" i="4"/>
  <c r="A91" i="4"/>
  <c r="D91" i="4" s="1" a="1"/>
  <c r="D91" i="4" s="1"/>
  <c r="F91" i="4"/>
  <c r="G91" i="4"/>
  <c r="H91" i="4"/>
  <c r="I91" i="4"/>
  <c r="J91" i="4"/>
  <c r="K91" i="4"/>
  <c r="L91" i="4"/>
  <c r="A92" i="4"/>
  <c r="F92" i="4"/>
  <c r="G92" i="4"/>
  <c r="J92" i="4" s="1"/>
  <c r="H92" i="4"/>
  <c r="I92" i="4"/>
  <c r="K92" i="4"/>
  <c r="L92" i="4"/>
  <c r="A93" i="4"/>
  <c r="C93" i="4" a="1"/>
  <c r="C93" i="4" s="1"/>
  <c r="E93" i="4" a="1"/>
  <c r="E93" i="4"/>
  <c r="F93" i="4"/>
  <c r="G93" i="4"/>
  <c r="J93" i="4" s="1"/>
  <c r="I93" i="4"/>
  <c r="K93" i="4"/>
  <c r="L93" i="4"/>
  <c r="B93" i="4" s="1" a="1"/>
  <c r="B93" i="4" s="1"/>
  <c r="M93" i="4" a="1"/>
  <c r="M93" i="4" s="1"/>
  <c r="A94" i="4"/>
  <c r="D94" i="4" s="1" a="1"/>
  <c r="D94" i="4" s="1"/>
  <c r="F94" i="4"/>
  <c r="G94" i="4"/>
  <c r="H94" i="4" s="1"/>
  <c r="I94" i="4"/>
  <c r="K94" i="4"/>
  <c r="L94" i="4"/>
  <c r="A95" i="4"/>
  <c r="B95" i="4" s="1" a="1"/>
  <c r="B95" i="4" s="1"/>
  <c r="F95" i="4"/>
  <c r="G95" i="4"/>
  <c r="H95" i="4" s="1"/>
  <c r="I95" i="4"/>
  <c r="K95" i="4"/>
  <c r="L95" i="4"/>
  <c r="A96" i="4"/>
  <c r="B96" i="4" s="1" a="1"/>
  <c r="B96" i="4" s="1"/>
  <c r="F96" i="4"/>
  <c r="G96" i="4"/>
  <c r="H96" i="4" s="1"/>
  <c r="I96" i="4"/>
  <c r="J96" i="4"/>
  <c r="K96" i="4"/>
  <c r="L96" i="4"/>
  <c r="A97" i="4"/>
  <c r="D97" i="4" s="1" a="1"/>
  <c r="D97" i="4" s="1"/>
  <c r="F97" i="4"/>
  <c r="G97" i="4"/>
  <c r="H97" i="4" s="1"/>
  <c r="I97" i="4"/>
  <c r="K97" i="4"/>
  <c r="L97" i="4"/>
  <c r="A98" i="4"/>
  <c r="B98" i="4" a="1"/>
  <c r="B98" i="4" s="1"/>
  <c r="F98" i="4"/>
  <c r="G98" i="4"/>
  <c r="H98" i="4"/>
  <c r="I98" i="4"/>
  <c r="J98" i="4"/>
  <c r="K98" i="4"/>
  <c r="L98" i="4"/>
  <c r="C98" i="4" s="1" a="1"/>
  <c r="C98" i="4" s="1"/>
  <c r="A99" i="4"/>
  <c r="F99" i="4"/>
  <c r="G99" i="4"/>
  <c r="H99" i="4"/>
  <c r="I99" i="4"/>
  <c r="J99" i="4"/>
  <c r="K99" i="4"/>
  <c r="L99" i="4"/>
  <c r="A100" i="4"/>
  <c r="D100" i="4" s="1" a="1"/>
  <c r="D100" i="4" s="1"/>
  <c r="F100" i="4"/>
  <c r="G100" i="4"/>
  <c r="H100" i="4" s="1"/>
  <c r="I100" i="4"/>
  <c r="J100" i="4"/>
  <c r="K100" i="4"/>
  <c r="L100" i="4"/>
  <c r="A101" i="4"/>
  <c r="N101" i="4" s="1" a="1"/>
  <c r="N101" i="4" s="1"/>
  <c r="F101" i="4"/>
  <c r="G101" i="4"/>
  <c r="J101" i="4" s="1"/>
  <c r="H101" i="4"/>
  <c r="I101" i="4"/>
  <c r="K101" i="4"/>
  <c r="C101" i="4" s="1" a="1"/>
  <c r="C101" i="4" s="1"/>
  <c r="L101" i="4"/>
  <c r="A102" i="4"/>
  <c r="D102" i="4" s="1" a="1"/>
  <c r="D102" i="4" s="1"/>
  <c r="C102" i="4" a="1"/>
  <c r="C102" i="4" s="1"/>
  <c r="F102" i="4"/>
  <c r="G102" i="4"/>
  <c r="H102" i="4"/>
  <c r="I102" i="4"/>
  <c r="J102" i="4"/>
  <c r="K102" i="4"/>
  <c r="L102" i="4"/>
  <c r="A103" i="4"/>
  <c r="B103" i="4" a="1"/>
  <c r="B103" i="4" s="1"/>
  <c r="E103" i="4" a="1"/>
  <c r="E103" i="4" s="1"/>
  <c r="F103" i="4"/>
  <c r="G103" i="4"/>
  <c r="H103" i="4" s="1"/>
  <c r="I103" i="4"/>
  <c r="J103" i="4"/>
  <c r="K103" i="4"/>
  <c r="L103" i="4"/>
  <c r="A104" i="4"/>
  <c r="B104" i="4" a="1"/>
  <c r="B104" i="4" s="1"/>
  <c r="F104" i="4"/>
  <c r="G104" i="4"/>
  <c r="H104" i="4"/>
  <c r="I104" i="4"/>
  <c r="J104" i="4"/>
  <c r="K104" i="4"/>
  <c r="L104" i="4"/>
  <c r="C104" i="4" s="1" a="1"/>
  <c r="C104" i="4" s="1"/>
  <c r="A105" i="4"/>
  <c r="B105" i="4" s="1" a="1"/>
  <c r="B105" i="4" s="1"/>
  <c r="F105" i="4"/>
  <c r="G105" i="4"/>
  <c r="I105" i="4"/>
  <c r="K105" i="4"/>
  <c r="L105" i="4"/>
  <c r="A106" i="4"/>
  <c r="C106" i="4" s="1" a="1"/>
  <c r="C106" i="4" s="1"/>
  <c r="F106" i="4"/>
  <c r="G106" i="4"/>
  <c r="H106" i="4" s="1"/>
  <c r="I106" i="4"/>
  <c r="J106" i="4"/>
  <c r="K106" i="4"/>
  <c r="L106" i="4"/>
  <c r="A107" i="4"/>
  <c r="E107" i="4" s="1" a="1"/>
  <c r="E107" i="4" s="1"/>
  <c r="F107" i="4"/>
  <c r="G107" i="4"/>
  <c r="J107" i="4" s="1"/>
  <c r="H107" i="4"/>
  <c r="I107" i="4"/>
  <c r="K107" i="4"/>
  <c r="L107" i="4"/>
  <c r="A108" i="4"/>
  <c r="B108" i="4" a="1"/>
  <c r="B108" i="4" s="1"/>
  <c r="C108" i="4" a="1"/>
  <c r="C108" i="4" s="1"/>
  <c r="F108" i="4"/>
  <c r="G108" i="4"/>
  <c r="J108" i="4" s="1"/>
  <c r="I108" i="4"/>
  <c r="K108" i="4"/>
  <c r="L108" i="4"/>
  <c r="M108" i="4" a="1"/>
  <c r="M108" i="4" s="1"/>
  <c r="A109" i="4"/>
  <c r="C109" i="4" s="1" a="1"/>
  <c r="C109" i="4" s="1"/>
  <c r="F109" i="4"/>
  <c r="G109" i="4"/>
  <c r="I109" i="4"/>
  <c r="K109" i="4"/>
  <c r="L109" i="4"/>
  <c r="A110" i="4"/>
  <c r="D110" i="4" s="1" a="1"/>
  <c r="D110" i="4" s="1"/>
  <c r="F110" i="4"/>
  <c r="G110" i="4"/>
  <c r="H110" i="4"/>
  <c r="I110" i="4"/>
  <c r="J110" i="4"/>
  <c r="K110" i="4"/>
  <c r="L110" i="4"/>
  <c r="A111" i="4"/>
  <c r="F111" i="4"/>
  <c r="G111" i="4"/>
  <c r="I111" i="4"/>
  <c r="K111" i="4"/>
  <c r="C111" i="4" s="1" a="1"/>
  <c r="C111" i="4" s="1"/>
  <c r="L111" i="4"/>
  <c r="A112" i="4"/>
  <c r="B112" i="4" a="1"/>
  <c r="B112" i="4" s="1"/>
  <c r="F112" i="4"/>
  <c r="G112" i="4"/>
  <c r="J112" i="4" s="1"/>
  <c r="H112" i="4"/>
  <c r="I112" i="4"/>
  <c r="K112" i="4"/>
  <c r="L112" i="4"/>
  <c r="E112" i="4" s="1" a="1"/>
  <c r="E112" i="4" s="1"/>
  <c r="A113" i="4"/>
  <c r="B113" i="4" a="1"/>
  <c r="B113" i="4" s="1"/>
  <c r="D113" i="4" a="1"/>
  <c r="D113" i="4" s="1"/>
  <c r="E113" i="4" a="1"/>
  <c r="E113" i="4" s="1"/>
  <c r="F113" i="4"/>
  <c r="G113" i="4"/>
  <c r="H113" i="4" s="1"/>
  <c r="I113" i="4"/>
  <c r="J113" i="4"/>
  <c r="K113" i="4"/>
  <c r="L113" i="4"/>
  <c r="M113" i="4" a="1"/>
  <c r="M113" i="4" s="1"/>
  <c r="A114" i="4"/>
  <c r="C114" i="4" s="1" a="1"/>
  <c r="C114" i="4" s="1"/>
  <c r="F114" i="4"/>
  <c r="G114" i="4"/>
  <c r="H114" i="4" s="1"/>
  <c r="I114" i="4"/>
  <c r="J114" i="4"/>
  <c r="K114" i="4"/>
  <c r="L114" i="4"/>
  <c r="A115" i="4"/>
  <c r="F115" i="4"/>
  <c r="G115" i="4"/>
  <c r="J115" i="4" s="1"/>
  <c r="I115" i="4"/>
  <c r="K115" i="4"/>
  <c r="L115" i="4"/>
  <c r="B115" i="4" s="1" a="1"/>
  <c r="B115" i="4" s="1"/>
  <c r="N115" i="4" a="1"/>
  <c r="N115" i="4" s="1"/>
  <c r="A116" i="4"/>
  <c r="F116" i="4"/>
  <c r="G116" i="4"/>
  <c r="H116" i="4" s="1"/>
  <c r="I116" i="4"/>
  <c r="J116" i="4"/>
  <c r="K116" i="4"/>
  <c r="M116" i="4" s="1" a="1"/>
  <c r="M116" i="4" s="1"/>
  <c r="L116" i="4"/>
  <c r="A117" i="4"/>
  <c r="D117" i="4" s="1" a="1"/>
  <c r="D117" i="4" s="1"/>
  <c r="C117" i="4" a="1"/>
  <c r="C117" i="4" s="1"/>
  <c r="E117" i="4" a="1"/>
  <c r="E117" i="4" s="1"/>
  <c r="F117" i="4"/>
  <c r="G117" i="4"/>
  <c r="I117" i="4"/>
  <c r="K117" i="4"/>
  <c r="L117" i="4"/>
  <c r="B117" i="4" s="1" a="1"/>
  <c r="B117" i="4" s="1"/>
  <c r="A118" i="4"/>
  <c r="E118" i="4" s="1" a="1"/>
  <c r="E118" i="4" s="1"/>
  <c r="F118" i="4"/>
  <c r="G118" i="4"/>
  <c r="H118" i="4"/>
  <c r="I118" i="4"/>
  <c r="J118" i="4"/>
  <c r="K118" i="4"/>
  <c r="L118" i="4"/>
  <c r="A119" i="4"/>
  <c r="B119" i="4" s="1" a="1"/>
  <c r="B119" i="4" s="1"/>
  <c r="D119" i="4" a="1"/>
  <c r="D119" i="4" s="1"/>
  <c r="F119" i="4"/>
  <c r="G119" i="4"/>
  <c r="J119" i="4" s="1"/>
  <c r="H119" i="4"/>
  <c r="I119" i="4"/>
  <c r="K119" i="4"/>
  <c r="L119" i="4"/>
  <c r="M119" i="4" a="1"/>
  <c r="M119" i="4" s="1"/>
  <c r="A120" i="4"/>
  <c r="E120" i="4" a="1"/>
  <c r="E120" i="4" s="1"/>
  <c r="F120" i="4"/>
  <c r="G120" i="4"/>
  <c r="H120" i="4"/>
  <c r="I120" i="4"/>
  <c r="J120" i="4"/>
  <c r="K120" i="4"/>
  <c r="L120" i="4"/>
  <c r="A121" i="4"/>
  <c r="C121" i="4" a="1"/>
  <c r="C121" i="4" s="1"/>
  <c r="F121" i="4"/>
  <c r="G121" i="4"/>
  <c r="H121" i="4"/>
  <c r="I121" i="4"/>
  <c r="J121" i="4"/>
  <c r="K121" i="4"/>
  <c r="L121" i="4"/>
  <c r="A122" i="4"/>
  <c r="D122" i="4" s="1" a="1"/>
  <c r="D122" i="4" s="1"/>
  <c r="F122" i="4"/>
  <c r="G122" i="4"/>
  <c r="J122" i="4" s="1"/>
  <c r="H122" i="4"/>
  <c r="I122" i="4"/>
  <c r="K122" i="4"/>
  <c r="L122" i="4"/>
  <c r="A123" i="4"/>
  <c r="B123" i="4" s="1" a="1"/>
  <c r="B123" i="4" s="1"/>
  <c r="F123" i="4"/>
  <c r="G123" i="4"/>
  <c r="H123" i="4" s="1"/>
  <c r="I123" i="4"/>
  <c r="J123" i="4"/>
  <c r="K123" i="4"/>
  <c r="C123" i="4" s="1" a="1"/>
  <c r="C123" i="4" s="1"/>
  <c r="L123" i="4"/>
  <c r="A124" i="4"/>
  <c r="M124" i="4" s="1" a="1"/>
  <c r="M124" i="4" s="1"/>
  <c r="F124" i="4"/>
  <c r="G124" i="4"/>
  <c r="J124" i="4" s="1"/>
  <c r="H124" i="4"/>
  <c r="I124" i="4"/>
  <c r="K124" i="4"/>
  <c r="L124" i="4"/>
  <c r="A125" i="4"/>
  <c r="B125" i="4" a="1"/>
  <c r="B125" i="4" s="1"/>
  <c r="C125" i="4" a="1"/>
  <c r="C125" i="4" s="1"/>
  <c r="E125" i="4" a="1"/>
  <c r="E125" i="4" s="1"/>
  <c r="F125" i="4"/>
  <c r="G125" i="4"/>
  <c r="I125" i="4"/>
  <c r="K125" i="4"/>
  <c r="L125" i="4"/>
  <c r="M125" i="4" a="1"/>
  <c r="M125" i="4" s="1"/>
  <c r="N125" i="4" a="1"/>
  <c r="N125" i="4" s="1"/>
  <c r="A126" i="4"/>
  <c r="F126" i="4"/>
  <c r="G126" i="4"/>
  <c r="H126" i="4" s="1"/>
  <c r="I126" i="4"/>
  <c r="J126" i="4"/>
  <c r="K126" i="4"/>
  <c r="L126" i="4"/>
  <c r="M5" i="4" a="1"/>
  <c r="M5" i="4" s="1"/>
  <c r="L5" i="4"/>
  <c r="N5" i="4" s="1" a="1"/>
  <c r="N5" i="4" s="1"/>
  <c r="K5" i="4"/>
  <c r="J5" i="4"/>
  <c r="I5" i="4"/>
  <c r="G5" i="4"/>
  <c r="H5" i="4" s="1"/>
  <c r="F5" i="4"/>
  <c r="D5" i="4" a="1"/>
  <c r="D5" i="4" s="1"/>
  <c r="C5" i="4" a="1"/>
  <c r="C5" i="4" s="1"/>
  <c r="A5" i="4"/>
  <c r="L4" i="4"/>
  <c r="K4" i="4"/>
  <c r="I4" i="4"/>
  <c r="G4" i="4"/>
  <c r="H4" i="4" s="1"/>
  <c r="F4" i="4"/>
  <c r="A4" i="4"/>
  <c r="B4" i="4" s="1" a="1"/>
  <c r="B4" i="4" s="1"/>
  <c r="L3" i="4"/>
  <c r="K3" i="4"/>
  <c r="I3" i="4"/>
  <c r="G3" i="4"/>
  <c r="H3" i="4" s="1"/>
  <c r="F3" i="4"/>
  <c r="A3" i="4"/>
  <c r="B3" i="4" s="1" a="1"/>
  <c r="B3" i="4" s="1"/>
  <c r="J2" i="4"/>
  <c r="F2" i="4"/>
  <c r="N2" i="4" a="1"/>
  <c r="N2" i="4" s="1"/>
  <c r="E2" i="4" a="1"/>
  <c r="E2" i="4" s="1"/>
  <c r="C2" i="4" a="1"/>
  <c r="C2" i="4" s="1"/>
  <c r="H2" i="4"/>
  <c r="A2" i="4"/>
  <c r="M2" i="4" s="1" a="1"/>
  <c r="M2" i="4" s="1"/>
  <c r="L2" i="4"/>
  <c r="K2" i="4"/>
  <c r="B2" i="4" s="1" a="1"/>
  <c r="B2" i="4" s="1"/>
  <c r="G2" i="4"/>
  <c r="I2" i="4"/>
  <c r="M1724" i="4" l="1" a="1"/>
  <c r="M1724" i="4" s="1"/>
  <c r="J1725" i="4"/>
  <c r="E1725" i="4" a="1"/>
  <c r="E1725" i="4" s="1"/>
  <c r="M1725" i="4" a="1"/>
  <c r="M1725" i="4" s="1"/>
  <c r="B1725" i="4" a="1"/>
  <c r="B1725" i="4" s="1"/>
  <c r="B1723" i="4" a="1"/>
  <c r="B1723" i="4" s="1"/>
  <c r="C3" i="4" a="1"/>
  <c r="C3" i="4" s="1"/>
  <c r="M3" i="4" a="1"/>
  <c r="M3" i="4" s="1"/>
  <c r="D3" i="4" a="1"/>
  <c r="D3" i="4" s="1"/>
  <c r="N3" i="4" a="1"/>
  <c r="N3" i="4" s="1"/>
  <c r="C87" i="4" a="1"/>
  <c r="C87" i="4" s="1"/>
  <c r="B87" i="4" a="1"/>
  <c r="B87" i="4" s="1"/>
  <c r="N76" i="4" a="1"/>
  <c r="N76" i="4" s="1"/>
  <c r="H75" i="4"/>
  <c r="J75" i="4"/>
  <c r="H54" i="4"/>
  <c r="J54" i="4"/>
  <c r="H41" i="4"/>
  <c r="J41" i="4"/>
  <c r="B122" i="4" a="1"/>
  <c r="B122" i="4" s="1"/>
  <c r="D121" i="4" a="1"/>
  <c r="D121" i="4" s="1"/>
  <c r="M121" i="4" a="1"/>
  <c r="M121" i="4" s="1"/>
  <c r="J86" i="4"/>
  <c r="N33" i="4" a="1"/>
  <c r="N33" i="4" s="1"/>
  <c r="C33" i="4" a="1"/>
  <c r="C33" i="4" s="1"/>
  <c r="D4" i="4" a="1"/>
  <c r="D4" i="4" s="1"/>
  <c r="N4" i="4" a="1"/>
  <c r="N4" i="4" s="1"/>
  <c r="N123" i="4" a="1"/>
  <c r="N123" i="4" s="1"/>
  <c r="E111" i="4" a="1"/>
  <c r="E111" i="4" s="1"/>
  <c r="B111" i="4" a="1"/>
  <c r="B111" i="4" s="1"/>
  <c r="E109" i="4" a="1"/>
  <c r="E109" i="4" s="1"/>
  <c r="H108" i="4"/>
  <c r="M106" i="4" a="1"/>
  <c r="M106" i="4" s="1"/>
  <c r="D106" i="4" a="1"/>
  <c r="D106" i="4" s="1"/>
  <c r="J97" i="4"/>
  <c r="H93" i="4"/>
  <c r="B92" i="4" a="1"/>
  <c r="B92" i="4" s="1"/>
  <c r="M92" i="4" a="1"/>
  <c r="M92" i="4" s="1"/>
  <c r="M91" i="4" a="1"/>
  <c r="M91" i="4" s="1"/>
  <c r="E85" i="4" a="1"/>
  <c r="E85" i="4" s="1"/>
  <c r="B85" i="4" a="1"/>
  <c r="B85" i="4" s="1"/>
  <c r="B77" i="4" a="1"/>
  <c r="B77" i="4" s="1"/>
  <c r="M72" i="4" a="1"/>
  <c r="M72" i="4" s="1"/>
  <c r="N65" i="4" a="1"/>
  <c r="N65" i="4" s="1"/>
  <c r="C61" i="4" a="1"/>
  <c r="C61" i="4" s="1"/>
  <c r="J58" i="4"/>
  <c r="H51" i="4"/>
  <c r="H50" i="4"/>
  <c r="H42" i="4"/>
  <c r="J42" i="4"/>
  <c r="C39" i="4" a="1"/>
  <c r="C39" i="4" s="1"/>
  <c r="C30" i="4" a="1"/>
  <c r="C30" i="4" s="1"/>
  <c r="J7" i="4"/>
  <c r="E136" i="4" a="1"/>
  <c r="E136" i="4" s="1"/>
  <c r="D136" i="4" a="1"/>
  <c r="D136" i="4" s="1"/>
  <c r="N136" i="4" a="1"/>
  <c r="N136" i="4" s="1"/>
  <c r="N95" i="4" a="1"/>
  <c r="N95" i="4" s="1"/>
  <c r="E3" i="4" a="1"/>
  <c r="E3" i="4" s="1"/>
  <c r="B126" i="4" a="1"/>
  <c r="B126" i="4" s="1"/>
  <c r="C4" i="4" a="1"/>
  <c r="C4" i="4" s="1"/>
  <c r="M4" i="4" a="1"/>
  <c r="M4" i="4" s="1"/>
  <c r="J62" i="4"/>
  <c r="H62" i="4"/>
  <c r="D2" i="4" a="1"/>
  <c r="D2" i="4" s="1"/>
  <c r="E4" i="4" a="1"/>
  <c r="E4" i="4" s="1"/>
  <c r="B5" i="4" a="1"/>
  <c r="B5" i="4" s="1"/>
  <c r="H125" i="4"/>
  <c r="J125" i="4"/>
  <c r="M123" i="4" a="1"/>
  <c r="M123" i="4" s="1"/>
  <c r="E114" i="4" a="1"/>
  <c r="E114" i="4" s="1"/>
  <c r="B101" i="4" a="1"/>
  <c r="B101" i="4" s="1"/>
  <c r="C91" i="4" a="1"/>
  <c r="C91" i="4" s="1"/>
  <c r="N87" i="4" a="1"/>
  <c r="N87" i="4" s="1"/>
  <c r="B84" i="4" a="1"/>
  <c r="B84" i="4" s="1"/>
  <c r="D83" i="4" a="1"/>
  <c r="D83" i="4" s="1"/>
  <c r="C83" i="4" a="1"/>
  <c r="C83" i="4" s="1"/>
  <c r="N83" i="4" a="1"/>
  <c r="N83" i="4" s="1"/>
  <c r="D79" i="4" a="1"/>
  <c r="D79" i="4" s="1"/>
  <c r="D77" i="4" a="1"/>
  <c r="D77" i="4" s="1"/>
  <c r="M77" i="4" a="1"/>
  <c r="M77" i="4" s="1"/>
  <c r="E77" i="4" a="1"/>
  <c r="E77" i="4" s="1"/>
  <c r="M76" i="4" a="1"/>
  <c r="M76" i="4" s="1"/>
  <c r="C76" i="4" a="1"/>
  <c r="C76" i="4" s="1"/>
  <c r="M69" i="4" a="1"/>
  <c r="M69" i="4" s="1"/>
  <c r="H63" i="4"/>
  <c r="J63" i="4"/>
  <c r="B61" i="4" a="1"/>
  <c r="B61" i="4" s="1"/>
  <c r="C54" i="4" a="1"/>
  <c r="C54" i="4" s="1"/>
  <c r="C41" i="4" a="1"/>
  <c r="C41" i="4" s="1"/>
  <c r="C29" i="4" a="1"/>
  <c r="C29" i="4" s="1"/>
  <c r="E25" i="4" a="1"/>
  <c r="E25" i="4" s="1"/>
  <c r="J128" i="4"/>
  <c r="N109" i="4" a="1"/>
  <c r="N109" i="4" s="1"/>
  <c r="B109" i="4" a="1"/>
  <c r="B109" i="4" s="1"/>
  <c r="E106" i="4" a="1"/>
  <c r="E106" i="4" s="1"/>
  <c r="D105" i="4" a="1"/>
  <c r="D105" i="4" s="1"/>
  <c r="E100" i="4" a="1"/>
  <c r="E100" i="4" s="1"/>
  <c r="B100" i="4" a="1"/>
  <c r="B100" i="4" s="1"/>
  <c r="D95" i="4" a="1"/>
  <c r="D95" i="4" s="1"/>
  <c r="M87" i="4" a="1"/>
  <c r="M87" i="4" s="1"/>
  <c r="E87" i="4" a="1"/>
  <c r="E87" i="4" s="1"/>
  <c r="J77" i="4"/>
  <c r="J67" i="4"/>
  <c r="H67" i="4"/>
  <c r="M52" i="4" a="1"/>
  <c r="M52" i="4" s="1"/>
  <c r="D135" i="4" a="1"/>
  <c r="D135" i="4" s="1"/>
  <c r="C135" i="4" a="1"/>
  <c r="C135" i="4" s="1"/>
  <c r="E76" i="4" a="1"/>
  <c r="E76" i="4" s="1"/>
  <c r="B49" i="4" a="1"/>
  <c r="B49" i="4" s="1"/>
  <c r="C49" i="4" a="1"/>
  <c r="C49" i="4" s="1"/>
  <c r="N49" i="4" a="1"/>
  <c r="N49" i="4" s="1"/>
  <c r="E49" i="4" a="1"/>
  <c r="E49" i="4" s="1"/>
  <c r="M48" i="4" a="1"/>
  <c r="M48" i="4" s="1"/>
  <c r="D48" i="4" a="1"/>
  <c r="D48" i="4" s="1"/>
  <c r="H34" i="4"/>
  <c r="J34" i="4"/>
  <c r="H33" i="4"/>
  <c r="M29" i="4" a="1"/>
  <c r="M29" i="4" s="1"/>
  <c r="N29" i="4" a="1"/>
  <c r="N29" i="4" s="1"/>
  <c r="M24" i="4" a="1"/>
  <c r="M24" i="4" s="1"/>
  <c r="J38" i="4"/>
  <c r="H38" i="4"/>
  <c r="B19" i="4" a="1"/>
  <c r="B19" i="4" s="1"/>
  <c r="E9" i="4" a="1"/>
  <c r="E9" i="4" s="1"/>
  <c r="E5" i="4" a="1"/>
  <c r="E5" i="4" s="1"/>
  <c r="C120" i="4" a="1"/>
  <c r="C120" i="4" s="1"/>
  <c r="B56" i="4" a="1"/>
  <c r="B56" i="4" s="1"/>
  <c r="M49" i="4" a="1"/>
  <c r="M49" i="4" s="1"/>
  <c r="E138" i="4" a="1"/>
  <c r="E138" i="4" s="1"/>
  <c r="D138" i="4" a="1"/>
  <c r="D138" i="4" s="1"/>
  <c r="C138" i="4" a="1"/>
  <c r="C138" i="4" s="1"/>
  <c r="H73" i="4"/>
  <c r="J73" i="4"/>
  <c r="H72" i="4"/>
  <c r="J72" i="4"/>
  <c r="D103" i="4" a="1"/>
  <c r="D103" i="4" s="1"/>
  <c r="N97" i="4" a="1"/>
  <c r="N97" i="4" s="1"/>
  <c r="E89" i="4" a="1"/>
  <c r="E89" i="4" s="1"/>
  <c r="B89" i="4" a="1"/>
  <c r="B89" i="4" s="1"/>
  <c r="D59" i="4" a="1"/>
  <c r="D59" i="4" s="1"/>
  <c r="M59" i="4" a="1"/>
  <c r="M59" i="4" s="1"/>
  <c r="D57" i="4" a="1"/>
  <c r="D57" i="4" s="1"/>
  <c r="N27" i="4" a="1"/>
  <c r="N27" i="4" s="1"/>
  <c r="D125" i="4" a="1"/>
  <c r="D125" i="4" s="1"/>
  <c r="C124" i="4" a="1"/>
  <c r="C124" i="4" s="1"/>
  <c r="H115" i="4"/>
  <c r="C113" i="4" a="1"/>
  <c r="C113" i="4" s="1"/>
  <c r="C107" i="4" a="1"/>
  <c r="C107" i="4" s="1"/>
  <c r="E102" i="4" a="1"/>
  <c r="E102" i="4" s="1"/>
  <c r="B102" i="4" a="1"/>
  <c r="B102" i="4" s="1"/>
  <c r="J94" i="4"/>
  <c r="M88" i="4" a="1"/>
  <c r="M88" i="4" s="1"/>
  <c r="H87" i="4"/>
  <c r="D73" i="4" a="1"/>
  <c r="D73" i="4" s="1"/>
  <c r="D68" i="4" a="1"/>
  <c r="D68" i="4" s="1"/>
  <c r="M57" i="4" a="1"/>
  <c r="M57" i="4" s="1"/>
  <c r="M56" i="4" a="1"/>
  <c r="M56" i="4" s="1"/>
  <c r="C55" i="4" a="1"/>
  <c r="C55" i="4" s="1"/>
  <c r="H53" i="4"/>
  <c r="J53" i="4"/>
  <c r="B37" i="4" a="1"/>
  <c r="B37" i="4" s="1"/>
  <c r="M37" i="4" a="1"/>
  <c r="M37" i="4" s="1"/>
  <c r="D33" i="4" a="1"/>
  <c r="D33" i="4" s="1"/>
  <c r="B32" i="4" a="1"/>
  <c r="B32" i="4" s="1"/>
  <c r="M10" i="4" a="1"/>
  <c r="M10" i="4" s="1"/>
  <c r="N179" i="4" a="1"/>
  <c r="N179" i="4" s="1"/>
  <c r="E40" i="4" a="1"/>
  <c r="E40" i="4" s="1"/>
  <c r="B140" i="4" a="1"/>
  <c r="B140" i="4" s="1"/>
  <c r="H153" i="4"/>
  <c r="D156" i="4" a="1"/>
  <c r="D156" i="4" s="1"/>
  <c r="E162" i="4" a="1"/>
  <c r="E162" i="4" s="1"/>
  <c r="N162" i="4" a="1"/>
  <c r="N162" i="4" s="1"/>
  <c r="N144" i="4" a="1"/>
  <c r="N144" i="4" s="1"/>
  <c r="D153" i="4" a="1"/>
  <c r="D153" i="4" s="1"/>
  <c r="H176" i="4"/>
  <c r="B179" i="4" a="1"/>
  <c r="B179" i="4" s="1"/>
  <c r="D186" i="4" a="1"/>
  <c r="D186" i="4" s="1"/>
  <c r="C52" i="4" a="1"/>
  <c r="C52" i="4" s="1"/>
  <c r="E11" i="4" a="1"/>
  <c r="E11" i="4" s="1"/>
  <c r="E127" i="4" a="1"/>
  <c r="E127" i="4" s="1"/>
  <c r="B129" i="4" a="1"/>
  <c r="B129" i="4" s="1"/>
  <c r="C137" i="4" a="1"/>
  <c r="C137" i="4" s="1"/>
  <c r="N69" i="4" a="1"/>
  <c r="N69" i="4" s="1"/>
  <c r="C42" i="4" a="1"/>
  <c r="C42" i="4" s="1"/>
  <c r="C28" i="4" a="1"/>
  <c r="C28" i="4" s="1"/>
  <c r="M129" i="4" a="1"/>
  <c r="M129" i="4" s="1"/>
  <c r="C132" i="4" a="1"/>
  <c r="C132" i="4" s="1"/>
  <c r="C112" i="4" a="1"/>
  <c r="C112" i="4" s="1"/>
  <c r="D108" i="4" a="1"/>
  <c r="D108" i="4" s="1"/>
  <c r="B81" i="4" a="1"/>
  <c r="B81" i="4" s="1"/>
  <c r="E72" i="4" a="1"/>
  <c r="E72" i="4" s="1"/>
  <c r="N64" i="4" a="1"/>
  <c r="N64" i="4" s="1"/>
  <c r="C63" i="4" a="1"/>
  <c r="C63" i="4" s="1"/>
  <c r="J56" i="4"/>
  <c r="J55" i="4"/>
  <c r="J45" i="4"/>
  <c r="E41" i="4" a="1"/>
  <c r="E41" i="4" s="1"/>
  <c r="C129" i="4" a="1"/>
  <c r="C129" i="4" s="1"/>
  <c r="N129" i="4" a="1"/>
  <c r="N129" i="4" s="1"/>
  <c r="B132" i="4" a="1"/>
  <c r="B132" i="4" s="1"/>
  <c r="H142" i="4"/>
  <c r="C162" i="4" a="1"/>
  <c r="C162" i="4" s="1"/>
  <c r="D179" i="4" a="1"/>
  <c r="D179" i="4" s="1"/>
  <c r="E33" i="4" a="1"/>
  <c r="E33" i="4" s="1"/>
  <c r="B33" i="4" a="1"/>
  <c r="B33" i="4" s="1"/>
  <c r="E29" i="4" a="1"/>
  <c r="E29" i="4" s="1"/>
  <c r="D29" i="4" a="1"/>
  <c r="D29" i="4" s="1"/>
  <c r="H25" i="4"/>
  <c r="J25" i="4"/>
  <c r="J22" i="4"/>
  <c r="H22" i="4"/>
  <c r="H17" i="4"/>
  <c r="J17" i="4"/>
  <c r="N17" i="4" a="1"/>
  <c r="N17" i="4" s="1"/>
  <c r="C17" i="4" a="1"/>
  <c r="C17" i="4" s="1"/>
  <c r="M17" i="4" a="1"/>
  <c r="M17" i="4" s="1"/>
  <c r="B8" i="4" a="1"/>
  <c r="B8" i="4" s="1"/>
  <c r="C8" i="4" a="1"/>
  <c r="C8" i="4" s="1"/>
  <c r="H140" i="4"/>
  <c r="J140" i="4"/>
  <c r="M141" i="4" a="1"/>
  <c r="M141" i="4" s="1"/>
  <c r="C141" i="4" a="1"/>
  <c r="C141" i="4" s="1"/>
  <c r="H144" i="4"/>
  <c r="J144" i="4"/>
  <c r="N148" i="4" a="1"/>
  <c r="N148" i="4" s="1"/>
  <c r="E148" i="4" a="1"/>
  <c r="E148" i="4" s="1"/>
  <c r="C148" i="4" a="1"/>
  <c r="C148" i="4" s="1"/>
  <c r="H150" i="4"/>
  <c r="J150" i="4"/>
  <c r="D158" i="4" a="1"/>
  <c r="D158" i="4" s="1"/>
  <c r="M158" i="4" a="1"/>
  <c r="M158" i="4" s="1"/>
  <c r="C158" i="4" a="1"/>
  <c r="C158" i="4" s="1"/>
  <c r="J161" i="4"/>
  <c r="H161" i="4"/>
  <c r="N164" i="4" a="1"/>
  <c r="N164" i="4" s="1"/>
  <c r="M164" i="4" a="1"/>
  <c r="M164" i="4" s="1"/>
  <c r="C164" i="4" a="1"/>
  <c r="C164" i="4" s="1"/>
  <c r="D164" i="4" a="1"/>
  <c r="D164" i="4" s="1"/>
  <c r="M167" i="4" a="1"/>
  <c r="M167" i="4" s="1"/>
  <c r="E167" i="4" a="1"/>
  <c r="E167" i="4" s="1"/>
  <c r="B167" i="4" a="1"/>
  <c r="B167" i="4" s="1"/>
  <c r="M173" i="4" a="1"/>
  <c r="M173" i="4" s="1"/>
  <c r="C173" i="4" a="1"/>
  <c r="C173" i="4" s="1"/>
  <c r="N173" i="4" a="1"/>
  <c r="N173" i="4" s="1"/>
  <c r="B173" i="4" a="1"/>
  <c r="B173" i="4" s="1"/>
  <c r="M174" i="4" a="1"/>
  <c r="M174" i="4" s="1"/>
  <c r="E174" i="4" a="1"/>
  <c r="E174" i="4" s="1"/>
  <c r="M176" i="4" a="1"/>
  <c r="M176" i="4" s="1"/>
  <c r="D176" i="4" a="1"/>
  <c r="D176" i="4" s="1"/>
  <c r="B176" i="4" a="1"/>
  <c r="B176" i="4" s="1"/>
  <c r="N176" i="4" a="1"/>
  <c r="N176" i="4" s="1"/>
  <c r="C177" i="4" a="1"/>
  <c r="C177" i="4" s="1"/>
  <c r="B177" i="4" a="1"/>
  <c r="B177" i="4" s="1"/>
  <c r="J177" i="4"/>
  <c r="H177" i="4"/>
  <c r="N182" i="4" a="1"/>
  <c r="N182" i="4" s="1"/>
  <c r="M182" i="4" a="1"/>
  <c r="M182" i="4" s="1"/>
  <c r="C182" i="4" a="1"/>
  <c r="C182" i="4" s="1"/>
  <c r="C185" i="4" a="1"/>
  <c r="C185" i="4" s="1"/>
  <c r="D185" i="4" a="1"/>
  <c r="D185" i="4" s="1"/>
  <c r="B186" i="4" a="1"/>
  <c r="B186" i="4" s="1"/>
  <c r="M186" i="4" a="1"/>
  <c r="M186" i="4" s="1"/>
  <c r="E186" i="4" a="1"/>
  <c r="E186" i="4" s="1"/>
  <c r="C186" i="4" a="1"/>
  <c r="C186" i="4" s="1"/>
  <c r="D187" i="4" a="1"/>
  <c r="D187" i="4" s="1"/>
  <c r="B187" i="4" a="1"/>
  <c r="B187" i="4" s="1"/>
  <c r="E189" i="4" a="1"/>
  <c r="E189" i="4" s="1"/>
  <c r="C189" i="4" a="1"/>
  <c r="C189" i="4" s="1"/>
  <c r="M190" i="4" a="1"/>
  <c r="M190" i="4" s="1"/>
  <c r="D190" i="4" a="1"/>
  <c r="D190" i="4" s="1"/>
  <c r="C190" i="4" a="1"/>
  <c r="C190" i="4" s="1"/>
  <c r="M191" i="4" a="1"/>
  <c r="M191" i="4" s="1"/>
  <c r="D191" i="4" a="1"/>
  <c r="D191" i="4" s="1"/>
  <c r="J192" i="4"/>
  <c r="H192" i="4"/>
  <c r="N193" i="4" a="1"/>
  <c r="N193" i="4" s="1"/>
  <c r="E193" i="4" a="1"/>
  <c r="E193" i="4" s="1"/>
  <c r="C193" i="4" a="1"/>
  <c r="C193" i="4" s="1"/>
  <c r="D194" i="4" a="1"/>
  <c r="D194" i="4" s="1"/>
  <c r="M194" i="4" a="1"/>
  <c r="M194" i="4" s="1"/>
  <c r="C194" i="4" a="1"/>
  <c r="C194" i="4" s="1"/>
  <c r="B196" i="4" a="1"/>
  <c r="B196" i="4" s="1"/>
  <c r="C196" i="4" a="1"/>
  <c r="C196" i="4" s="1"/>
  <c r="E197" i="4" a="1"/>
  <c r="E197" i="4" s="1"/>
  <c r="D197" i="4" a="1"/>
  <c r="D197" i="4" s="1"/>
  <c r="C198" i="4" a="1"/>
  <c r="C198" i="4" s="1"/>
  <c r="M198" i="4" a="1"/>
  <c r="M198" i="4" s="1"/>
  <c r="H201" i="4"/>
  <c r="J201" i="4"/>
  <c r="H202" i="4"/>
  <c r="J202" i="4"/>
  <c r="B202" i="4" a="1"/>
  <c r="B202" i="4" s="1"/>
  <c r="D202" i="4" a="1"/>
  <c r="D202" i="4" s="1"/>
  <c r="M205" i="4" a="1"/>
  <c r="M205" i="4" s="1"/>
  <c r="D205" i="4" a="1"/>
  <c r="D205" i="4" s="1"/>
  <c r="J205" i="4"/>
  <c r="H205" i="4"/>
  <c r="E206" i="4" a="1"/>
  <c r="E206" i="4" s="1"/>
  <c r="C206" i="4" a="1"/>
  <c r="C206" i="4" s="1"/>
  <c r="B207" i="4" a="1"/>
  <c r="B207" i="4" s="1"/>
  <c r="M207" i="4" a="1"/>
  <c r="M207" i="4" s="1"/>
  <c r="E207" i="4" a="1"/>
  <c r="E207" i="4" s="1"/>
  <c r="N208" i="4" a="1"/>
  <c r="N208" i="4" s="1"/>
  <c r="D208" i="4" a="1"/>
  <c r="D208" i="4" s="1"/>
  <c r="E208" i="4" a="1"/>
  <c r="E208" i="4" s="1"/>
  <c r="C208" i="4" a="1"/>
  <c r="C208" i="4" s="1"/>
  <c r="B208" i="4" a="1"/>
  <c r="B208" i="4" s="1"/>
  <c r="C211" i="4" a="1"/>
  <c r="C211" i="4" s="1"/>
  <c r="D211" i="4" a="1"/>
  <c r="D211" i="4" s="1"/>
  <c r="E212" i="4" a="1"/>
  <c r="E212" i="4" s="1"/>
  <c r="B212" i="4" a="1"/>
  <c r="B212" i="4" s="1"/>
  <c r="H220" i="4"/>
  <c r="J220" i="4"/>
  <c r="E213" i="4" a="1"/>
  <c r="E213" i="4" s="1"/>
  <c r="H215" i="4"/>
  <c r="J215" i="4"/>
  <c r="C217" i="4" a="1"/>
  <c r="C217" i="4" s="1"/>
  <c r="D221" i="4" a="1"/>
  <c r="D221" i="4" s="1"/>
  <c r="C223" i="4" a="1"/>
  <c r="C223" i="4" s="1"/>
  <c r="J253" i="4"/>
  <c r="H253" i="4"/>
  <c r="M260" i="4" a="1"/>
  <c r="M260" i="4" s="1"/>
  <c r="M269" i="4" a="1"/>
  <c r="M269" i="4" s="1"/>
  <c r="D272" i="4" a="1"/>
  <c r="D272" i="4" s="1"/>
  <c r="C236" i="4" a="1"/>
  <c r="C236" i="4" s="1"/>
  <c r="E236" i="4" a="1"/>
  <c r="E236" i="4" s="1"/>
  <c r="C243" i="4" a="1"/>
  <c r="C243" i="4" s="1"/>
  <c r="B260" i="4" a="1"/>
  <c r="B260" i="4" s="1"/>
  <c r="B269" i="4" a="1"/>
  <c r="B269" i="4" s="1"/>
  <c r="B224" i="4" a="1"/>
  <c r="B224" i="4" s="1"/>
  <c r="H227" i="4"/>
  <c r="C228" i="4" a="1"/>
  <c r="C228" i="4" s="1"/>
  <c r="E239" i="4" a="1"/>
  <c r="E239" i="4" s="1"/>
  <c r="D239" i="4" a="1"/>
  <c r="D239" i="4" s="1"/>
  <c r="E241" i="4" a="1"/>
  <c r="E241" i="4" s="1"/>
  <c r="E253" i="4" a="1"/>
  <c r="E253" i="4" s="1"/>
  <c r="B253" i="4" a="1"/>
  <c r="B253" i="4" s="1"/>
  <c r="D260" i="4" a="1"/>
  <c r="D260" i="4" s="1"/>
  <c r="D265" i="4" a="1"/>
  <c r="D265" i="4" s="1"/>
  <c r="H272" i="4"/>
  <c r="J272" i="4"/>
  <c r="B203" i="4" a="1"/>
  <c r="B203" i="4" s="1"/>
  <c r="D204" i="4" a="1"/>
  <c r="D204" i="4" s="1"/>
  <c r="H207" i="4"/>
  <c r="M213" i="4" a="1"/>
  <c r="M213" i="4" s="1"/>
  <c r="D226" i="4" a="1"/>
  <c r="D226" i="4" s="1"/>
  <c r="E228" i="4" a="1"/>
  <c r="E228" i="4" s="1"/>
  <c r="D231" i="4" a="1"/>
  <c r="D231" i="4" s="1"/>
  <c r="D233" i="4" a="1"/>
  <c r="D233" i="4" s="1"/>
  <c r="C233" i="4" a="1"/>
  <c r="C233" i="4" s="1"/>
  <c r="B236" i="4" a="1"/>
  <c r="B236" i="4" s="1"/>
  <c r="C246" i="4" a="1"/>
  <c r="C246" i="4" s="1"/>
  <c r="J276" i="4"/>
  <c r="J277" i="4"/>
  <c r="B26" i="4" a="1"/>
  <c r="B26" i="4" s="1"/>
  <c r="M8" i="4" a="1"/>
  <c r="M8" i="4" s="1"/>
  <c r="D139" i="4" a="1"/>
  <c r="D139" i="4" s="1"/>
  <c r="C155" i="4" a="1"/>
  <c r="C155" i="4" s="1"/>
  <c r="M163" i="4" a="1"/>
  <c r="M163" i="4" s="1"/>
  <c r="B163" i="4" a="1"/>
  <c r="B163" i="4" s="1"/>
  <c r="M165" i="4" a="1"/>
  <c r="M165" i="4" s="1"/>
  <c r="E165" i="4" a="1"/>
  <c r="E165" i="4" s="1"/>
  <c r="M171" i="4" a="1"/>
  <c r="M171" i="4" s="1"/>
  <c r="D171" i="4" a="1"/>
  <c r="D171" i="4" s="1"/>
  <c r="D184" i="4" a="1"/>
  <c r="D184" i="4" s="1"/>
  <c r="B184" i="4" a="1"/>
  <c r="B184" i="4" s="1"/>
  <c r="H196" i="4"/>
  <c r="C215" i="4" a="1"/>
  <c r="C215" i="4" s="1"/>
  <c r="B232" i="4" a="1"/>
  <c r="B232" i="4" s="1"/>
  <c r="D236" i="4" a="1"/>
  <c r="D236" i="4" s="1"/>
  <c r="H243" i="4"/>
  <c r="J243" i="4"/>
  <c r="J246" i="4"/>
  <c r="H246" i="4"/>
  <c r="E247" i="4" a="1"/>
  <c r="E247" i="4" s="1"/>
  <c r="D247" i="4" a="1"/>
  <c r="D247" i="4" s="1"/>
  <c r="D44" i="4" a="1"/>
  <c r="D44" i="4" s="1"/>
  <c r="E24" i="4" a="1"/>
  <c r="E24" i="4" s="1"/>
  <c r="N23" i="4" a="1"/>
  <c r="N23" i="4" s="1"/>
  <c r="D21" i="4" a="1"/>
  <c r="D21" i="4" s="1"/>
  <c r="M13" i="4" a="1"/>
  <c r="M13" i="4" s="1"/>
  <c r="N12" i="4" a="1"/>
  <c r="N12" i="4" s="1"/>
  <c r="M7" i="4" a="1"/>
  <c r="M7" i="4" s="1"/>
  <c r="M6" i="4" a="1"/>
  <c r="M6" i="4" s="1"/>
  <c r="E128" i="4" a="1"/>
  <c r="E128" i="4" s="1"/>
  <c r="B131" i="4" a="1"/>
  <c r="B131" i="4" s="1"/>
  <c r="D132" i="4" a="1"/>
  <c r="D132" i="4" s="1"/>
  <c r="E135" i="4" a="1"/>
  <c r="E135" i="4" s="1"/>
  <c r="M135" i="4" a="1"/>
  <c r="M135" i="4" s="1"/>
  <c r="C136" i="4" a="1"/>
  <c r="C136" i="4" s="1"/>
  <c r="E141" i="4" a="1"/>
  <c r="E141" i="4" s="1"/>
  <c r="B145" i="4" a="1"/>
  <c r="B145" i="4" s="1"/>
  <c r="D145" i="4" a="1"/>
  <c r="D145" i="4" s="1"/>
  <c r="E159" i="4" a="1"/>
  <c r="E159" i="4" s="1"/>
  <c r="M160" i="4" a="1"/>
  <c r="M160" i="4" s="1"/>
  <c r="D163" i="4" a="1"/>
  <c r="D163" i="4" s="1"/>
  <c r="E184" i="4" a="1"/>
  <c r="E184" i="4" s="1"/>
  <c r="N184" i="4" a="1"/>
  <c r="N184" i="4" s="1"/>
  <c r="D192" i="4" a="1"/>
  <c r="D192" i="4" s="1"/>
  <c r="M192" i="4" a="1"/>
  <c r="M192" i="4" s="1"/>
  <c r="E192" i="4" a="1"/>
  <c r="E192" i="4" s="1"/>
  <c r="C209" i="4" a="1"/>
  <c r="C209" i="4" s="1"/>
  <c r="J218" i="4"/>
  <c r="H218" i="4"/>
  <c r="E220" i="4" a="1"/>
  <c r="E220" i="4" s="1"/>
  <c r="B223" i="4" a="1"/>
  <c r="B223" i="4" s="1"/>
  <c r="D225" i="4" a="1"/>
  <c r="D225" i="4" s="1"/>
  <c r="B225" i="4" a="1"/>
  <c r="B225" i="4" s="1"/>
  <c r="H226" i="4"/>
  <c r="E227" i="4" a="1"/>
  <c r="E227" i="4" s="1"/>
  <c r="B230" i="4" a="1"/>
  <c r="B230" i="4" s="1"/>
  <c r="D255" i="4" a="1"/>
  <c r="D255" i="4" s="1"/>
  <c r="N272" i="4" a="1"/>
  <c r="N272" i="4" s="1"/>
  <c r="C275" i="4" a="1"/>
  <c r="C275" i="4" s="1"/>
  <c r="B266" i="4" a="1"/>
  <c r="B266" i="4" s="1"/>
  <c r="M290" i="4" a="1"/>
  <c r="M290" i="4" s="1"/>
  <c r="B289" i="4" a="1"/>
  <c r="B289" i="4" s="1"/>
  <c r="E290" i="4" a="1"/>
  <c r="E290" i="4" s="1"/>
  <c r="D278" i="4" a="1"/>
  <c r="D278" i="4" s="1"/>
  <c r="H287" i="4"/>
  <c r="B291" i="4" a="1"/>
  <c r="B291" i="4" s="1"/>
  <c r="D326" i="4" a="1"/>
  <c r="D326" i="4" s="1"/>
  <c r="D149" i="4" a="1"/>
  <c r="D149" i="4" s="1"/>
  <c r="D151" i="4" a="1"/>
  <c r="D151" i="4" s="1"/>
  <c r="C152" i="4" a="1"/>
  <c r="C152" i="4" s="1"/>
  <c r="N158" i="4" a="1"/>
  <c r="N158" i="4" s="1"/>
  <c r="C159" i="4" a="1"/>
  <c r="C159" i="4" s="1"/>
  <c r="C166" i="4" a="1"/>
  <c r="C166" i="4" s="1"/>
  <c r="C171" i="4" a="1"/>
  <c r="C171" i="4" s="1"/>
  <c r="C178" i="4" a="1"/>
  <c r="C178" i="4" s="1"/>
  <c r="N180" i="4" a="1"/>
  <c r="N180" i="4" s="1"/>
  <c r="N188" i="4" a="1"/>
  <c r="N188" i="4" s="1"/>
  <c r="B191" i="4" a="1"/>
  <c r="B191" i="4" s="1"/>
  <c r="C195" i="4" a="1"/>
  <c r="C195" i="4" s="1"/>
  <c r="C200" i="4" a="1"/>
  <c r="C200" i="4" s="1"/>
  <c r="B248" i="4" a="1"/>
  <c r="B248" i="4" s="1"/>
  <c r="N257" i="4" a="1"/>
  <c r="N257" i="4" s="1"/>
  <c r="M280" i="4" a="1"/>
  <c r="M280" i="4" s="1"/>
  <c r="J284" i="4"/>
  <c r="C62" i="4" a="1"/>
  <c r="C62" i="4" s="1"/>
  <c r="N62" i="4" a="1"/>
  <c r="N62" i="4" s="1"/>
  <c r="D31" i="4" a="1"/>
  <c r="D31" i="4" s="1"/>
  <c r="M31" i="4" a="1"/>
  <c r="M31" i="4" s="1"/>
  <c r="B25" i="4" a="1"/>
  <c r="B25" i="4" s="1"/>
  <c r="M25" i="4" a="1"/>
  <c r="M25" i="4" s="1"/>
  <c r="N13" i="4" a="1"/>
  <c r="N13" i="4" s="1"/>
  <c r="E13" i="4" a="1"/>
  <c r="E13" i="4" s="1"/>
  <c r="M136" i="4" a="1"/>
  <c r="M136" i="4" s="1"/>
  <c r="B136" i="4" a="1"/>
  <c r="B136" i="4" s="1"/>
  <c r="J139" i="4"/>
  <c r="H139" i="4"/>
  <c r="M142" i="4" a="1"/>
  <c r="M142" i="4" s="1"/>
  <c r="N142" i="4" a="1"/>
  <c r="N142" i="4" s="1"/>
  <c r="C142" i="4" a="1"/>
  <c r="C142" i="4" s="1"/>
  <c r="M146" i="4" a="1"/>
  <c r="M146" i="4" s="1"/>
  <c r="E146" i="4" a="1"/>
  <c r="E146" i="4" s="1"/>
  <c r="C147" i="4" a="1"/>
  <c r="C147" i="4" s="1"/>
  <c r="E147" i="4" a="1"/>
  <c r="E147" i="4" s="1"/>
  <c r="M155" i="4" a="1"/>
  <c r="M155" i="4" s="1"/>
  <c r="N155" i="4" a="1"/>
  <c r="N155" i="4" s="1"/>
  <c r="D155" i="4" a="1"/>
  <c r="D155" i="4" s="1"/>
  <c r="M162" i="4" a="1"/>
  <c r="M162" i="4" s="1"/>
  <c r="B162" i="4" a="1"/>
  <c r="B162" i="4" s="1"/>
  <c r="M168" i="4" a="1"/>
  <c r="M168" i="4" s="1"/>
  <c r="E168" i="4" a="1"/>
  <c r="E168" i="4" s="1"/>
  <c r="N170" i="4" a="1"/>
  <c r="N170" i="4" s="1"/>
  <c r="C170" i="4" a="1"/>
  <c r="C170" i="4" s="1"/>
  <c r="M177" i="4" a="1"/>
  <c r="M177" i="4" s="1"/>
  <c r="N177" i="4" a="1"/>
  <c r="N177" i="4" s="1"/>
  <c r="D177" i="4" a="1"/>
  <c r="D177" i="4" s="1"/>
  <c r="M179" i="4" a="1"/>
  <c r="M179" i="4" s="1"/>
  <c r="E179" i="4" a="1"/>
  <c r="E179" i="4" s="1"/>
  <c r="M181" i="4" a="1"/>
  <c r="M181" i="4" s="1"/>
  <c r="N181" i="4" a="1"/>
  <c r="N181" i="4" s="1"/>
  <c r="E181" i="4" a="1"/>
  <c r="E181" i="4" s="1"/>
  <c r="M183" i="4" a="1"/>
  <c r="M183" i="4" s="1"/>
  <c r="E183" i="4" a="1"/>
  <c r="E183" i="4" s="1"/>
  <c r="M185" i="4" a="1"/>
  <c r="M185" i="4" s="1"/>
  <c r="B185" i="4" a="1"/>
  <c r="B185" i="4" s="1"/>
  <c r="M193" i="4" a="1"/>
  <c r="M193" i="4" s="1"/>
  <c r="B193" i="4" a="1"/>
  <c r="B193" i="4" s="1"/>
  <c r="N197" i="4" a="1"/>
  <c r="N197" i="4" s="1"/>
  <c r="M197" i="4" a="1"/>
  <c r="M197" i="4" s="1"/>
  <c r="N198" i="4" a="1"/>
  <c r="N198" i="4" s="1"/>
  <c r="E198" i="4" a="1"/>
  <c r="E198" i="4" s="1"/>
  <c r="N199" i="4" a="1"/>
  <c r="N199" i="4" s="1"/>
  <c r="E199" i="4" a="1"/>
  <c r="E199" i="4" s="1"/>
  <c r="N203" i="4" a="1"/>
  <c r="N203" i="4" s="1"/>
  <c r="C203" i="4" a="1"/>
  <c r="C203" i="4" s="1"/>
  <c r="N204" i="4" a="1"/>
  <c r="N204" i="4" s="1"/>
  <c r="C204" i="4" a="1"/>
  <c r="C204" i="4" s="1"/>
  <c r="N205" i="4" a="1"/>
  <c r="N205" i="4" s="1"/>
  <c r="E205" i="4" a="1"/>
  <c r="E205" i="4" s="1"/>
  <c r="B205" i="4" a="1"/>
  <c r="B205" i="4" s="1"/>
  <c r="N206" i="4" a="1"/>
  <c r="N206" i="4" s="1"/>
  <c r="D206" i="4" a="1"/>
  <c r="D206" i="4" s="1"/>
  <c r="B206" i="4" a="1"/>
  <c r="B206" i="4" s="1"/>
  <c r="N207" i="4" a="1"/>
  <c r="N207" i="4" s="1"/>
  <c r="D207" i="4" a="1"/>
  <c r="D207" i="4" s="1"/>
  <c r="N211" i="4" a="1"/>
  <c r="N211" i="4" s="1"/>
  <c r="E211" i="4" a="1"/>
  <c r="E211" i="4" s="1"/>
  <c r="N212" i="4" a="1"/>
  <c r="N212" i="4" s="1"/>
  <c r="D212" i="4" a="1"/>
  <c r="D212" i="4" s="1"/>
  <c r="N213" i="4" a="1"/>
  <c r="N213" i="4" s="1"/>
  <c r="B213" i="4" a="1"/>
  <c r="B213" i="4" s="1"/>
  <c r="N214" i="4" a="1"/>
  <c r="N214" i="4" s="1"/>
  <c r="B214" i="4" a="1"/>
  <c r="B214" i="4" s="1"/>
  <c r="N216" i="4" a="1"/>
  <c r="N216" i="4" s="1"/>
  <c r="D216" i="4" a="1"/>
  <c r="D216" i="4" s="1"/>
  <c r="N217" i="4" a="1"/>
  <c r="N217" i="4" s="1"/>
  <c r="B217" i="4" a="1"/>
  <c r="B217" i="4" s="1"/>
  <c r="N218" i="4" a="1"/>
  <c r="N218" i="4" s="1"/>
  <c r="E218" i="4" a="1"/>
  <c r="E218" i="4" s="1"/>
  <c r="B218" i="4" a="1"/>
  <c r="B218" i="4" s="1"/>
  <c r="N219" i="4" a="1"/>
  <c r="N219" i="4" s="1"/>
  <c r="E219" i="4" a="1"/>
  <c r="E219" i="4" s="1"/>
  <c r="N220" i="4" a="1"/>
  <c r="N220" i="4" s="1"/>
  <c r="C220" i="4" a="1"/>
  <c r="C220" i="4" s="1"/>
  <c r="N221" i="4" a="1"/>
  <c r="N221" i="4" s="1"/>
  <c r="C221" i="4" a="1"/>
  <c r="C221" i="4" s="1"/>
  <c r="N224" i="4" a="1"/>
  <c r="N224" i="4" s="1"/>
  <c r="E224" i="4" a="1"/>
  <c r="E224" i="4" s="1"/>
  <c r="D224" i="4" a="1"/>
  <c r="D224" i="4" s="1"/>
  <c r="H225" i="4"/>
  <c r="J225" i="4"/>
  <c r="N226" i="4" a="1"/>
  <c r="N226" i="4" s="1"/>
  <c r="C226" i="4" a="1"/>
  <c r="C226" i="4" s="1"/>
  <c r="N229" i="4" a="1"/>
  <c r="N229" i="4" s="1"/>
  <c r="D229" i="4" a="1"/>
  <c r="D229" i="4" s="1"/>
  <c r="B229" i="4" a="1"/>
  <c r="B229" i="4" s="1"/>
  <c r="N230" i="4" a="1"/>
  <c r="N230" i="4" s="1"/>
  <c r="C230" i="4" a="1"/>
  <c r="C230" i="4" s="1"/>
  <c r="N232" i="4" a="1"/>
  <c r="N232" i="4" s="1"/>
  <c r="E232" i="4" a="1"/>
  <c r="E232" i="4" s="1"/>
  <c r="D232" i="4" a="1"/>
  <c r="D232" i="4" s="1"/>
  <c r="N235" i="4" a="1"/>
  <c r="N235" i="4" s="1"/>
  <c r="E235" i="4" a="1"/>
  <c r="E235" i="4" s="1"/>
  <c r="C235" i="4" a="1"/>
  <c r="C235" i="4" s="1"/>
  <c r="N237" i="4" a="1"/>
  <c r="N237" i="4" s="1"/>
  <c r="D237" i="4" a="1"/>
  <c r="D237" i="4" s="1"/>
  <c r="C237" i="4" a="1"/>
  <c r="C237" i="4" s="1"/>
  <c r="N239" i="4" a="1"/>
  <c r="N239" i="4" s="1"/>
  <c r="B239" i="4" a="1"/>
  <c r="B239" i="4" s="1"/>
  <c r="C239" i="4" a="1"/>
  <c r="C239" i="4" s="1"/>
  <c r="N240" i="4" a="1"/>
  <c r="N240" i="4" s="1"/>
  <c r="E240" i="4" a="1"/>
  <c r="E240" i="4" s="1"/>
  <c r="B240" i="4" a="1"/>
  <c r="B240" i="4" s="1"/>
  <c r="N241" i="4" a="1"/>
  <c r="N241" i="4" s="1"/>
  <c r="D241" i="4" a="1"/>
  <c r="D241" i="4" s="1"/>
  <c r="C241" i="4" a="1"/>
  <c r="C241" i="4" s="1"/>
  <c r="H241" i="4"/>
  <c r="J241" i="4"/>
  <c r="J242" i="4"/>
  <c r="H242" i="4"/>
  <c r="N243" i="4" a="1"/>
  <c r="N243" i="4" s="1"/>
  <c r="E243" i="4" a="1"/>
  <c r="E243" i="4" s="1"/>
  <c r="E246" i="4" a="1"/>
  <c r="E246" i="4" s="1"/>
  <c r="B246" i="4" a="1"/>
  <c r="B246" i="4" s="1"/>
  <c r="C249" i="4" a="1"/>
  <c r="C249" i="4" s="1"/>
  <c r="E249" i="4" a="1"/>
  <c r="E249" i="4" s="1"/>
  <c r="E250" i="4" a="1"/>
  <c r="E250" i="4" s="1"/>
  <c r="B250" i="4" a="1"/>
  <c r="B250" i="4" s="1"/>
  <c r="M256" i="4" a="1"/>
  <c r="M256" i="4" s="1"/>
  <c r="N256" i="4" a="1"/>
  <c r="N256" i="4" s="1"/>
  <c r="M257" i="4" a="1"/>
  <c r="M257" i="4" s="1"/>
  <c r="E257" i="4" a="1"/>
  <c r="E257" i="4" s="1"/>
  <c r="J260" i="4"/>
  <c r="H260" i="4"/>
  <c r="J269" i="4"/>
  <c r="H269" i="4"/>
  <c r="C272" i="4" a="1"/>
  <c r="C272" i="4" s="1"/>
  <c r="E272" i="4" a="1"/>
  <c r="E272" i="4" s="1"/>
  <c r="M279" i="4" a="1"/>
  <c r="M279" i="4" s="1"/>
  <c r="E279" i="4" a="1"/>
  <c r="E279" i="4" s="1"/>
  <c r="N279" i="4" a="1"/>
  <c r="N279" i="4" s="1"/>
  <c r="D279" i="4" a="1"/>
  <c r="D279" i="4" s="1"/>
  <c r="M285" i="4" a="1"/>
  <c r="M285" i="4" s="1"/>
  <c r="C285" i="4" a="1"/>
  <c r="C285" i="4" s="1"/>
  <c r="N302" i="4" a="1"/>
  <c r="N302" i="4" s="1"/>
  <c r="E302" i="4" a="1"/>
  <c r="E302" i="4" s="1"/>
  <c r="C302" i="4" a="1"/>
  <c r="C302" i="4" s="1"/>
  <c r="M302" i="4" a="1"/>
  <c r="M302" i="4" s="1"/>
  <c r="M303" i="4" a="1"/>
  <c r="M303" i="4" s="1"/>
  <c r="C303" i="4" a="1"/>
  <c r="C303" i="4" s="1"/>
  <c r="N303" i="4" a="1"/>
  <c r="N303" i="4" s="1"/>
  <c r="D303" i="4" a="1"/>
  <c r="D303" i="4" s="1"/>
  <c r="H308" i="4"/>
  <c r="J308" i="4"/>
  <c r="M311" i="4" a="1"/>
  <c r="M311" i="4" s="1"/>
  <c r="D311" i="4" a="1"/>
  <c r="D311" i="4" s="1"/>
  <c r="B311" i="4" a="1"/>
  <c r="B311" i="4" s="1"/>
  <c r="J312" i="4"/>
  <c r="H312" i="4"/>
  <c r="C313" i="4" a="1"/>
  <c r="C313" i="4" s="1"/>
  <c r="D313" i="4" a="1"/>
  <c r="D313" i="4" s="1"/>
  <c r="J323" i="4"/>
  <c r="H323" i="4"/>
  <c r="E326" i="4" a="1"/>
  <c r="E326" i="4" s="1"/>
  <c r="M326" i="4" a="1"/>
  <c r="M326" i="4" s="1"/>
  <c r="C326" i="4" a="1"/>
  <c r="C326" i="4" s="1"/>
  <c r="M327" i="4" a="1"/>
  <c r="M327" i="4" s="1"/>
  <c r="B327" i="4" a="1"/>
  <c r="B327" i="4" s="1"/>
  <c r="D327" i="4" a="1"/>
  <c r="D327" i="4" s="1"/>
  <c r="H327" i="4"/>
  <c r="J327" i="4"/>
  <c r="H329" i="4"/>
  <c r="J329" i="4"/>
  <c r="E331" i="4" a="1"/>
  <c r="E331" i="4" s="1"/>
  <c r="C331" i="4" a="1"/>
  <c r="C331" i="4" s="1"/>
  <c r="M331" i="4" a="1"/>
  <c r="M331" i="4" s="1"/>
  <c r="M332" i="4" a="1"/>
  <c r="M332" i="4" s="1"/>
  <c r="D332" i="4" a="1"/>
  <c r="D332" i="4" s="1"/>
  <c r="N332" i="4" a="1"/>
  <c r="N332" i="4" s="1"/>
  <c r="B332" i="4" a="1"/>
  <c r="B332" i="4" s="1"/>
  <c r="N333" i="4" a="1"/>
  <c r="N333" i="4" s="1"/>
  <c r="E333" i="4" a="1"/>
  <c r="E333" i="4" s="1"/>
  <c r="M334" i="4" a="1"/>
  <c r="M334" i="4" s="1"/>
  <c r="E334" i="4" a="1"/>
  <c r="E334" i="4" s="1"/>
  <c r="N334" i="4" a="1"/>
  <c r="N334" i="4" s="1"/>
  <c r="B336" i="4" a="1"/>
  <c r="B336" i="4" s="1"/>
  <c r="C336" i="4" a="1"/>
  <c r="C336" i="4" s="1"/>
  <c r="D336" i="4" a="1"/>
  <c r="D336" i="4" s="1"/>
  <c r="M341" i="4" a="1"/>
  <c r="M341" i="4" s="1"/>
  <c r="C341" i="4" a="1"/>
  <c r="C341" i="4" s="1"/>
  <c r="D345" i="4" a="1"/>
  <c r="D345" i="4" s="1"/>
  <c r="C345" i="4" a="1"/>
  <c r="C345" i="4" s="1"/>
  <c r="B345" i="4" a="1"/>
  <c r="B345" i="4" s="1"/>
  <c r="N347" i="4" a="1"/>
  <c r="N347" i="4" s="1"/>
  <c r="B347" i="4" a="1"/>
  <c r="B347" i="4" s="1"/>
  <c r="E347" i="4" a="1"/>
  <c r="E347" i="4" s="1"/>
  <c r="C347" i="4" a="1"/>
  <c r="C347" i="4" s="1"/>
  <c r="D348" i="4" a="1"/>
  <c r="D348" i="4" s="1"/>
  <c r="C348" i="4" a="1"/>
  <c r="C348" i="4" s="1"/>
  <c r="B348" i="4" a="1"/>
  <c r="B348" i="4" s="1"/>
  <c r="J355" i="4"/>
  <c r="H355" i="4"/>
  <c r="J358" i="4"/>
  <c r="H358" i="4"/>
  <c r="H361" i="4"/>
  <c r="J361" i="4"/>
  <c r="J369" i="4"/>
  <c r="H369" i="4"/>
  <c r="J371" i="4"/>
  <c r="H371" i="4"/>
  <c r="H375" i="4"/>
  <c r="J375" i="4"/>
  <c r="E377" i="4" a="1"/>
  <c r="E377" i="4" s="1"/>
  <c r="M377" i="4" a="1"/>
  <c r="M377" i="4" s="1"/>
  <c r="B377" i="4" a="1"/>
  <c r="B377" i="4" s="1"/>
  <c r="D377" i="4" a="1"/>
  <c r="D377" i="4" s="1"/>
  <c r="C380" i="4" a="1"/>
  <c r="C380" i="4" s="1"/>
  <c r="E380" i="4" a="1"/>
  <c r="E380" i="4" s="1"/>
  <c r="B391" i="4" a="1"/>
  <c r="B391" i="4" s="1"/>
  <c r="J415" i="4"/>
  <c r="H415" i="4"/>
  <c r="D423" i="4" a="1"/>
  <c r="D423" i="4" s="1"/>
  <c r="N423" i="4" a="1"/>
  <c r="N423" i="4" s="1"/>
  <c r="E423" i="4" a="1"/>
  <c r="E423" i="4" s="1"/>
  <c r="C423" i="4" a="1"/>
  <c r="C423" i="4" s="1"/>
  <c r="M423" i="4" a="1"/>
  <c r="M423" i="4" s="1"/>
  <c r="N427" i="4" a="1"/>
  <c r="N427" i="4" s="1"/>
  <c r="E58" i="4" a="1"/>
  <c r="E58" i="4" s="1"/>
  <c r="E51" i="4" a="1"/>
  <c r="E51" i="4" s="1"/>
  <c r="M36" i="4" a="1"/>
  <c r="M36" i="4" s="1"/>
  <c r="D18" i="4" a="1"/>
  <c r="D18" i="4" s="1"/>
  <c r="M137" i="4" a="1"/>
  <c r="M137" i="4" s="1"/>
  <c r="E153" i="4" a="1"/>
  <c r="E153" i="4" s="1"/>
  <c r="E157" i="4" a="1"/>
  <c r="E157" i="4" s="1"/>
  <c r="D166" i="4" a="1"/>
  <c r="D166" i="4" s="1"/>
  <c r="M187" i="4" a="1"/>
  <c r="M187" i="4" s="1"/>
  <c r="M189" i="4" a="1"/>
  <c r="M189" i="4" s="1"/>
  <c r="N189" i="4" a="1"/>
  <c r="N189" i="4" s="1"/>
  <c r="N210" i="4" a="1"/>
  <c r="N210" i="4" s="1"/>
  <c r="N223" i="4" a="1"/>
  <c r="N223" i="4" s="1"/>
  <c r="N225" i="4" a="1"/>
  <c r="N225" i="4" s="1"/>
  <c r="N227" i="4" a="1"/>
  <c r="N227" i="4" s="1"/>
  <c r="N233" i="4" a="1"/>
  <c r="N233" i="4" s="1"/>
  <c r="E233" i="4" a="1"/>
  <c r="E233" i="4" s="1"/>
  <c r="N238" i="4" a="1"/>
  <c r="N238" i="4" s="1"/>
  <c r="D244" i="4" a="1"/>
  <c r="D244" i="4" s="1"/>
  <c r="C244" i="4" a="1"/>
  <c r="C244" i="4" s="1"/>
  <c r="B244" i="4" a="1"/>
  <c r="B244" i="4" s="1"/>
  <c r="C258" i="4" a="1"/>
  <c r="C258" i="4" s="1"/>
  <c r="M259" i="4" a="1"/>
  <c r="M259" i="4" s="1"/>
  <c r="B259" i="4" a="1"/>
  <c r="B259" i="4" s="1"/>
  <c r="H271" i="4"/>
  <c r="J271" i="4"/>
  <c r="M273" i="4" a="1"/>
  <c r="M273" i="4" s="1"/>
  <c r="B273" i="4" a="1"/>
  <c r="B273" i="4" s="1"/>
  <c r="E285" i="4" a="1"/>
  <c r="E285" i="4" s="1"/>
  <c r="D295" i="4" a="1"/>
  <c r="D295" i="4" s="1"/>
  <c r="N295" i="4" a="1"/>
  <c r="N295" i="4" s="1"/>
  <c r="E297" i="4" a="1"/>
  <c r="E297" i="4" s="1"/>
  <c r="D297" i="4" a="1"/>
  <c r="D297" i="4" s="1"/>
  <c r="B297" i="4" a="1"/>
  <c r="B297" i="4" s="1"/>
  <c r="D349" i="4" a="1"/>
  <c r="D349" i="4" s="1"/>
  <c r="B349" i="4" a="1"/>
  <c r="B349" i="4" s="1"/>
  <c r="D352" i="4" a="1"/>
  <c r="D352" i="4" s="1"/>
  <c r="D353" i="4" a="1"/>
  <c r="D353" i="4" s="1"/>
  <c r="C353" i="4" a="1"/>
  <c r="C353" i="4" s="1"/>
  <c r="M355" i="4" a="1"/>
  <c r="M355" i="4" s="1"/>
  <c r="B363" i="4" a="1"/>
  <c r="B363" i="4" s="1"/>
  <c r="H380" i="4"/>
  <c r="J380" i="4"/>
  <c r="M390" i="4" a="1"/>
  <c r="M390" i="4" s="1"/>
  <c r="D390" i="4" a="1"/>
  <c r="D390" i="4" s="1"/>
  <c r="C413" i="4" a="1"/>
  <c r="C413" i="4" s="1"/>
  <c r="B423" i="4" a="1"/>
  <c r="B423" i="4" s="1"/>
  <c r="M388" i="4" a="1"/>
  <c r="M388" i="4" s="1"/>
  <c r="N388" i="4" a="1"/>
  <c r="N388" i="4" s="1"/>
  <c r="D388" i="4" a="1"/>
  <c r="D388" i="4" s="1"/>
  <c r="J414" i="4"/>
  <c r="H414" i="4"/>
  <c r="H400" i="4"/>
  <c r="J400" i="4"/>
  <c r="J413" i="4"/>
  <c r="H413" i="4"/>
  <c r="J434" i="4"/>
  <c r="H434" i="4"/>
  <c r="N202" i="4" a="1"/>
  <c r="N202" i="4" s="1"/>
  <c r="N209" i="4" a="1"/>
  <c r="N209" i="4" s="1"/>
  <c r="N222" i="4" a="1"/>
  <c r="N222" i="4" s="1"/>
  <c r="N231" i="4" a="1"/>
  <c r="N231" i="4" s="1"/>
  <c r="B231" i="4" a="1"/>
  <c r="B231" i="4" s="1"/>
  <c r="N242" i="4" a="1"/>
  <c r="N242" i="4" s="1"/>
  <c r="C242" i="4" a="1"/>
  <c r="C242" i="4" s="1"/>
  <c r="C247" i="4" a="1"/>
  <c r="C247" i="4" s="1"/>
  <c r="C252" i="4" a="1"/>
  <c r="C252" i="4" s="1"/>
  <c r="M253" i="4" a="1"/>
  <c r="M253" i="4" s="1"/>
  <c r="E262" i="4" a="1"/>
  <c r="E262" i="4" s="1"/>
  <c r="M262" i="4" a="1"/>
  <c r="M262" i="4" s="1"/>
  <c r="C262" i="4" a="1"/>
  <c r="C262" i="4" s="1"/>
  <c r="E269" i="4" a="1"/>
  <c r="E269" i="4" s="1"/>
  <c r="C271" i="4" a="1"/>
  <c r="C271" i="4" s="1"/>
  <c r="M276" i="4" a="1"/>
  <c r="M276" i="4" s="1"/>
  <c r="C278" i="4" a="1"/>
  <c r="C278" i="4" s="1"/>
  <c r="C279" i="4" a="1"/>
  <c r="C279" i="4" s="1"/>
  <c r="M286" i="4" a="1"/>
  <c r="M286" i="4" s="1"/>
  <c r="B286" i="4" a="1"/>
  <c r="B286" i="4" s="1"/>
  <c r="E286" i="4" a="1"/>
  <c r="E286" i="4" s="1"/>
  <c r="M287" i="4" a="1"/>
  <c r="M287" i="4" s="1"/>
  <c r="C287" i="4" a="1"/>
  <c r="C287" i="4" s="1"/>
  <c r="H295" i="4"/>
  <c r="J295" i="4"/>
  <c r="J296" i="4"/>
  <c r="H296" i="4"/>
  <c r="E303" i="4" a="1"/>
  <c r="E303" i="4" s="1"/>
  <c r="E310" i="4" a="1"/>
  <c r="E310" i="4" s="1"/>
  <c r="M310" i="4" a="1"/>
  <c r="M310" i="4" s="1"/>
  <c r="B318" i="4" a="1"/>
  <c r="B318" i="4" s="1"/>
  <c r="M328" i="4" a="1"/>
  <c r="M328" i="4" s="1"/>
  <c r="B329" i="4" a="1"/>
  <c r="B329" i="4" s="1"/>
  <c r="C330" i="4" a="1"/>
  <c r="C330" i="4" s="1"/>
  <c r="N336" i="4" a="1"/>
  <c r="N336" i="4" s="1"/>
  <c r="J338" i="4"/>
  <c r="H338" i="4"/>
  <c r="H342" i="4"/>
  <c r="J342" i="4"/>
  <c r="H362" i="4"/>
  <c r="J362" i="4"/>
  <c r="M366" i="4" a="1"/>
  <c r="M366" i="4" s="1"/>
  <c r="N366" i="4" a="1"/>
  <c r="N366" i="4" s="1"/>
  <c r="C366" i="4" a="1"/>
  <c r="C366" i="4" s="1"/>
  <c r="B366" i="4" a="1"/>
  <c r="B366" i="4" s="1"/>
  <c r="M367" i="4" a="1"/>
  <c r="M367" i="4" s="1"/>
  <c r="N396" i="4" a="1"/>
  <c r="N396" i="4" s="1"/>
  <c r="D398" i="4" a="1"/>
  <c r="D398" i="4" s="1"/>
  <c r="J401" i="4"/>
  <c r="H418" i="4"/>
  <c r="M429" i="4" a="1"/>
  <c r="M429" i="4" s="1"/>
  <c r="B429" i="4" a="1"/>
  <c r="B429" i="4" s="1"/>
  <c r="H409" i="4"/>
  <c r="J409" i="4"/>
  <c r="E296" i="4" a="1"/>
  <c r="E296" i="4" s="1"/>
  <c r="M304" i="4" a="1"/>
  <c r="M304" i="4" s="1"/>
  <c r="E304" i="4" a="1"/>
  <c r="E304" i="4" s="1"/>
  <c r="N304" i="4" a="1"/>
  <c r="N304" i="4" s="1"/>
  <c r="D320" i="4" a="1"/>
  <c r="D320" i="4" s="1"/>
  <c r="C338" i="4" a="1"/>
  <c r="C338" i="4" s="1"/>
  <c r="D343" i="4" a="1"/>
  <c r="D343" i="4" s="1"/>
  <c r="E351" i="4" a="1"/>
  <c r="E351" i="4" s="1"/>
  <c r="E354" i="4" a="1"/>
  <c r="E354" i="4" s="1"/>
  <c r="H356" i="4"/>
  <c r="J356" i="4"/>
  <c r="H398" i="4"/>
  <c r="J398" i="4"/>
  <c r="M404" i="4" a="1"/>
  <c r="M404" i="4" s="1"/>
  <c r="B404" i="4" a="1"/>
  <c r="B404" i="4" s="1"/>
  <c r="D415" i="4" a="1"/>
  <c r="D415" i="4" s="1"/>
  <c r="B415" i="4" a="1"/>
  <c r="B415" i="4" s="1"/>
  <c r="N415" i="4" a="1"/>
  <c r="N415" i="4" s="1"/>
  <c r="C425" i="4" a="1"/>
  <c r="C425" i="4" s="1"/>
  <c r="M425" i="4" a="1"/>
  <c r="M425" i="4" s="1"/>
  <c r="B425" i="4" a="1"/>
  <c r="B425" i="4" s="1"/>
  <c r="M338" i="4" a="1"/>
  <c r="M338" i="4" s="1"/>
  <c r="E338" i="4" a="1"/>
  <c r="E338" i="4" s="1"/>
  <c r="C342" i="4" a="1"/>
  <c r="C342" i="4" s="1"/>
  <c r="N352" i="4" a="1"/>
  <c r="N352" i="4" s="1"/>
  <c r="N391" i="4" a="1"/>
  <c r="N391" i="4" s="1"/>
  <c r="H394" i="4"/>
  <c r="J394" i="4"/>
  <c r="M396" i="4" a="1"/>
  <c r="M396" i="4" s="1"/>
  <c r="E396" i="4" a="1"/>
  <c r="E396" i="4" s="1"/>
  <c r="D402" i="4" a="1"/>
  <c r="D402" i="4" s="1"/>
  <c r="C402" i="4" a="1"/>
  <c r="C402" i="4" s="1"/>
  <c r="E417" i="4" a="1"/>
  <c r="E417" i="4" s="1"/>
  <c r="E445" i="4" a="1"/>
  <c r="E445" i="4" s="1"/>
  <c r="D445" i="4" a="1"/>
  <c r="D445" i="4" s="1"/>
  <c r="N433" i="4" a="1"/>
  <c r="N433" i="4" s="1"/>
  <c r="N453" i="4" a="1"/>
  <c r="N453" i="4" s="1"/>
  <c r="D453" i="4" a="1"/>
  <c r="D453" i="4" s="1"/>
  <c r="C453" i="4" a="1"/>
  <c r="C453" i="4" s="1"/>
  <c r="B453" i="4" a="1"/>
  <c r="B453" i="4" s="1"/>
  <c r="C460" i="4" a="1"/>
  <c r="C460" i="4" s="1"/>
  <c r="E458" i="4" a="1"/>
  <c r="E458" i="4" s="1"/>
  <c r="N458" i="4" a="1"/>
  <c r="N458" i="4" s="1"/>
  <c r="C461" i="4" a="1"/>
  <c r="C461" i="4" s="1"/>
  <c r="N474" i="4" a="1"/>
  <c r="N474" i="4" s="1"/>
  <c r="E474" i="4" a="1"/>
  <c r="E474" i="4" s="1"/>
  <c r="D474" i="4" a="1"/>
  <c r="D474" i="4" s="1"/>
  <c r="C474" i="4" a="1"/>
  <c r="C474" i="4" s="1"/>
  <c r="N389" i="4" a="1"/>
  <c r="N389" i="4" s="1"/>
  <c r="H393" i="4"/>
  <c r="J393" i="4"/>
  <c r="N424" i="4" a="1"/>
  <c r="N424" i="4" s="1"/>
  <c r="M428" i="4" a="1"/>
  <c r="M428" i="4" s="1"/>
  <c r="D432" i="4" a="1"/>
  <c r="D432" i="4" s="1"/>
  <c r="C438" i="4" a="1"/>
  <c r="C438" i="4" s="1"/>
  <c r="H440" i="4"/>
  <c r="H441" i="4"/>
  <c r="D443" i="4" a="1"/>
  <c r="D443" i="4" s="1"/>
  <c r="M443" i="4" a="1"/>
  <c r="M443" i="4" s="1"/>
  <c r="C445" i="4" a="1"/>
  <c r="C445" i="4" s="1"/>
  <c r="D446" i="4" a="1"/>
  <c r="D446" i="4" s="1"/>
  <c r="N446" i="4" a="1"/>
  <c r="N446" i="4" s="1"/>
  <c r="C446" i="4" a="1"/>
  <c r="C446" i="4" s="1"/>
  <c r="E478" i="4" a="1"/>
  <c r="E478" i="4" s="1"/>
  <c r="B478" i="4" a="1"/>
  <c r="B478" i="4" s="1"/>
  <c r="C374" i="4" a="1"/>
  <c r="C374" i="4" s="1"/>
  <c r="M376" i="4" a="1"/>
  <c r="M376" i="4" s="1"/>
  <c r="B379" i="4" a="1"/>
  <c r="B379" i="4" s="1"/>
  <c r="H384" i="4"/>
  <c r="H385" i="4"/>
  <c r="H386" i="4"/>
  <c r="H390" i="4"/>
  <c r="D399" i="4" a="1"/>
  <c r="D399" i="4" s="1"/>
  <c r="C401" i="4" a="1"/>
  <c r="C401" i="4" s="1"/>
  <c r="M405" i="4" a="1"/>
  <c r="M405" i="4" s="1"/>
  <c r="D409" i="4" a="1"/>
  <c r="D409" i="4" s="1"/>
  <c r="H411" i="4"/>
  <c r="H420" i="4"/>
  <c r="J420" i="4"/>
  <c r="D428" i="4" a="1"/>
  <c r="D428" i="4" s="1"/>
  <c r="H436" i="4"/>
  <c r="B450" i="4" a="1"/>
  <c r="B450" i="4" s="1"/>
  <c r="M451" i="4" a="1"/>
  <c r="M451" i="4" s="1"/>
  <c r="D451" i="4" a="1"/>
  <c r="D451" i="4" s="1"/>
  <c r="E451" i="4" a="1"/>
  <c r="E451" i="4" s="1"/>
  <c r="H457" i="4"/>
  <c r="J457" i="4"/>
  <c r="M460" i="4" a="1"/>
  <c r="M460" i="4" s="1"/>
  <c r="D460" i="4" a="1"/>
  <c r="D460" i="4" s="1"/>
  <c r="B460" i="4" a="1"/>
  <c r="B460" i="4" s="1"/>
  <c r="M471" i="4" a="1"/>
  <c r="M471" i="4" s="1"/>
  <c r="N471" i="4" a="1"/>
  <c r="N471" i="4" s="1"/>
  <c r="E471" i="4" a="1"/>
  <c r="E471" i="4" s="1"/>
  <c r="D471" i="4" a="1"/>
  <c r="D471" i="4" s="1"/>
  <c r="B471" i="4" a="1"/>
  <c r="B471" i="4" s="1"/>
  <c r="E453" i="4" a="1"/>
  <c r="E453" i="4" s="1"/>
  <c r="M470" i="4" a="1"/>
  <c r="M470" i="4" s="1"/>
  <c r="E470" i="4" a="1"/>
  <c r="E470" i="4" s="1"/>
  <c r="N470" i="4" a="1"/>
  <c r="N470" i="4" s="1"/>
  <c r="B470" i="4" a="1"/>
  <c r="B470" i="4" s="1"/>
  <c r="N234" i="4" a="1"/>
  <c r="N234" i="4" s="1"/>
  <c r="C234" i="4" a="1"/>
  <c r="C234" i="4" s="1"/>
  <c r="N254" i="4" a="1"/>
  <c r="N254" i="4" s="1"/>
  <c r="D273" i="4" a="1"/>
  <c r="D273" i="4" s="1"/>
  <c r="M295" i="4" a="1"/>
  <c r="M295" i="4" s="1"/>
  <c r="D301" i="4" a="1"/>
  <c r="D301" i="4" s="1"/>
  <c r="C311" i="4" a="1"/>
  <c r="C311" i="4" s="1"/>
  <c r="B314" i="4" a="1"/>
  <c r="B314" i="4" s="1"/>
  <c r="D315" i="4" a="1"/>
  <c r="D315" i="4" s="1"/>
  <c r="D318" i="4" a="1"/>
  <c r="D318" i="4" s="1"/>
  <c r="M318" i="4" a="1"/>
  <c r="M318" i="4" s="1"/>
  <c r="M350" i="4" a="1"/>
  <c r="M350" i="4" s="1"/>
  <c r="D379" i="4" a="1"/>
  <c r="D379" i="4" s="1"/>
  <c r="N379" i="4" a="1"/>
  <c r="N379" i="4" s="1"/>
  <c r="D380" i="4" a="1"/>
  <c r="D380" i="4" s="1"/>
  <c r="C386" i="4" a="1"/>
  <c r="C386" i="4" s="1"/>
  <c r="J387" i="4"/>
  <c r="J396" i="4"/>
  <c r="D405" i="4" a="1"/>
  <c r="D405" i="4" s="1"/>
  <c r="E409" i="4" a="1"/>
  <c r="E409" i="4" s="1"/>
  <c r="M417" i="4" a="1"/>
  <c r="M417" i="4" s="1"/>
  <c r="N420" i="4" a="1"/>
  <c r="N420" i="4" s="1"/>
  <c r="J422" i="4"/>
  <c r="C433" i="4" a="1"/>
  <c r="C433" i="4" s="1"/>
  <c r="C451" i="4" a="1"/>
  <c r="C451" i="4" s="1"/>
  <c r="C470" i="4" a="1"/>
  <c r="C470" i="4" s="1"/>
  <c r="M476" i="4" a="1"/>
  <c r="M476" i="4" s="1"/>
  <c r="D476" i="4" a="1"/>
  <c r="D476" i="4" s="1"/>
  <c r="B476" i="4" a="1"/>
  <c r="B476" i="4" s="1"/>
  <c r="M354" i="4" a="1"/>
  <c r="M354" i="4" s="1"/>
  <c r="B354" i="4" a="1"/>
  <c r="B354" i="4" s="1"/>
  <c r="H378" i="4"/>
  <c r="J378" i="4"/>
  <c r="M380" i="4" a="1"/>
  <c r="M380" i="4" s="1"/>
  <c r="N380" i="4" a="1"/>
  <c r="N380" i="4" s="1"/>
  <c r="B380" i="4" a="1"/>
  <c r="B380" i="4" s="1"/>
  <c r="D381" i="4" a="1"/>
  <c r="D381" i="4" s="1"/>
  <c r="M387" i="4" a="1"/>
  <c r="M387" i="4" s="1"/>
  <c r="C390" i="4" a="1"/>
  <c r="C390" i="4" s="1"/>
  <c r="E391" i="4" a="1"/>
  <c r="E391" i="4" s="1"/>
  <c r="N399" i="4" a="1"/>
  <c r="N399" i="4" s="1"/>
  <c r="B405" i="4" a="1"/>
  <c r="B405" i="4" s="1"/>
  <c r="E440" i="4" a="1"/>
  <c r="E440" i="4" s="1"/>
  <c r="M440" i="4" a="1"/>
  <c r="M440" i="4" s="1"/>
  <c r="B440" i="4" a="1"/>
  <c r="B440" i="4" s="1"/>
  <c r="E446" i="4" a="1"/>
  <c r="E446" i="4" s="1"/>
  <c r="J453" i="4"/>
  <c r="H453" i="4"/>
  <c r="C467" i="4" a="1"/>
  <c r="C467" i="4" s="1"/>
  <c r="E467" i="4" a="1"/>
  <c r="E467" i="4" s="1"/>
  <c r="D467" i="4" a="1"/>
  <c r="D467" i="4" s="1"/>
  <c r="N428" i="4" a="1"/>
  <c r="N428" i="4" s="1"/>
  <c r="C429" i="4" a="1"/>
  <c r="C429" i="4" s="1"/>
  <c r="B431" i="4" a="1"/>
  <c r="B431" i="4" s="1"/>
  <c r="M436" i="4" a="1"/>
  <c r="M436" i="4" s="1"/>
  <c r="M462" i="4" a="1"/>
  <c r="M462" i="4" s="1"/>
  <c r="C463" i="4" a="1"/>
  <c r="C463" i="4" s="1"/>
  <c r="H465" i="4"/>
  <c r="J465" i="4"/>
  <c r="C471" i="4" a="1"/>
  <c r="C471" i="4" s="1"/>
  <c r="C473" i="4" a="1"/>
  <c r="C473" i="4" s="1"/>
  <c r="N473" i="4" a="1"/>
  <c r="N473" i="4" s="1"/>
  <c r="C481" i="4" a="1"/>
  <c r="C481" i="4" s="1"/>
  <c r="E485" i="4" a="1"/>
  <c r="E485" i="4" s="1"/>
  <c r="J487" i="4"/>
  <c r="H487" i="4"/>
  <c r="B489" i="4" a="1"/>
  <c r="B489" i="4" s="1"/>
  <c r="E491" i="4" a="1"/>
  <c r="E491" i="4" s="1"/>
  <c r="D491" i="4" a="1"/>
  <c r="D491" i="4" s="1"/>
  <c r="B482" i="4" a="1"/>
  <c r="B482" i="4" s="1"/>
  <c r="N482" i="4" a="1"/>
  <c r="N482" i="4" s="1"/>
  <c r="E482" i="4" a="1"/>
  <c r="E482" i="4" s="1"/>
  <c r="C482" i="4" a="1"/>
  <c r="C482" i="4" s="1"/>
  <c r="M483" i="4" a="1"/>
  <c r="M483" i="4" s="1"/>
  <c r="D483" i="4" a="1"/>
  <c r="D483" i="4" s="1"/>
  <c r="B483" i="4" a="1"/>
  <c r="B483" i="4" s="1"/>
  <c r="N486" i="4" a="1"/>
  <c r="N486" i="4" s="1"/>
  <c r="C486" i="4" a="1"/>
  <c r="C486" i="4" s="1"/>
  <c r="B486" i="4" a="1"/>
  <c r="B486" i="4" s="1"/>
  <c r="N499" i="4" a="1"/>
  <c r="N499" i="4" s="1"/>
  <c r="C499" i="4" a="1"/>
  <c r="C499" i="4" s="1"/>
  <c r="E499" i="4" a="1"/>
  <c r="E499" i="4" s="1"/>
  <c r="D499" i="4" a="1"/>
  <c r="D499" i="4" s="1"/>
  <c r="B523" i="4" a="1"/>
  <c r="B523" i="4" s="1"/>
  <c r="M523" i="4" a="1"/>
  <c r="M523" i="4" s="1"/>
  <c r="E523" i="4" a="1"/>
  <c r="E523" i="4" s="1"/>
  <c r="D462" i="4" a="1"/>
  <c r="D462" i="4" s="1"/>
  <c r="N463" i="4" a="1"/>
  <c r="N463" i="4" s="1"/>
  <c r="M472" i="4" a="1"/>
  <c r="M472" i="4" s="1"/>
  <c r="B472" i="4" a="1"/>
  <c r="B472" i="4" s="1"/>
  <c r="D482" i="4" a="1"/>
  <c r="D482" i="4" s="1"/>
  <c r="C483" i="4" a="1"/>
  <c r="C483" i="4" s="1"/>
  <c r="N483" i="4" a="1"/>
  <c r="N483" i="4" s="1"/>
  <c r="E489" i="4" a="1"/>
  <c r="E489" i="4" s="1"/>
  <c r="D490" i="4" a="1"/>
  <c r="D490" i="4" s="1"/>
  <c r="J495" i="4"/>
  <c r="H495" i="4"/>
  <c r="M454" i="4" a="1"/>
  <c r="M454" i="4" s="1"/>
  <c r="C462" i="4" a="1"/>
  <c r="C462" i="4" s="1"/>
  <c r="N462" i="4" a="1"/>
  <c r="N462" i="4" s="1"/>
  <c r="H467" i="4"/>
  <c r="C472" i="4" a="1"/>
  <c r="C472" i="4" s="1"/>
  <c r="B474" i="4" a="1"/>
  <c r="B474" i="4" s="1"/>
  <c r="N479" i="4" a="1"/>
  <c r="N479" i="4" s="1"/>
  <c r="E483" i="4" a="1"/>
  <c r="E483" i="4" s="1"/>
  <c r="E486" i="4" a="1"/>
  <c r="E486" i="4" s="1"/>
  <c r="B491" i="4" a="1"/>
  <c r="B491" i="4" s="1"/>
  <c r="N492" i="4" a="1"/>
  <c r="N492" i="4" s="1"/>
  <c r="C274" i="4" a="1"/>
  <c r="C274" i="4" s="1"/>
  <c r="M288" i="4" a="1"/>
  <c r="M288" i="4" s="1"/>
  <c r="N288" i="4" a="1"/>
  <c r="N288" i="4" s="1"/>
  <c r="D289" i="4" a="1"/>
  <c r="D289" i="4" s="1"/>
  <c r="D290" i="4" a="1"/>
  <c r="D290" i="4" s="1"/>
  <c r="M319" i="4" a="1"/>
  <c r="M319" i="4" s="1"/>
  <c r="N319" i="4" a="1"/>
  <c r="N319" i="4" s="1"/>
  <c r="D319" i="4" a="1"/>
  <c r="D319" i="4" s="1"/>
  <c r="C327" i="4" a="1"/>
  <c r="C327" i="4" s="1"/>
  <c r="C333" i="4" a="1"/>
  <c r="C333" i="4" s="1"/>
  <c r="M356" i="4" a="1"/>
  <c r="M356" i="4" s="1"/>
  <c r="D356" i="4" a="1"/>
  <c r="D356" i="4" s="1"/>
  <c r="N357" i="4" a="1"/>
  <c r="N357" i="4" s="1"/>
  <c r="M370" i="4" a="1"/>
  <c r="M370" i="4" s="1"/>
  <c r="N418" i="4" a="1"/>
  <c r="N418" i="4" s="1"/>
  <c r="C436" i="4" a="1"/>
  <c r="C436" i="4" s="1"/>
  <c r="C448" i="4" a="1"/>
  <c r="C448" i="4" s="1"/>
  <c r="J450" i="4"/>
  <c r="B454" i="4" a="1"/>
  <c r="B454" i="4" s="1"/>
  <c r="N455" i="4" a="1"/>
  <c r="N455" i="4" s="1"/>
  <c r="D456" i="4" a="1"/>
  <c r="D456" i="4" s="1"/>
  <c r="E462" i="4" a="1"/>
  <c r="E462" i="4" s="1"/>
  <c r="M463" i="4" a="1"/>
  <c r="M463" i="4" s="1"/>
  <c r="B463" i="4" a="1"/>
  <c r="B463" i="4" s="1"/>
  <c r="E463" i="4" a="1"/>
  <c r="E463" i="4" s="1"/>
  <c r="C465" i="4" a="1"/>
  <c r="C465" i="4" s="1"/>
  <c r="N465" i="4" a="1"/>
  <c r="N465" i="4" s="1"/>
  <c r="B466" i="4" a="1"/>
  <c r="B466" i="4" s="1"/>
  <c r="E469" i="4" a="1"/>
  <c r="E469" i="4" s="1"/>
  <c r="D472" i="4" a="1"/>
  <c r="D472" i="4" s="1"/>
  <c r="H473" i="4"/>
  <c r="J473" i="4"/>
  <c r="H476" i="4"/>
  <c r="M479" i="4" a="1"/>
  <c r="M479" i="4" s="1"/>
  <c r="B479" i="4" a="1"/>
  <c r="B479" i="4" s="1"/>
  <c r="E479" i="4" a="1"/>
  <c r="E479" i="4" s="1"/>
  <c r="D479" i="4" a="1"/>
  <c r="D479" i="4" s="1"/>
  <c r="N487" i="4" a="1"/>
  <c r="N487" i="4" s="1"/>
  <c r="E493" i="4" a="1"/>
  <c r="E493" i="4" s="1"/>
  <c r="N493" i="4" a="1"/>
  <c r="N493" i="4" s="1"/>
  <c r="C493" i="4" a="1"/>
  <c r="C493" i="4" s="1"/>
  <c r="N457" i="4" a="1"/>
  <c r="N457" i="4" s="1"/>
  <c r="C457" i="4" a="1"/>
  <c r="C457" i="4" s="1"/>
  <c r="B458" i="4" a="1"/>
  <c r="B458" i="4" s="1"/>
  <c r="J460" i="4"/>
  <c r="H460" i="4"/>
  <c r="N467" i="4" a="1"/>
  <c r="N467" i="4" s="1"/>
  <c r="M469" i="4" a="1"/>
  <c r="M469" i="4" s="1"/>
  <c r="C469" i="4" a="1"/>
  <c r="C469" i="4" s="1"/>
  <c r="N469" i="4" a="1"/>
  <c r="N469" i="4" s="1"/>
  <c r="D469" i="4" a="1"/>
  <c r="D469" i="4" s="1"/>
  <c r="N472" i="4" a="1"/>
  <c r="N472" i="4" s="1"/>
  <c r="N480" i="4" a="1"/>
  <c r="N480" i="4" s="1"/>
  <c r="E480" i="4" a="1"/>
  <c r="E480" i="4" s="1"/>
  <c r="C480" i="4" a="1"/>
  <c r="C480" i="4" s="1"/>
  <c r="B487" i="4" a="1"/>
  <c r="B487" i="4" s="1"/>
  <c r="B494" i="4" a="1"/>
  <c r="B494" i="4" s="1"/>
  <c r="C494" i="4" a="1"/>
  <c r="C494" i="4" s="1"/>
  <c r="B499" i="4" a="1"/>
  <c r="B499" i="4" s="1"/>
  <c r="M485" i="4" a="1"/>
  <c r="M485" i="4" s="1"/>
  <c r="D485" i="4" a="1"/>
  <c r="D485" i="4" s="1"/>
  <c r="B485" i="4" a="1"/>
  <c r="B485" i="4" s="1"/>
  <c r="J491" i="4"/>
  <c r="H491" i="4"/>
  <c r="C476" i="4" a="1"/>
  <c r="C476" i="4" s="1"/>
  <c r="D481" i="4" a="1"/>
  <c r="D481" i="4" s="1"/>
  <c r="B481" i="4" a="1"/>
  <c r="B481" i="4" s="1"/>
  <c r="C485" i="4" a="1"/>
  <c r="C485" i="4" s="1"/>
  <c r="N228" i="4" a="1"/>
  <c r="N228" i="4" s="1"/>
  <c r="N236" i="4" a="1"/>
  <c r="N236" i="4" s="1"/>
  <c r="D242" i="4" a="1"/>
  <c r="D242" i="4" s="1"/>
  <c r="C245" i="4" a="1"/>
  <c r="C245" i="4" s="1"/>
  <c r="C251" i="4" a="1"/>
  <c r="C251" i="4" s="1"/>
  <c r="M263" i="4" a="1"/>
  <c r="M263" i="4" s="1"/>
  <c r="D263" i="4" a="1"/>
  <c r="D263" i="4" s="1"/>
  <c r="M294" i="4" a="1"/>
  <c r="M294" i="4" s="1"/>
  <c r="D323" i="4" a="1"/>
  <c r="D323" i="4" s="1"/>
  <c r="M339" i="4" a="1"/>
  <c r="M339" i="4" s="1"/>
  <c r="M348" i="4" a="1"/>
  <c r="M348" i="4" s="1"/>
  <c r="C359" i="4" a="1"/>
  <c r="C359" i="4" s="1"/>
  <c r="N375" i="4" a="1"/>
  <c r="N375" i="4" s="1"/>
  <c r="N377" i="4" a="1"/>
  <c r="N377" i="4" s="1"/>
  <c r="D378" i="4" a="1"/>
  <c r="D378" i="4" s="1"/>
  <c r="M382" i="4" a="1"/>
  <c r="M382" i="4" s="1"/>
  <c r="N382" i="4" a="1"/>
  <c r="N382" i="4" s="1"/>
  <c r="M393" i="4" a="1"/>
  <c r="M393" i="4" s="1"/>
  <c r="E395" i="4" a="1"/>
  <c r="E395" i="4" s="1"/>
  <c r="C411" i="4" a="1"/>
  <c r="C411" i="4" s="1"/>
  <c r="N416" i="4" a="1"/>
  <c r="N416" i="4" s="1"/>
  <c r="E419" i="4" a="1"/>
  <c r="E419" i="4" s="1"/>
  <c r="M455" i="4" a="1"/>
  <c r="M455" i="4" s="1"/>
  <c r="C455" i="4" a="1"/>
  <c r="C455" i="4" s="1"/>
  <c r="B459" i="4" a="1"/>
  <c r="B459" i="4" s="1"/>
  <c r="B464" i="4" a="1"/>
  <c r="B464" i="4" s="1"/>
  <c r="M465" i="4" a="1"/>
  <c r="M465" i="4" s="1"/>
  <c r="B477" i="4" a="1"/>
  <c r="B477" i="4" s="1"/>
  <c r="M491" i="4" a="1"/>
  <c r="M491" i="4" s="1"/>
  <c r="N491" i="4" a="1"/>
  <c r="N491" i="4" s="1"/>
  <c r="C491" i="4" a="1"/>
  <c r="C491" i="4" s="1"/>
  <c r="E492" i="4" a="1"/>
  <c r="E492" i="4" s="1"/>
  <c r="M496" i="4" a="1"/>
  <c r="M496" i="4" s="1"/>
  <c r="D496" i="4" a="1"/>
  <c r="D496" i="4" s="1"/>
  <c r="N496" i="4" a="1"/>
  <c r="N496" i="4" s="1"/>
  <c r="E513" i="4" a="1"/>
  <c r="E513" i="4" s="1"/>
  <c r="D517" i="4" a="1"/>
  <c r="D517" i="4" s="1"/>
  <c r="E531" i="4" a="1"/>
  <c r="E531" i="4" s="1"/>
  <c r="N539" i="4" a="1"/>
  <c r="N539" i="4" s="1"/>
  <c r="E539" i="4" a="1"/>
  <c r="E539" i="4" s="1"/>
  <c r="M539" i="4" a="1"/>
  <c r="M539" i="4" s="1"/>
  <c r="H541" i="4"/>
  <c r="J541" i="4"/>
  <c r="J564" i="4"/>
  <c r="H564" i="4"/>
  <c r="H597" i="4"/>
  <c r="J597" i="4"/>
  <c r="E571" i="4" a="1"/>
  <c r="E571" i="4" s="1"/>
  <c r="M571" i="4" a="1"/>
  <c r="M571" i="4" s="1"/>
  <c r="M624" i="4" a="1"/>
  <c r="M624" i="4" s="1"/>
  <c r="C624" i="4" a="1"/>
  <c r="C624" i="4" s="1"/>
  <c r="B624" i="4" a="1"/>
  <c r="B624" i="4" s="1"/>
  <c r="N624" i="4" a="1"/>
  <c r="N624" i="4" s="1"/>
  <c r="D624" i="4" a="1"/>
  <c r="D624" i="4" s="1"/>
  <c r="E624" i="4" a="1"/>
  <c r="E624" i="4" s="1"/>
  <c r="M478" i="4" a="1"/>
  <c r="M478" i="4" s="1"/>
  <c r="C478" i="4" a="1"/>
  <c r="C478" i="4" s="1"/>
  <c r="N478" i="4" a="1"/>
  <c r="N478" i="4" s="1"/>
  <c r="D486" i="4" a="1"/>
  <c r="D486" i="4" s="1"/>
  <c r="M488" i="4" a="1"/>
  <c r="M488" i="4" s="1"/>
  <c r="C488" i="4" a="1"/>
  <c r="C488" i="4" s="1"/>
  <c r="D488" i="4" a="1"/>
  <c r="D488" i="4" s="1"/>
  <c r="B509" i="4" a="1"/>
  <c r="B509" i="4" s="1"/>
  <c r="M512" i="4" a="1"/>
  <c r="M512" i="4" s="1"/>
  <c r="M524" i="4" a="1"/>
  <c r="M524" i="4" s="1"/>
  <c r="N527" i="4" a="1"/>
  <c r="N527" i="4" s="1"/>
  <c r="B541" i="4" a="1"/>
  <c r="B541" i="4" s="1"/>
  <c r="M552" i="4" a="1"/>
  <c r="M552" i="4" s="1"/>
  <c r="B552" i="4" a="1"/>
  <c r="B552" i="4" s="1"/>
  <c r="D552" i="4" a="1"/>
  <c r="D552" i="4" s="1"/>
  <c r="E552" i="4" a="1"/>
  <c r="E552" i="4" s="1"/>
  <c r="C552" i="4" a="1"/>
  <c r="C552" i="4" s="1"/>
  <c r="N554" i="4" a="1"/>
  <c r="N554" i="4" s="1"/>
  <c r="B573" i="4" a="1"/>
  <c r="B573" i="4" s="1"/>
  <c r="M573" i="4" a="1"/>
  <c r="M573" i="4" s="1"/>
  <c r="D573" i="4" a="1"/>
  <c r="D573" i="4" s="1"/>
  <c r="C573" i="4" a="1"/>
  <c r="C573" i="4" s="1"/>
  <c r="M576" i="4" a="1"/>
  <c r="M576" i="4" s="1"/>
  <c r="E576" i="4" a="1"/>
  <c r="E576" i="4" s="1"/>
  <c r="C576" i="4" a="1"/>
  <c r="C576" i="4" s="1"/>
  <c r="D576" i="4" a="1"/>
  <c r="D576" i="4" s="1"/>
  <c r="N576" i="4" a="1"/>
  <c r="N576" i="4" s="1"/>
  <c r="B576" i="4" a="1"/>
  <c r="B576" i="4" s="1"/>
  <c r="B580" i="4" a="1"/>
  <c r="B580" i="4" s="1"/>
  <c r="B603" i="4" a="1"/>
  <c r="B603" i="4" s="1"/>
  <c r="E603" i="4" a="1"/>
  <c r="E603" i="4" s="1"/>
  <c r="J516" i="4"/>
  <c r="J520" i="4"/>
  <c r="N534" i="4" a="1"/>
  <c r="N534" i="4" s="1"/>
  <c r="B534" i="4" a="1"/>
  <c r="B534" i="4" s="1"/>
  <c r="N550" i="4" a="1"/>
  <c r="N550" i="4" s="1"/>
  <c r="D550" i="4" a="1"/>
  <c r="D550" i="4" s="1"/>
  <c r="D564" i="4" a="1"/>
  <c r="D564" i="4" s="1"/>
  <c r="H589" i="4"/>
  <c r="J589" i="4"/>
  <c r="D603" i="4" a="1"/>
  <c r="D603" i="4" s="1"/>
  <c r="N475" i="4" a="1"/>
  <c r="N475" i="4" s="1"/>
  <c r="J479" i="4"/>
  <c r="H479" i="4"/>
  <c r="M490" i="4" a="1"/>
  <c r="M490" i="4" s="1"/>
  <c r="E490" i="4" a="1"/>
  <c r="E490" i="4" s="1"/>
  <c r="M495" i="4" a="1"/>
  <c r="M495" i="4" s="1"/>
  <c r="C495" i="4" a="1"/>
  <c r="C495" i="4" s="1"/>
  <c r="B495" i="4" a="1"/>
  <c r="B495" i="4" s="1"/>
  <c r="M497" i="4" a="1"/>
  <c r="M497" i="4" s="1"/>
  <c r="E497" i="4" a="1"/>
  <c r="E497" i="4" s="1"/>
  <c r="M505" i="4" a="1"/>
  <c r="M505" i="4" s="1"/>
  <c r="M511" i="4" a="1"/>
  <c r="M511" i="4" s="1"/>
  <c r="D513" i="4" a="1"/>
  <c r="D513" i="4" s="1"/>
  <c r="B513" i="4" a="1"/>
  <c r="B513" i="4" s="1"/>
  <c r="D537" i="4" a="1"/>
  <c r="D537" i="4" s="1"/>
  <c r="D544" i="4" a="1"/>
  <c r="D544" i="4" s="1"/>
  <c r="C555" i="4" a="1"/>
  <c r="C555" i="4" s="1"/>
  <c r="D555" i="4" a="1"/>
  <c r="D555" i="4" s="1"/>
  <c r="C560" i="4" a="1"/>
  <c r="C560" i="4" s="1"/>
  <c r="E560" i="4" a="1"/>
  <c r="E560" i="4" s="1"/>
  <c r="N560" i="4" a="1"/>
  <c r="N560" i="4" s="1"/>
  <c r="B560" i="4" a="1"/>
  <c r="B560" i="4" s="1"/>
  <c r="J573" i="4"/>
  <c r="H573" i="4"/>
  <c r="H594" i="4"/>
  <c r="J594" i="4"/>
  <c r="J617" i="4"/>
  <c r="H617" i="4"/>
  <c r="M492" i="4" a="1"/>
  <c r="M492" i="4" s="1"/>
  <c r="D492" i="4" a="1"/>
  <c r="D492" i="4" s="1"/>
  <c r="D495" i="4" a="1"/>
  <c r="D495" i="4" s="1"/>
  <c r="B497" i="4" a="1"/>
  <c r="B497" i="4" s="1"/>
  <c r="N497" i="4" a="1"/>
  <c r="N497" i="4" s="1"/>
  <c r="J499" i="4"/>
  <c r="M504" i="4" a="1"/>
  <c r="M504" i="4" s="1"/>
  <c r="H508" i="4"/>
  <c r="J508" i="4"/>
  <c r="D512" i="4" a="1"/>
  <c r="D512" i="4" s="1"/>
  <c r="N518" i="4" a="1"/>
  <c r="N518" i="4" s="1"/>
  <c r="M519" i="4" a="1"/>
  <c r="M519" i="4" s="1"/>
  <c r="E526" i="4" a="1"/>
  <c r="E526" i="4" s="1"/>
  <c r="N526" i="4" a="1"/>
  <c r="N526" i="4" s="1"/>
  <c r="H529" i="4"/>
  <c r="J529" i="4"/>
  <c r="M537" i="4" a="1"/>
  <c r="M537" i="4" s="1"/>
  <c r="C542" i="4" a="1"/>
  <c r="C542" i="4" s="1"/>
  <c r="B544" i="4" a="1"/>
  <c r="B544" i="4" s="1"/>
  <c r="N571" i="4" a="1"/>
  <c r="N571" i="4" s="1"/>
  <c r="H565" i="4"/>
  <c r="J565" i="4"/>
  <c r="M580" i="4" a="1"/>
  <c r="M580" i="4" s="1"/>
  <c r="D580" i="4" a="1"/>
  <c r="D580" i="4" s="1"/>
  <c r="E580" i="4" a="1"/>
  <c r="E580" i="4" s="1"/>
  <c r="N580" i="4" a="1"/>
  <c r="N580" i="4" s="1"/>
  <c r="N464" i="4" a="1"/>
  <c r="N464" i="4" s="1"/>
  <c r="M473" i="4" a="1"/>
  <c r="M473" i="4" s="1"/>
  <c r="M489" i="4" a="1"/>
  <c r="M489" i="4" s="1"/>
  <c r="D489" i="4" a="1"/>
  <c r="D489" i="4" s="1"/>
  <c r="N489" i="4" a="1"/>
  <c r="N489" i="4" s="1"/>
  <c r="C490" i="4" a="1"/>
  <c r="C490" i="4" s="1"/>
  <c r="N490" i="4" a="1"/>
  <c r="N490" i="4" s="1"/>
  <c r="C492" i="4" a="1"/>
  <c r="C492" i="4" s="1"/>
  <c r="J494" i="4"/>
  <c r="E495" i="4" a="1"/>
  <c r="E495" i="4" s="1"/>
  <c r="D497" i="4" a="1"/>
  <c r="D497" i="4" s="1"/>
  <c r="M498" i="4" a="1"/>
  <c r="M498" i="4" s="1"/>
  <c r="C498" i="4" a="1"/>
  <c r="C498" i="4" s="1"/>
  <c r="B521" i="4" a="1"/>
  <c r="B521" i="4" s="1"/>
  <c r="E522" i="4" a="1"/>
  <c r="E522" i="4" s="1"/>
  <c r="N522" i="4" a="1"/>
  <c r="N522" i="4" s="1"/>
  <c r="M532" i="4" a="1"/>
  <c r="M532" i="4" s="1"/>
  <c r="D532" i="4" a="1"/>
  <c r="D532" i="4" s="1"/>
  <c r="H533" i="4"/>
  <c r="J533" i="4"/>
  <c r="B537" i="4" a="1"/>
  <c r="B537" i="4" s="1"/>
  <c r="D538" i="4" a="1"/>
  <c r="D538" i="4" s="1"/>
  <c r="N538" i="4" a="1"/>
  <c r="N538" i="4" s="1"/>
  <c r="H542" i="4"/>
  <c r="J542" i="4"/>
  <c r="C559" i="4" a="1"/>
  <c r="C559" i="4" s="1"/>
  <c r="B561" i="4" a="1"/>
  <c r="B561" i="4" s="1"/>
  <c r="N588" i="4" a="1"/>
  <c r="N588" i="4" s="1"/>
  <c r="C588" i="4" a="1"/>
  <c r="C588" i="4" s="1"/>
  <c r="B588" i="4" a="1"/>
  <c r="B588" i="4" s="1"/>
  <c r="H598" i="4"/>
  <c r="J598" i="4"/>
  <c r="B608" i="4" a="1"/>
  <c r="B608" i="4" s="1"/>
  <c r="D608" i="4" a="1"/>
  <c r="D608" i="4" s="1"/>
  <c r="C608" i="4" a="1"/>
  <c r="C608" i="4" s="1"/>
  <c r="N528" i="4" a="1"/>
  <c r="N528" i="4" s="1"/>
  <c r="D529" i="4" a="1"/>
  <c r="D529" i="4" s="1"/>
  <c r="E530" i="4" a="1"/>
  <c r="E530" i="4" s="1"/>
  <c r="B530" i="4" a="1"/>
  <c r="B530" i="4" s="1"/>
  <c r="H532" i="4"/>
  <c r="J532" i="4"/>
  <c r="E533" i="4" a="1"/>
  <c r="E533" i="4" s="1"/>
  <c r="B545" i="4" a="1"/>
  <c r="B545" i="4" s="1"/>
  <c r="N553" i="4" a="1"/>
  <c r="N553" i="4" s="1"/>
  <c r="E553" i="4" a="1"/>
  <c r="E553" i="4" s="1"/>
  <c r="M553" i="4" a="1"/>
  <c r="M553" i="4" s="1"/>
  <c r="C553" i="4" a="1"/>
  <c r="C553" i="4" s="1"/>
  <c r="B572" i="4" a="1"/>
  <c r="B572" i="4" s="1"/>
  <c r="C580" i="4" a="1"/>
  <c r="C580" i="4" s="1"/>
  <c r="M582" i="4" a="1"/>
  <c r="M582" i="4" s="1"/>
  <c r="N582" i="4" a="1"/>
  <c r="N582" i="4" s="1"/>
  <c r="E625" i="4" a="1"/>
  <c r="E625" i="4" s="1"/>
  <c r="C663" i="4" a="1"/>
  <c r="C663" i="4" s="1"/>
  <c r="D672" i="4" a="1"/>
  <c r="D672" i="4" s="1"/>
  <c r="N672" i="4" a="1"/>
  <c r="N672" i="4" s="1"/>
  <c r="C672" i="4" a="1"/>
  <c r="C672" i="4" s="1"/>
  <c r="N441" i="4" a="1"/>
  <c r="N441" i="4" s="1"/>
  <c r="M446" i="4" a="1"/>
  <c r="M446" i="4" s="1"/>
  <c r="M448" i="4" a="1"/>
  <c r="M448" i="4" s="1"/>
  <c r="M452" i="4" a="1"/>
  <c r="M452" i="4" s="1"/>
  <c r="M453" i="4" a="1"/>
  <c r="M453" i="4" s="1"/>
  <c r="E461" i="4" a="1"/>
  <c r="E461" i="4" s="1"/>
  <c r="B468" i="4" a="1"/>
  <c r="B468" i="4" s="1"/>
  <c r="M477" i="4" a="1"/>
  <c r="M477" i="4" s="1"/>
  <c r="M484" i="4" a="1"/>
  <c r="M484" i="4" s="1"/>
  <c r="D484" i="4" a="1"/>
  <c r="D484" i="4" s="1"/>
  <c r="M487" i="4" a="1"/>
  <c r="M487" i="4" s="1"/>
  <c r="C487" i="4" a="1"/>
  <c r="C487" i="4" s="1"/>
  <c r="M494" i="4" a="1"/>
  <c r="M494" i="4" s="1"/>
  <c r="N495" i="4" a="1"/>
  <c r="N495" i="4" s="1"/>
  <c r="N504" i="4" a="1"/>
  <c r="N504" i="4" s="1"/>
  <c r="D505" i="4" a="1"/>
  <c r="D505" i="4" s="1"/>
  <c r="M527" i="4" a="1"/>
  <c r="M527" i="4" s="1"/>
  <c r="D528" i="4" a="1"/>
  <c r="D528" i="4" s="1"/>
  <c r="B529" i="4" a="1"/>
  <c r="B529" i="4" s="1"/>
  <c r="D533" i="4" a="1"/>
  <c r="D533" i="4" s="1"/>
  <c r="B553" i="4" a="1"/>
  <c r="B553" i="4" s="1"/>
  <c r="D561" i="4" a="1"/>
  <c r="D561" i="4" s="1"/>
  <c r="M562" i="4" a="1"/>
  <c r="M562" i="4" s="1"/>
  <c r="D562" i="4" a="1"/>
  <c r="D562" i="4" s="1"/>
  <c r="H566" i="4"/>
  <c r="D570" i="4" a="1"/>
  <c r="D570" i="4" s="1"/>
  <c r="C579" i="4" a="1"/>
  <c r="C579" i="4" s="1"/>
  <c r="N579" i="4" a="1"/>
  <c r="N579" i="4" s="1"/>
  <c r="B585" i="4" a="1"/>
  <c r="B585" i="4" s="1"/>
  <c r="H604" i="4"/>
  <c r="J629" i="4"/>
  <c r="H636" i="4"/>
  <c r="D661" i="4" a="1"/>
  <c r="D661" i="4" s="1"/>
  <c r="C661" i="4" a="1"/>
  <c r="C661" i="4" s="1"/>
  <c r="D594" i="4" a="1"/>
  <c r="D594" i="4" s="1"/>
  <c r="E597" i="4" a="1"/>
  <c r="E597" i="4" s="1"/>
  <c r="D597" i="4" a="1"/>
  <c r="D597" i="4" s="1"/>
  <c r="N597" i="4" a="1"/>
  <c r="N597" i="4" s="1"/>
  <c r="M618" i="4" a="1"/>
  <c r="M618" i="4" s="1"/>
  <c r="C618" i="4" a="1"/>
  <c r="C618" i="4" s="1"/>
  <c r="E618" i="4" a="1"/>
  <c r="E618" i="4" s="1"/>
  <c r="D641" i="4" a="1"/>
  <c r="D641" i="4" s="1"/>
  <c r="B641" i="4" a="1"/>
  <c r="B641" i="4" s="1"/>
  <c r="J674" i="4"/>
  <c r="H674" i="4"/>
  <c r="B597" i="4" a="1"/>
  <c r="B597" i="4" s="1"/>
  <c r="N604" i="4" a="1"/>
  <c r="N604" i="4" s="1"/>
  <c r="C604" i="4" a="1"/>
  <c r="C604" i="4" s="1"/>
  <c r="N631" i="4" a="1"/>
  <c r="N631" i="4" s="1"/>
  <c r="M631" i="4" a="1"/>
  <c r="M631" i="4" s="1"/>
  <c r="C566" i="4" a="1"/>
  <c r="C566" i="4" s="1"/>
  <c r="E594" i="4" a="1"/>
  <c r="E594" i="4" s="1"/>
  <c r="N595" i="4" a="1"/>
  <c r="N595" i="4" s="1"/>
  <c r="C597" i="4" a="1"/>
  <c r="C597" i="4" s="1"/>
  <c r="D599" i="4" a="1"/>
  <c r="D599" i="4" s="1"/>
  <c r="M601" i="4" a="1"/>
  <c r="M601" i="4" s="1"/>
  <c r="N614" i="4" a="1"/>
  <c r="N614" i="4" s="1"/>
  <c r="H618" i="4"/>
  <c r="J618" i="4"/>
  <c r="C623" i="4" a="1"/>
  <c r="C623" i="4" s="1"/>
  <c r="M629" i="4" a="1"/>
  <c r="M629" i="4" s="1"/>
  <c r="C631" i="4" a="1"/>
  <c r="C631" i="4" s="1"/>
  <c r="H642" i="4"/>
  <c r="J668" i="4"/>
  <c r="H668" i="4"/>
  <c r="N674" i="4" a="1"/>
  <c r="N674" i="4" s="1"/>
  <c r="B674" i="4" a="1"/>
  <c r="B674" i="4" s="1"/>
  <c r="M545" i="4" a="1"/>
  <c r="M545" i="4" s="1"/>
  <c r="N567" i="4" a="1"/>
  <c r="N567" i="4" s="1"/>
  <c r="B567" i="4" a="1"/>
  <c r="B567" i="4" s="1"/>
  <c r="C567" i="4" a="1"/>
  <c r="C567" i="4" s="1"/>
  <c r="M568" i="4" a="1"/>
  <c r="M568" i="4" s="1"/>
  <c r="J576" i="4"/>
  <c r="H579" i="4"/>
  <c r="M600" i="4" a="1"/>
  <c r="M600" i="4" s="1"/>
  <c r="E600" i="4" a="1"/>
  <c r="E600" i="4" s="1"/>
  <c r="B600" i="4" a="1"/>
  <c r="B600" i="4" s="1"/>
  <c r="M602" i="4" a="1"/>
  <c r="M602" i="4" s="1"/>
  <c r="N602" i="4" a="1"/>
  <c r="N602" i="4" s="1"/>
  <c r="C605" i="4" a="1"/>
  <c r="C605" i="4" s="1"/>
  <c r="M609" i="4" a="1"/>
  <c r="M609" i="4" s="1"/>
  <c r="E612" i="4" a="1"/>
  <c r="E612" i="4" s="1"/>
  <c r="C616" i="4" a="1"/>
  <c r="C616" i="4" s="1"/>
  <c r="D620" i="4" a="1"/>
  <c r="D620" i="4" s="1"/>
  <c r="C620" i="4" a="1"/>
  <c r="C620" i="4" s="1"/>
  <c r="E623" i="4" a="1"/>
  <c r="E623" i="4" s="1"/>
  <c r="M623" i="4" a="1"/>
  <c r="M623" i="4" s="1"/>
  <c r="B625" i="4" a="1"/>
  <c r="B625" i="4" s="1"/>
  <c r="C626" i="4" a="1"/>
  <c r="C626" i="4" s="1"/>
  <c r="E631" i="4" a="1"/>
  <c r="E631" i="4" s="1"/>
  <c r="M632" i="4" a="1"/>
  <c r="M632" i="4" s="1"/>
  <c r="C632" i="4" a="1"/>
  <c r="C632" i="4" s="1"/>
  <c r="N632" i="4" a="1"/>
  <c r="N632" i="4" s="1"/>
  <c r="N635" i="4" a="1"/>
  <c r="N635" i="4" s="1"/>
  <c r="M638" i="4" a="1"/>
  <c r="M638" i="4" s="1"/>
  <c r="D638" i="4" a="1"/>
  <c r="D638" i="4" s="1"/>
  <c r="E639" i="4" a="1"/>
  <c r="E639" i="4" s="1"/>
  <c r="H667" i="4"/>
  <c r="J667" i="4"/>
  <c r="N657" i="4" a="1"/>
  <c r="N657" i="4" s="1"/>
  <c r="H657" i="4"/>
  <c r="J657" i="4"/>
  <c r="M672" i="4" a="1"/>
  <c r="M672" i="4" s="1"/>
  <c r="E715" i="4" a="1"/>
  <c r="E715" i="4" s="1"/>
  <c r="N715" i="4" a="1"/>
  <c r="N715" i="4" s="1"/>
  <c r="C715" i="4" a="1"/>
  <c r="C715" i="4" s="1"/>
  <c r="B715" i="4" a="1"/>
  <c r="B715" i="4" s="1"/>
  <c r="J705" i="4"/>
  <c r="H705" i="4"/>
  <c r="D715" i="4" a="1"/>
  <c r="D715" i="4" s="1"/>
  <c r="C727" i="4" a="1"/>
  <c r="C727" i="4" s="1"/>
  <c r="B727" i="4" a="1"/>
  <c r="B727" i="4" s="1"/>
  <c r="H757" i="4"/>
  <c r="J757" i="4"/>
  <c r="D767" i="4" a="1"/>
  <c r="D767" i="4" s="1"/>
  <c r="C767" i="4" a="1"/>
  <c r="C767" i="4" s="1"/>
  <c r="M703" i="4" a="1"/>
  <c r="M703" i="4" s="1"/>
  <c r="E703" i="4" a="1"/>
  <c r="E703" i="4" s="1"/>
  <c r="E720" i="4" a="1"/>
  <c r="E720" i="4" s="1"/>
  <c r="N720" i="4" a="1"/>
  <c r="N720" i="4" s="1"/>
  <c r="C720" i="4" a="1"/>
  <c r="C720" i="4" s="1"/>
  <c r="H763" i="4"/>
  <c r="J763" i="4"/>
  <c r="D478" i="4" a="1"/>
  <c r="D478" i="4" s="1"/>
  <c r="M480" i="4" a="1"/>
  <c r="M480" i="4" s="1"/>
  <c r="M481" i="4" a="1"/>
  <c r="M481" i="4" s="1"/>
  <c r="M486" i="4" a="1"/>
  <c r="M486" i="4" s="1"/>
  <c r="M493" i="4" a="1"/>
  <c r="M493" i="4" s="1"/>
  <c r="M499" i="4" a="1"/>
  <c r="M499" i="4" s="1"/>
  <c r="B503" i="4" a="1"/>
  <c r="B503" i="4" s="1"/>
  <c r="E503" i="4" a="1"/>
  <c r="E503" i="4" s="1"/>
  <c r="E507" i="4" a="1"/>
  <c r="E507" i="4" s="1"/>
  <c r="E518" i="4" a="1"/>
  <c r="E518" i="4" s="1"/>
  <c r="B519" i="4" a="1"/>
  <c r="B519" i="4" s="1"/>
  <c r="M543" i="4" a="1"/>
  <c r="M543" i="4" s="1"/>
  <c r="N543" i="4" a="1"/>
  <c r="N543" i="4" s="1"/>
  <c r="M558" i="4" a="1"/>
  <c r="M558" i="4" s="1"/>
  <c r="N558" i="4" a="1"/>
  <c r="N558" i="4" s="1"/>
  <c r="E558" i="4" a="1"/>
  <c r="E558" i="4" s="1"/>
  <c r="C558" i="4" a="1"/>
  <c r="C558" i="4" s="1"/>
  <c r="C565" i="4" a="1"/>
  <c r="C565" i="4" s="1"/>
  <c r="B594" i="4" a="1"/>
  <c r="B594" i="4" s="1"/>
  <c r="C602" i="4" a="1"/>
  <c r="C602" i="4" s="1"/>
  <c r="N603" i="4" a="1"/>
  <c r="N603" i="4" s="1"/>
  <c r="M607" i="4" a="1"/>
  <c r="M607" i="4" s="1"/>
  <c r="E607" i="4" a="1"/>
  <c r="E607" i="4" s="1"/>
  <c r="H632" i="4"/>
  <c r="J632" i="4"/>
  <c r="J633" i="4"/>
  <c r="H633" i="4"/>
  <c r="N641" i="4" a="1"/>
  <c r="N641" i="4" s="1"/>
  <c r="M648" i="4" a="1"/>
  <c r="M648" i="4" s="1"/>
  <c r="E648" i="4" a="1"/>
  <c r="E648" i="4" s="1"/>
  <c r="M659" i="4" a="1"/>
  <c r="M659" i="4" s="1"/>
  <c r="E672" i="4" a="1"/>
  <c r="E672" i="4" s="1"/>
  <c r="C674" i="4" a="1"/>
  <c r="C674" i="4" s="1"/>
  <c r="D683" i="4" a="1"/>
  <c r="D683" i="4" s="1"/>
  <c r="C697" i="4" a="1"/>
  <c r="C697" i="4" s="1"/>
  <c r="J700" i="4"/>
  <c r="H700" i="4"/>
  <c r="M718" i="4" a="1"/>
  <c r="M718" i="4" s="1"/>
  <c r="E718" i="4" a="1"/>
  <c r="E718" i="4" s="1"/>
  <c r="N718" i="4" a="1"/>
  <c r="N718" i="4" s="1"/>
  <c r="N726" i="4" a="1"/>
  <c r="N726" i="4" s="1"/>
  <c r="C726" i="4" a="1"/>
  <c r="C726" i="4" s="1"/>
  <c r="E726" i="4" a="1"/>
  <c r="E726" i="4" s="1"/>
  <c r="D726" i="4" a="1"/>
  <c r="D726" i="4" s="1"/>
  <c r="N743" i="4" a="1"/>
  <c r="N743" i="4" s="1"/>
  <c r="C743" i="4" a="1"/>
  <c r="C743" i="4" s="1"/>
  <c r="E658" i="4" a="1"/>
  <c r="E658" i="4" s="1"/>
  <c r="D690" i="4" a="1"/>
  <c r="D690" i="4" s="1"/>
  <c r="B690" i="4" a="1"/>
  <c r="B690" i="4" s="1"/>
  <c r="J698" i="4"/>
  <c r="H698" i="4"/>
  <c r="E716" i="4" a="1"/>
  <c r="E716" i="4" s="1"/>
  <c r="D716" i="4" a="1"/>
  <c r="D716" i="4" s="1"/>
  <c r="N731" i="4" a="1"/>
  <c r="N731" i="4" s="1"/>
  <c r="E642" i="4" a="1"/>
  <c r="E642" i="4" s="1"/>
  <c r="C656" i="4" a="1"/>
  <c r="C656" i="4" s="1"/>
  <c r="N656" i="4" a="1"/>
  <c r="N656" i="4" s="1"/>
  <c r="B658" i="4" a="1"/>
  <c r="B658" i="4" s="1"/>
  <c r="D687" i="4" a="1"/>
  <c r="D687" i="4" s="1"/>
  <c r="B687" i="4" a="1"/>
  <c r="B687" i="4" s="1"/>
  <c r="B688" i="4" a="1"/>
  <c r="B688" i="4" s="1"/>
  <c r="C688" i="4" a="1"/>
  <c r="C688" i="4" s="1"/>
  <c r="J711" i="4"/>
  <c r="H711" i="4"/>
  <c r="E751" i="4" a="1"/>
  <c r="E751" i="4" s="1"/>
  <c r="N751" i="4" a="1"/>
  <c r="N751" i="4" s="1"/>
  <c r="C751" i="4" a="1"/>
  <c r="C751" i="4" s="1"/>
  <c r="H693" i="4"/>
  <c r="J693" i="4"/>
  <c r="J745" i="4"/>
  <c r="H745" i="4"/>
  <c r="E514" i="4" a="1"/>
  <c r="E514" i="4" s="1"/>
  <c r="H524" i="4"/>
  <c r="J524" i="4"/>
  <c r="B546" i="4" a="1"/>
  <c r="B546" i="4" s="1"/>
  <c r="D549" i="4" a="1"/>
  <c r="D549" i="4" s="1"/>
  <c r="E551" i="4" a="1"/>
  <c r="E551" i="4" s="1"/>
  <c r="M551" i="4" a="1"/>
  <c r="M551" i="4" s="1"/>
  <c r="M560" i="4" a="1"/>
  <c r="M560" i="4" s="1"/>
  <c r="D574" i="4" a="1"/>
  <c r="D574" i="4" s="1"/>
  <c r="D587" i="4" a="1"/>
  <c r="D587" i="4" s="1"/>
  <c r="M613" i="4" a="1"/>
  <c r="M613" i="4" s="1"/>
  <c r="N638" i="4" a="1"/>
  <c r="N638" i="4" s="1"/>
  <c r="J645" i="4"/>
  <c r="J646" i="4"/>
  <c r="H658" i="4"/>
  <c r="J658" i="4"/>
  <c r="B705" i="4" a="1"/>
  <c r="B705" i="4" s="1"/>
  <c r="D705" i="4" a="1"/>
  <c r="D705" i="4" s="1"/>
  <c r="N722" i="4" a="1"/>
  <c r="N722" i="4" s="1"/>
  <c r="D722" i="4" a="1"/>
  <c r="D722" i="4" s="1"/>
  <c r="J725" i="4"/>
  <c r="H725" i="4"/>
  <c r="M727" i="4" a="1"/>
  <c r="M727" i="4" s="1"/>
  <c r="H770" i="4"/>
  <c r="J770" i="4"/>
  <c r="D778" i="4" a="1"/>
  <c r="D778" i="4" s="1"/>
  <c r="C778" i="4" a="1"/>
  <c r="C778" i="4" s="1"/>
  <c r="M686" i="4" a="1"/>
  <c r="M686" i="4" s="1"/>
  <c r="J692" i="4"/>
  <c r="H692" i="4"/>
  <c r="J720" i="4"/>
  <c r="C731" i="4" a="1"/>
  <c r="C731" i="4" s="1"/>
  <c r="B756" i="4" a="1"/>
  <c r="B756" i="4" s="1"/>
  <c r="D775" i="4" a="1"/>
  <c r="D775" i="4" s="1"/>
  <c r="M508" i="4" a="1"/>
  <c r="M508" i="4" s="1"/>
  <c r="M509" i="4" a="1"/>
  <c r="M509" i="4" s="1"/>
  <c r="M516" i="4" a="1"/>
  <c r="M516" i="4" s="1"/>
  <c r="E517" i="4" a="1"/>
  <c r="E517" i="4" s="1"/>
  <c r="M520" i="4" a="1"/>
  <c r="M520" i="4" s="1"/>
  <c r="D556" i="4" a="1"/>
  <c r="D556" i="4" s="1"/>
  <c r="M584" i="4" a="1"/>
  <c r="M584" i="4" s="1"/>
  <c r="N627" i="4" a="1"/>
  <c r="N627" i="4" s="1"/>
  <c r="D643" i="4" a="1"/>
  <c r="D643" i="4" s="1"/>
  <c r="N647" i="4" a="1"/>
  <c r="N647" i="4" s="1"/>
  <c r="M647" i="4" a="1"/>
  <c r="M647" i="4" s="1"/>
  <c r="B648" i="4" a="1"/>
  <c r="B648" i="4" s="1"/>
  <c r="C655" i="4" a="1"/>
  <c r="C655" i="4" s="1"/>
  <c r="C662" i="4" a="1"/>
  <c r="C662" i="4" s="1"/>
  <c r="B685" i="4" a="1"/>
  <c r="B685" i="4" s="1"/>
  <c r="C686" i="4" a="1"/>
  <c r="C686" i="4" s="1"/>
  <c r="M687" i="4" a="1"/>
  <c r="M687" i="4" s="1"/>
  <c r="H695" i="4"/>
  <c r="E704" i="4" a="1"/>
  <c r="E704" i="4" s="1"/>
  <c r="B717" i="4" a="1"/>
  <c r="B717" i="4" s="1"/>
  <c r="M729" i="4" a="1"/>
  <c r="M729" i="4" s="1"/>
  <c r="C730" i="4" a="1"/>
  <c r="C730" i="4" s="1"/>
  <c r="D736" i="4" a="1"/>
  <c r="D736" i="4" s="1"/>
  <c r="C736" i="4" a="1"/>
  <c r="C736" i="4" s="1"/>
  <c r="D748" i="4" a="1"/>
  <c r="D748" i="4" s="1"/>
  <c r="N748" i="4" a="1"/>
  <c r="N748" i="4" s="1"/>
  <c r="D756" i="4" a="1"/>
  <c r="D756" i="4" s="1"/>
  <c r="M756" i="4" a="1"/>
  <c r="M756" i="4" s="1"/>
  <c r="C768" i="4" a="1"/>
  <c r="C768" i="4" s="1"/>
  <c r="C762" i="4" a="1"/>
  <c r="C762" i="4" s="1"/>
  <c r="H782" i="4"/>
  <c r="J782" i="4"/>
  <c r="M789" i="4" a="1"/>
  <c r="M789" i="4" s="1"/>
  <c r="N789" i="4" a="1"/>
  <c r="N789" i="4" s="1"/>
  <c r="B653" i="4" a="1"/>
  <c r="B653" i="4" s="1"/>
  <c r="N653" i="4" a="1"/>
  <c r="N653" i="4" s="1"/>
  <c r="C653" i="4" a="1"/>
  <c r="C653" i="4" s="1"/>
  <c r="D659" i="4" a="1"/>
  <c r="D659" i="4" s="1"/>
  <c r="E663" i="4" a="1"/>
  <c r="E663" i="4" s="1"/>
  <c r="D666" i="4" a="1"/>
  <c r="D666" i="4" s="1"/>
  <c r="E666" i="4" a="1"/>
  <c r="E666" i="4" s="1"/>
  <c r="N666" i="4" a="1"/>
  <c r="N666" i="4" s="1"/>
  <c r="N668" i="4" a="1"/>
  <c r="N668" i="4" s="1"/>
  <c r="C668" i="4" a="1"/>
  <c r="C668" i="4" s="1"/>
  <c r="B669" i="4" a="1"/>
  <c r="B669" i="4" s="1"/>
  <c r="M680" i="4" a="1"/>
  <c r="M680" i="4" s="1"/>
  <c r="N680" i="4" a="1"/>
  <c r="N680" i="4" s="1"/>
  <c r="D680" i="4" a="1"/>
  <c r="D680" i="4" s="1"/>
  <c r="B680" i="4" a="1"/>
  <c r="B680" i="4" s="1"/>
  <c r="H726" i="4"/>
  <c r="J726" i="4"/>
  <c r="J727" i="4"/>
  <c r="H727" i="4"/>
  <c r="C761" i="4" a="1"/>
  <c r="C761" i="4" s="1"/>
  <c r="B762" i="4" a="1"/>
  <c r="B762" i="4" s="1"/>
  <c r="M762" i="4" a="1"/>
  <c r="M762" i="4" s="1"/>
  <c r="J768" i="4"/>
  <c r="H768" i="4"/>
  <c r="E694" i="4" a="1"/>
  <c r="E694" i="4" s="1"/>
  <c r="E702" i="4" a="1"/>
  <c r="E702" i="4" s="1"/>
  <c r="B708" i="4" a="1"/>
  <c r="B708" i="4" s="1"/>
  <c r="B712" i="4" a="1"/>
  <c r="B712" i="4" s="1"/>
  <c r="E762" i="4" a="1"/>
  <c r="E762" i="4" s="1"/>
  <c r="N793" i="4" a="1"/>
  <c r="N793" i="4" s="1"/>
  <c r="N701" i="4" a="1"/>
  <c r="N701" i="4" s="1"/>
  <c r="E705" i="4" a="1"/>
  <c r="E705" i="4" s="1"/>
  <c r="M709" i="4" a="1"/>
  <c r="M709" i="4" s="1"/>
  <c r="E775" i="4" a="1"/>
  <c r="E775" i="4" s="1"/>
  <c r="B779" i="4" a="1"/>
  <c r="B779" i="4" s="1"/>
  <c r="E779" i="4" a="1"/>
  <c r="E779" i="4" s="1"/>
  <c r="C779" i="4" a="1"/>
  <c r="C779" i="4" s="1"/>
  <c r="N779" i="4" a="1"/>
  <c r="N779" i="4" s="1"/>
  <c r="J787" i="4"/>
  <c r="H787" i="4"/>
  <c r="N714" i="4" a="1"/>
  <c r="N714" i="4" s="1"/>
  <c r="J750" i="4"/>
  <c r="H750" i="4"/>
  <c r="H761" i="4"/>
  <c r="J761" i="4"/>
  <c r="E765" i="4" a="1"/>
  <c r="E765" i="4" s="1"/>
  <c r="H797" i="4"/>
  <c r="J797" i="4"/>
  <c r="B814" i="4" a="1"/>
  <c r="B814" i="4" s="1"/>
  <c r="E814" i="4" a="1"/>
  <c r="E814" i="4" s="1"/>
  <c r="D613" i="4" a="1"/>
  <c r="D613" i="4" s="1"/>
  <c r="N618" i="4" a="1"/>
  <c r="N618" i="4" s="1"/>
  <c r="E621" i="4" a="1"/>
  <c r="E621" i="4" s="1"/>
  <c r="M622" i="4" a="1"/>
  <c r="M622" i="4" s="1"/>
  <c r="B632" i="4" a="1"/>
  <c r="B632" i="4" s="1"/>
  <c r="M640" i="4" a="1"/>
  <c r="M640" i="4" s="1"/>
  <c r="E649" i="4" a="1"/>
  <c r="E649" i="4" s="1"/>
  <c r="D649" i="4" a="1"/>
  <c r="D649" i="4" s="1"/>
  <c r="D674" i="4" a="1"/>
  <c r="D674" i="4" s="1"/>
  <c r="N690" i="4" a="1"/>
  <c r="N690" i="4" s="1"/>
  <c r="B691" i="4" a="1"/>
  <c r="B691" i="4" s="1"/>
  <c r="E706" i="4" a="1"/>
  <c r="E706" i="4" s="1"/>
  <c r="M710" i="4" a="1"/>
  <c r="M710" i="4" s="1"/>
  <c r="E711" i="4" a="1"/>
  <c r="E711" i="4" s="1"/>
  <c r="M726" i="4" a="1"/>
  <c r="M726" i="4" s="1"/>
  <c r="N734" i="4" a="1"/>
  <c r="N734" i="4" s="1"/>
  <c r="E748" i="4" a="1"/>
  <c r="E748" i="4" s="1"/>
  <c r="B749" i="4" a="1"/>
  <c r="B749" i="4" s="1"/>
  <c r="N752" i="4" a="1"/>
  <c r="N752" i="4" s="1"/>
  <c r="N755" i="4" a="1"/>
  <c r="N755" i="4" s="1"/>
  <c r="J756" i="4"/>
  <c r="E774" i="4" a="1"/>
  <c r="E774" i="4" s="1"/>
  <c r="D781" i="4" a="1"/>
  <c r="D781" i="4" s="1"/>
  <c r="M788" i="4" a="1"/>
  <c r="M788" i="4" s="1"/>
  <c r="E805" i="4" a="1"/>
  <c r="E805" i="4" s="1"/>
  <c r="C807" i="4" a="1"/>
  <c r="C807" i="4" s="1"/>
  <c r="E811" i="4" a="1"/>
  <c r="E811" i="4" s="1"/>
  <c r="M818" i="4" a="1"/>
  <c r="M818" i="4" s="1"/>
  <c r="C821" i="4" a="1"/>
  <c r="C821" i="4" s="1"/>
  <c r="J830" i="4"/>
  <c r="N832" i="4" a="1"/>
  <c r="N832" i="4" s="1"/>
  <c r="M827" i="4" a="1"/>
  <c r="M827" i="4" s="1"/>
  <c r="E835" i="4" a="1"/>
  <c r="E835" i="4" s="1"/>
  <c r="C799" i="4" a="1"/>
  <c r="C799" i="4" s="1"/>
  <c r="M812" i="4" a="1"/>
  <c r="M812" i="4" s="1"/>
  <c r="E821" i="4" a="1"/>
  <c r="E821" i="4" s="1"/>
  <c r="N834" i="4" a="1"/>
  <c r="N834" i="4" s="1"/>
  <c r="M834" i="4" a="1"/>
  <c r="M834" i="4" s="1"/>
  <c r="N850" i="4" a="1"/>
  <c r="N850" i="4" s="1"/>
  <c r="N842" i="4" a="1"/>
  <c r="N842" i="4" s="1"/>
  <c r="N846" i="4" a="1"/>
  <c r="N846" i="4" s="1"/>
  <c r="D850" i="4" a="1"/>
  <c r="D850" i="4" s="1"/>
  <c r="N759" i="4" a="1"/>
  <c r="N759" i="4" s="1"/>
  <c r="M779" i="4" a="1"/>
  <c r="M779" i="4" s="1"/>
  <c r="H786" i="4"/>
  <c r="D845" i="4" a="1"/>
  <c r="D845" i="4" s="1"/>
  <c r="E847" i="4" a="1"/>
  <c r="E847" i="4" s="1"/>
  <c r="E674" i="4" a="1"/>
  <c r="E674" i="4" s="1"/>
  <c r="N689" i="4" a="1"/>
  <c r="N689" i="4" s="1"/>
  <c r="E690" i="4" a="1"/>
  <c r="E690" i="4" s="1"/>
  <c r="C694" i="4" a="1"/>
  <c r="C694" i="4" s="1"/>
  <c r="C695" i="4" a="1"/>
  <c r="C695" i="4" s="1"/>
  <c r="M739" i="4" a="1"/>
  <c r="M739" i="4" s="1"/>
  <c r="N754" i="4" a="1"/>
  <c r="N754" i="4" s="1"/>
  <c r="B761" i="4" a="1"/>
  <c r="B761" i="4" s="1"/>
  <c r="B774" i="4" a="1"/>
  <c r="B774" i="4" s="1"/>
  <c r="J793" i="4"/>
  <c r="N803" i="4" a="1"/>
  <c r="N803" i="4" s="1"/>
  <c r="B805" i="4" a="1"/>
  <c r="B805" i="4" s="1"/>
  <c r="N819" i="4" a="1"/>
  <c r="N819" i="4" s="1"/>
  <c r="M840" i="4" a="1"/>
  <c r="M840" i="4" s="1"/>
  <c r="E846" i="4" a="1"/>
  <c r="E846" i="4" s="1"/>
  <c r="D789" i="4" a="1"/>
  <c r="D789" i="4" s="1"/>
  <c r="H643" i="4"/>
  <c r="J643" i="4"/>
  <c r="H655" i="4"/>
  <c r="J655" i="4"/>
  <c r="M656" i="4" a="1"/>
  <c r="M656" i="4" s="1"/>
  <c r="E656" i="4" a="1"/>
  <c r="E656" i="4" s="1"/>
  <c r="H662" i="4"/>
  <c r="J662" i="4"/>
  <c r="J663" i="4"/>
  <c r="H663" i="4"/>
  <c r="N664" i="4" a="1"/>
  <c r="N664" i="4" s="1"/>
  <c r="D664" i="4" a="1"/>
  <c r="D664" i="4" s="1"/>
  <c r="M666" i="4" a="1"/>
  <c r="M666" i="4" s="1"/>
  <c r="C666" i="4" a="1"/>
  <c r="C666" i="4" s="1"/>
  <c r="J678" i="4"/>
  <c r="H678" i="4"/>
  <c r="H686" i="4"/>
  <c r="J686" i="4"/>
  <c r="N687" i="4" a="1"/>
  <c r="N687" i="4" s="1"/>
  <c r="E687" i="4" a="1"/>
  <c r="E687" i="4" s="1"/>
  <c r="M694" i="4" a="1"/>
  <c r="M694" i="4" s="1"/>
  <c r="N694" i="4" a="1"/>
  <c r="N694" i="4" s="1"/>
  <c r="M698" i="4" a="1"/>
  <c r="M698" i="4" s="1"/>
  <c r="C698" i="4" a="1"/>
  <c r="C698" i="4" s="1"/>
  <c r="D698" i="4" a="1"/>
  <c r="D698" i="4" s="1"/>
  <c r="H701" i="4"/>
  <c r="J701" i="4"/>
  <c r="C705" i="4" a="1"/>
  <c r="C705" i="4" s="1"/>
  <c r="N705" i="4" a="1"/>
  <c r="N705" i="4" s="1"/>
  <c r="J708" i="4"/>
  <c r="H708" i="4"/>
  <c r="N713" i="4" a="1"/>
  <c r="N713" i="4" s="1"/>
  <c r="B713" i="4" a="1"/>
  <c r="B713" i="4" s="1"/>
  <c r="M716" i="4" a="1"/>
  <c r="M716" i="4" s="1"/>
  <c r="N716" i="4" a="1"/>
  <c r="N716" i="4" s="1"/>
  <c r="C716" i="4" a="1"/>
  <c r="C716" i="4" s="1"/>
  <c r="N717" i="4" a="1"/>
  <c r="N717" i="4" s="1"/>
  <c r="C717" i="4" a="1"/>
  <c r="C717" i="4" s="1"/>
  <c r="N727" i="4" a="1"/>
  <c r="N727" i="4" s="1"/>
  <c r="E727" i="4" a="1"/>
  <c r="E727" i="4" s="1"/>
  <c r="J731" i="4"/>
  <c r="H731" i="4"/>
  <c r="J739" i="4"/>
  <c r="H739" i="4"/>
  <c r="J741" i="4"/>
  <c r="H741" i="4"/>
  <c r="J743" i="4"/>
  <c r="H743" i="4"/>
  <c r="B746" i="4" a="1"/>
  <c r="B746" i="4" s="1"/>
  <c r="M746" i="4" a="1"/>
  <c r="M746" i="4" s="1"/>
  <c r="D746" i="4" a="1"/>
  <c r="D746" i="4" s="1"/>
  <c r="M750" i="4" a="1"/>
  <c r="M750" i="4" s="1"/>
  <c r="N750" i="4" a="1"/>
  <c r="N750" i="4" s="1"/>
  <c r="E750" i="4" a="1"/>
  <c r="E750" i="4" s="1"/>
  <c r="J751" i="4"/>
  <c r="H751" i="4"/>
  <c r="J754" i="4"/>
  <c r="H754" i="4"/>
  <c r="H755" i="4"/>
  <c r="J755" i="4"/>
  <c r="M768" i="4" a="1"/>
  <c r="M768" i="4" s="1"/>
  <c r="B768" i="4" a="1"/>
  <c r="B768" i="4" s="1"/>
  <c r="M771" i="4" a="1"/>
  <c r="M771" i="4" s="1"/>
  <c r="B771" i="4" a="1"/>
  <c r="B771" i="4" s="1"/>
  <c r="N780" i="4" a="1"/>
  <c r="N780" i="4" s="1"/>
  <c r="C780" i="4" a="1"/>
  <c r="C780" i="4" s="1"/>
  <c r="M781" i="4" a="1"/>
  <c r="M781" i="4" s="1"/>
  <c r="N781" i="4" a="1"/>
  <c r="N781" i="4" s="1"/>
  <c r="M785" i="4" a="1"/>
  <c r="M785" i="4" s="1"/>
  <c r="B785" i="4" a="1"/>
  <c r="B785" i="4" s="1"/>
  <c r="J788" i="4"/>
  <c r="H788" i="4"/>
  <c r="H789" i="4"/>
  <c r="J789" i="4"/>
  <c r="B794" i="4" a="1"/>
  <c r="B794" i="4" s="1"/>
  <c r="D794" i="4" a="1"/>
  <c r="D794" i="4" s="1"/>
  <c r="N796" i="4" a="1"/>
  <c r="N796" i="4" s="1"/>
  <c r="C796" i="4" a="1"/>
  <c r="C796" i="4" s="1"/>
  <c r="N797" i="4" a="1"/>
  <c r="N797" i="4" s="1"/>
  <c r="C797" i="4" a="1"/>
  <c r="C797" i="4" s="1"/>
  <c r="J804" i="4"/>
  <c r="H804" i="4"/>
  <c r="M805" i="4" a="1"/>
  <c r="M805" i="4" s="1"/>
  <c r="C805" i="4" a="1"/>
  <c r="C805" i="4" s="1"/>
  <c r="M811" i="4" a="1"/>
  <c r="M811" i="4" s="1"/>
  <c r="C811" i="4" a="1"/>
  <c r="C811" i="4" s="1"/>
  <c r="N812" i="4" a="1"/>
  <c r="N812" i="4" s="1"/>
  <c r="E812" i="4" a="1"/>
  <c r="E812" i="4" s="1"/>
  <c r="J818" i="4"/>
  <c r="H818" i="4"/>
  <c r="J820" i="4"/>
  <c r="H820" i="4"/>
  <c r="J822" i="4"/>
  <c r="H822" i="4"/>
  <c r="D827" i="4" a="1"/>
  <c r="D827" i="4" s="1"/>
  <c r="B827" i="4" a="1"/>
  <c r="B827" i="4" s="1"/>
  <c r="N827" i="4" a="1"/>
  <c r="N827" i="4" s="1"/>
  <c r="D828" i="4" a="1"/>
  <c r="D828" i="4" s="1"/>
  <c r="M828" i="4" a="1"/>
  <c r="M828" i="4" s="1"/>
  <c r="E833" i="4" a="1"/>
  <c r="E833" i="4" s="1"/>
  <c r="M833" i="4" a="1"/>
  <c r="M833" i="4" s="1"/>
  <c r="B833" i="4" a="1"/>
  <c r="B833" i="4" s="1"/>
  <c r="N835" i="4" a="1"/>
  <c r="N835" i="4" s="1"/>
  <c r="D835" i="4" a="1"/>
  <c r="D835" i="4" s="1"/>
  <c r="C837" i="4" a="1"/>
  <c r="C837" i="4" s="1"/>
  <c r="M837" i="4" a="1"/>
  <c r="M837" i="4" s="1"/>
  <c r="D837" i="4" a="1"/>
  <c r="D837" i="4" s="1"/>
  <c r="B837" i="4" a="1"/>
  <c r="B837" i="4" s="1"/>
  <c r="E848" i="4" a="1"/>
  <c r="E848" i="4" s="1"/>
  <c r="D848" i="4" a="1"/>
  <c r="D848" i="4" s="1"/>
  <c r="D849" i="4" a="1"/>
  <c r="D849" i="4" s="1"/>
  <c r="E849" i="4" a="1"/>
  <c r="E849" i="4" s="1"/>
  <c r="B849" i="4" a="1"/>
  <c r="B849" i="4" s="1"/>
  <c r="D851" i="4" a="1"/>
  <c r="D851" i="4" s="1"/>
  <c r="E851" i="4" a="1"/>
  <c r="E851" i="4" s="1"/>
  <c r="H852" i="4"/>
  <c r="J852" i="4"/>
  <c r="C854" i="4" a="1"/>
  <c r="C854" i="4" s="1"/>
  <c r="M854" i="4" a="1"/>
  <c r="M854" i="4" s="1"/>
  <c r="H855" i="4"/>
  <c r="J855" i="4"/>
  <c r="H861" i="4"/>
  <c r="J861" i="4"/>
  <c r="B865" i="4" a="1"/>
  <c r="B865" i="4" s="1"/>
  <c r="M865" i="4" a="1"/>
  <c r="M865" i="4" s="1"/>
  <c r="C865" i="4" a="1"/>
  <c r="C865" i="4" s="1"/>
  <c r="J884" i="4"/>
  <c r="H884" i="4"/>
  <c r="M861" i="4" a="1"/>
  <c r="M861" i="4" s="1"/>
  <c r="E861" i="4" a="1"/>
  <c r="E861" i="4" s="1"/>
  <c r="B861" i="4" a="1"/>
  <c r="B861" i="4" s="1"/>
  <c r="B906" i="4" a="1"/>
  <c r="B906" i="4" s="1"/>
  <c r="M914" i="4" a="1"/>
  <c r="M914" i="4" s="1"/>
  <c r="D914" i="4" a="1"/>
  <c r="D914" i="4" s="1"/>
  <c r="M650" i="4" a="1"/>
  <c r="M650" i="4" s="1"/>
  <c r="N650" i="4" a="1"/>
  <c r="N650" i="4" s="1"/>
  <c r="C654" i="4" a="1"/>
  <c r="C654" i="4" s="1"/>
  <c r="E700" i="4" a="1"/>
  <c r="E700" i="4" s="1"/>
  <c r="C711" i="4" a="1"/>
  <c r="C711" i="4" s="1"/>
  <c r="N747" i="4" a="1"/>
  <c r="N747" i="4" s="1"/>
  <c r="E822" i="4" a="1"/>
  <c r="E822" i="4" s="1"/>
  <c r="E859" i="4" a="1"/>
  <c r="E859" i="4" s="1"/>
  <c r="C861" i="4" a="1"/>
  <c r="C861" i="4" s="1"/>
  <c r="M870" i="4" a="1"/>
  <c r="M870" i="4" s="1"/>
  <c r="E880" i="4" a="1"/>
  <c r="E880" i="4" s="1"/>
  <c r="M880" i="4" a="1"/>
  <c r="M880" i="4" s="1"/>
  <c r="J885" i="4"/>
  <c r="B893" i="4" a="1"/>
  <c r="B893" i="4" s="1"/>
  <c r="M893" i="4" a="1"/>
  <c r="M893" i="4" s="1"/>
  <c r="B831" i="4" a="1"/>
  <c r="B831" i="4" s="1"/>
  <c r="B851" i="4" a="1"/>
  <c r="B851" i="4" s="1"/>
  <c r="M862" i="4" a="1"/>
  <c r="M862" i="4" s="1"/>
  <c r="J882" i="4"/>
  <c r="C894" i="4" a="1"/>
  <c r="C894" i="4" s="1"/>
  <c r="B894" i="4" a="1"/>
  <c r="B894" i="4" s="1"/>
  <c r="E864" i="4" a="1"/>
  <c r="E864" i="4" s="1"/>
  <c r="C872" i="4" a="1"/>
  <c r="C872" i="4" s="1"/>
  <c r="N872" i="4" a="1"/>
  <c r="N872" i="4" s="1"/>
  <c r="B875" i="4" a="1"/>
  <c r="B875" i="4" s="1"/>
  <c r="M887" i="4" a="1"/>
  <c r="M887" i="4" s="1"/>
  <c r="B905" i="4" a="1"/>
  <c r="B905" i="4" s="1"/>
  <c r="E905" i="4" a="1"/>
  <c r="E905" i="4" s="1"/>
  <c r="N905" i="4" a="1"/>
  <c r="N905" i="4" s="1"/>
  <c r="C905" i="4" a="1"/>
  <c r="C905" i="4" s="1"/>
  <c r="D883" i="4" a="1"/>
  <c r="D883" i="4" s="1"/>
  <c r="C883" i="4" a="1"/>
  <c r="C883" i="4" s="1"/>
  <c r="E889" i="4" a="1"/>
  <c r="E889" i="4" s="1"/>
  <c r="C889" i="4" a="1"/>
  <c r="C889" i="4" s="1"/>
  <c r="C895" i="4" a="1"/>
  <c r="C895" i="4" s="1"/>
  <c r="M895" i="4" a="1"/>
  <c r="M895" i="4" s="1"/>
  <c r="M896" i="4" a="1"/>
  <c r="M896" i="4" s="1"/>
  <c r="D896" i="4" a="1"/>
  <c r="D896" i="4" s="1"/>
  <c r="J898" i="4"/>
  <c r="H898" i="4"/>
  <c r="N904" i="4" a="1"/>
  <c r="N904" i="4" s="1"/>
  <c r="E904" i="4" a="1"/>
  <c r="E904" i="4" s="1"/>
  <c r="B917" i="4" a="1"/>
  <c r="B917" i="4" s="1"/>
  <c r="D888" i="4" a="1"/>
  <c r="D888" i="4" s="1"/>
  <c r="C890" i="4" a="1"/>
  <c r="C890" i="4" s="1"/>
  <c r="C870" i="4" a="1"/>
  <c r="C870" i="4" s="1"/>
  <c r="D870" i="4" a="1"/>
  <c r="D870" i="4" s="1"/>
  <c r="B881" i="4" a="1"/>
  <c r="B881" i="4" s="1"/>
  <c r="B896" i="4" a="1"/>
  <c r="B896" i="4" s="1"/>
  <c r="N896" i="4" a="1"/>
  <c r="N896" i="4" s="1"/>
  <c r="B904" i="4" a="1"/>
  <c r="B904" i="4" s="1"/>
  <c r="D911" i="4" a="1"/>
  <c r="D911" i="4" s="1"/>
  <c r="M934" i="4" a="1"/>
  <c r="M934" i="4" s="1"/>
  <c r="B890" i="4" a="1"/>
  <c r="B890" i="4" s="1"/>
  <c r="C897" i="4" a="1"/>
  <c r="C897" i="4" s="1"/>
  <c r="B913" i="4" a="1"/>
  <c r="B913" i="4" s="1"/>
  <c r="C926" i="4" a="1"/>
  <c r="C926" i="4" s="1"/>
  <c r="B928" i="4" a="1"/>
  <c r="B928" i="4" s="1"/>
  <c r="N699" i="4" a="1"/>
  <c r="N699" i="4" s="1"/>
  <c r="C703" i="4" a="1"/>
  <c r="C703" i="4" s="1"/>
  <c r="M717" i="4" a="1"/>
  <c r="M717" i="4" s="1"/>
  <c r="B725" i="4" a="1"/>
  <c r="B725" i="4" s="1"/>
  <c r="N728" i="4" a="1"/>
  <c r="N728" i="4" s="1"/>
  <c r="M728" i="4" a="1"/>
  <c r="M728" i="4" s="1"/>
  <c r="M730" i="4" a="1"/>
  <c r="M730" i="4" s="1"/>
  <c r="D763" i="4" a="1"/>
  <c r="D763" i="4" s="1"/>
  <c r="M765" i="4" a="1"/>
  <c r="M765" i="4" s="1"/>
  <c r="C774" i="4" a="1"/>
  <c r="C774" i="4" s="1"/>
  <c r="D805" i="4" a="1"/>
  <c r="D805" i="4" s="1"/>
  <c r="C828" i="4" a="1"/>
  <c r="C828" i="4" s="1"/>
  <c r="M849" i="4" a="1"/>
  <c r="M849" i="4" s="1"/>
  <c r="B883" i="4" a="1"/>
  <c r="B883" i="4" s="1"/>
  <c r="E890" i="4" a="1"/>
  <c r="E890" i="4" s="1"/>
  <c r="E897" i="4" a="1"/>
  <c r="E897" i="4" s="1"/>
  <c r="D904" i="4" a="1"/>
  <c r="D904" i="4" s="1"/>
  <c r="B922" i="4" a="1"/>
  <c r="B922" i="4" s="1"/>
  <c r="E926" i="4" a="1"/>
  <c r="E926" i="4" s="1"/>
  <c r="D815" i="4" a="1"/>
  <c r="D815" i="4" s="1"/>
  <c r="E826" i="4" a="1"/>
  <c r="E826" i="4" s="1"/>
  <c r="B828" i="4" a="1"/>
  <c r="B828" i="4" s="1"/>
  <c r="C849" i="4" a="1"/>
  <c r="C849" i="4" s="1"/>
  <c r="M876" i="4" a="1"/>
  <c r="M876" i="4" s="1"/>
  <c r="D909" i="4" a="1"/>
  <c r="D909" i="4" s="1"/>
  <c r="D895" i="4" a="1"/>
  <c r="D895" i="4" s="1"/>
  <c r="H900" i="4"/>
  <c r="J915" i="4"/>
  <c r="N794" i="4" a="1"/>
  <c r="N794" i="4" s="1"/>
  <c r="M794" i="4" a="1"/>
  <c r="M794" i="4" s="1"/>
  <c r="E794" i="4" a="1"/>
  <c r="E794" i="4" s="1"/>
  <c r="J801" i="4"/>
  <c r="H801" i="4"/>
  <c r="M803" i="4" a="1"/>
  <c r="M803" i="4" s="1"/>
  <c r="C803" i="4" a="1"/>
  <c r="C803" i="4" s="1"/>
  <c r="D804" i="4" a="1"/>
  <c r="D804" i="4" s="1"/>
  <c r="B804" i="4" a="1"/>
  <c r="B804" i="4" s="1"/>
  <c r="J807" i="4"/>
  <c r="H807" i="4"/>
  <c r="H811" i="4"/>
  <c r="J811" i="4"/>
  <c r="C814" i="4" a="1"/>
  <c r="C814" i="4" s="1"/>
  <c r="N814" i="4" a="1"/>
  <c r="N814" i="4" s="1"/>
  <c r="D814" i="4" a="1"/>
  <c r="D814" i="4" s="1"/>
  <c r="H819" i="4"/>
  <c r="J819" i="4"/>
  <c r="N824" i="4" a="1"/>
  <c r="N824" i="4" s="1"/>
  <c r="B824" i="4" a="1"/>
  <c r="B824" i="4" s="1"/>
  <c r="D846" i="4" a="1"/>
  <c r="D846" i="4" s="1"/>
  <c r="C846" i="4" a="1"/>
  <c r="C846" i="4" s="1"/>
  <c r="M853" i="4" a="1"/>
  <c r="M853" i="4" s="1"/>
  <c r="D853" i="4" a="1"/>
  <c r="D853" i="4" s="1"/>
  <c r="E862" i="4" a="1"/>
  <c r="E862" i="4" s="1"/>
  <c r="D862" i="4" a="1"/>
  <c r="D862" i="4" s="1"/>
  <c r="B867" i="4" a="1"/>
  <c r="B867" i="4" s="1"/>
  <c r="C867" i="4" a="1"/>
  <c r="C867" i="4" s="1"/>
  <c r="M872" i="4" a="1"/>
  <c r="M872" i="4" s="1"/>
  <c r="D872" i="4" a="1"/>
  <c r="D872" i="4" s="1"/>
  <c r="H872" i="4"/>
  <c r="J872" i="4"/>
  <c r="M879" i="4" a="1"/>
  <c r="M879" i="4" s="1"/>
  <c r="C879" i="4" a="1"/>
  <c r="C879" i="4" s="1"/>
  <c r="H880" i="4"/>
  <c r="J880" i="4"/>
  <c r="J881" i="4"/>
  <c r="H881" i="4"/>
  <c r="M894" i="4" a="1"/>
  <c r="M894" i="4" s="1"/>
  <c r="E894" i="4" a="1"/>
  <c r="E894" i="4" s="1"/>
  <c r="D906" i="4" a="1"/>
  <c r="D906" i="4" s="1"/>
  <c r="E906" i="4" a="1"/>
  <c r="E906" i="4" s="1"/>
  <c r="M907" i="4" a="1"/>
  <c r="M907" i="4" s="1"/>
  <c r="B907" i="4" a="1"/>
  <c r="B907" i="4" s="1"/>
  <c r="N907" i="4" a="1"/>
  <c r="N907" i="4" s="1"/>
  <c r="C907" i="4" a="1"/>
  <c r="C907" i="4" s="1"/>
  <c r="D908" i="4" a="1"/>
  <c r="D908" i="4" s="1"/>
  <c r="E908" i="4" a="1"/>
  <c r="E908" i="4" s="1"/>
  <c r="H909" i="4"/>
  <c r="J909" i="4"/>
  <c r="D910" i="4" a="1"/>
  <c r="D910" i="4" s="1"/>
  <c r="E910" i="4" a="1"/>
  <c r="E910" i="4" s="1"/>
  <c r="B910" i="4" a="1"/>
  <c r="B910" i="4" s="1"/>
  <c r="N913" i="4" a="1"/>
  <c r="N913" i="4" s="1"/>
  <c r="E913" i="4" a="1"/>
  <c r="E913" i="4" s="1"/>
  <c r="C913" i="4" a="1"/>
  <c r="C913" i="4" s="1"/>
  <c r="N914" i="4" a="1"/>
  <c r="N914" i="4" s="1"/>
  <c r="E914" i="4" a="1"/>
  <c r="E914" i="4" s="1"/>
  <c r="C914" i="4" a="1"/>
  <c r="C914" i="4" s="1"/>
  <c r="M915" i="4" a="1"/>
  <c r="M915" i="4" s="1"/>
  <c r="B915" i="4" a="1"/>
  <c r="B915" i="4" s="1"/>
  <c r="C915" i="4" a="1"/>
  <c r="C915" i="4" s="1"/>
  <c r="M916" i="4" a="1"/>
  <c r="M916" i="4" s="1"/>
  <c r="D916" i="4" a="1"/>
  <c r="D916" i="4" s="1"/>
  <c r="D917" i="4" a="1"/>
  <c r="D917" i="4" s="1"/>
  <c r="N917" i="4" a="1"/>
  <c r="N917" i="4" s="1"/>
  <c r="E917" i="4" a="1"/>
  <c r="E917" i="4" s="1"/>
  <c r="D918" i="4" a="1"/>
  <c r="D918" i="4" s="1"/>
  <c r="B918" i="4" a="1"/>
  <c r="B918" i="4" s="1"/>
  <c r="M919" i="4" a="1"/>
  <c r="M919" i="4" s="1"/>
  <c r="B919" i="4" a="1"/>
  <c r="B919" i="4" s="1"/>
  <c r="C919" i="4" a="1"/>
  <c r="C919" i="4" s="1"/>
  <c r="M920" i="4" a="1"/>
  <c r="M920" i="4" s="1"/>
  <c r="D920" i="4" a="1"/>
  <c r="D920" i="4" s="1"/>
  <c r="E920" i="4" a="1"/>
  <c r="E920" i="4" s="1"/>
  <c r="N920" i="4" a="1"/>
  <c r="N920" i="4" s="1"/>
  <c r="H920" i="4"/>
  <c r="J920" i="4"/>
  <c r="J922" i="4"/>
  <c r="H922" i="4"/>
  <c r="J926" i="4"/>
  <c r="H926" i="4"/>
  <c r="C931" i="4" a="1"/>
  <c r="C931" i="4" s="1"/>
  <c r="B931" i="4" a="1"/>
  <c r="B931" i="4" s="1"/>
  <c r="D932" i="4" a="1"/>
  <c r="D932" i="4" s="1"/>
  <c r="B932" i="4" a="1"/>
  <c r="B932" i="4" s="1"/>
  <c r="H933" i="4"/>
  <c r="J933" i="4"/>
  <c r="B934" i="4" a="1"/>
  <c r="B934" i="4" s="1"/>
  <c r="N934" i="4" a="1"/>
  <c r="N934" i="4" s="1"/>
  <c r="E934" i="4" a="1"/>
  <c r="E934" i="4" s="1"/>
  <c r="H937" i="4"/>
  <c r="J937" i="4"/>
  <c r="J942" i="4"/>
  <c r="H942" i="4"/>
  <c r="M942" i="4" a="1"/>
  <c r="M942" i="4" s="1"/>
  <c r="D942" i="4" a="1"/>
  <c r="D942" i="4" s="1"/>
  <c r="B942" i="4" a="1"/>
  <c r="B942" i="4" s="1"/>
  <c r="H944" i="4"/>
  <c r="J944" i="4"/>
  <c r="J946" i="4"/>
  <c r="H946" i="4"/>
  <c r="M951" i="4" a="1"/>
  <c r="M951" i="4" s="1"/>
  <c r="C951" i="4" a="1"/>
  <c r="C951" i="4" s="1"/>
  <c r="B951" i="4" a="1"/>
  <c r="B951" i="4" s="1"/>
  <c r="D951" i="4" a="1"/>
  <c r="D951" i="4" s="1"/>
  <c r="E951" i="4" a="1"/>
  <c r="E951" i="4" s="1"/>
  <c r="M976" i="4" a="1"/>
  <c r="M976" i="4" s="1"/>
  <c r="B976" i="4" a="1"/>
  <c r="B976" i="4" s="1"/>
  <c r="N976" i="4" a="1"/>
  <c r="N976" i="4" s="1"/>
  <c r="E937" i="4" a="1"/>
  <c r="E937" i="4" s="1"/>
  <c r="E949" i="4" a="1"/>
  <c r="E949" i="4" s="1"/>
  <c r="M960" i="4" a="1"/>
  <c r="M960" i="4" s="1"/>
  <c r="N960" i="4" a="1"/>
  <c r="N960" i="4" s="1"/>
  <c r="C960" i="4" a="1"/>
  <c r="C960" i="4" s="1"/>
  <c r="B975" i="4" a="1"/>
  <c r="B975" i="4" s="1"/>
  <c r="C980" i="4" a="1"/>
  <c r="C980" i="4" s="1"/>
  <c r="B984" i="4" a="1"/>
  <c r="B984" i="4" s="1"/>
  <c r="N815" i="4" a="1"/>
  <c r="N815" i="4" s="1"/>
  <c r="B817" i="4" a="1"/>
  <c r="B817" i="4" s="1"/>
  <c r="E830" i="4" a="1"/>
  <c r="E830" i="4" s="1"/>
  <c r="E837" i="4" a="1"/>
  <c r="E837" i="4" s="1"/>
  <c r="B877" i="4" a="1"/>
  <c r="B877" i="4" s="1"/>
  <c r="E896" i="4" a="1"/>
  <c r="E896" i="4" s="1"/>
  <c r="C904" i="4" a="1"/>
  <c r="C904" i="4" s="1"/>
  <c r="J905" i="4"/>
  <c r="H905" i="4"/>
  <c r="C912" i="4" a="1"/>
  <c r="C912" i="4" s="1"/>
  <c r="N912" i="4" a="1"/>
  <c r="N912" i="4" s="1"/>
  <c r="B912" i="4" a="1"/>
  <c r="B912" i="4" s="1"/>
  <c r="J918" i="4"/>
  <c r="H918" i="4"/>
  <c r="D919" i="4" a="1"/>
  <c r="D919" i="4" s="1"/>
  <c r="D923" i="4" a="1"/>
  <c r="D923" i="4" s="1"/>
  <c r="M925" i="4" a="1"/>
  <c r="M925" i="4" s="1"/>
  <c r="D925" i="4" a="1"/>
  <c r="D925" i="4" s="1"/>
  <c r="J929" i="4"/>
  <c r="H929" i="4"/>
  <c r="H964" i="4"/>
  <c r="N955" i="4" a="1"/>
  <c r="N955" i="4" s="1"/>
  <c r="D967" i="4" a="1"/>
  <c r="D967" i="4" s="1"/>
  <c r="B967" i="4" a="1"/>
  <c r="B967" i="4" s="1"/>
  <c r="M969" i="4" a="1"/>
  <c r="M969" i="4" s="1"/>
  <c r="N969" i="4" a="1"/>
  <c r="N969" i="4" s="1"/>
  <c r="D969" i="4" a="1"/>
  <c r="D969" i="4" s="1"/>
  <c r="C977" i="4" a="1"/>
  <c r="C977" i="4" s="1"/>
  <c r="E979" i="4" a="1"/>
  <c r="E979" i="4" s="1"/>
  <c r="D995" i="4" a="1"/>
  <c r="D995" i="4" s="1"/>
  <c r="B956" i="4" a="1"/>
  <c r="B956" i="4" s="1"/>
  <c r="N956" i="4" a="1"/>
  <c r="N956" i="4" s="1"/>
  <c r="E956" i="4" a="1"/>
  <c r="E956" i="4" s="1"/>
  <c r="C956" i="4" a="1"/>
  <c r="C956" i="4" s="1"/>
  <c r="E976" i="4" a="1"/>
  <c r="E976" i="4" s="1"/>
  <c r="M941" i="4" a="1"/>
  <c r="M941" i="4" s="1"/>
  <c r="N941" i="4" a="1"/>
  <c r="N941" i="4" s="1"/>
  <c r="B941" i="4" a="1"/>
  <c r="B941" i="4" s="1"/>
  <c r="D955" i="4" a="1"/>
  <c r="D955" i="4" s="1"/>
  <c r="H959" i="4"/>
  <c r="J959" i="4"/>
  <c r="E969" i="4" a="1"/>
  <c r="E969" i="4" s="1"/>
  <c r="C970" i="4" a="1"/>
  <c r="C970" i="4" s="1"/>
  <c r="E982" i="4" a="1"/>
  <c r="E982" i="4" s="1"/>
  <c r="C985" i="4" a="1"/>
  <c r="C985" i="4" s="1"/>
  <c r="B933" i="4" a="1"/>
  <c r="B933" i="4" s="1"/>
  <c r="N933" i="4" a="1"/>
  <c r="N933" i="4" s="1"/>
  <c r="C933" i="4" a="1"/>
  <c r="C933" i="4" s="1"/>
  <c r="D933" i="4" a="1"/>
  <c r="D933" i="4" s="1"/>
  <c r="D943" i="4" a="1"/>
  <c r="D943" i="4" s="1"/>
  <c r="D945" i="4" a="1"/>
  <c r="D945" i="4" s="1"/>
  <c r="E945" i="4" a="1"/>
  <c r="E945" i="4" s="1"/>
  <c r="M952" i="4" a="1"/>
  <c r="M952" i="4" s="1"/>
  <c r="E952" i="4" a="1"/>
  <c r="E952" i="4" s="1"/>
  <c r="B997" i="4" a="1"/>
  <c r="B997" i="4" s="1"/>
  <c r="D997" i="4" a="1"/>
  <c r="D997" i="4" s="1"/>
  <c r="E975" i="4" a="1"/>
  <c r="E975" i="4" s="1"/>
  <c r="D975" i="4" a="1"/>
  <c r="D975" i="4" s="1"/>
  <c r="M977" i="4" a="1"/>
  <c r="M977" i="4" s="1"/>
  <c r="E977" i="4" a="1"/>
  <c r="E977" i="4" s="1"/>
  <c r="N977" i="4" a="1"/>
  <c r="N977" i="4" s="1"/>
  <c r="D977" i="4" a="1"/>
  <c r="D977" i="4" s="1"/>
  <c r="B977" i="4" a="1"/>
  <c r="B977" i="4" s="1"/>
  <c r="N982" i="4" a="1"/>
  <c r="N982" i="4" s="1"/>
  <c r="D982" i="4" a="1"/>
  <c r="D982" i="4" s="1"/>
  <c r="C982" i="4" a="1"/>
  <c r="C982" i="4" s="1"/>
  <c r="B982" i="4" a="1"/>
  <c r="B982" i="4" s="1"/>
  <c r="M985" i="4" a="1"/>
  <c r="M985" i="4" s="1"/>
  <c r="N985" i="4" a="1"/>
  <c r="N985" i="4" s="1"/>
  <c r="D985" i="4" a="1"/>
  <c r="D985" i="4" s="1"/>
  <c r="E985" i="4" a="1"/>
  <c r="E985" i="4" s="1"/>
  <c r="N868" i="4" a="1"/>
  <c r="N868" i="4" s="1"/>
  <c r="M868" i="4" a="1"/>
  <c r="M868" i="4" s="1"/>
  <c r="B869" i="4" a="1"/>
  <c r="B869" i="4" s="1"/>
  <c r="M900" i="4" a="1"/>
  <c r="M900" i="4" s="1"/>
  <c r="M917" i="4" a="1"/>
  <c r="M917" i="4" s="1"/>
  <c r="B953" i="4" a="1"/>
  <c r="B953" i="4" s="1"/>
  <c r="J954" i="4"/>
  <c r="E960" i="4" a="1"/>
  <c r="E960" i="4" s="1"/>
  <c r="C961" i="4" a="1"/>
  <c r="C961" i="4" s="1"/>
  <c r="D963" i="4" a="1"/>
  <c r="D963" i="4" s="1"/>
  <c r="E964" i="4" a="1"/>
  <c r="E964" i="4" s="1"/>
  <c r="N967" i="4" a="1"/>
  <c r="N967" i="4" s="1"/>
  <c r="E972" i="4" a="1"/>
  <c r="E972" i="4" s="1"/>
  <c r="E974" i="4" a="1"/>
  <c r="E974" i="4" s="1"/>
  <c r="J975" i="4"/>
  <c r="H975" i="4"/>
  <c r="E984" i="4" a="1"/>
  <c r="E984" i="4" s="1"/>
  <c r="E987" i="4" a="1"/>
  <c r="E987" i="4" s="1"/>
  <c r="B988" i="4" a="1"/>
  <c r="B988" i="4" s="1"/>
  <c r="C989" i="4" a="1"/>
  <c r="C989" i="4" s="1"/>
  <c r="H990" i="4"/>
  <c r="B993" i="4" a="1"/>
  <c r="B993" i="4" s="1"/>
  <c r="J994" i="4"/>
  <c r="E995" i="4" a="1"/>
  <c r="E995" i="4" s="1"/>
  <c r="B996" i="4" a="1"/>
  <c r="B996" i="4" s="1"/>
  <c r="E999" i="4" a="1"/>
  <c r="E999" i="4" s="1"/>
  <c r="M1000" i="4" a="1"/>
  <c r="M1000" i="4" s="1"/>
  <c r="B1002" i="4" a="1"/>
  <c r="B1002" i="4" s="1"/>
  <c r="H1002" i="4"/>
  <c r="M1003" i="4" a="1"/>
  <c r="M1003" i="4" s="1"/>
  <c r="M1004" i="4" a="1"/>
  <c r="M1004" i="4" s="1"/>
  <c r="N1004" i="4" a="1"/>
  <c r="N1004" i="4" s="1"/>
  <c r="M1005" i="4" a="1"/>
  <c r="M1005" i="4" s="1"/>
  <c r="H1005" i="4"/>
  <c r="M1008" i="4" a="1"/>
  <c r="M1008" i="4" s="1"/>
  <c r="E1008" i="4" a="1"/>
  <c r="E1008" i="4" s="1"/>
  <c r="C1008" i="4" a="1"/>
  <c r="C1008" i="4" s="1"/>
  <c r="J1011" i="4"/>
  <c r="H1011" i="4"/>
  <c r="D1012" i="4" a="1"/>
  <c r="D1012" i="4" s="1"/>
  <c r="C1016" i="4" a="1"/>
  <c r="C1016" i="4" s="1"/>
  <c r="C1021" i="4" a="1"/>
  <c r="C1021" i="4" s="1"/>
  <c r="N1021" i="4" a="1"/>
  <c r="N1021" i="4" s="1"/>
  <c r="E1017" i="4" a="1"/>
  <c r="E1017" i="4" s="1"/>
  <c r="B1017" i="4" a="1"/>
  <c r="B1017" i="4" s="1"/>
  <c r="N1017" i="4" a="1"/>
  <c r="N1017" i="4" s="1"/>
  <c r="C1019" i="4" a="1"/>
  <c r="C1019" i="4" s="1"/>
  <c r="D1019" i="4" a="1"/>
  <c r="D1019" i="4" s="1"/>
  <c r="D1023" i="4" a="1"/>
  <c r="D1023" i="4" s="1"/>
  <c r="C1023" i="4" a="1"/>
  <c r="C1023" i="4" s="1"/>
  <c r="M1031" i="4" a="1"/>
  <c r="M1031" i="4" s="1"/>
  <c r="N1031" i="4" a="1"/>
  <c r="N1031" i="4" s="1"/>
  <c r="E1031" i="4" a="1"/>
  <c r="E1031" i="4" s="1"/>
  <c r="C1031" i="4" a="1"/>
  <c r="C1031" i="4" s="1"/>
  <c r="M962" i="4" a="1"/>
  <c r="M962" i="4" s="1"/>
  <c r="D962" i="4" a="1"/>
  <c r="D962" i="4" s="1"/>
  <c r="M975" i="4" a="1"/>
  <c r="M975" i="4" s="1"/>
  <c r="N975" i="4" a="1"/>
  <c r="N975" i="4" s="1"/>
  <c r="D976" i="4" a="1"/>
  <c r="D976" i="4" s="1"/>
  <c r="C981" i="4" a="1"/>
  <c r="C981" i="4" s="1"/>
  <c r="D983" i="4" a="1"/>
  <c r="D983" i="4" s="1"/>
  <c r="M984" i="4" a="1"/>
  <c r="M984" i="4" s="1"/>
  <c r="N984" i="4" a="1"/>
  <c r="N984" i="4" s="1"/>
  <c r="C988" i="4" a="1"/>
  <c r="C988" i="4" s="1"/>
  <c r="E993" i="4" a="1"/>
  <c r="E993" i="4" s="1"/>
  <c r="N994" i="4" a="1"/>
  <c r="N994" i="4" s="1"/>
  <c r="E997" i="4" a="1"/>
  <c r="E997" i="4" s="1"/>
  <c r="E998" i="4" a="1"/>
  <c r="E998" i="4" s="1"/>
  <c r="C1002" i="4" a="1"/>
  <c r="C1002" i="4" s="1"/>
  <c r="N1005" i="4" a="1"/>
  <c r="N1005" i="4" s="1"/>
  <c r="E1005" i="4" a="1"/>
  <c r="E1005" i="4" s="1"/>
  <c r="C1017" i="4" a="1"/>
  <c r="C1017" i="4" s="1"/>
  <c r="J1018" i="4"/>
  <c r="H1018" i="4"/>
  <c r="M1019" i="4" a="1"/>
  <c r="M1019" i="4" s="1"/>
  <c r="M1023" i="4" a="1"/>
  <c r="M1023" i="4" s="1"/>
  <c r="M1030" i="4" a="1"/>
  <c r="M1030" i="4" s="1"/>
  <c r="N1030" i="4" a="1"/>
  <c r="N1030" i="4" s="1"/>
  <c r="E1030" i="4" a="1"/>
  <c r="E1030" i="4" s="1"/>
  <c r="D1030" i="4" a="1"/>
  <c r="D1030" i="4" s="1"/>
  <c r="C1030" i="4" a="1"/>
  <c r="C1030" i="4" s="1"/>
  <c r="B1030" i="4" a="1"/>
  <c r="B1030" i="4" s="1"/>
  <c r="D1033" i="4" a="1"/>
  <c r="D1033" i="4" s="1"/>
  <c r="C1033" i="4" a="1"/>
  <c r="C1033" i="4" s="1"/>
  <c r="B1033" i="4" a="1"/>
  <c r="B1033" i="4" s="1"/>
  <c r="N1033" i="4" a="1"/>
  <c r="N1033" i="4" s="1"/>
  <c r="E1033" i="4" a="1"/>
  <c r="E1033" i="4" s="1"/>
  <c r="H1025" i="4"/>
  <c r="J1025" i="4"/>
  <c r="B1003" i="4" a="1"/>
  <c r="B1003" i="4" s="1"/>
  <c r="D1004" i="4" a="1"/>
  <c r="D1004" i="4" s="1"/>
  <c r="B1009" i="4" a="1"/>
  <c r="B1009" i="4" s="1"/>
  <c r="D1015" i="4" a="1"/>
  <c r="D1015" i="4" s="1"/>
  <c r="B1018" i="4" a="1"/>
  <c r="B1018" i="4" s="1"/>
  <c r="N1018" i="4" a="1"/>
  <c r="N1018" i="4" s="1"/>
  <c r="E1018" i="4" a="1"/>
  <c r="E1018" i="4" s="1"/>
  <c r="M991" i="4" a="1"/>
  <c r="M991" i="4" s="1"/>
  <c r="D991" i="4" a="1"/>
  <c r="D991" i="4" s="1"/>
  <c r="N991" i="4" a="1"/>
  <c r="N991" i="4" s="1"/>
  <c r="D992" i="4" a="1"/>
  <c r="D992" i="4" s="1"/>
  <c r="C1013" i="4" a="1"/>
  <c r="C1013" i="4" s="1"/>
  <c r="D1013" i="4" a="1"/>
  <c r="D1013" i="4" s="1"/>
  <c r="N1013" i="4" a="1"/>
  <c r="N1013" i="4" s="1"/>
  <c r="D1024" i="4" a="1"/>
  <c r="D1024" i="4" s="1"/>
  <c r="C1024" i="4" a="1"/>
  <c r="C1024" i="4" s="1"/>
  <c r="B1024" i="4" a="1"/>
  <c r="B1024" i="4" s="1"/>
  <c r="D956" i="4" a="1"/>
  <c r="D956" i="4" s="1"/>
  <c r="B991" i="4" a="1"/>
  <c r="B991" i="4" s="1"/>
  <c r="N992" i="4" a="1"/>
  <c r="N992" i="4" s="1"/>
  <c r="J995" i="4"/>
  <c r="H995" i="4"/>
  <c r="E1003" i="4" a="1"/>
  <c r="E1003" i="4" s="1"/>
  <c r="H1008" i="4"/>
  <c r="D1009" i="4" a="1"/>
  <c r="D1009" i="4" s="1"/>
  <c r="M1013" i="4" a="1"/>
  <c r="M1013" i="4" s="1"/>
  <c r="E1020" i="4" a="1"/>
  <c r="E1020" i="4" s="1"/>
  <c r="E1024" i="4" a="1"/>
  <c r="E1024" i="4" s="1"/>
  <c r="N1028" i="4" a="1"/>
  <c r="N1028" i="4" s="1"/>
  <c r="E1028" i="4" a="1"/>
  <c r="E1028" i="4" s="1"/>
  <c r="M905" i="4" a="1"/>
  <c r="M905" i="4" s="1"/>
  <c r="M924" i="4" a="1"/>
  <c r="M924" i="4" s="1"/>
  <c r="E928" i="4" a="1"/>
  <c r="E928" i="4" s="1"/>
  <c r="N928" i="4" a="1"/>
  <c r="N928" i="4" s="1"/>
  <c r="N959" i="4" a="1"/>
  <c r="N959" i="4" s="1"/>
  <c r="N963" i="4" a="1"/>
  <c r="N963" i="4" s="1"/>
  <c r="B964" i="4" a="1"/>
  <c r="B964" i="4" s="1"/>
  <c r="M967" i="4" a="1"/>
  <c r="M967" i="4" s="1"/>
  <c r="H968" i="4"/>
  <c r="C972" i="4" a="1"/>
  <c r="C972" i="4" s="1"/>
  <c r="N974" i="4" a="1"/>
  <c r="N974" i="4" s="1"/>
  <c r="D974" i="4" a="1"/>
  <c r="D974" i="4" s="1"/>
  <c r="B983" i="4" a="1"/>
  <c r="B983" i="4" s="1"/>
  <c r="N983" i="4" a="1"/>
  <c r="N983" i="4" s="1"/>
  <c r="J989" i="4"/>
  <c r="M992" i="4" a="1"/>
  <c r="M992" i="4" s="1"/>
  <c r="B992" i="4" a="1"/>
  <c r="B992" i="4" s="1"/>
  <c r="J996" i="4"/>
  <c r="D999" i="4" a="1"/>
  <c r="D999" i="4" s="1"/>
  <c r="C1001" i="4" a="1"/>
  <c r="C1001" i="4" s="1"/>
  <c r="N1003" i="4" a="1"/>
  <c r="N1003" i="4" s="1"/>
  <c r="M1006" i="4" a="1"/>
  <c r="M1006" i="4" s="1"/>
  <c r="E1006" i="4" a="1"/>
  <c r="E1006" i="4" s="1"/>
  <c r="D1010" i="4" a="1"/>
  <c r="D1010" i="4" s="1"/>
  <c r="B1010" i="4" a="1"/>
  <c r="B1010" i="4" s="1"/>
  <c r="M1012" i="4" a="1"/>
  <c r="M1012" i="4" s="1"/>
  <c r="C1012" i="4" a="1"/>
  <c r="C1012" i="4" s="1"/>
  <c r="B1012" i="4" a="1"/>
  <c r="B1012" i="4" s="1"/>
  <c r="B1014" i="4" a="1"/>
  <c r="B1014" i="4" s="1"/>
  <c r="C1014" i="4" a="1"/>
  <c r="C1014" i="4" s="1"/>
  <c r="B1016" i="4" a="1"/>
  <c r="B1016" i="4" s="1"/>
  <c r="E1016" i="4" a="1"/>
  <c r="E1016" i="4" s="1"/>
  <c r="B1026" i="4" a="1"/>
  <c r="B1026" i="4" s="1"/>
  <c r="E1032" i="4" a="1"/>
  <c r="E1032" i="4" s="1"/>
  <c r="C1035" i="4" a="1"/>
  <c r="C1035" i="4" s="1"/>
  <c r="B1037" i="4" a="1"/>
  <c r="B1037" i="4" s="1"/>
  <c r="D1038" i="4" a="1"/>
  <c r="D1038" i="4" s="1"/>
  <c r="N1038" i="4" a="1"/>
  <c r="N1038" i="4" s="1"/>
  <c r="B1025" i="4" a="1"/>
  <c r="B1025" i="4" s="1"/>
  <c r="N1032" i="4" a="1"/>
  <c r="N1032" i="4" s="1"/>
  <c r="E1038" i="4" a="1"/>
  <c r="E1038" i="4" s="1"/>
  <c r="J1054" i="4"/>
  <c r="J1056" i="4"/>
  <c r="D1037" i="4" a="1"/>
  <c r="D1037" i="4" s="1"/>
  <c r="J1012" i="4"/>
  <c r="J1014" i="4"/>
  <c r="J1020" i="4"/>
  <c r="D1026" i="4" a="1"/>
  <c r="D1026" i="4" s="1"/>
  <c r="E1037" i="4" a="1"/>
  <c r="E1037" i="4" s="1"/>
  <c r="J1042" i="4"/>
  <c r="N922" i="4" a="1"/>
  <c r="N922" i="4" s="1"/>
  <c r="B929" i="4" a="1"/>
  <c r="B929" i="4" s="1"/>
  <c r="M935" i="4" a="1"/>
  <c r="M935" i="4" s="1"/>
  <c r="M943" i="4" a="1"/>
  <c r="M943" i="4" s="1"/>
  <c r="N951" i="4" a="1"/>
  <c r="N951" i="4" s="1"/>
  <c r="M953" i="4" a="1"/>
  <c r="M953" i="4" s="1"/>
  <c r="E966" i="4" a="1"/>
  <c r="E966" i="4" s="1"/>
  <c r="M993" i="4" a="1"/>
  <c r="M993" i="4" s="1"/>
  <c r="N1007" i="4" a="1"/>
  <c r="N1007" i="4" s="1"/>
  <c r="C1011" i="4" a="1"/>
  <c r="C1011" i="4" s="1"/>
  <c r="C1032" i="4" a="1"/>
  <c r="C1032" i="4" s="1"/>
  <c r="M1038" i="4" a="1"/>
  <c r="M1038" i="4" s="1"/>
  <c r="E1040" i="4" a="1"/>
  <c r="E1040" i="4" s="1"/>
  <c r="M1009" i="4" a="1"/>
  <c r="M1009" i="4" s="1"/>
  <c r="E1009" i="4" a="1"/>
  <c r="E1009" i="4" s="1"/>
  <c r="M1020" i="4" a="1"/>
  <c r="M1020" i="4" s="1"/>
  <c r="B1020" i="4" a="1"/>
  <c r="B1020" i="4" s="1"/>
  <c r="M1028" i="4" a="1"/>
  <c r="M1028" i="4" s="1"/>
  <c r="B1028" i="4" a="1"/>
  <c r="B1028" i="4" s="1"/>
  <c r="C1029" i="4" a="1"/>
  <c r="C1029" i="4" s="1"/>
  <c r="D1029" i="4" a="1"/>
  <c r="D1029" i="4" s="1"/>
  <c r="M1034" i="4" a="1"/>
  <c r="M1034" i="4" s="1"/>
  <c r="D1034" i="4" a="1"/>
  <c r="D1034" i="4" s="1"/>
  <c r="N1035" i="4" a="1"/>
  <c r="N1035" i="4" s="1"/>
  <c r="B1035" i="4" a="1"/>
  <c r="B1035" i="4" s="1"/>
  <c r="M1035" i="4" a="1"/>
  <c r="M1035" i="4" s="1"/>
  <c r="E1035" i="4" a="1"/>
  <c r="E1035" i="4" s="1"/>
  <c r="C1037" i="4" a="1"/>
  <c r="C1037" i="4" s="1"/>
  <c r="N1037" i="4" a="1"/>
  <c r="N1037" i="4" s="1"/>
  <c r="C1043" i="4" a="1"/>
  <c r="C1043" i="4" s="1"/>
  <c r="M1043" i="4" a="1"/>
  <c r="M1043" i="4" s="1"/>
  <c r="E1043" i="4" a="1"/>
  <c r="E1043" i="4" s="1"/>
  <c r="J1043" i="4"/>
  <c r="H1043" i="4"/>
  <c r="M1044" i="4" a="1"/>
  <c r="M1044" i="4" s="1"/>
  <c r="C1044" i="4" a="1"/>
  <c r="C1044" i="4" s="1"/>
  <c r="D1045" i="4" a="1"/>
  <c r="D1045" i="4" s="1"/>
  <c r="B1045" i="4" a="1"/>
  <c r="B1045" i="4" s="1"/>
  <c r="D1046" i="4" a="1"/>
  <c r="D1046" i="4" s="1"/>
  <c r="C1046" i="4" a="1"/>
  <c r="C1046" i="4" s="1"/>
  <c r="E1049" i="4" a="1"/>
  <c r="E1049" i="4" s="1"/>
  <c r="N1049" i="4" a="1"/>
  <c r="N1049" i="4" s="1"/>
  <c r="D1049" i="4" a="1"/>
  <c r="D1049" i="4" s="1"/>
  <c r="M1053" i="4" a="1"/>
  <c r="M1053" i="4" s="1"/>
  <c r="E1053" i="4" a="1"/>
  <c r="E1053" i="4" s="1"/>
  <c r="E1057" i="4" a="1"/>
  <c r="E1057" i="4" s="1"/>
  <c r="C1057" i="4" a="1"/>
  <c r="C1057" i="4" s="1"/>
  <c r="N1058" i="4" a="1"/>
  <c r="N1058" i="4" s="1"/>
  <c r="E1058" i="4" a="1"/>
  <c r="E1058" i="4" s="1"/>
  <c r="N1062" i="4" a="1"/>
  <c r="N1062" i="4" s="1"/>
  <c r="C1062" i="4" a="1"/>
  <c r="C1062" i="4" s="1"/>
  <c r="M1064" i="4" a="1"/>
  <c r="M1064" i="4" s="1"/>
  <c r="B1064" i="4" a="1"/>
  <c r="B1064" i="4" s="1"/>
  <c r="M1066" i="4" a="1"/>
  <c r="M1066" i="4" s="1"/>
  <c r="E1066" i="4" a="1"/>
  <c r="E1066" i="4" s="1"/>
  <c r="B1066" i="4" a="1"/>
  <c r="B1066" i="4" s="1"/>
  <c r="C1015" i="4" a="1"/>
  <c r="C1015" i="4" s="1"/>
  <c r="N1015" i="4" a="1"/>
  <c r="N1015" i="4" s="1"/>
  <c r="D1021" i="4" a="1"/>
  <c r="D1021" i="4" s="1"/>
  <c r="B1023" i="4" a="1"/>
  <c r="B1023" i="4" s="1"/>
  <c r="B1032" i="4" a="1"/>
  <c r="B1032" i="4" s="1"/>
  <c r="E1045" i="4" a="1"/>
  <c r="E1045" i="4" s="1"/>
  <c r="E1052" i="4" a="1"/>
  <c r="E1052" i="4" s="1"/>
  <c r="N1061" i="4" a="1"/>
  <c r="N1061" i="4" s="1"/>
  <c r="E1061" i="4" a="1"/>
  <c r="E1061" i="4" s="1"/>
  <c r="B1079" i="4" a="1"/>
  <c r="B1079" i="4" s="1"/>
  <c r="N1079" i="4" a="1"/>
  <c r="N1079" i="4" s="1"/>
  <c r="B1081" i="4" a="1"/>
  <c r="B1081" i="4" s="1"/>
  <c r="M1082" i="4" a="1"/>
  <c r="M1082" i="4" s="1"/>
  <c r="J1082" i="4"/>
  <c r="N1072" i="4" a="1"/>
  <c r="N1072" i="4" s="1"/>
  <c r="M1139" i="4" a="1"/>
  <c r="M1139" i="4" s="1"/>
  <c r="D1040" i="4" a="1"/>
  <c r="D1040" i="4" s="1"/>
  <c r="M1048" i="4" a="1"/>
  <c r="M1048" i="4" s="1"/>
  <c r="E1064" i="4" a="1"/>
  <c r="E1064" i="4" s="1"/>
  <c r="D1074" i="4" a="1"/>
  <c r="D1074" i="4" s="1"/>
  <c r="C1076" i="4" a="1"/>
  <c r="C1076" i="4" s="1"/>
  <c r="H1079" i="4"/>
  <c r="H1094" i="4"/>
  <c r="C1113" i="4" a="1"/>
  <c r="C1113" i="4" s="1"/>
  <c r="C1128" i="4" a="1"/>
  <c r="C1128" i="4" s="1"/>
  <c r="C1130" i="4" a="1"/>
  <c r="C1130" i="4" s="1"/>
  <c r="N1130" i="4" a="1"/>
  <c r="N1130" i="4" s="1"/>
  <c r="N1078" i="4" a="1"/>
  <c r="N1078" i="4" s="1"/>
  <c r="N1111" i="4" a="1"/>
  <c r="N1111" i="4" s="1"/>
  <c r="E1130" i="4" a="1"/>
  <c r="E1130" i="4" s="1"/>
  <c r="M1010" i="4" a="1"/>
  <c r="M1010" i="4" s="1"/>
  <c r="E1010" i="4" a="1"/>
  <c r="E1010" i="4" s="1"/>
  <c r="M1014" i="4" a="1"/>
  <c r="M1014" i="4" s="1"/>
  <c r="D1014" i="4" a="1"/>
  <c r="D1014" i="4" s="1"/>
  <c r="M1018" i="4" a="1"/>
  <c r="M1018" i="4" s="1"/>
  <c r="C1018" i="4" a="1"/>
  <c r="C1018" i="4" s="1"/>
  <c r="N1019" i="4" a="1"/>
  <c r="N1019" i="4" s="1"/>
  <c r="B1019" i="4" a="1"/>
  <c r="B1019" i="4" s="1"/>
  <c r="M1022" i="4" a="1"/>
  <c r="M1022" i="4" s="1"/>
  <c r="B1022" i="4" a="1"/>
  <c r="B1022" i="4" s="1"/>
  <c r="M1024" i="4" a="1"/>
  <c r="M1024" i="4" s="1"/>
  <c r="N1024" i="4" a="1"/>
  <c r="N1024" i="4" s="1"/>
  <c r="C1025" i="4" a="1"/>
  <c r="C1025" i="4" s="1"/>
  <c r="M1025" i="4" a="1"/>
  <c r="M1025" i="4" s="1"/>
  <c r="E1027" i="4" a="1"/>
  <c r="E1027" i="4" s="1"/>
  <c r="D1027" i="4" a="1"/>
  <c r="D1027" i="4" s="1"/>
  <c r="D1031" i="4" a="1"/>
  <c r="D1031" i="4" s="1"/>
  <c r="B1031" i="4" a="1"/>
  <c r="B1031" i="4" s="1"/>
  <c r="J1031" i="4"/>
  <c r="H1031" i="4"/>
  <c r="M1040" i="4" a="1"/>
  <c r="M1040" i="4" s="1"/>
  <c r="C1040" i="4" a="1"/>
  <c r="C1040" i="4" s="1"/>
  <c r="M1042" i="4" a="1"/>
  <c r="M1042" i="4" s="1"/>
  <c r="C1042" i="4" a="1"/>
  <c r="C1042" i="4" s="1"/>
  <c r="J1046" i="4"/>
  <c r="H1046" i="4"/>
  <c r="B1047" i="4" a="1"/>
  <c r="B1047" i="4" s="1"/>
  <c r="M1047" i="4" a="1"/>
  <c r="M1047" i="4" s="1"/>
  <c r="M1050" i="4" a="1"/>
  <c r="M1050" i="4" s="1"/>
  <c r="N1050" i="4" a="1"/>
  <c r="N1050" i="4" s="1"/>
  <c r="B1050" i="4" a="1"/>
  <c r="B1050" i="4" s="1"/>
  <c r="M1070" i="4" a="1"/>
  <c r="M1070" i="4" s="1"/>
  <c r="B1070" i="4" a="1"/>
  <c r="B1070" i="4" s="1"/>
  <c r="M1072" i="4" a="1"/>
  <c r="M1072" i="4" s="1"/>
  <c r="E1072" i="4" a="1"/>
  <c r="E1072" i="4" s="1"/>
  <c r="H1077" i="4"/>
  <c r="J1077" i="4"/>
  <c r="M1080" i="4" a="1"/>
  <c r="M1080" i="4" s="1"/>
  <c r="B1080" i="4" a="1"/>
  <c r="B1080" i="4" s="1"/>
  <c r="M1083" i="4" a="1"/>
  <c r="M1083" i="4" s="1"/>
  <c r="E1083" i="4" a="1"/>
  <c r="E1083" i="4" s="1"/>
  <c r="H1099" i="4"/>
  <c r="J1099" i="4"/>
  <c r="H1102" i="4"/>
  <c r="J1102" i="4"/>
  <c r="M1110" i="4" a="1"/>
  <c r="M1110" i="4" s="1"/>
  <c r="B1110" i="4" a="1"/>
  <c r="B1110" i="4" s="1"/>
  <c r="C1110" i="4" a="1"/>
  <c r="C1110" i="4" s="1"/>
  <c r="J1111" i="4"/>
  <c r="H1111" i="4"/>
  <c r="N1114" i="4" a="1"/>
  <c r="N1114" i="4" s="1"/>
  <c r="D1114" i="4" a="1"/>
  <c r="D1114" i="4" s="1"/>
  <c r="J1114" i="4"/>
  <c r="H1114" i="4"/>
  <c r="M1118" i="4" a="1"/>
  <c r="M1118" i="4" s="1"/>
  <c r="D1118" i="4" a="1"/>
  <c r="D1118" i="4" s="1"/>
  <c r="M1120" i="4" a="1"/>
  <c r="M1120" i="4" s="1"/>
  <c r="N1120" i="4" a="1"/>
  <c r="N1120" i="4" s="1"/>
  <c r="E1120" i="4" a="1"/>
  <c r="E1120" i="4" s="1"/>
  <c r="N1122" i="4" a="1"/>
  <c r="N1122" i="4" s="1"/>
  <c r="D1122" i="4" a="1"/>
  <c r="D1122" i="4" s="1"/>
  <c r="J1123" i="4"/>
  <c r="H1123" i="4"/>
  <c r="N1127" i="4" a="1"/>
  <c r="N1127" i="4" s="1"/>
  <c r="D1127" i="4" a="1"/>
  <c r="D1127" i="4" s="1"/>
  <c r="J1139" i="4"/>
  <c r="H1139" i="4"/>
  <c r="M1157" i="4" a="1"/>
  <c r="M1157" i="4" s="1"/>
  <c r="C1157" i="4" a="1"/>
  <c r="C1157" i="4" s="1"/>
  <c r="J1159" i="4"/>
  <c r="H1159" i="4"/>
  <c r="D1161" i="4" a="1"/>
  <c r="D1161" i="4" s="1"/>
  <c r="N1161" i="4" a="1"/>
  <c r="N1161" i="4" s="1"/>
  <c r="E1161" i="4" a="1"/>
  <c r="E1161" i="4" s="1"/>
  <c r="C1161" i="4" a="1"/>
  <c r="C1161" i="4" s="1"/>
  <c r="C1171" i="4" a="1"/>
  <c r="C1171" i="4" s="1"/>
  <c r="B1171" i="4" a="1"/>
  <c r="B1171" i="4" s="1"/>
  <c r="E1173" i="4" a="1"/>
  <c r="E1173" i="4" s="1"/>
  <c r="C1173" i="4" a="1"/>
  <c r="C1173" i="4" s="1"/>
  <c r="M1173" i="4" a="1"/>
  <c r="M1173" i="4" s="1"/>
  <c r="J1176" i="4"/>
  <c r="H1176" i="4"/>
  <c r="N1179" i="4" a="1"/>
  <c r="N1179" i="4" s="1"/>
  <c r="D1179" i="4" a="1"/>
  <c r="D1179" i="4" s="1"/>
  <c r="N1181" i="4" a="1"/>
  <c r="N1181" i="4" s="1"/>
  <c r="E1181" i="4" a="1"/>
  <c r="E1181" i="4" s="1"/>
  <c r="J1183" i="4"/>
  <c r="H1183" i="4"/>
  <c r="M1185" i="4" a="1"/>
  <c r="M1185" i="4" s="1"/>
  <c r="E1185" i="4" a="1"/>
  <c r="E1185" i="4" s="1"/>
  <c r="D1187" i="4" a="1"/>
  <c r="D1187" i="4" s="1"/>
  <c r="N1187" i="4" a="1"/>
  <c r="N1187" i="4" s="1"/>
  <c r="C1188" i="4" a="1"/>
  <c r="C1188" i="4" s="1"/>
  <c r="B1188" i="4" a="1"/>
  <c r="B1188" i="4" s="1"/>
  <c r="J1189" i="4"/>
  <c r="H1189" i="4"/>
  <c r="J1190" i="4"/>
  <c r="H1190" i="4"/>
  <c r="H1194" i="4"/>
  <c r="J1194" i="4"/>
  <c r="M1197" i="4" a="1"/>
  <c r="M1197" i="4" s="1"/>
  <c r="B1197" i="4" a="1"/>
  <c r="B1197" i="4" s="1"/>
  <c r="M1200" i="4" a="1"/>
  <c r="M1200" i="4" s="1"/>
  <c r="D1200" i="4" a="1"/>
  <c r="D1200" i="4" s="1"/>
  <c r="M1201" i="4" a="1"/>
  <c r="M1201" i="4" s="1"/>
  <c r="N1201" i="4" a="1"/>
  <c r="N1201" i="4" s="1"/>
  <c r="E1201" i="4" a="1"/>
  <c r="E1201" i="4" s="1"/>
  <c r="C1201" i="4" a="1"/>
  <c r="C1201" i="4" s="1"/>
  <c r="J1203" i="4"/>
  <c r="H1203" i="4"/>
  <c r="M1208" i="4" a="1"/>
  <c r="M1208" i="4" s="1"/>
  <c r="C1208" i="4" a="1"/>
  <c r="C1208" i="4" s="1"/>
  <c r="H1215" i="4"/>
  <c r="J1215" i="4"/>
  <c r="E1216" i="4" a="1"/>
  <c r="E1216" i="4" s="1"/>
  <c r="C1216" i="4" a="1"/>
  <c r="C1216" i="4" s="1"/>
  <c r="C1223" i="4" a="1"/>
  <c r="C1223" i="4" s="1"/>
  <c r="D1223" i="4" a="1"/>
  <c r="D1223" i="4" s="1"/>
  <c r="B1223" i="4" a="1"/>
  <c r="B1223" i="4" s="1"/>
  <c r="B1225" i="4" a="1"/>
  <c r="B1225" i="4" s="1"/>
  <c r="E1225" i="4" a="1"/>
  <c r="E1225" i="4" s="1"/>
  <c r="M1230" i="4" a="1"/>
  <c r="M1230" i="4" s="1"/>
  <c r="E1230" i="4" a="1"/>
  <c r="E1230" i="4" s="1"/>
  <c r="B1230" i="4" a="1"/>
  <c r="B1230" i="4" s="1"/>
  <c r="J1237" i="4"/>
  <c r="H1237" i="4"/>
  <c r="J1243" i="4"/>
  <c r="H1243" i="4"/>
  <c r="H1244" i="4"/>
  <c r="J1244" i="4"/>
  <c r="B1246" i="4" a="1"/>
  <c r="B1246" i="4" s="1"/>
  <c r="E1246" i="4" a="1"/>
  <c r="E1246" i="4" s="1"/>
  <c r="M1246" i="4" a="1"/>
  <c r="M1246" i="4" s="1"/>
  <c r="C1246" i="4" a="1"/>
  <c r="C1246" i="4" s="1"/>
  <c r="E1247" i="4" a="1"/>
  <c r="E1247" i="4" s="1"/>
  <c r="M1247" i="4" a="1"/>
  <c r="M1247" i="4" s="1"/>
  <c r="D1247" i="4" a="1"/>
  <c r="D1247" i="4" s="1"/>
  <c r="C1247" i="4" a="1"/>
  <c r="C1247" i="4" s="1"/>
  <c r="C1249" i="4" a="1"/>
  <c r="C1249" i="4" s="1"/>
  <c r="B1249" i="4" a="1"/>
  <c r="B1249" i="4" s="1"/>
  <c r="B1256" i="4" a="1"/>
  <c r="B1256" i="4" s="1"/>
  <c r="E1256" i="4" a="1"/>
  <c r="E1256" i="4" s="1"/>
  <c r="D1256" i="4" a="1"/>
  <c r="D1256" i="4" s="1"/>
  <c r="J1261" i="4"/>
  <c r="H1261" i="4"/>
  <c r="M1263" i="4" a="1"/>
  <c r="M1263" i="4" s="1"/>
  <c r="E1263" i="4" a="1"/>
  <c r="E1263" i="4" s="1"/>
  <c r="D1263" i="4" a="1"/>
  <c r="D1263" i="4" s="1"/>
  <c r="B1263" i="4" a="1"/>
  <c r="B1263" i="4" s="1"/>
  <c r="M1264" i="4" a="1"/>
  <c r="M1264" i="4" s="1"/>
  <c r="N1264" i="4" a="1"/>
  <c r="N1264" i="4" s="1"/>
  <c r="B1264" i="4" a="1"/>
  <c r="B1264" i="4" s="1"/>
  <c r="E1264" i="4" a="1"/>
  <c r="E1264" i="4" s="1"/>
  <c r="C1264" i="4" a="1"/>
  <c r="C1264" i="4" s="1"/>
  <c r="N1269" i="4" a="1"/>
  <c r="N1269" i="4" s="1"/>
  <c r="E1269" i="4" a="1"/>
  <c r="E1269" i="4" s="1"/>
  <c r="D1271" i="4" a="1"/>
  <c r="D1271" i="4" s="1"/>
  <c r="C1271" i="4" a="1"/>
  <c r="C1271" i="4" s="1"/>
  <c r="N1273" i="4" a="1"/>
  <c r="N1273" i="4" s="1"/>
  <c r="E1273" i="4" a="1"/>
  <c r="E1273" i="4" s="1"/>
  <c r="D1273" i="4" a="1"/>
  <c r="D1273" i="4" s="1"/>
  <c r="E1276" i="4" a="1"/>
  <c r="E1276" i="4" s="1"/>
  <c r="M1276" i="4" a="1"/>
  <c r="M1276" i="4" s="1"/>
  <c r="C1276" i="4" a="1"/>
  <c r="C1276" i="4" s="1"/>
  <c r="N1279" i="4" a="1"/>
  <c r="N1279" i="4" s="1"/>
  <c r="D1279" i="4" a="1"/>
  <c r="D1279" i="4" s="1"/>
  <c r="N1281" i="4" a="1"/>
  <c r="N1281" i="4" s="1"/>
  <c r="D1281" i="4" a="1"/>
  <c r="D1281" i="4" s="1"/>
  <c r="E1281" i="4" a="1"/>
  <c r="E1281" i="4" s="1"/>
  <c r="M1286" i="4" a="1"/>
  <c r="M1286" i="4" s="1"/>
  <c r="E1286" i="4" a="1"/>
  <c r="E1286" i="4" s="1"/>
  <c r="B1287" i="4" a="1"/>
  <c r="B1287" i="4" s="1"/>
  <c r="M1287" i="4" a="1"/>
  <c r="M1287" i="4" s="1"/>
  <c r="E1287" i="4" a="1"/>
  <c r="E1287" i="4" s="1"/>
  <c r="J1288" i="4"/>
  <c r="H1288" i="4"/>
  <c r="J1290" i="4"/>
  <c r="H1290" i="4"/>
  <c r="B1291" i="4" a="1"/>
  <c r="B1291" i="4" s="1"/>
  <c r="E1291" i="4" a="1"/>
  <c r="E1291" i="4" s="1"/>
  <c r="C1291" i="4" a="1"/>
  <c r="C1291" i="4" s="1"/>
  <c r="M1291" i="4" a="1"/>
  <c r="M1291" i="4" s="1"/>
  <c r="D1291" i="4" a="1"/>
  <c r="D1291" i="4" s="1"/>
  <c r="B1251" i="4" a="1"/>
  <c r="B1251" i="4" s="1"/>
  <c r="C1260" i="4" a="1"/>
  <c r="C1260" i="4" s="1"/>
  <c r="N1260" i="4" a="1"/>
  <c r="N1260" i="4" s="1"/>
  <c r="H1263" i="4"/>
  <c r="J1266" i="4"/>
  <c r="H1266" i="4"/>
  <c r="H1274" i="4"/>
  <c r="C1282" i="4" a="1"/>
  <c r="C1282" i="4" s="1"/>
  <c r="H1285" i="4"/>
  <c r="J1286" i="4"/>
  <c r="H1286" i="4"/>
  <c r="D1290" i="4" a="1"/>
  <c r="D1290" i="4" s="1"/>
  <c r="C1290" i="4" a="1"/>
  <c r="C1290" i="4" s="1"/>
  <c r="B1290" i="4" a="1"/>
  <c r="B1290" i="4" s="1"/>
  <c r="J1293" i="4"/>
  <c r="H1293" i="4"/>
  <c r="M1295" i="4" a="1"/>
  <c r="M1295" i="4" s="1"/>
  <c r="D1295" i="4" a="1"/>
  <c r="D1295" i="4" s="1"/>
  <c r="B1295" i="4" a="1"/>
  <c r="B1295" i="4" s="1"/>
  <c r="E1302" i="4" a="1"/>
  <c r="E1302" i="4" s="1"/>
  <c r="M1303" i="4" a="1"/>
  <c r="M1303" i="4" s="1"/>
  <c r="D1303" i="4" a="1"/>
  <c r="D1303" i="4" s="1"/>
  <c r="N1303" i="4" a="1"/>
  <c r="N1303" i="4" s="1"/>
  <c r="C1303" i="4" a="1"/>
  <c r="C1303" i="4" s="1"/>
  <c r="C1304" i="4" a="1"/>
  <c r="C1304" i="4" s="1"/>
  <c r="N1304" i="4" a="1"/>
  <c r="N1304" i="4" s="1"/>
  <c r="N1323" i="4" a="1"/>
  <c r="N1323" i="4" s="1"/>
  <c r="D1334" i="4" a="1"/>
  <c r="D1334" i="4" s="1"/>
  <c r="N1334" i="4" a="1"/>
  <c r="N1334" i="4" s="1"/>
  <c r="J1205" i="4"/>
  <c r="H1205" i="4"/>
  <c r="M1219" i="4" a="1"/>
  <c r="M1219" i="4" s="1"/>
  <c r="M1220" i="4" a="1"/>
  <c r="M1220" i="4" s="1"/>
  <c r="D1221" i="4" a="1"/>
  <c r="D1221" i="4" s="1"/>
  <c r="C1221" i="4" a="1"/>
  <c r="C1221" i="4" s="1"/>
  <c r="H1236" i="4"/>
  <c r="J1249" i="4"/>
  <c r="H1249" i="4"/>
  <c r="C1252" i="4" a="1"/>
  <c r="C1252" i="4" s="1"/>
  <c r="D1260" i="4" a="1"/>
  <c r="D1260" i="4" s="1"/>
  <c r="E1261" i="4" a="1"/>
  <c r="E1261" i="4" s="1"/>
  <c r="D1261" i="4" a="1"/>
  <c r="D1261" i="4" s="1"/>
  <c r="C1261" i="4" a="1"/>
  <c r="C1261" i="4" s="1"/>
  <c r="J1289" i="4"/>
  <c r="H1289" i="4"/>
  <c r="M1290" i="4" a="1"/>
  <c r="M1290" i="4" s="1"/>
  <c r="H1307" i="4"/>
  <c r="J1307" i="4"/>
  <c r="J1308" i="4"/>
  <c r="C1312" i="4" a="1"/>
  <c r="C1312" i="4" s="1"/>
  <c r="M1312" i="4" a="1"/>
  <c r="M1312" i="4" s="1"/>
  <c r="E1312" i="4" a="1"/>
  <c r="E1312" i="4" s="1"/>
  <c r="N1312" i="4" a="1"/>
  <c r="N1312" i="4" s="1"/>
  <c r="N1322" i="4" a="1"/>
  <c r="N1322" i="4" s="1"/>
  <c r="D1322" i="4" a="1"/>
  <c r="D1322" i="4" s="1"/>
  <c r="C1332" i="4" a="1"/>
  <c r="C1332" i="4" s="1"/>
  <c r="N1332" i="4" a="1"/>
  <c r="N1332" i="4" s="1"/>
  <c r="E1332" i="4" a="1"/>
  <c r="E1332" i="4" s="1"/>
  <c r="D1332" i="4" a="1"/>
  <c r="D1332" i="4" s="1"/>
  <c r="C1340" i="4" a="1"/>
  <c r="C1340" i="4" s="1"/>
  <c r="N1340" i="4" a="1"/>
  <c r="N1340" i="4" s="1"/>
  <c r="D1340" i="4" a="1"/>
  <c r="D1340" i="4" s="1"/>
  <c r="E1340" i="4" a="1"/>
  <c r="E1340" i="4" s="1"/>
  <c r="M1341" i="4" a="1"/>
  <c r="M1341" i="4" s="1"/>
  <c r="C1341" i="4" a="1"/>
  <c r="C1341" i="4" s="1"/>
  <c r="D1341" i="4" a="1"/>
  <c r="D1341" i="4" s="1"/>
  <c r="N1341" i="4" a="1"/>
  <c r="N1341" i="4" s="1"/>
  <c r="B1341" i="4" a="1"/>
  <c r="B1341" i="4" s="1"/>
  <c r="D1182" i="4" a="1"/>
  <c r="D1182" i="4" s="1"/>
  <c r="E1186" i="4" a="1"/>
  <c r="E1186" i="4" s="1"/>
  <c r="M1196" i="4" a="1"/>
  <c r="M1196" i="4" s="1"/>
  <c r="H1212" i="4"/>
  <c r="E1221" i="4" a="1"/>
  <c r="E1221" i="4" s="1"/>
  <c r="E1226" i="4" a="1"/>
  <c r="E1226" i="4" s="1"/>
  <c r="B1226" i="4" a="1"/>
  <c r="B1226" i="4" s="1"/>
  <c r="H1235" i="4"/>
  <c r="M1242" i="4" a="1"/>
  <c r="M1242" i="4" s="1"/>
  <c r="E1242" i="4" a="1"/>
  <c r="E1242" i="4" s="1"/>
  <c r="N1242" i="4" a="1"/>
  <c r="N1242" i="4" s="1"/>
  <c r="D1242" i="4" a="1"/>
  <c r="D1242" i="4" s="1"/>
  <c r="J1247" i="4"/>
  <c r="D1253" i="4" a="1"/>
  <c r="D1253" i="4" s="1"/>
  <c r="M1253" i="4" a="1"/>
  <c r="M1253" i="4" s="1"/>
  <c r="B1255" i="4" a="1"/>
  <c r="B1255" i="4" s="1"/>
  <c r="J1258" i="4"/>
  <c r="E1260" i="4" a="1"/>
  <c r="E1260" i="4" s="1"/>
  <c r="B1261" i="4" a="1"/>
  <c r="B1261" i="4" s="1"/>
  <c r="M1261" i="4" a="1"/>
  <c r="M1261" i="4" s="1"/>
  <c r="C1262" i="4" a="1"/>
  <c r="C1262" i="4" s="1"/>
  <c r="H1271" i="4"/>
  <c r="H1279" i="4"/>
  <c r="E1290" i="4" a="1"/>
  <c r="E1290" i="4" s="1"/>
  <c r="C1292" i="4" a="1"/>
  <c r="C1292" i="4" s="1"/>
  <c r="E1295" i="4" a="1"/>
  <c r="E1295" i="4" s="1"/>
  <c r="N1295" i="4" a="1"/>
  <c r="N1295" i="4" s="1"/>
  <c r="M1297" i="4" a="1"/>
  <c r="M1297" i="4" s="1"/>
  <c r="C1297" i="4" a="1"/>
  <c r="C1297" i="4" s="1"/>
  <c r="N1297" i="4" a="1"/>
  <c r="N1297" i="4" s="1"/>
  <c r="E1297" i="4" a="1"/>
  <c r="E1297" i="4" s="1"/>
  <c r="H1301" i="4"/>
  <c r="J1301" i="4"/>
  <c r="D1312" i="4" a="1"/>
  <c r="D1312" i="4" s="1"/>
  <c r="E1314" i="4" a="1"/>
  <c r="E1314" i="4" s="1"/>
  <c r="D1314" i="4" a="1"/>
  <c r="D1314" i="4" s="1"/>
  <c r="N1314" i="4" a="1"/>
  <c r="N1314" i="4" s="1"/>
  <c r="C1314" i="4" a="1"/>
  <c r="C1314" i="4" s="1"/>
  <c r="B1314" i="4" a="1"/>
  <c r="B1314" i="4" s="1"/>
  <c r="M1314" i="4" a="1"/>
  <c r="M1314" i="4" s="1"/>
  <c r="N1330" i="4" a="1"/>
  <c r="N1330" i="4" s="1"/>
  <c r="M1330" i="4" a="1"/>
  <c r="M1330" i="4" s="1"/>
  <c r="E1330" i="4" a="1"/>
  <c r="E1330" i="4" s="1"/>
  <c r="B1330" i="4" a="1"/>
  <c r="B1330" i="4" s="1"/>
  <c r="B1331" i="4" a="1"/>
  <c r="B1331" i="4" s="1"/>
  <c r="H1334" i="4"/>
  <c r="J1334" i="4"/>
  <c r="B1340" i="4" a="1"/>
  <c r="B1340" i="4" s="1"/>
  <c r="H1357" i="4"/>
  <c r="J1357" i="4"/>
  <c r="D1296" i="4" a="1"/>
  <c r="D1296" i="4" s="1"/>
  <c r="M1296" i="4" a="1"/>
  <c r="M1296" i="4" s="1"/>
  <c r="E1296" i="4" a="1"/>
  <c r="E1296" i="4" s="1"/>
  <c r="M1315" i="4" a="1"/>
  <c r="M1315" i="4" s="1"/>
  <c r="N1315" i="4" a="1"/>
  <c r="N1315" i="4" s="1"/>
  <c r="E1315" i="4" a="1"/>
  <c r="E1315" i="4" s="1"/>
  <c r="D1315" i="4" a="1"/>
  <c r="D1315" i="4" s="1"/>
  <c r="N1317" i="4" a="1"/>
  <c r="N1317" i="4" s="1"/>
  <c r="D1317" i="4" a="1"/>
  <c r="D1317" i="4" s="1"/>
  <c r="C1317" i="4" a="1"/>
  <c r="C1317" i="4" s="1"/>
  <c r="B1317" i="4" a="1"/>
  <c r="B1317" i="4" s="1"/>
  <c r="D1319" i="4" a="1"/>
  <c r="D1319" i="4" s="1"/>
  <c r="N1319" i="4" a="1"/>
  <c r="N1319" i="4" s="1"/>
  <c r="C1319" i="4" a="1"/>
  <c r="C1319" i="4" s="1"/>
  <c r="M1323" i="4" a="1"/>
  <c r="M1323" i="4" s="1"/>
  <c r="D1323" i="4" a="1"/>
  <c r="D1323" i="4" s="1"/>
  <c r="C1323" i="4" a="1"/>
  <c r="C1323" i="4" s="1"/>
  <c r="C1338" i="4" a="1"/>
  <c r="C1338" i="4" s="1"/>
  <c r="B1338" i="4" a="1"/>
  <c r="B1338" i="4" s="1"/>
  <c r="J1341" i="4"/>
  <c r="H1341" i="4"/>
  <c r="C1095" i="4" a="1"/>
  <c r="C1095" i="4" s="1"/>
  <c r="C1096" i="4" a="1"/>
  <c r="C1096" i="4" s="1"/>
  <c r="C1097" i="4" a="1"/>
  <c r="C1097" i="4" s="1"/>
  <c r="C1101" i="4" a="1"/>
  <c r="C1101" i="4" s="1"/>
  <c r="J1104" i="4"/>
  <c r="H1104" i="4"/>
  <c r="E1116" i="4" a="1"/>
  <c r="E1116" i="4" s="1"/>
  <c r="E1122" i="4" a="1"/>
  <c r="E1122" i="4" s="1"/>
  <c r="M1130" i="4" a="1"/>
  <c r="M1130" i="4" s="1"/>
  <c r="B1137" i="4" a="1"/>
  <c r="B1137" i="4" s="1"/>
  <c r="M1142" i="4" a="1"/>
  <c r="M1142" i="4" s="1"/>
  <c r="C1142" i="4" a="1"/>
  <c r="C1142" i="4" s="1"/>
  <c r="C1143" i="4" a="1"/>
  <c r="C1143" i="4" s="1"/>
  <c r="J1177" i="4"/>
  <c r="H1177" i="4"/>
  <c r="C1180" i="4" a="1"/>
  <c r="C1180" i="4" s="1"/>
  <c r="C1190" i="4" a="1"/>
  <c r="C1190" i="4" s="1"/>
  <c r="J1191" i="4"/>
  <c r="E1200" i="4" a="1"/>
  <c r="E1200" i="4" s="1"/>
  <c r="C1230" i="4" a="1"/>
  <c r="C1230" i="4" s="1"/>
  <c r="B1232" i="4" a="1"/>
  <c r="B1232" i="4" s="1"/>
  <c r="M1239" i="4" a="1"/>
  <c r="M1239" i="4" s="1"/>
  <c r="C1242" i="4" a="1"/>
  <c r="C1242" i="4" s="1"/>
  <c r="E1255" i="4" a="1"/>
  <c r="E1255" i="4" s="1"/>
  <c r="C1269" i="4" a="1"/>
  <c r="C1269" i="4" s="1"/>
  <c r="D1285" i="4" a="1"/>
  <c r="D1285" i="4" s="1"/>
  <c r="N1285" i="4" a="1"/>
  <c r="N1285" i="4" s="1"/>
  <c r="M1285" i="4" a="1"/>
  <c r="M1285" i="4" s="1"/>
  <c r="E1285" i="4" a="1"/>
  <c r="E1285" i="4" s="1"/>
  <c r="D1287" i="4" a="1"/>
  <c r="D1287" i="4" s="1"/>
  <c r="N1287" i="4" a="1"/>
  <c r="N1287" i="4" s="1"/>
  <c r="D1289" i="4" a="1"/>
  <c r="D1289" i="4" s="1"/>
  <c r="C1289" i="4" a="1"/>
  <c r="C1289" i="4" s="1"/>
  <c r="E1294" i="4" a="1"/>
  <c r="E1294" i="4" s="1"/>
  <c r="N1294" i="4" a="1"/>
  <c r="N1294" i="4" s="1"/>
  <c r="D1294" i="4" a="1"/>
  <c r="D1294" i="4" s="1"/>
  <c r="C1294" i="4" a="1"/>
  <c r="C1294" i="4" s="1"/>
  <c r="C1296" i="4" a="1"/>
  <c r="C1296" i="4" s="1"/>
  <c r="J1299" i="4"/>
  <c r="H1304" i="4"/>
  <c r="D1309" i="4" a="1"/>
  <c r="D1309" i="4" s="1"/>
  <c r="B1309" i="4" a="1"/>
  <c r="B1309" i="4" s="1"/>
  <c r="H1312" i="4"/>
  <c r="J1312" i="4"/>
  <c r="B1315" i="4" a="1"/>
  <c r="B1315" i="4" s="1"/>
  <c r="N1318" i="4" a="1"/>
  <c r="N1318" i="4" s="1"/>
  <c r="E1318" i="4" a="1"/>
  <c r="E1318" i="4" s="1"/>
  <c r="C1318" i="4" a="1"/>
  <c r="C1318" i="4" s="1"/>
  <c r="B1322" i="4" a="1"/>
  <c r="B1322" i="4" s="1"/>
  <c r="B1323" i="4" a="1"/>
  <c r="B1323" i="4" s="1"/>
  <c r="H1346" i="4"/>
  <c r="J1346" i="4"/>
  <c r="J1311" i="4"/>
  <c r="H1311" i="4"/>
  <c r="C1321" i="4" a="1"/>
  <c r="C1321" i="4" s="1"/>
  <c r="B1321" i="4" a="1"/>
  <c r="B1321" i="4" s="1"/>
  <c r="D1321" i="4" a="1"/>
  <c r="D1321" i="4" s="1"/>
  <c r="N1321" i="4" a="1"/>
  <c r="N1321" i="4" s="1"/>
  <c r="H1324" i="4"/>
  <c r="J1324" i="4"/>
  <c r="B1344" i="4" a="1"/>
  <c r="B1344" i="4" s="1"/>
  <c r="M1344" i="4" a="1"/>
  <c r="M1344" i="4" s="1"/>
  <c r="D1344" i="4" a="1"/>
  <c r="D1344" i="4" s="1"/>
  <c r="H1360" i="4"/>
  <c r="J1360" i="4"/>
  <c r="E1209" i="4" a="1"/>
  <c r="E1209" i="4" s="1"/>
  <c r="M1211" i="4" a="1"/>
  <c r="M1211" i="4" s="1"/>
  <c r="D1211" i="4" a="1"/>
  <c r="D1211" i="4" s="1"/>
  <c r="C1211" i="4" a="1"/>
  <c r="C1211" i="4" s="1"/>
  <c r="N1211" i="4" a="1"/>
  <c r="N1211" i="4" s="1"/>
  <c r="B1216" i="4" a="1"/>
  <c r="B1216" i="4" s="1"/>
  <c r="J1241" i="4"/>
  <c r="H1241" i="4"/>
  <c r="D1250" i="4" a="1"/>
  <c r="D1250" i="4" s="1"/>
  <c r="M1250" i="4" a="1"/>
  <c r="M1250" i="4" s="1"/>
  <c r="E1250" i="4" a="1"/>
  <c r="E1250" i="4" s="1"/>
  <c r="C1250" i="4" a="1"/>
  <c r="C1250" i="4" s="1"/>
  <c r="N1250" i="4" a="1"/>
  <c r="N1250" i="4" s="1"/>
  <c r="N1270" i="4" a="1"/>
  <c r="N1270" i="4" s="1"/>
  <c r="M1270" i="4" a="1"/>
  <c r="M1270" i="4" s="1"/>
  <c r="E1270" i="4" a="1"/>
  <c r="E1270" i="4" s="1"/>
  <c r="C1277" i="4" a="1"/>
  <c r="C1277" i="4" s="1"/>
  <c r="B1283" i="4" a="1"/>
  <c r="B1283" i="4" s="1"/>
  <c r="E1289" i="4" a="1"/>
  <c r="E1289" i="4" s="1"/>
  <c r="N1289" i="4" a="1"/>
  <c r="N1289" i="4" s="1"/>
  <c r="J1296" i="4"/>
  <c r="H1296" i="4"/>
  <c r="M1299" i="4" a="1"/>
  <c r="M1299" i="4" s="1"/>
  <c r="E1299" i="4" a="1"/>
  <c r="E1299" i="4" s="1"/>
  <c r="B1299" i="4" a="1"/>
  <c r="B1299" i="4" s="1"/>
  <c r="N1299" i="4" a="1"/>
  <c r="N1299" i="4" s="1"/>
  <c r="D1299" i="4" a="1"/>
  <c r="D1299" i="4" s="1"/>
  <c r="B1307" i="4" a="1"/>
  <c r="B1307" i="4" s="1"/>
  <c r="C1239" i="4" a="1"/>
  <c r="C1239" i="4" s="1"/>
  <c r="H1267" i="4"/>
  <c r="J1267" i="4"/>
  <c r="J1268" i="4"/>
  <c r="H1268" i="4"/>
  <c r="N1283" i="4" a="1"/>
  <c r="N1283" i="4" s="1"/>
  <c r="E1283" i="4" a="1"/>
  <c r="E1283" i="4" s="1"/>
  <c r="D1283" i="4" a="1"/>
  <c r="D1283" i="4" s="1"/>
  <c r="M1301" i="4" a="1"/>
  <c r="M1301" i="4" s="1"/>
  <c r="N1301" i="4" a="1"/>
  <c r="N1301" i="4" s="1"/>
  <c r="E1301" i="4" a="1"/>
  <c r="E1301" i="4" s="1"/>
  <c r="H1306" i="4"/>
  <c r="J1306" i="4"/>
  <c r="B1312" i="4" a="1"/>
  <c r="B1312" i="4" s="1"/>
  <c r="E1317" i="4" a="1"/>
  <c r="E1317" i="4" s="1"/>
  <c r="H1326" i="4"/>
  <c r="J1326" i="4"/>
  <c r="C1358" i="4" a="1"/>
  <c r="C1358" i="4" s="1"/>
  <c r="H1364" i="4"/>
  <c r="J1364" i="4"/>
  <c r="J1376" i="4"/>
  <c r="H1376" i="4"/>
  <c r="H1404" i="4"/>
  <c r="J1404" i="4"/>
  <c r="D1368" i="4" a="1"/>
  <c r="D1368" i="4" s="1"/>
  <c r="B1368" i="4" a="1"/>
  <c r="B1368" i="4" s="1"/>
  <c r="J1471" i="4"/>
  <c r="H1471" i="4"/>
  <c r="E1215" i="4" a="1"/>
  <c r="E1215" i="4" s="1"/>
  <c r="N1257" i="4" a="1"/>
  <c r="N1257" i="4" s="1"/>
  <c r="C1278" i="4" a="1"/>
  <c r="C1278" i="4" s="1"/>
  <c r="M1278" i="4" a="1"/>
  <c r="M1278" i="4" s="1"/>
  <c r="B1286" i="4" a="1"/>
  <c r="B1286" i="4" s="1"/>
  <c r="D1292" i="4" a="1"/>
  <c r="D1292" i="4" s="1"/>
  <c r="M1292" i="4" a="1"/>
  <c r="M1292" i="4" s="1"/>
  <c r="E1292" i="4" a="1"/>
  <c r="E1292" i="4" s="1"/>
  <c r="M1293" i="4" a="1"/>
  <c r="M1293" i="4" s="1"/>
  <c r="C1307" i="4" a="1"/>
  <c r="C1307" i="4" s="1"/>
  <c r="N1307" i="4" a="1"/>
  <c r="N1307" i="4" s="1"/>
  <c r="D1325" i="4" a="1"/>
  <c r="D1325" i="4" s="1"/>
  <c r="C1328" i="4" a="1"/>
  <c r="C1328" i="4" s="1"/>
  <c r="M1328" i="4" a="1"/>
  <c r="M1328" i="4" s="1"/>
  <c r="E1328" i="4" a="1"/>
  <c r="E1328" i="4" s="1"/>
  <c r="M1333" i="4" a="1"/>
  <c r="M1333" i="4" s="1"/>
  <c r="N1333" i="4" a="1"/>
  <c r="N1333" i="4" s="1"/>
  <c r="D1333" i="4" a="1"/>
  <c r="D1333" i="4" s="1"/>
  <c r="M1336" i="4" a="1"/>
  <c r="M1336" i="4" s="1"/>
  <c r="D1336" i="4" a="1"/>
  <c r="D1336" i="4" s="1"/>
  <c r="B1336" i="4" a="1"/>
  <c r="B1336" i="4" s="1"/>
  <c r="H1338" i="4"/>
  <c r="J1338" i="4"/>
  <c r="H1344" i="4"/>
  <c r="J1344" i="4"/>
  <c r="H1349" i="4"/>
  <c r="J1349" i="4"/>
  <c r="J1358" i="4"/>
  <c r="H1358" i="4"/>
  <c r="J1362" i="4"/>
  <c r="H1362" i="4"/>
  <c r="M1386" i="4" a="1"/>
  <c r="M1386" i="4" s="1"/>
  <c r="D1386" i="4" a="1"/>
  <c r="D1386" i="4" s="1"/>
  <c r="C1386" i="4" a="1"/>
  <c r="C1386" i="4" s="1"/>
  <c r="J1392" i="4"/>
  <c r="D1404" i="4" a="1"/>
  <c r="D1404" i="4" s="1"/>
  <c r="N1404" i="4" a="1"/>
  <c r="N1404" i="4" s="1"/>
  <c r="N1406" i="4" a="1"/>
  <c r="N1406" i="4" s="1"/>
  <c r="M999" i="4" a="1"/>
  <c r="M999" i="4" s="1"/>
  <c r="M1016" i="4" a="1"/>
  <c r="M1016" i="4" s="1"/>
  <c r="N1016" i="4" a="1"/>
  <c r="N1016" i="4" s="1"/>
  <c r="M1032" i="4" a="1"/>
  <c r="M1032" i="4" s="1"/>
  <c r="M1033" i="4" a="1"/>
  <c r="M1033" i="4" s="1"/>
  <c r="B1042" i="4" a="1"/>
  <c r="B1042" i="4" s="1"/>
  <c r="M1046" i="4" a="1"/>
  <c r="M1046" i="4" s="1"/>
  <c r="D1052" i="4" a="1"/>
  <c r="D1052" i="4" s="1"/>
  <c r="E1054" i="4" a="1"/>
  <c r="E1054" i="4" s="1"/>
  <c r="C1070" i="4" a="1"/>
  <c r="C1070" i="4" s="1"/>
  <c r="E1075" i="4" a="1"/>
  <c r="E1075" i="4" s="1"/>
  <c r="N1097" i="4" a="1"/>
  <c r="N1097" i="4" s="1"/>
  <c r="D1117" i="4" a="1"/>
  <c r="D1117" i="4" s="1"/>
  <c r="M1119" i="4" a="1"/>
  <c r="M1119" i="4" s="1"/>
  <c r="N1121" i="4" a="1"/>
  <c r="N1121" i="4" s="1"/>
  <c r="M1126" i="4" a="1"/>
  <c r="M1126" i="4" s="1"/>
  <c r="N1129" i="4" a="1"/>
  <c r="N1129" i="4" s="1"/>
  <c r="C1131" i="4" a="1"/>
  <c r="C1131" i="4" s="1"/>
  <c r="M1140" i="4" a="1"/>
  <c r="M1140" i="4" s="1"/>
  <c r="E1151" i="4" a="1"/>
  <c r="E1151" i="4" s="1"/>
  <c r="E1158" i="4" a="1"/>
  <c r="E1158" i="4" s="1"/>
  <c r="E1184" i="4" a="1"/>
  <c r="E1184" i="4" s="1"/>
  <c r="N1209" i="4" a="1"/>
  <c r="N1209" i="4" s="1"/>
  <c r="N1213" i="4" a="1"/>
  <c r="N1213" i="4" s="1"/>
  <c r="M1213" i="4" a="1"/>
  <c r="M1213" i="4" s="1"/>
  <c r="B1215" i="4" a="1"/>
  <c r="B1215" i="4" s="1"/>
  <c r="H1225" i="4"/>
  <c r="E1227" i="4" a="1"/>
  <c r="E1227" i="4" s="1"/>
  <c r="B1233" i="4" a="1"/>
  <c r="B1233" i="4" s="1"/>
  <c r="H1238" i="4"/>
  <c r="J1240" i="4"/>
  <c r="H1240" i="4"/>
  <c r="D1248" i="4" a="1"/>
  <c r="D1248" i="4" s="1"/>
  <c r="M1248" i="4" a="1"/>
  <c r="M1248" i="4" s="1"/>
  <c r="M1254" i="4" a="1"/>
  <c r="M1254" i="4" s="1"/>
  <c r="C1257" i="4" a="1"/>
  <c r="C1257" i="4" s="1"/>
  <c r="B1258" i="4" a="1"/>
  <c r="B1258" i="4" s="1"/>
  <c r="N1259" i="4" a="1"/>
  <c r="N1259" i="4" s="1"/>
  <c r="N1261" i="4" a="1"/>
  <c r="N1261" i="4" s="1"/>
  <c r="H1262" i="4"/>
  <c r="N1263" i="4" a="1"/>
  <c r="N1263" i="4" s="1"/>
  <c r="J1264" i="4"/>
  <c r="H1264" i="4"/>
  <c r="N1266" i="4" a="1"/>
  <c r="N1266" i="4" s="1"/>
  <c r="H1276" i="4"/>
  <c r="E1278" i="4" a="1"/>
  <c r="E1278" i="4" s="1"/>
  <c r="H1280" i="4"/>
  <c r="B1292" i="4" a="1"/>
  <c r="B1292" i="4" s="1"/>
  <c r="H1292" i="4"/>
  <c r="C1293" i="4" a="1"/>
  <c r="C1293" i="4" s="1"/>
  <c r="C1295" i="4" a="1"/>
  <c r="C1295" i="4" s="1"/>
  <c r="B1306" i="4" a="1"/>
  <c r="B1306" i="4" s="1"/>
  <c r="N1308" i="4" a="1"/>
  <c r="N1308" i="4" s="1"/>
  <c r="M1309" i="4" a="1"/>
  <c r="M1309" i="4" s="1"/>
  <c r="M1311" i="4" a="1"/>
  <c r="M1311" i="4" s="1"/>
  <c r="E1311" i="4" a="1"/>
  <c r="E1311" i="4" s="1"/>
  <c r="B1328" i="4" a="1"/>
  <c r="B1328" i="4" s="1"/>
  <c r="H1331" i="4"/>
  <c r="B1333" i="4" a="1"/>
  <c r="B1333" i="4" s="1"/>
  <c r="N1336" i="4" a="1"/>
  <c r="N1336" i="4" s="1"/>
  <c r="D1342" i="4" a="1"/>
  <c r="D1342" i="4" s="1"/>
  <c r="E1346" i="4" a="1"/>
  <c r="E1346" i="4" s="1"/>
  <c r="M1346" i="4" a="1"/>
  <c r="M1346" i="4" s="1"/>
  <c r="N1355" i="4" a="1"/>
  <c r="N1355" i="4" s="1"/>
  <c r="M1355" i="4" a="1"/>
  <c r="M1355" i="4" s="1"/>
  <c r="M1359" i="4" a="1"/>
  <c r="M1359" i="4" s="1"/>
  <c r="B1359" i="4" a="1"/>
  <c r="B1359" i="4" s="1"/>
  <c r="E1387" i="4" a="1"/>
  <c r="E1387" i="4" s="1"/>
  <c r="B1387" i="4" a="1"/>
  <c r="B1387" i="4" s="1"/>
  <c r="H1402" i="4"/>
  <c r="J1402" i="4"/>
  <c r="J1470" i="4"/>
  <c r="H1470" i="4"/>
  <c r="E1243" i="4" a="1"/>
  <c r="E1243" i="4" s="1"/>
  <c r="E1244" i="4" a="1"/>
  <c r="E1244" i="4" s="1"/>
  <c r="B1248" i="4" a="1"/>
  <c r="B1248" i="4" s="1"/>
  <c r="B1254" i="4" a="1"/>
  <c r="B1254" i="4" s="1"/>
  <c r="D1257" i="4" a="1"/>
  <c r="D1257" i="4" s="1"/>
  <c r="J1265" i="4"/>
  <c r="D1284" i="4" a="1"/>
  <c r="D1284" i="4" s="1"/>
  <c r="D1288" i="4" a="1"/>
  <c r="D1288" i="4" s="1"/>
  <c r="C1288" i="4" a="1"/>
  <c r="C1288" i="4" s="1"/>
  <c r="B1289" i="4" a="1"/>
  <c r="B1289" i="4" s="1"/>
  <c r="C1306" i="4" a="1"/>
  <c r="C1306" i="4" s="1"/>
  <c r="B1311" i="4" a="1"/>
  <c r="B1311" i="4" s="1"/>
  <c r="B1313" i="4" a="1"/>
  <c r="B1313" i="4" s="1"/>
  <c r="D1318" i="4" a="1"/>
  <c r="D1318" i="4" s="1"/>
  <c r="B1318" i="4" a="1"/>
  <c r="B1318" i="4" s="1"/>
  <c r="M1318" i="4" a="1"/>
  <c r="M1318" i="4" s="1"/>
  <c r="J1320" i="4"/>
  <c r="M1322" i="4" a="1"/>
  <c r="M1322" i="4" s="1"/>
  <c r="J1322" i="4"/>
  <c r="C1324" i="4" a="1"/>
  <c r="C1324" i="4" s="1"/>
  <c r="N1324" i="4" a="1"/>
  <c r="N1324" i="4" s="1"/>
  <c r="E1324" i="4" a="1"/>
  <c r="E1324" i="4" s="1"/>
  <c r="M1324" i="4" a="1"/>
  <c r="M1324" i="4" s="1"/>
  <c r="D1324" i="4" a="1"/>
  <c r="D1324" i="4" s="1"/>
  <c r="D1328" i="4" a="1"/>
  <c r="D1328" i="4" s="1"/>
  <c r="M1331" i="4" a="1"/>
  <c r="M1331" i="4" s="1"/>
  <c r="N1331" i="4" a="1"/>
  <c r="N1331" i="4" s="1"/>
  <c r="C1333" i="4" a="1"/>
  <c r="C1333" i="4" s="1"/>
  <c r="E1336" i="4" a="1"/>
  <c r="E1336" i="4" s="1"/>
  <c r="N1338" i="4" a="1"/>
  <c r="N1338" i="4" s="1"/>
  <c r="J1339" i="4"/>
  <c r="J1361" i="4"/>
  <c r="N1364" i="4" a="1"/>
  <c r="N1364" i="4" s="1"/>
  <c r="J1369" i="4"/>
  <c r="B1378" i="4" a="1"/>
  <c r="B1378" i="4" s="1"/>
  <c r="N1379" i="4" a="1"/>
  <c r="N1379" i="4" s="1"/>
  <c r="B1379" i="4" a="1"/>
  <c r="B1379" i="4" s="1"/>
  <c r="M1383" i="4" a="1"/>
  <c r="M1383" i="4" s="1"/>
  <c r="D1385" i="4" a="1"/>
  <c r="D1385" i="4" s="1"/>
  <c r="M1389" i="4" a="1"/>
  <c r="M1389" i="4" s="1"/>
  <c r="M1410" i="4" a="1"/>
  <c r="M1410" i="4" s="1"/>
  <c r="C1410" i="4" a="1"/>
  <c r="C1410" i="4" s="1"/>
  <c r="H1426" i="4"/>
  <c r="J1426" i="4"/>
  <c r="N1437" i="4" a="1"/>
  <c r="N1437" i="4" s="1"/>
  <c r="D1437" i="4" a="1"/>
  <c r="D1437" i="4" s="1"/>
  <c r="M1437" i="4" a="1"/>
  <c r="M1437" i="4" s="1"/>
  <c r="B1437" i="4" a="1"/>
  <c r="B1437" i="4" s="1"/>
  <c r="J1455" i="4"/>
  <c r="H1455" i="4"/>
  <c r="N1354" i="4" a="1"/>
  <c r="N1354" i="4" s="1"/>
  <c r="C1354" i="4" a="1"/>
  <c r="C1354" i="4" s="1"/>
  <c r="E1365" i="4" a="1"/>
  <c r="E1365" i="4" s="1"/>
  <c r="D1365" i="4" a="1"/>
  <c r="D1365" i="4" s="1"/>
  <c r="M1370" i="4" a="1"/>
  <c r="M1370" i="4" s="1"/>
  <c r="C1370" i="4" a="1"/>
  <c r="C1370" i="4" s="1"/>
  <c r="B1376" i="4" a="1"/>
  <c r="B1376" i="4" s="1"/>
  <c r="C1376" i="4" a="1"/>
  <c r="C1376" i="4" s="1"/>
  <c r="J1380" i="4"/>
  <c r="H1380" i="4"/>
  <c r="H1387" i="4"/>
  <c r="J1387" i="4"/>
  <c r="N1439" i="4" a="1"/>
  <c r="N1439" i="4" s="1"/>
  <c r="B1439" i="4" a="1"/>
  <c r="B1439" i="4" s="1"/>
  <c r="M1316" i="4" a="1"/>
  <c r="M1316" i="4" s="1"/>
  <c r="E1316" i="4" a="1"/>
  <c r="E1316" i="4" s="1"/>
  <c r="H1319" i="4"/>
  <c r="J1319" i="4"/>
  <c r="M1320" i="4" a="1"/>
  <c r="M1320" i="4" s="1"/>
  <c r="E1320" i="4" a="1"/>
  <c r="E1320" i="4" s="1"/>
  <c r="M1325" i="4" a="1"/>
  <c r="M1325" i="4" s="1"/>
  <c r="C1325" i="4" a="1"/>
  <c r="C1325" i="4" s="1"/>
  <c r="M1327" i="4" a="1"/>
  <c r="M1327" i="4" s="1"/>
  <c r="N1327" i="4" a="1"/>
  <c r="N1327" i="4" s="1"/>
  <c r="B1327" i="4" a="1"/>
  <c r="B1327" i="4" s="1"/>
  <c r="D1327" i="4" a="1"/>
  <c r="D1327" i="4" s="1"/>
  <c r="M1329" i="4" a="1"/>
  <c r="M1329" i="4" s="1"/>
  <c r="B1329" i="4" a="1"/>
  <c r="B1329" i="4" s="1"/>
  <c r="N1350" i="4" a="1"/>
  <c r="N1350" i="4" s="1"/>
  <c r="C1350" i="4" a="1"/>
  <c r="C1350" i="4" s="1"/>
  <c r="B1353" i="4" a="1"/>
  <c r="B1353" i="4" s="1"/>
  <c r="E1353" i="4" a="1"/>
  <c r="E1353" i="4" s="1"/>
  <c r="D1376" i="4" a="1"/>
  <c r="D1376" i="4" s="1"/>
  <c r="E1383" i="4" a="1"/>
  <c r="E1383" i="4" s="1"/>
  <c r="M1307" i="4" a="1"/>
  <c r="M1307" i="4" s="1"/>
  <c r="M1310" i="4" a="1"/>
  <c r="M1310" i="4" s="1"/>
  <c r="E1310" i="4" a="1"/>
  <c r="E1310" i="4" s="1"/>
  <c r="N1311" i="4" a="1"/>
  <c r="N1311" i="4" s="1"/>
  <c r="D1313" i="4" a="1"/>
  <c r="D1313" i="4" s="1"/>
  <c r="C1316" i="4" a="1"/>
  <c r="C1316" i="4" s="1"/>
  <c r="H1317" i="4"/>
  <c r="J1317" i="4"/>
  <c r="H1321" i="4"/>
  <c r="H1323" i="4"/>
  <c r="B1325" i="4" a="1"/>
  <c r="B1325" i="4" s="1"/>
  <c r="D1337" i="4" a="1"/>
  <c r="D1337" i="4" s="1"/>
  <c r="M1345" i="4" a="1"/>
  <c r="M1345" i="4" s="1"/>
  <c r="D1345" i="4" a="1"/>
  <c r="D1345" i="4" s="1"/>
  <c r="B1345" i="4" a="1"/>
  <c r="B1345" i="4" s="1"/>
  <c r="M1349" i="4" a="1"/>
  <c r="M1349" i="4" s="1"/>
  <c r="D1349" i="4" a="1"/>
  <c r="D1349" i="4" s="1"/>
  <c r="B1349" i="4" a="1"/>
  <c r="B1349" i="4" s="1"/>
  <c r="B1350" i="4" a="1"/>
  <c r="B1350" i="4" s="1"/>
  <c r="E1351" i="4" a="1"/>
  <c r="E1351" i="4" s="1"/>
  <c r="N1351" i="4" a="1"/>
  <c r="N1351" i="4" s="1"/>
  <c r="B1351" i="4" a="1"/>
  <c r="B1351" i="4" s="1"/>
  <c r="D1353" i="4" a="1"/>
  <c r="D1353" i="4" s="1"/>
  <c r="M1357" i="4" a="1"/>
  <c r="M1357" i="4" s="1"/>
  <c r="E1359" i="4" a="1"/>
  <c r="E1359" i="4" s="1"/>
  <c r="E1363" i="4" a="1"/>
  <c r="E1363" i="4" s="1"/>
  <c r="N1368" i="4" a="1"/>
  <c r="N1368" i="4" s="1"/>
  <c r="N1369" i="4" a="1"/>
  <c r="N1369" i="4" s="1"/>
  <c r="N1370" i="4" a="1"/>
  <c r="N1370" i="4" s="1"/>
  <c r="D1375" i="4" a="1"/>
  <c r="D1375" i="4" s="1"/>
  <c r="B1375" i="4" a="1"/>
  <c r="B1375" i="4" s="1"/>
  <c r="J1388" i="4"/>
  <c r="H1388" i="4"/>
  <c r="D1408" i="4" a="1"/>
  <c r="D1408" i="4" s="1"/>
  <c r="N1408" i="4" a="1"/>
  <c r="N1408" i="4" s="1"/>
  <c r="C1408" i="4" a="1"/>
  <c r="C1408" i="4" s="1"/>
  <c r="D1464" i="4" a="1"/>
  <c r="D1464" i="4" s="1"/>
  <c r="M1464" i="4" a="1"/>
  <c r="M1464" i="4" s="1"/>
  <c r="B1464" i="4" a="1"/>
  <c r="B1464" i="4" s="1"/>
  <c r="J1504" i="4"/>
  <c r="H1504" i="4"/>
  <c r="M1518" i="4" a="1"/>
  <c r="M1518" i="4" s="1"/>
  <c r="B1518" i="4" a="1"/>
  <c r="B1518" i="4" s="1"/>
  <c r="H1535" i="4"/>
  <c r="J1535" i="4"/>
  <c r="B1357" i="4" a="1"/>
  <c r="B1357" i="4" s="1"/>
  <c r="N1360" i="4" a="1"/>
  <c r="N1360" i="4" s="1"/>
  <c r="N1366" i="4" a="1"/>
  <c r="N1366" i="4" s="1"/>
  <c r="C1366" i="4" a="1"/>
  <c r="C1366" i="4" s="1"/>
  <c r="J1368" i="4"/>
  <c r="H1368" i="4"/>
  <c r="C1371" i="4" a="1"/>
  <c r="C1371" i="4" s="1"/>
  <c r="E1371" i="4" a="1"/>
  <c r="E1371" i="4" s="1"/>
  <c r="N1380" i="4" a="1"/>
  <c r="N1380" i="4" s="1"/>
  <c r="B1419" i="4" a="1"/>
  <c r="B1419" i="4" s="1"/>
  <c r="E1421" i="4" a="1"/>
  <c r="E1421" i="4" s="1"/>
  <c r="M1423" i="4" a="1"/>
  <c r="M1423" i="4" s="1"/>
  <c r="C1423" i="4" a="1"/>
  <c r="C1423" i="4" s="1"/>
  <c r="M1439" i="4" a="1"/>
  <c r="M1439" i="4" s="1"/>
  <c r="C1439" i="4" a="1"/>
  <c r="C1439" i="4" s="1"/>
  <c r="J1466" i="4"/>
  <c r="H1466" i="4"/>
  <c r="M1488" i="4" a="1"/>
  <c r="M1488" i="4" s="1"/>
  <c r="M1495" i="4" a="1"/>
  <c r="M1495" i="4" s="1"/>
  <c r="J1501" i="4"/>
  <c r="H1501" i="4"/>
  <c r="H1503" i="4"/>
  <c r="C1512" i="4" a="1"/>
  <c r="C1512" i="4" s="1"/>
  <c r="E1518" i="4" a="1"/>
  <c r="E1518" i="4" s="1"/>
  <c r="E1530" i="4" a="1"/>
  <c r="E1530" i="4" s="1"/>
  <c r="D1530" i="4" a="1"/>
  <c r="D1530" i="4" s="1"/>
  <c r="M1422" i="4" a="1"/>
  <c r="M1422" i="4" s="1"/>
  <c r="C1422" i="4" a="1"/>
  <c r="C1422" i="4" s="1"/>
  <c r="D1433" i="4" a="1"/>
  <c r="D1433" i="4" s="1"/>
  <c r="M1433" i="4" a="1"/>
  <c r="M1433" i="4" s="1"/>
  <c r="C1433" i="4" a="1"/>
  <c r="C1433" i="4" s="1"/>
  <c r="M1434" i="4" a="1"/>
  <c r="M1434" i="4" s="1"/>
  <c r="N1476" i="4" a="1"/>
  <c r="N1476" i="4" s="1"/>
  <c r="E1476" i="4" a="1"/>
  <c r="E1476" i="4" s="1"/>
  <c r="M1476" i="4" a="1"/>
  <c r="M1476" i="4" s="1"/>
  <c r="M1480" i="4" a="1"/>
  <c r="M1480" i="4" s="1"/>
  <c r="J1484" i="4"/>
  <c r="H1484" i="4"/>
  <c r="C1495" i="4" a="1"/>
  <c r="C1495" i="4" s="1"/>
  <c r="B1515" i="4" a="1"/>
  <c r="B1515" i="4" s="1"/>
  <c r="C1515" i="4" a="1"/>
  <c r="C1515" i="4" s="1"/>
  <c r="J1524" i="4"/>
  <c r="H1524" i="4"/>
  <c r="M1217" i="4" a="1"/>
  <c r="M1217" i="4" s="1"/>
  <c r="D1219" i="4" a="1"/>
  <c r="D1219" i="4" s="1"/>
  <c r="N1228" i="4" a="1"/>
  <c r="N1228" i="4" s="1"/>
  <c r="D1238" i="4" a="1"/>
  <c r="D1238" i="4" s="1"/>
  <c r="N1246" i="4" a="1"/>
  <c r="N1246" i="4" s="1"/>
  <c r="M1256" i="4" a="1"/>
  <c r="M1256" i="4" s="1"/>
  <c r="M1260" i="4" a="1"/>
  <c r="M1260" i="4" s="1"/>
  <c r="M1283" i="4" a="1"/>
  <c r="M1283" i="4" s="1"/>
  <c r="M1305" i="4" a="1"/>
  <c r="M1305" i="4" s="1"/>
  <c r="C1315" i="4" a="1"/>
  <c r="C1315" i="4" s="1"/>
  <c r="M1317" i="4" a="1"/>
  <c r="M1317" i="4" s="1"/>
  <c r="D1320" i="4" a="1"/>
  <c r="D1320" i="4" s="1"/>
  <c r="E1322" i="4" a="1"/>
  <c r="E1322" i="4" s="1"/>
  <c r="M1335" i="4" a="1"/>
  <c r="M1335" i="4" s="1"/>
  <c r="C1335" i="4" a="1"/>
  <c r="C1335" i="4" s="1"/>
  <c r="B1342" i="4" a="1"/>
  <c r="B1342" i="4" s="1"/>
  <c r="J1353" i="4"/>
  <c r="J1354" i="4"/>
  <c r="D1360" i="4" a="1"/>
  <c r="D1360" i="4" s="1"/>
  <c r="D1371" i="4" a="1"/>
  <c r="D1371" i="4" s="1"/>
  <c r="N1371" i="4" a="1"/>
  <c r="N1371" i="4" s="1"/>
  <c r="J1375" i="4"/>
  <c r="H1377" i="4"/>
  <c r="J1377" i="4"/>
  <c r="N1381" i="4" a="1"/>
  <c r="N1381" i="4" s="1"/>
  <c r="E1381" i="4" a="1"/>
  <c r="E1381" i="4" s="1"/>
  <c r="H1385" i="4"/>
  <c r="J1385" i="4"/>
  <c r="C1392" i="4" a="1"/>
  <c r="C1392" i="4" s="1"/>
  <c r="N1392" i="4" a="1"/>
  <c r="N1392" i="4" s="1"/>
  <c r="N1394" i="4" a="1"/>
  <c r="N1394" i="4" s="1"/>
  <c r="C1394" i="4" a="1"/>
  <c r="C1394" i="4" s="1"/>
  <c r="M1395" i="4" a="1"/>
  <c r="M1395" i="4" s="1"/>
  <c r="N1421" i="4" a="1"/>
  <c r="N1421" i="4" s="1"/>
  <c r="D1423" i="4" a="1"/>
  <c r="D1423" i="4" s="1"/>
  <c r="B1425" i="4" a="1"/>
  <c r="B1425" i="4" s="1"/>
  <c r="M1425" i="4" a="1"/>
  <c r="M1425" i="4" s="1"/>
  <c r="D1431" i="4" a="1"/>
  <c r="D1431" i="4" s="1"/>
  <c r="D1432" i="4" a="1"/>
  <c r="D1432" i="4" s="1"/>
  <c r="B1433" i="4" a="1"/>
  <c r="B1433" i="4" s="1"/>
  <c r="D1439" i="4" a="1"/>
  <c r="D1439" i="4" s="1"/>
  <c r="H1443" i="4"/>
  <c r="H1450" i="4"/>
  <c r="J1450" i="4"/>
  <c r="C1476" i="4" a="1"/>
  <c r="C1476" i="4" s="1"/>
  <c r="H1483" i="4"/>
  <c r="J1483" i="4"/>
  <c r="D1487" i="4" a="1"/>
  <c r="D1487" i="4" s="1"/>
  <c r="D1493" i="4" a="1"/>
  <c r="D1493" i="4" s="1"/>
  <c r="E1493" i="4" a="1"/>
  <c r="E1493" i="4" s="1"/>
  <c r="N1493" i="4" a="1"/>
  <c r="N1493" i="4" s="1"/>
  <c r="B1494" i="4" a="1"/>
  <c r="B1494" i="4" s="1"/>
  <c r="D1515" i="4" a="1"/>
  <c r="D1515" i="4" s="1"/>
  <c r="H1521" i="4"/>
  <c r="D1529" i="4" a="1"/>
  <c r="D1529" i="4" s="1"/>
  <c r="C1529" i="4" a="1"/>
  <c r="C1529" i="4" s="1"/>
  <c r="N1529" i="4" a="1"/>
  <c r="N1529" i="4" s="1"/>
  <c r="J1555" i="4"/>
  <c r="H1555" i="4"/>
  <c r="M1352" i="4" a="1"/>
  <c r="M1352" i="4" s="1"/>
  <c r="B1352" i="4" a="1"/>
  <c r="B1352" i="4" s="1"/>
  <c r="E1357" i="4" a="1"/>
  <c r="E1357" i="4" s="1"/>
  <c r="B1361" i="4" a="1"/>
  <c r="B1361" i="4" s="1"/>
  <c r="M1361" i="4" a="1"/>
  <c r="M1361" i="4" s="1"/>
  <c r="D1361" i="4" a="1"/>
  <c r="D1361" i="4" s="1"/>
  <c r="N1365" i="4" a="1"/>
  <c r="N1365" i="4" s="1"/>
  <c r="M1391" i="4" a="1"/>
  <c r="M1391" i="4" s="1"/>
  <c r="B1395" i="4" a="1"/>
  <c r="B1395" i="4" s="1"/>
  <c r="M1397" i="4" a="1"/>
  <c r="M1397" i="4" s="1"/>
  <c r="C1402" i="4" a="1"/>
  <c r="C1402" i="4" s="1"/>
  <c r="C1425" i="4" a="1"/>
  <c r="C1425" i="4" s="1"/>
  <c r="C1426" i="4" a="1"/>
  <c r="C1426" i="4" s="1"/>
  <c r="B1426" i="4" a="1"/>
  <c r="B1426" i="4" s="1"/>
  <c r="M1430" i="4" a="1"/>
  <c r="M1430" i="4" s="1"/>
  <c r="B1431" i="4" a="1"/>
  <c r="B1431" i="4" s="1"/>
  <c r="H1434" i="4"/>
  <c r="J1434" i="4"/>
  <c r="J1444" i="4"/>
  <c r="C1451" i="4" a="1"/>
  <c r="C1451" i="4" s="1"/>
  <c r="B1456" i="4" a="1"/>
  <c r="B1456" i="4" s="1"/>
  <c r="J1463" i="4"/>
  <c r="H1463" i="4"/>
  <c r="J1465" i="4"/>
  <c r="N1468" i="4" a="1"/>
  <c r="N1468" i="4" s="1"/>
  <c r="D1469" i="4" a="1"/>
  <c r="D1469" i="4" s="1"/>
  <c r="E1469" i="4" a="1"/>
  <c r="E1469" i="4" s="1"/>
  <c r="N1469" i="4" a="1"/>
  <c r="N1469" i="4" s="1"/>
  <c r="N1484" i="4" a="1"/>
  <c r="N1484" i="4" s="1"/>
  <c r="E1484" i="4" a="1"/>
  <c r="E1484" i="4" s="1"/>
  <c r="N1486" i="4" a="1"/>
  <c r="N1486" i="4" s="1"/>
  <c r="C1486" i="4" a="1"/>
  <c r="C1486" i="4" s="1"/>
  <c r="C1499" i="4" a="1"/>
  <c r="C1499" i="4" s="1"/>
  <c r="N1510" i="4" a="1"/>
  <c r="N1510" i="4" s="1"/>
  <c r="H1438" i="4"/>
  <c r="J1438" i="4"/>
  <c r="H1440" i="4"/>
  <c r="J1440" i="4"/>
  <c r="N1457" i="4" a="1"/>
  <c r="N1457" i="4" s="1"/>
  <c r="E1459" i="4" a="1"/>
  <c r="E1459" i="4" s="1"/>
  <c r="N1459" i="4" a="1"/>
  <c r="N1459" i="4" s="1"/>
  <c r="M1459" i="4" a="1"/>
  <c r="M1459" i="4" s="1"/>
  <c r="D1459" i="4" a="1"/>
  <c r="D1459" i="4" s="1"/>
  <c r="B1459" i="4" a="1"/>
  <c r="B1459" i="4" s="1"/>
  <c r="N1460" i="4" a="1"/>
  <c r="N1460" i="4" s="1"/>
  <c r="D1460" i="4" a="1"/>
  <c r="D1460" i="4" s="1"/>
  <c r="B1460" i="4" a="1"/>
  <c r="B1460" i="4" s="1"/>
  <c r="M1460" i="4" a="1"/>
  <c r="M1460" i="4" s="1"/>
  <c r="B1470" i="4" a="1"/>
  <c r="B1470" i="4" s="1"/>
  <c r="M1470" i="4" a="1"/>
  <c r="M1470" i="4" s="1"/>
  <c r="C1470" i="4" a="1"/>
  <c r="C1470" i="4" s="1"/>
  <c r="N1470" i="4" a="1"/>
  <c r="N1470" i="4" s="1"/>
  <c r="J1474" i="4"/>
  <c r="H1474" i="4"/>
  <c r="J1482" i="4"/>
  <c r="H1482" i="4"/>
  <c r="C1498" i="4" a="1"/>
  <c r="C1498" i="4" s="1"/>
  <c r="E1498" i="4" a="1"/>
  <c r="E1498" i="4" s="1"/>
  <c r="H1433" i="4"/>
  <c r="J1433" i="4"/>
  <c r="H1461" i="4"/>
  <c r="J1461" i="4"/>
  <c r="E1480" i="4" a="1"/>
  <c r="E1480" i="4" s="1"/>
  <c r="N1480" i="4" a="1"/>
  <c r="N1480" i="4" s="1"/>
  <c r="H1481" i="4"/>
  <c r="J1481" i="4"/>
  <c r="D1485" i="4" a="1"/>
  <c r="D1485" i="4" s="1"/>
  <c r="N1485" i="4" a="1"/>
  <c r="N1485" i="4" s="1"/>
  <c r="M1499" i="4" a="1"/>
  <c r="M1499" i="4" s="1"/>
  <c r="H1552" i="4"/>
  <c r="J1552" i="4"/>
  <c r="J1318" i="4"/>
  <c r="H1318" i="4"/>
  <c r="C1322" i="4" a="1"/>
  <c r="C1322" i="4" s="1"/>
  <c r="N1344" i="4" a="1"/>
  <c r="N1344" i="4" s="1"/>
  <c r="E1344" i="4" a="1"/>
  <c r="E1344" i="4" s="1"/>
  <c r="H1356" i="4"/>
  <c r="J1356" i="4"/>
  <c r="M1377" i="4" a="1"/>
  <c r="M1377" i="4" s="1"/>
  <c r="D1378" i="4" a="1"/>
  <c r="D1378" i="4" s="1"/>
  <c r="M1378" i="4" a="1"/>
  <c r="M1378" i="4" s="1"/>
  <c r="N1385" i="4" a="1"/>
  <c r="N1385" i="4" s="1"/>
  <c r="M1385" i="4" a="1"/>
  <c r="M1385" i="4" s="1"/>
  <c r="N1400" i="4" a="1"/>
  <c r="N1400" i="4" s="1"/>
  <c r="C1400" i="4" a="1"/>
  <c r="C1400" i="4" s="1"/>
  <c r="D1400" i="4" a="1"/>
  <c r="D1400" i="4" s="1"/>
  <c r="N1410" i="4" a="1"/>
  <c r="N1410" i="4" s="1"/>
  <c r="H1425" i="4"/>
  <c r="J1425" i="4"/>
  <c r="J1432" i="4"/>
  <c r="C1441" i="4" a="1"/>
  <c r="C1441" i="4" s="1"/>
  <c r="N1445" i="4" a="1"/>
  <c r="N1445" i="4" s="1"/>
  <c r="H1454" i="4"/>
  <c r="J1454" i="4"/>
  <c r="M1463" i="4" a="1"/>
  <c r="M1463" i="4" s="1"/>
  <c r="C1463" i="4" a="1"/>
  <c r="C1463" i="4" s="1"/>
  <c r="H1472" i="4"/>
  <c r="M1498" i="4" a="1"/>
  <c r="M1498" i="4" s="1"/>
  <c r="C1501" i="4" a="1"/>
  <c r="C1501" i="4" s="1"/>
  <c r="J1512" i="4"/>
  <c r="H1512" i="4"/>
  <c r="J1514" i="4"/>
  <c r="C1518" i="4" a="1"/>
  <c r="C1518" i="4" s="1"/>
  <c r="M1521" i="4" a="1"/>
  <c r="M1521" i="4" s="1"/>
  <c r="B1541" i="4" a="1"/>
  <c r="B1541" i="4" s="1"/>
  <c r="M1427" i="4" a="1"/>
  <c r="M1427" i="4" s="1"/>
  <c r="B1442" i="4" a="1"/>
  <c r="B1442" i="4" s="1"/>
  <c r="J1479" i="4"/>
  <c r="H1479" i="4"/>
  <c r="N1487" i="4" a="1"/>
  <c r="N1487" i="4" s="1"/>
  <c r="C1507" i="4" a="1"/>
  <c r="C1507" i="4" s="1"/>
  <c r="J1526" i="4"/>
  <c r="H1526" i="4"/>
  <c r="C1554" i="4" a="1"/>
  <c r="C1554" i="4" s="1"/>
  <c r="D1573" i="4" a="1"/>
  <c r="D1573" i="4" s="1"/>
  <c r="E1580" i="4" a="1"/>
  <c r="E1580" i="4" s="1"/>
  <c r="D1594" i="4" a="1"/>
  <c r="D1594" i="4" s="1"/>
  <c r="B1597" i="4" a="1"/>
  <c r="B1597" i="4" s="1"/>
  <c r="H1538" i="4"/>
  <c r="J1538" i="4"/>
  <c r="D1552" i="4" a="1"/>
  <c r="D1552" i="4" s="1"/>
  <c r="N1552" i="4" a="1"/>
  <c r="N1552" i="4" s="1"/>
  <c r="E1460" i="4" a="1"/>
  <c r="E1460" i="4" s="1"/>
  <c r="C1487" i="4" a="1"/>
  <c r="C1487" i="4" s="1"/>
  <c r="J1492" i="4"/>
  <c r="H1492" i="4"/>
  <c r="B1502" i="4" a="1"/>
  <c r="B1502" i="4" s="1"/>
  <c r="E1502" i="4" a="1"/>
  <c r="E1502" i="4" s="1"/>
  <c r="B1520" i="4" a="1"/>
  <c r="B1520" i="4" s="1"/>
  <c r="H1537" i="4"/>
  <c r="J1537" i="4"/>
  <c r="B1547" i="4" a="1"/>
  <c r="B1547" i="4" s="1"/>
  <c r="E1548" i="4" a="1"/>
  <c r="E1548" i="4" s="1"/>
  <c r="M1549" i="4" a="1"/>
  <c r="M1549" i="4" s="1"/>
  <c r="C1549" i="4" a="1"/>
  <c r="C1549" i="4" s="1"/>
  <c r="D1549" i="4" a="1"/>
  <c r="D1549" i="4" s="1"/>
  <c r="D1553" i="4" a="1"/>
  <c r="D1553" i="4" s="1"/>
  <c r="M1557" i="4" a="1"/>
  <c r="M1557" i="4" s="1"/>
  <c r="N1557" i="4" a="1"/>
  <c r="N1557" i="4" s="1"/>
  <c r="E1557" i="4" a="1"/>
  <c r="E1557" i="4" s="1"/>
  <c r="J1557" i="4"/>
  <c r="N1562" i="4" a="1"/>
  <c r="N1562" i="4" s="1"/>
  <c r="D1565" i="4" a="1"/>
  <c r="D1565" i="4" s="1"/>
  <c r="J1567" i="4"/>
  <c r="H1575" i="4"/>
  <c r="J1575" i="4"/>
  <c r="H1582" i="4"/>
  <c r="J1582" i="4"/>
  <c r="J1585" i="4"/>
  <c r="H1591" i="4"/>
  <c r="H1592" i="4"/>
  <c r="D1597" i="4" a="1"/>
  <c r="D1597" i="4" s="1"/>
  <c r="N1597" i="4" a="1"/>
  <c r="N1597" i="4" s="1"/>
  <c r="N1598" i="4" a="1"/>
  <c r="N1598" i="4" s="1"/>
  <c r="E1612" i="4" a="1"/>
  <c r="E1612" i="4" s="1"/>
  <c r="D1612" i="4" a="1"/>
  <c r="D1612" i="4" s="1"/>
  <c r="M1347" i="4" a="1"/>
  <c r="M1347" i="4" s="1"/>
  <c r="N1347" i="4" a="1"/>
  <c r="N1347" i="4" s="1"/>
  <c r="C1347" i="4" a="1"/>
  <c r="C1347" i="4" s="1"/>
  <c r="M1353" i="4" a="1"/>
  <c r="M1353" i="4" s="1"/>
  <c r="N1356" i="4" a="1"/>
  <c r="N1356" i="4" s="1"/>
  <c r="D1358" i="4" a="1"/>
  <c r="D1358" i="4" s="1"/>
  <c r="N1358" i="4" a="1"/>
  <c r="N1358" i="4" s="1"/>
  <c r="B1370" i="4" a="1"/>
  <c r="B1370" i="4" s="1"/>
  <c r="C1404" i="4" a="1"/>
  <c r="C1404" i="4" s="1"/>
  <c r="N1435" i="4" a="1"/>
  <c r="N1435" i="4" s="1"/>
  <c r="C1435" i="4" a="1"/>
  <c r="C1435" i="4" s="1"/>
  <c r="C1437" i="4" a="1"/>
  <c r="C1437" i="4" s="1"/>
  <c r="H1477" i="4"/>
  <c r="M1487" i="4" a="1"/>
  <c r="M1487" i="4" s="1"/>
  <c r="H1500" i="4"/>
  <c r="C1502" i="4" a="1"/>
  <c r="C1502" i="4" s="1"/>
  <c r="D1503" i="4" a="1"/>
  <c r="D1503" i="4" s="1"/>
  <c r="J1508" i="4"/>
  <c r="H1508" i="4"/>
  <c r="E1520" i="4" a="1"/>
  <c r="E1520" i="4" s="1"/>
  <c r="N1541" i="4" a="1"/>
  <c r="N1541" i="4" s="1"/>
  <c r="B1549" i="4" a="1"/>
  <c r="B1549" i="4" s="1"/>
  <c r="B1557" i="4" a="1"/>
  <c r="B1557" i="4" s="1"/>
  <c r="J1559" i="4"/>
  <c r="B1562" i="4" a="1"/>
  <c r="B1562" i="4" s="1"/>
  <c r="D1566" i="4" a="1"/>
  <c r="D1566" i="4" s="1"/>
  <c r="C1566" i="4" a="1"/>
  <c r="C1566" i="4" s="1"/>
  <c r="H1569" i="4"/>
  <c r="N1586" i="4" a="1"/>
  <c r="N1586" i="4" s="1"/>
  <c r="E1588" i="4" a="1"/>
  <c r="E1588" i="4" s="1"/>
  <c r="D1588" i="4" a="1"/>
  <c r="D1588" i="4" s="1"/>
  <c r="B1598" i="4" a="1"/>
  <c r="B1598" i="4" s="1"/>
  <c r="E1598" i="4" a="1"/>
  <c r="E1598" i="4" s="1"/>
  <c r="M1598" i="4" a="1"/>
  <c r="M1598" i="4" s="1"/>
  <c r="D1598" i="4" a="1"/>
  <c r="D1598" i="4" s="1"/>
  <c r="D1602" i="4" a="1"/>
  <c r="D1602" i="4" s="1"/>
  <c r="C1602" i="4" a="1"/>
  <c r="C1602" i="4" s="1"/>
  <c r="D1567" i="4" a="1"/>
  <c r="D1567" i="4" s="1"/>
  <c r="B1567" i="4" a="1"/>
  <c r="B1567" i="4" s="1"/>
  <c r="D1611" i="4" a="1"/>
  <c r="D1611" i="4" s="1"/>
  <c r="E1611" i="4" a="1"/>
  <c r="E1611" i="4" s="1"/>
  <c r="C1611" i="4" a="1"/>
  <c r="C1611" i="4" s="1"/>
  <c r="E1464" i="4" a="1"/>
  <c r="E1464" i="4" s="1"/>
  <c r="N1489" i="4" a="1"/>
  <c r="N1489" i="4" s="1"/>
  <c r="N1508" i="4" a="1"/>
  <c r="N1508" i="4" s="1"/>
  <c r="H1534" i="4"/>
  <c r="J1534" i="4"/>
  <c r="E1543" i="4" a="1"/>
  <c r="E1543" i="4" s="1"/>
  <c r="D1543" i="4" a="1"/>
  <c r="D1543" i="4" s="1"/>
  <c r="C1545" i="4" a="1"/>
  <c r="C1545" i="4" s="1"/>
  <c r="E1549" i="4" a="1"/>
  <c r="E1549" i="4" s="1"/>
  <c r="D1562" i="4" a="1"/>
  <c r="D1562" i="4" s="1"/>
  <c r="N1575" i="4" a="1"/>
  <c r="N1575" i="4" s="1"/>
  <c r="C1586" i="4" a="1"/>
  <c r="C1586" i="4" s="1"/>
  <c r="B1586" i="4" a="1"/>
  <c r="B1586" i="4" s="1"/>
  <c r="M1594" i="4" a="1"/>
  <c r="M1594" i="4" s="1"/>
  <c r="E1594" i="4" a="1"/>
  <c r="E1594" i="4" s="1"/>
  <c r="C1596" i="4" a="1"/>
  <c r="C1596" i="4" s="1"/>
  <c r="N1596" i="4" a="1"/>
  <c r="N1596" i="4" s="1"/>
  <c r="E1596" i="4" a="1"/>
  <c r="E1596" i="4" s="1"/>
  <c r="D1596" i="4" a="1"/>
  <c r="D1596" i="4" s="1"/>
  <c r="H1599" i="4"/>
  <c r="J1599" i="4"/>
  <c r="C1547" i="4" a="1"/>
  <c r="C1547" i="4" s="1"/>
  <c r="B1550" i="4" a="1"/>
  <c r="B1550" i="4" s="1"/>
  <c r="B1553" i="4" a="1"/>
  <c r="B1553" i="4" s="1"/>
  <c r="E1559" i="4" a="1"/>
  <c r="E1559" i="4" s="1"/>
  <c r="N1559" i="4" a="1"/>
  <c r="N1559" i="4" s="1"/>
  <c r="M1562" i="4" a="1"/>
  <c r="M1562" i="4" s="1"/>
  <c r="C1576" i="4" a="1"/>
  <c r="C1576" i="4" s="1"/>
  <c r="N1579" i="4" a="1"/>
  <c r="N1579" i="4" s="1"/>
  <c r="E1581" i="4" a="1"/>
  <c r="E1581" i="4" s="1"/>
  <c r="D1581" i="4" a="1"/>
  <c r="D1581" i="4" s="1"/>
  <c r="D1585" i="4" a="1"/>
  <c r="D1585" i="4" s="1"/>
  <c r="C1585" i="4" a="1"/>
  <c r="C1585" i="4" s="1"/>
  <c r="J1589" i="4"/>
  <c r="B1594" i="4" a="1"/>
  <c r="B1594" i="4" s="1"/>
  <c r="N1594" i="4" a="1"/>
  <c r="N1594" i="4" s="1"/>
  <c r="J1608" i="4"/>
  <c r="H1608" i="4"/>
  <c r="M1569" i="4" a="1"/>
  <c r="M1569" i="4" s="1"/>
  <c r="N1569" i="4" a="1"/>
  <c r="N1569" i="4" s="1"/>
  <c r="E1569" i="4" a="1"/>
  <c r="E1569" i="4" s="1"/>
  <c r="C1569" i="4" a="1"/>
  <c r="C1569" i="4" s="1"/>
  <c r="B1569" i="4" a="1"/>
  <c r="B1569" i="4" s="1"/>
  <c r="D1580" i="4" a="1"/>
  <c r="D1580" i="4" s="1"/>
  <c r="B1580" i="4" a="1"/>
  <c r="B1580" i="4" s="1"/>
  <c r="N1591" i="4" a="1"/>
  <c r="N1591" i="4" s="1"/>
  <c r="M1591" i="4" a="1"/>
  <c r="M1591" i="4" s="1"/>
  <c r="C1591" i="4" a="1"/>
  <c r="C1591" i="4" s="1"/>
  <c r="N1595" i="4" a="1"/>
  <c r="N1595" i="4" s="1"/>
  <c r="H1601" i="4"/>
  <c r="J1601" i="4"/>
  <c r="B1364" i="4" a="1"/>
  <c r="B1364" i="4" s="1"/>
  <c r="M1373" i="4" a="1"/>
  <c r="M1373" i="4" s="1"/>
  <c r="E1373" i="4" a="1"/>
  <c r="E1373" i="4" s="1"/>
  <c r="D1384" i="4" a="1"/>
  <c r="D1384" i="4" s="1"/>
  <c r="M1384" i="4" a="1"/>
  <c r="M1384" i="4" s="1"/>
  <c r="M1401" i="4" a="1"/>
  <c r="M1401" i="4" s="1"/>
  <c r="N1419" i="4" a="1"/>
  <c r="N1419" i="4" s="1"/>
  <c r="N1422" i="4" a="1"/>
  <c r="N1422" i="4" s="1"/>
  <c r="H1428" i="4"/>
  <c r="J1428" i="4"/>
  <c r="J1431" i="4"/>
  <c r="H1431" i="4"/>
  <c r="N1436" i="4" a="1"/>
  <c r="N1436" i="4" s="1"/>
  <c r="M1440" i="4" a="1"/>
  <c r="M1440" i="4" s="1"/>
  <c r="M1443" i="4" a="1"/>
  <c r="M1443" i="4" s="1"/>
  <c r="N1456" i="4" a="1"/>
  <c r="N1456" i="4" s="1"/>
  <c r="E1456" i="4" a="1"/>
  <c r="E1456" i="4" s="1"/>
  <c r="M1456" i="4" a="1"/>
  <c r="M1456" i="4" s="1"/>
  <c r="M1461" i="4" a="1"/>
  <c r="M1461" i="4" s="1"/>
  <c r="N1461" i="4" a="1"/>
  <c r="N1461" i="4" s="1"/>
  <c r="J1480" i="4"/>
  <c r="H1480" i="4"/>
  <c r="C1494" i="4" a="1"/>
  <c r="C1494" i="4" s="1"/>
  <c r="D1495" i="4" a="1"/>
  <c r="D1495" i="4" s="1"/>
  <c r="N1509" i="4" a="1"/>
  <c r="N1509" i="4" s="1"/>
  <c r="B1546" i="4" a="1"/>
  <c r="B1546" i="4" s="1"/>
  <c r="M1555" i="4" a="1"/>
  <c r="M1555" i="4" s="1"/>
  <c r="B1555" i="4" a="1"/>
  <c r="B1555" i="4" s="1"/>
  <c r="E1560" i="4" a="1"/>
  <c r="E1560" i="4" s="1"/>
  <c r="D1560" i="4" a="1"/>
  <c r="D1560" i="4" s="1"/>
  <c r="D1563" i="4" a="1"/>
  <c r="D1563" i="4" s="1"/>
  <c r="M1573" i="4" a="1"/>
  <c r="M1573" i="4" s="1"/>
  <c r="N1573" i="4" a="1"/>
  <c r="N1573" i="4" s="1"/>
  <c r="B1573" i="4" a="1"/>
  <c r="B1573" i="4" s="1"/>
  <c r="E1573" i="4" a="1"/>
  <c r="E1573" i="4" s="1"/>
  <c r="C1573" i="4" a="1"/>
  <c r="C1573" i="4" s="1"/>
  <c r="M1601" i="4" a="1"/>
  <c r="M1601" i="4" s="1"/>
  <c r="E1601" i="4" a="1"/>
  <c r="E1601" i="4" s="1"/>
  <c r="D1601" i="4" a="1"/>
  <c r="D1601" i="4" s="1"/>
  <c r="N1601" i="4" a="1"/>
  <c r="N1601" i="4" s="1"/>
  <c r="C1601" i="4" a="1"/>
  <c r="C1601" i="4" s="1"/>
  <c r="J1636" i="4"/>
  <c r="H1636" i="4"/>
  <c r="B1577" i="4" a="1"/>
  <c r="B1577" i="4" s="1"/>
  <c r="D1578" i="4" a="1"/>
  <c r="D1578" i="4" s="1"/>
  <c r="H1595" i="4"/>
  <c r="J1595" i="4"/>
  <c r="E1606" i="4" a="1"/>
  <c r="E1606" i="4" s="1"/>
  <c r="C1606" i="4" a="1"/>
  <c r="C1606" i="4" s="1"/>
  <c r="M1606" i="4" a="1"/>
  <c r="M1606" i="4" s="1"/>
  <c r="D1606" i="4" a="1"/>
  <c r="D1606" i="4" s="1"/>
  <c r="M1609" i="4" a="1"/>
  <c r="M1609" i="4" s="1"/>
  <c r="E1609" i="4" a="1"/>
  <c r="E1609" i="4" s="1"/>
  <c r="N1609" i="4" a="1"/>
  <c r="N1609" i="4" s="1"/>
  <c r="D1609" i="4" a="1"/>
  <c r="D1609" i="4" s="1"/>
  <c r="B1609" i="4" a="1"/>
  <c r="B1609" i="4" s="1"/>
  <c r="J1635" i="4"/>
  <c r="M1639" i="4" a="1"/>
  <c r="M1639" i="4" s="1"/>
  <c r="N1619" i="4" a="1"/>
  <c r="N1619" i="4" s="1"/>
  <c r="M1619" i="4" a="1"/>
  <c r="M1619" i="4" s="1"/>
  <c r="E1619" i="4" a="1"/>
  <c r="E1619" i="4" s="1"/>
  <c r="D1619" i="4" a="1"/>
  <c r="D1619" i="4" s="1"/>
  <c r="B1602" i="4" a="1"/>
  <c r="B1602" i="4" s="1"/>
  <c r="D1604" i="4" a="1"/>
  <c r="D1604" i="4" s="1"/>
  <c r="M1604" i="4" a="1"/>
  <c r="M1604" i="4" s="1"/>
  <c r="E1604" i="4" a="1"/>
  <c r="E1604" i="4" s="1"/>
  <c r="E1620" i="4" a="1"/>
  <c r="E1620" i="4" s="1"/>
  <c r="C1620" i="4" a="1"/>
  <c r="C1620" i="4" s="1"/>
  <c r="E1634" i="4" a="1"/>
  <c r="E1634" i="4" s="1"/>
  <c r="M1663" i="4" a="1"/>
  <c r="M1663" i="4" s="1"/>
  <c r="D1663" i="4" a="1"/>
  <c r="D1663" i="4" s="1"/>
  <c r="N1663" i="4" a="1"/>
  <c r="N1663" i="4" s="1"/>
  <c r="E1663" i="4" a="1"/>
  <c r="E1663" i="4" s="1"/>
  <c r="C1663" i="4" a="1"/>
  <c r="C1663" i="4" s="1"/>
  <c r="J1623" i="4"/>
  <c r="H1623" i="4"/>
  <c r="M1655" i="4" a="1"/>
  <c r="M1655" i="4" s="1"/>
  <c r="B1655" i="4" a="1"/>
  <c r="B1655" i="4" s="1"/>
  <c r="E1655" i="4" a="1"/>
  <c r="E1655" i="4" s="1"/>
  <c r="M1602" i="4" a="1"/>
  <c r="M1602" i="4" s="1"/>
  <c r="J1603" i="4"/>
  <c r="H1603" i="4"/>
  <c r="B1626" i="4" a="1"/>
  <c r="B1626" i="4" s="1"/>
  <c r="N1626" i="4" a="1"/>
  <c r="N1626" i="4" s="1"/>
  <c r="M1626" i="4" a="1"/>
  <c r="M1626" i="4" s="1"/>
  <c r="N1634" i="4" a="1"/>
  <c r="N1634" i="4" s="1"/>
  <c r="M1634" i="4" a="1"/>
  <c r="M1634" i="4" s="1"/>
  <c r="C1634" i="4" a="1"/>
  <c r="C1634" i="4" s="1"/>
  <c r="D1635" i="4" a="1"/>
  <c r="D1635" i="4" s="1"/>
  <c r="C1635" i="4" a="1"/>
  <c r="C1635" i="4" s="1"/>
  <c r="D1639" i="4" a="1"/>
  <c r="D1639" i="4" s="1"/>
  <c r="J1640" i="4"/>
  <c r="H1640" i="4"/>
  <c r="J1621" i="4"/>
  <c r="H1621" i="4"/>
  <c r="M1649" i="4" a="1"/>
  <c r="M1649" i="4" s="1"/>
  <c r="E1649" i="4" a="1"/>
  <c r="E1649" i="4" s="1"/>
  <c r="N1649" i="4" a="1"/>
  <c r="N1649" i="4" s="1"/>
  <c r="B1614" i="4" a="1"/>
  <c r="B1614" i="4" s="1"/>
  <c r="E1614" i="4" a="1"/>
  <c r="E1614" i="4" s="1"/>
  <c r="D1615" i="4" a="1"/>
  <c r="D1615" i="4" s="1"/>
  <c r="N1615" i="4" a="1"/>
  <c r="N1615" i="4" s="1"/>
  <c r="E1615" i="4" a="1"/>
  <c r="E1615" i="4" s="1"/>
  <c r="H1617" i="4"/>
  <c r="J1617" i="4"/>
  <c r="H1629" i="4"/>
  <c r="H1653" i="4"/>
  <c r="J1653" i="4"/>
  <c r="N1664" i="4" a="1"/>
  <c r="N1664" i="4" s="1"/>
  <c r="E1664" i="4" a="1"/>
  <c r="E1664" i="4" s="1"/>
  <c r="N1671" i="4" a="1"/>
  <c r="N1671" i="4" s="1"/>
  <c r="C1671" i="4" a="1"/>
  <c r="C1671" i="4" s="1"/>
  <c r="N1621" i="4" a="1"/>
  <c r="N1621" i="4" s="1"/>
  <c r="M1622" i="4" a="1"/>
  <c r="M1622" i="4" s="1"/>
  <c r="B1657" i="4" a="1"/>
  <c r="B1657" i="4" s="1"/>
  <c r="H1663" i="4"/>
  <c r="C1664" i="4" a="1"/>
  <c r="C1664" i="4" s="1"/>
  <c r="H1667" i="4"/>
  <c r="B1671" i="4" a="1"/>
  <c r="B1671" i="4" s="1"/>
  <c r="D1674" i="4" a="1"/>
  <c r="D1674" i="4" s="1"/>
  <c r="N1605" i="4" a="1"/>
  <c r="N1605" i="4" s="1"/>
  <c r="C1605" i="4" a="1"/>
  <c r="C1605" i="4" s="1"/>
  <c r="E1623" i="4" a="1"/>
  <c r="E1623" i="4" s="1"/>
  <c r="C1630" i="4" a="1"/>
  <c r="C1630" i="4" s="1"/>
  <c r="N1642" i="4" a="1"/>
  <c r="N1642" i="4" s="1"/>
  <c r="B1642" i="4" a="1"/>
  <c r="B1642" i="4" s="1"/>
  <c r="C1643" i="4" a="1"/>
  <c r="C1643" i="4" s="1"/>
  <c r="M1643" i="4" a="1"/>
  <c r="M1643" i="4" s="1"/>
  <c r="B1648" i="4" a="1"/>
  <c r="B1648" i="4" s="1"/>
  <c r="C1654" i="4" a="1"/>
  <c r="C1654" i="4" s="1"/>
  <c r="D1655" i="4" a="1"/>
  <c r="D1655" i="4" s="1"/>
  <c r="N1656" i="4" a="1"/>
  <c r="N1656" i="4" s="1"/>
  <c r="E1658" i="4" a="1"/>
  <c r="E1658" i="4" s="1"/>
  <c r="C1658" i="4" a="1"/>
  <c r="C1658" i="4" s="1"/>
  <c r="M1658" i="4" a="1"/>
  <c r="M1658" i="4" s="1"/>
  <c r="D1658" i="4" a="1"/>
  <c r="D1658" i="4" s="1"/>
  <c r="B1658" i="4" a="1"/>
  <c r="B1658" i="4" s="1"/>
  <c r="M1662" i="4" a="1"/>
  <c r="M1662" i="4" s="1"/>
  <c r="D1664" i="4" a="1"/>
  <c r="D1664" i="4" s="1"/>
  <c r="M1665" i="4" a="1"/>
  <c r="M1665" i="4" s="1"/>
  <c r="B1665" i="4" a="1"/>
  <c r="B1665" i="4" s="1"/>
  <c r="C1665" i="4" a="1"/>
  <c r="C1665" i="4" s="1"/>
  <c r="N1665" i="4" a="1"/>
  <c r="N1665" i="4" s="1"/>
  <c r="H1670" i="4"/>
  <c r="J1670" i="4"/>
  <c r="D1671" i="4" a="1"/>
  <c r="D1671" i="4" s="1"/>
  <c r="M1674" i="4" a="1"/>
  <c r="M1674" i="4" s="1"/>
  <c r="H1678" i="4"/>
  <c r="E1680" i="4" a="1"/>
  <c r="E1680" i="4" s="1"/>
  <c r="D1680" i="4" a="1"/>
  <c r="D1680" i="4" s="1"/>
  <c r="M1680" i="4" a="1"/>
  <c r="M1680" i="4" s="1"/>
  <c r="C1680" i="4" a="1"/>
  <c r="C1680" i="4" s="1"/>
  <c r="E1682" i="4" a="1"/>
  <c r="E1682" i="4" s="1"/>
  <c r="N1682" i="4" a="1"/>
  <c r="N1682" i="4" s="1"/>
  <c r="M1682" i="4" a="1"/>
  <c r="M1682" i="4" s="1"/>
  <c r="B1682" i="4" a="1"/>
  <c r="B1682" i="4" s="1"/>
  <c r="D1657" i="4" a="1"/>
  <c r="D1657" i="4" s="1"/>
  <c r="B1659" i="4" a="1"/>
  <c r="B1659" i="4" s="1"/>
  <c r="E1675" i="4" a="1"/>
  <c r="E1675" i="4" s="1"/>
  <c r="B1675" i="4" a="1"/>
  <c r="B1675" i="4" s="1"/>
  <c r="E1688" i="4" a="1"/>
  <c r="E1688" i="4" s="1"/>
  <c r="N1688" i="4" a="1"/>
  <c r="N1688" i="4" s="1"/>
  <c r="M1693" i="4" a="1"/>
  <c r="M1693" i="4" s="1"/>
  <c r="C1693" i="4" a="1"/>
  <c r="C1693" i="4" s="1"/>
  <c r="B1666" i="4" a="1"/>
  <c r="B1666" i="4" s="1"/>
  <c r="M1666" i="4" a="1"/>
  <c r="M1666" i="4" s="1"/>
  <c r="D1666" i="4" a="1"/>
  <c r="D1666" i="4" s="1"/>
  <c r="E1666" i="4" a="1"/>
  <c r="E1666" i="4" s="1"/>
  <c r="M1659" i="4" a="1"/>
  <c r="M1659" i="4" s="1"/>
  <c r="D1659" i="4" a="1"/>
  <c r="D1659" i="4" s="1"/>
  <c r="C1666" i="4" a="1"/>
  <c r="C1666" i="4" s="1"/>
  <c r="B1676" i="4" a="1"/>
  <c r="B1676" i="4" s="1"/>
  <c r="N1676" i="4" a="1"/>
  <c r="N1676" i="4" s="1"/>
  <c r="M1685" i="4" a="1"/>
  <c r="M1685" i="4" s="1"/>
  <c r="C1685" i="4" a="1"/>
  <c r="C1685" i="4" s="1"/>
  <c r="E1685" i="4" a="1"/>
  <c r="E1685" i="4" s="1"/>
  <c r="N1685" i="4" a="1"/>
  <c r="N1685" i="4" s="1"/>
  <c r="D1685" i="4" a="1"/>
  <c r="D1685" i="4" s="1"/>
  <c r="H1691" i="4"/>
  <c r="J1691" i="4"/>
  <c r="D1536" i="4" a="1"/>
  <c r="D1536" i="4" s="1"/>
  <c r="N1570" i="4" a="1"/>
  <c r="N1570" i="4" s="1"/>
  <c r="C1580" i="4" a="1"/>
  <c r="C1580" i="4" s="1"/>
  <c r="J1594" i="4"/>
  <c r="H1594" i="4"/>
  <c r="E1600" i="4" a="1"/>
  <c r="E1600" i="4" s="1"/>
  <c r="D1600" i="4" a="1"/>
  <c r="D1600" i="4" s="1"/>
  <c r="M1603" i="4" a="1"/>
  <c r="M1603" i="4" s="1"/>
  <c r="B1603" i="4" a="1"/>
  <c r="B1603" i="4" s="1"/>
  <c r="M1608" i="4" a="1"/>
  <c r="M1608" i="4" s="1"/>
  <c r="E1635" i="4" a="1"/>
  <c r="E1635" i="4" s="1"/>
  <c r="J1637" i="4"/>
  <c r="H1637" i="4"/>
  <c r="J1639" i="4"/>
  <c r="H1639" i="4"/>
  <c r="N1646" i="4" a="1"/>
  <c r="N1646" i="4" s="1"/>
  <c r="M1660" i="4" a="1"/>
  <c r="M1660" i="4" s="1"/>
  <c r="J1665" i="4"/>
  <c r="H1665" i="4"/>
  <c r="D1668" i="4" a="1"/>
  <c r="D1668" i="4" s="1"/>
  <c r="M1668" i="4" a="1"/>
  <c r="M1668" i="4" s="1"/>
  <c r="N1668" i="4" a="1"/>
  <c r="N1668" i="4" s="1"/>
  <c r="C1668" i="4" a="1"/>
  <c r="C1668" i="4" s="1"/>
  <c r="C1670" i="4" a="1"/>
  <c r="C1670" i="4" s="1"/>
  <c r="E1670" i="4" a="1"/>
  <c r="E1670" i="4" s="1"/>
  <c r="B1670" i="4" a="1"/>
  <c r="B1670" i="4" s="1"/>
  <c r="M1670" i="4" a="1"/>
  <c r="M1670" i="4" s="1"/>
  <c r="E1672" i="4" a="1"/>
  <c r="E1672" i="4" s="1"/>
  <c r="C1677" i="4" a="1"/>
  <c r="C1677" i="4" s="1"/>
  <c r="E1677" i="4" a="1"/>
  <c r="E1677" i="4" s="1"/>
  <c r="D1677" i="4" a="1"/>
  <c r="D1677" i="4" s="1"/>
  <c r="J1680" i="4"/>
  <c r="D1310" i="4" a="1"/>
  <c r="D1310" i="4" s="1"/>
  <c r="M1319" i="4" a="1"/>
  <c r="M1319" i="4" s="1"/>
  <c r="M1339" i="4" a="1"/>
  <c r="M1339" i="4" s="1"/>
  <c r="E1372" i="4" a="1"/>
  <c r="E1372" i="4" s="1"/>
  <c r="N1402" i="4" a="1"/>
  <c r="N1402" i="4" s="1"/>
  <c r="N1403" i="4" a="1"/>
  <c r="N1403" i="4" s="1"/>
  <c r="E1423" i="4" a="1"/>
  <c r="E1423" i="4" s="1"/>
  <c r="D1453" i="4" a="1"/>
  <c r="D1453" i="4" s="1"/>
  <c r="E1455" i="4" a="1"/>
  <c r="E1455" i="4" s="1"/>
  <c r="C1505" i="4" a="1"/>
  <c r="C1505" i="4" s="1"/>
  <c r="D1537" i="4" a="1"/>
  <c r="D1537" i="4" s="1"/>
  <c r="D1555" i="4" a="1"/>
  <c r="D1555" i="4" s="1"/>
  <c r="M1558" i="4" a="1"/>
  <c r="M1558" i="4" s="1"/>
  <c r="C1560" i="4" a="1"/>
  <c r="C1560" i="4" s="1"/>
  <c r="N1571" i="4" a="1"/>
  <c r="N1571" i="4" s="1"/>
  <c r="B1589" i="4" a="1"/>
  <c r="B1589" i="4" s="1"/>
  <c r="B1600" i="4" a="1"/>
  <c r="B1600" i="4" s="1"/>
  <c r="C1608" i="4" a="1"/>
  <c r="C1608" i="4" s="1"/>
  <c r="H1610" i="4"/>
  <c r="H1616" i="4"/>
  <c r="M1627" i="4" a="1"/>
  <c r="M1627" i="4" s="1"/>
  <c r="N1641" i="4" a="1"/>
  <c r="N1641" i="4" s="1"/>
  <c r="E1641" i="4" a="1"/>
  <c r="E1641" i="4" s="1"/>
  <c r="D1651" i="4" a="1"/>
  <c r="D1651" i="4" s="1"/>
  <c r="N1651" i="4" a="1"/>
  <c r="N1651" i="4" s="1"/>
  <c r="H1658" i="4"/>
  <c r="B1668" i="4" a="1"/>
  <c r="B1668" i="4" s="1"/>
  <c r="D1670" i="4" a="1"/>
  <c r="D1670" i="4" s="1"/>
  <c r="N1670" i="4" a="1"/>
  <c r="N1670" i="4" s="1"/>
  <c r="M1673" i="4" a="1"/>
  <c r="M1673" i="4" s="1"/>
  <c r="C1673" i="4" a="1"/>
  <c r="C1673" i="4" s="1"/>
  <c r="D1673" i="4" a="1"/>
  <c r="D1673" i="4" s="1"/>
  <c r="J1682" i="4"/>
  <c r="H1682" i="4"/>
  <c r="N1693" i="4" a="1"/>
  <c r="N1693" i="4" s="1"/>
  <c r="E1695" i="4" a="1"/>
  <c r="E1695" i="4" s="1"/>
  <c r="M1705" i="4" a="1"/>
  <c r="M1705" i="4" s="1"/>
  <c r="D1705" i="4" a="1"/>
  <c r="D1705" i="4" s="1"/>
  <c r="J1708" i="4"/>
  <c r="J1710" i="4"/>
  <c r="J1696" i="4"/>
  <c r="M1707" i="4" a="1"/>
  <c r="M1707" i="4" s="1"/>
  <c r="D1707" i="4" a="1"/>
  <c r="D1707" i="4" s="1"/>
  <c r="N1707" i="4" a="1"/>
  <c r="N1707" i="4" s="1"/>
  <c r="C1696" i="4" a="1"/>
  <c r="C1696" i="4" s="1"/>
  <c r="M1696" i="4" a="1"/>
  <c r="M1696" i="4" s="1"/>
  <c r="M1667" i="4" a="1"/>
  <c r="M1667" i="4" s="1"/>
  <c r="N1667" i="4" a="1"/>
  <c r="N1667" i="4" s="1"/>
  <c r="D1678" i="4" a="1"/>
  <c r="D1678" i="4" s="1"/>
  <c r="B1687" i="4" a="1"/>
  <c r="B1687" i="4" s="1"/>
  <c r="E1689" i="4" a="1"/>
  <c r="E1689" i="4" s="1"/>
  <c r="B1696" i="4" a="1"/>
  <c r="B1696" i="4" s="1"/>
  <c r="N1700" i="4" a="1"/>
  <c r="N1700" i="4" s="1"/>
  <c r="N1709" i="4" a="1"/>
  <c r="N1709" i="4" s="1"/>
  <c r="D1696" i="4" a="1"/>
  <c r="D1696" i="4" s="1"/>
  <c r="M1698" i="4" a="1"/>
  <c r="M1698" i="4" s="1"/>
  <c r="J1702" i="4"/>
  <c r="M1710" i="4" a="1"/>
  <c r="M1710" i="4" s="1"/>
  <c r="E1710" i="4" a="1"/>
  <c r="E1710" i="4" s="1"/>
  <c r="C1650" i="4" a="1"/>
  <c r="C1650" i="4" s="1"/>
  <c r="M1650" i="4" a="1"/>
  <c r="M1650" i="4" s="1"/>
  <c r="M1661" i="4" a="1"/>
  <c r="M1661" i="4" s="1"/>
  <c r="E1661" i="4" a="1"/>
  <c r="E1661" i="4" s="1"/>
  <c r="H1669" i="4"/>
  <c r="J1669" i="4"/>
  <c r="M1681" i="4" a="1"/>
  <c r="M1681" i="4" s="1"/>
  <c r="D1681" i="4" a="1"/>
  <c r="D1681" i="4" s="1"/>
  <c r="N1681" i="4" a="1"/>
  <c r="N1681" i="4" s="1"/>
  <c r="M1686" i="4" a="1"/>
  <c r="M1686" i="4" s="1"/>
  <c r="M1690" i="4" a="1"/>
  <c r="M1690" i="4" s="1"/>
  <c r="C1699" i="4" a="1"/>
  <c r="C1699" i="4" s="1"/>
  <c r="M1700" i="4" a="1"/>
  <c r="M1700" i="4" s="1"/>
  <c r="M1683" i="4" a="1"/>
  <c r="M1683" i="4" s="1"/>
  <c r="D1683" i="4" a="1"/>
  <c r="D1683" i="4" s="1"/>
  <c r="N1686" i="4" a="1"/>
  <c r="N1686" i="4" s="1"/>
  <c r="J1706" i="4"/>
  <c r="M1583" i="4" a="1"/>
  <c r="M1583" i="4" s="1"/>
  <c r="C1583" i="4" a="1"/>
  <c r="C1583" i="4" s="1"/>
  <c r="C1592" i="4" a="1"/>
  <c r="C1592" i="4" s="1"/>
  <c r="H1598" i="4"/>
  <c r="J1598" i="4"/>
  <c r="M1607" i="4" a="1"/>
  <c r="M1607" i="4" s="1"/>
  <c r="D1607" i="4" a="1"/>
  <c r="D1607" i="4" s="1"/>
  <c r="C1607" i="4" a="1"/>
  <c r="C1607" i="4" s="1"/>
  <c r="C1625" i="4" a="1"/>
  <c r="C1625" i="4" s="1"/>
  <c r="M1631" i="4" a="1"/>
  <c r="M1631" i="4" s="1"/>
  <c r="N1647" i="4" a="1"/>
  <c r="N1647" i="4" s="1"/>
  <c r="D1647" i="4" a="1"/>
  <c r="D1647" i="4" s="1"/>
  <c r="B1647" i="4" a="1"/>
  <c r="B1647" i="4" s="1"/>
  <c r="E1650" i="4" a="1"/>
  <c r="E1650" i="4" s="1"/>
  <c r="N1654" i="4" a="1"/>
  <c r="N1654" i="4" s="1"/>
  <c r="J1654" i="4"/>
  <c r="J1656" i="4"/>
  <c r="H1656" i="4"/>
  <c r="C1659" i="4" a="1"/>
  <c r="C1659" i="4" s="1"/>
  <c r="C1661" i="4" a="1"/>
  <c r="C1661" i="4" s="1"/>
  <c r="J1666" i="4"/>
  <c r="D1667" i="4" a="1"/>
  <c r="D1667" i="4" s="1"/>
  <c r="M1669" i="4" a="1"/>
  <c r="M1669" i="4" s="1"/>
  <c r="C1669" i="4" a="1"/>
  <c r="C1669" i="4" s="1"/>
  <c r="D1669" i="4" a="1"/>
  <c r="D1669" i="4" s="1"/>
  <c r="N1672" i="4" a="1"/>
  <c r="N1672" i="4" s="1"/>
  <c r="D1672" i="4" a="1"/>
  <c r="D1672" i="4" s="1"/>
  <c r="H1677" i="4"/>
  <c r="J1677" i="4"/>
  <c r="E1683" i="4" a="1"/>
  <c r="E1683" i="4" s="1"/>
  <c r="N1683" i="4" a="1"/>
  <c r="N1683" i="4" s="1"/>
  <c r="M1687" i="4" a="1"/>
  <c r="M1687" i="4" s="1"/>
  <c r="D1687" i="4" a="1"/>
  <c r="D1687" i="4" s="1"/>
  <c r="N1690" i="4" a="1"/>
  <c r="N1690" i="4" s="1"/>
  <c r="N1691" i="4" a="1"/>
  <c r="N1691" i="4" s="1"/>
  <c r="B1700" i="4" a="1"/>
  <c r="B1700" i="4" s="1"/>
  <c r="E1702" i="4" a="1"/>
  <c r="E1702" i="4" s="1"/>
  <c r="N1703" i="4" a="1"/>
  <c r="N1703" i="4" s="1"/>
  <c r="D1703" i="4" a="1"/>
  <c r="D1703" i="4" s="1"/>
  <c r="H1714" i="4"/>
  <c r="J1714" i="4"/>
  <c r="M1597" i="4" a="1"/>
  <c r="M1597" i="4" s="1"/>
  <c r="D1610" i="4" a="1"/>
  <c r="D1610" i="4" s="1"/>
  <c r="N1624" i="4" a="1"/>
  <c r="N1624" i="4" s="1"/>
  <c r="C1631" i="4" a="1"/>
  <c r="C1631" i="4" s="1"/>
  <c r="E1642" i="4" a="1"/>
  <c r="E1642" i="4" s="1"/>
  <c r="N1652" i="4" a="1"/>
  <c r="N1652" i="4" s="1"/>
  <c r="M1652" i="4" a="1"/>
  <c r="M1652" i="4" s="1"/>
  <c r="D1660" i="4" a="1"/>
  <c r="D1660" i="4" s="1"/>
  <c r="M1664" i="4" a="1"/>
  <c r="M1664" i="4" s="1"/>
  <c r="E1671" i="4" a="1"/>
  <c r="E1671" i="4" s="1"/>
  <c r="B1685" i="4" a="1"/>
  <c r="B1685" i="4" s="1"/>
  <c r="E1697" i="4" a="1"/>
  <c r="E1697" i="4" s="1"/>
  <c r="M1703" i="4" a="1"/>
  <c r="M1703" i="4" s="1"/>
  <c r="D1706" i="4" a="1"/>
  <c r="D1706" i="4" s="1"/>
  <c r="B1707" i="4" a="1"/>
  <c r="B1707" i="4" s="1"/>
  <c r="C1713" i="4" a="1"/>
  <c r="C1713" i="4" s="1"/>
  <c r="M1716" i="4" a="1"/>
  <c r="M1716" i="4" s="1"/>
  <c r="N1716" i="4" a="1"/>
  <c r="N1716" i="4" s="1"/>
  <c r="B1720" i="4" a="1"/>
  <c r="B1720" i="4" s="1"/>
  <c r="H1719" i="4"/>
  <c r="H1721" i="4"/>
  <c r="H1722" i="4"/>
  <c r="C1704" i="4" a="1"/>
  <c r="C1704" i="4" s="1"/>
  <c r="B1715" i="4" a="1"/>
  <c r="B1715" i="4" s="1"/>
  <c r="M1719" i="4" a="1"/>
  <c r="M1719" i="4" s="1"/>
  <c r="D1719" i="4" a="1"/>
  <c r="D1719" i="4" s="1"/>
  <c r="C1720" i="4" a="1"/>
  <c r="C1720" i="4" s="1"/>
  <c r="E1660" i="4" a="1"/>
  <c r="E1660" i="4" s="1"/>
  <c r="E1667" i="4" a="1"/>
  <c r="E1667" i="4" s="1"/>
  <c r="M1675" i="4" a="1"/>
  <c r="M1675" i="4" s="1"/>
  <c r="D1691" i="4" a="1"/>
  <c r="D1691" i="4" s="1"/>
  <c r="D1715" i="4" a="1"/>
  <c r="D1715" i="4" s="1"/>
  <c r="C1719" i="4" a="1"/>
  <c r="C1719" i="4" s="1"/>
  <c r="N1029" i="4" a="1"/>
  <c r="N1029" i="4" s="1"/>
  <c r="B1029" i="4" a="1"/>
  <c r="B1029" i="4" s="1"/>
  <c r="N1041" i="4" a="1"/>
  <c r="N1041" i="4" s="1"/>
  <c r="C1041" i="4" a="1"/>
  <c r="C1041" i="4" s="1"/>
  <c r="B1044" i="4" a="1"/>
  <c r="B1044" i="4" s="1"/>
  <c r="N1044" i="4" a="1"/>
  <c r="N1044" i="4" s="1"/>
  <c r="M1045" i="4" a="1"/>
  <c r="M1045" i="4" s="1"/>
  <c r="N1045" i="4" a="1"/>
  <c r="N1045" i="4" s="1"/>
  <c r="N1046" i="4" a="1"/>
  <c r="N1046" i="4" s="1"/>
  <c r="E1046" i="4" a="1"/>
  <c r="E1046" i="4" s="1"/>
  <c r="E1048" i="4" a="1"/>
  <c r="E1048" i="4" s="1"/>
  <c r="B1048" i="4" a="1"/>
  <c r="B1048" i="4" s="1"/>
  <c r="N1048" i="4" a="1"/>
  <c r="N1048" i="4" s="1"/>
  <c r="B1049" i="4" a="1"/>
  <c r="B1049" i="4" s="1"/>
  <c r="M1049" i="4" a="1"/>
  <c r="M1049" i="4" s="1"/>
  <c r="H1050" i="4"/>
  <c r="J1050" i="4"/>
  <c r="C1050" i="4" a="1"/>
  <c r="C1050" i="4" s="1"/>
  <c r="D1050" i="4" a="1"/>
  <c r="D1050" i="4" s="1"/>
  <c r="H1051" i="4"/>
  <c r="J1051" i="4"/>
  <c r="M1051" i="4" a="1"/>
  <c r="M1051" i="4" s="1"/>
  <c r="D1051" i="4" a="1"/>
  <c r="D1051" i="4" s="1"/>
  <c r="C1053" i="4" a="1"/>
  <c r="C1053" i="4" s="1"/>
  <c r="B1053" i="4" a="1"/>
  <c r="B1053" i="4" s="1"/>
  <c r="E1055" i="4" a="1"/>
  <c r="E1055" i="4" s="1"/>
  <c r="D1055" i="4" a="1"/>
  <c r="D1055" i="4" s="1"/>
  <c r="B1055" i="4" a="1"/>
  <c r="B1055" i="4" s="1"/>
  <c r="M1055" i="4" a="1"/>
  <c r="M1055" i="4" s="1"/>
  <c r="N1056" i="4" a="1"/>
  <c r="N1056" i="4" s="1"/>
  <c r="D1056" i="4" a="1"/>
  <c r="D1056" i="4" s="1"/>
  <c r="M1057" i="4" a="1"/>
  <c r="M1057" i="4" s="1"/>
  <c r="D1057" i="4" a="1"/>
  <c r="D1057" i="4" s="1"/>
  <c r="D1059" i="4" a="1"/>
  <c r="D1059" i="4" s="1"/>
  <c r="N1059" i="4" a="1"/>
  <c r="N1059" i="4" s="1"/>
  <c r="B1059" i="4" a="1"/>
  <c r="B1059" i="4" s="1"/>
  <c r="J1059" i="4"/>
  <c r="H1059" i="4"/>
  <c r="J1062" i="4"/>
  <c r="H1062" i="4"/>
  <c r="M1063" i="4" a="1"/>
  <c r="M1063" i="4" s="1"/>
  <c r="E1063" i="4" a="1"/>
  <c r="E1063" i="4" s="1"/>
  <c r="D1063" i="4" a="1"/>
  <c r="D1063" i="4" s="1"/>
  <c r="C1063" i="4" a="1"/>
  <c r="C1063" i="4" s="1"/>
  <c r="B1063" i="4" a="1"/>
  <c r="B1063" i="4" s="1"/>
  <c r="N1063" i="4" a="1"/>
  <c r="N1063" i="4" s="1"/>
  <c r="H1063" i="4"/>
  <c r="J1063" i="4"/>
  <c r="J1064" i="4"/>
  <c r="H1064" i="4"/>
  <c r="E1065" i="4" a="1"/>
  <c r="E1065" i="4" s="1"/>
  <c r="C1065" i="4" a="1"/>
  <c r="C1065" i="4" s="1"/>
  <c r="B1065" i="4" a="1"/>
  <c r="B1065" i="4" s="1"/>
  <c r="N1065" i="4" a="1"/>
  <c r="N1065" i="4" s="1"/>
  <c r="J1065" i="4"/>
  <c r="H1065" i="4"/>
  <c r="J1066" i="4"/>
  <c r="H1066" i="4"/>
  <c r="C1067" i="4" a="1"/>
  <c r="C1067" i="4" s="1"/>
  <c r="M1067" i="4" a="1"/>
  <c r="M1067" i="4" s="1"/>
  <c r="D1067" i="4" a="1"/>
  <c r="D1067" i="4" s="1"/>
  <c r="B1067" i="4" a="1"/>
  <c r="B1067" i="4" s="1"/>
  <c r="N1067" i="4" a="1"/>
  <c r="N1067" i="4" s="1"/>
  <c r="M1026" i="4" a="1"/>
  <c r="M1026" i="4" s="1"/>
  <c r="D1043" i="4" a="1"/>
  <c r="D1043" i="4" s="1"/>
  <c r="C1056" i="4" a="1"/>
  <c r="C1056" i="4" s="1"/>
  <c r="M1060" i="4" a="1"/>
  <c r="M1060" i="4" s="1"/>
  <c r="M1061" i="4" a="1"/>
  <c r="M1061" i="4" s="1"/>
  <c r="M1069" i="4" a="1"/>
  <c r="M1069" i="4" s="1"/>
  <c r="E1070" i="4" a="1"/>
  <c r="E1070" i="4" s="1"/>
  <c r="M1071" i="4" a="1"/>
  <c r="M1071" i="4" s="1"/>
  <c r="H1073" i="4"/>
  <c r="M1074" i="4" a="1"/>
  <c r="M1074" i="4" s="1"/>
  <c r="D1075" i="4" a="1"/>
  <c r="D1075" i="4" s="1"/>
  <c r="H1072" i="4"/>
  <c r="B1073" i="4" a="1"/>
  <c r="B1073" i="4" s="1"/>
  <c r="C1061" i="4" a="1"/>
  <c r="C1061" i="4" s="1"/>
  <c r="B1068" i="4" a="1"/>
  <c r="B1068" i="4" s="1"/>
  <c r="C1073" i="4" a="1"/>
  <c r="C1073" i="4" s="1"/>
  <c r="E1073" i="4" a="1"/>
  <c r="E1073" i="4" s="1"/>
  <c r="M1073" i="4" a="1"/>
  <c r="M1073" i="4" s="1"/>
  <c r="E1074" i="4" a="1"/>
  <c r="E1074" i="4" s="1"/>
  <c r="E1077" i="4" a="1"/>
  <c r="E1077" i="4" s="1"/>
  <c r="N1054" i="4" a="1"/>
  <c r="N1054" i="4" s="1"/>
  <c r="M1058" i="4" a="1"/>
  <c r="M1058" i="4" s="1"/>
  <c r="E1060" i="4" a="1"/>
  <c r="E1060" i="4" s="1"/>
  <c r="D1069" i="4" a="1"/>
  <c r="D1069" i="4" s="1"/>
  <c r="N1073" i="4" a="1"/>
  <c r="N1073" i="4" s="1"/>
  <c r="N1057" i="4" a="1"/>
  <c r="N1057" i="4" s="1"/>
  <c r="B1057" i="4" a="1"/>
  <c r="B1057" i="4" s="1"/>
  <c r="D1066" i="4" a="1"/>
  <c r="D1066" i="4" s="1"/>
  <c r="C1066" i="4" a="1"/>
  <c r="C1066" i="4" s="1"/>
  <c r="N1071" i="4" a="1"/>
  <c r="N1071" i="4" s="1"/>
  <c r="B1071" i="4" a="1"/>
  <c r="B1071" i="4" s="1"/>
  <c r="D1072" i="4" a="1"/>
  <c r="D1072" i="4" s="1"/>
  <c r="C1072" i="4" a="1"/>
  <c r="C1072" i="4" s="1"/>
  <c r="M1075" i="4" a="1"/>
  <c r="M1075" i="4" s="1"/>
  <c r="C1075" i="4" a="1"/>
  <c r="C1075" i="4" s="1"/>
  <c r="B1075" i="4" a="1"/>
  <c r="B1075" i="4" s="1"/>
  <c r="J1075" i="4"/>
  <c r="H1075" i="4"/>
  <c r="C1077" i="4" a="1"/>
  <c r="C1077" i="4" s="1"/>
  <c r="B1077" i="4" a="1"/>
  <c r="B1077" i="4" s="1"/>
  <c r="B1078" i="4" a="1"/>
  <c r="B1078" i="4" s="1"/>
  <c r="E1078" i="4" a="1"/>
  <c r="E1078" i="4" s="1"/>
  <c r="C1078" i="4" a="1"/>
  <c r="C1078" i="4" s="1"/>
  <c r="M1079" i="4" a="1"/>
  <c r="M1079" i="4" s="1"/>
  <c r="D1079" i="4" a="1"/>
  <c r="D1079" i="4" s="1"/>
  <c r="C1079" i="4" a="1"/>
  <c r="C1079" i="4" s="1"/>
  <c r="J1080" i="4"/>
  <c r="H1080" i="4"/>
  <c r="N1080" i="4" a="1"/>
  <c r="N1080" i="4" s="1"/>
  <c r="D1080" i="4" a="1"/>
  <c r="D1080" i="4" s="1"/>
  <c r="C1080" i="4" a="1"/>
  <c r="C1080" i="4" s="1"/>
  <c r="N1081" i="4" a="1"/>
  <c r="N1081" i="4" s="1"/>
  <c r="M1081" i="4" a="1"/>
  <c r="M1081" i="4" s="1"/>
  <c r="E1081" i="4" a="1"/>
  <c r="E1081" i="4" s="1"/>
  <c r="E1082" i="4" a="1"/>
  <c r="E1082" i="4" s="1"/>
  <c r="D1082" i="4" a="1"/>
  <c r="D1082" i="4" s="1"/>
  <c r="N1082" i="4" a="1"/>
  <c r="N1082" i="4" s="1"/>
  <c r="D1083" i="4" a="1"/>
  <c r="D1083" i="4" s="1"/>
  <c r="N1083" i="4" a="1"/>
  <c r="N1083" i="4" s="1"/>
  <c r="H1084" i="4"/>
  <c r="J1084" i="4"/>
  <c r="N1084" i="4" a="1"/>
  <c r="N1084" i="4" s="1"/>
  <c r="C1084" i="4" a="1"/>
  <c r="C1084" i="4" s="1"/>
  <c r="E1084" i="4" a="1"/>
  <c r="E1084" i="4" s="1"/>
  <c r="C1085" i="4" a="1"/>
  <c r="C1085" i="4" s="1"/>
  <c r="N1085" i="4" a="1"/>
  <c r="N1085" i="4" s="1"/>
  <c r="M1085" i="4" a="1"/>
  <c r="M1085" i="4" s="1"/>
  <c r="D1086" i="4" a="1"/>
  <c r="D1086" i="4" s="1"/>
  <c r="N1086" i="4" a="1"/>
  <c r="N1086" i="4" s="1"/>
  <c r="E1086" i="4" a="1"/>
  <c r="E1086" i="4" s="1"/>
  <c r="C1087" i="4" a="1"/>
  <c r="C1087" i="4" s="1"/>
  <c r="N1087" i="4" a="1"/>
  <c r="N1087" i="4" s="1"/>
  <c r="B1087" i="4" a="1"/>
  <c r="B1087" i="4" s="1"/>
  <c r="D1087" i="4" a="1"/>
  <c r="D1087" i="4" s="1"/>
  <c r="M1087" i="4" a="1"/>
  <c r="M1087" i="4" s="1"/>
  <c r="D1088" i="4" a="1"/>
  <c r="D1088" i="4" s="1"/>
  <c r="E1088" i="4" a="1"/>
  <c r="E1088" i="4" s="1"/>
  <c r="N1088" i="4" a="1"/>
  <c r="N1088" i="4" s="1"/>
  <c r="C1092" i="4" a="1"/>
  <c r="C1092" i="4" s="1"/>
  <c r="E1092" i="4" a="1"/>
  <c r="E1092" i="4" s="1"/>
  <c r="B1092" i="4" a="1"/>
  <c r="B1092" i="4" s="1"/>
  <c r="N1092" i="4" a="1"/>
  <c r="N1092" i="4" s="1"/>
  <c r="J1098" i="4"/>
  <c r="H1098" i="4"/>
  <c r="E1099" i="4" a="1"/>
  <c r="E1099" i="4" s="1"/>
  <c r="C1108" i="4" a="1"/>
  <c r="C1108" i="4" s="1"/>
  <c r="B1108" i="4" a="1"/>
  <c r="B1108" i="4" s="1"/>
  <c r="M1054" i="4" a="1"/>
  <c r="M1054" i="4" s="1"/>
  <c r="M1076" i="4" a="1"/>
  <c r="M1076" i="4" s="1"/>
  <c r="M1078" i="4" a="1"/>
  <c r="M1078" i="4" s="1"/>
  <c r="E1091" i="4" a="1"/>
  <c r="E1091" i="4" s="1"/>
  <c r="D1091" i="4" a="1"/>
  <c r="D1091" i="4" s="1"/>
  <c r="C1093" i="4" a="1"/>
  <c r="C1093" i="4" s="1"/>
  <c r="J1095" i="4"/>
  <c r="H1095" i="4"/>
  <c r="C1098" i="4" a="1"/>
  <c r="C1098" i="4" s="1"/>
  <c r="H1103" i="4"/>
  <c r="D1105" i="4" a="1"/>
  <c r="D1105" i="4" s="1"/>
  <c r="M1105" i="4" a="1"/>
  <c r="M1105" i="4" s="1"/>
  <c r="C1089" i="4" a="1"/>
  <c r="C1089" i="4" s="1"/>
  <c r="E1089" i="4" a="1"/>
  <c r="E1089" i="4" s="1"/>
  <c r="D1094" i="4" a="1"/>
  <c r="D1094" i="4" s="1"/>
  <c r="N1094" i="4" a="1"/>
  <c r="N1094" i="4" s="1"/>
  <c r="E1096" i="4" a="1"/>
  <c r="E1096" i="4" s="1"/>
  <c r="D1096" i="4" a="1"/>
  <c r="D1096" i="4" s="1"/>
  <c r="J1101" i="4"/>
  <c r="H1101" i="4"/>
  <c r="D1108" i="4" a="1"/>
  <c r="D1108" i="4" s="1"/>
  <c r="N1108" i="4" a="1"/>
  <c r="N1108" i="4" s="1"/>
  <c r="E1115" i="4" a="1"/>
  <c r="E1115" i="4" s="1"/>
  <c r="D1115" i="4" a="1"/>
  <c r="D1115" i="4" s="1"/>
  <c r="C1083" i="4" a="1"/>
  <c r="C1083" i="4" s="1"/>
  <c r="E1085" i="4" a="1"/>
  <c r="E1085" i="4" s="1"/>
  <c r="B1090" i="4" a="1"/>
  <c r="B1090" i="4" s="1"/>
  <c r="E1093" i="4" a="1"/>
  <c r="E1093" i="4" s="1"/>
  <c r="D1095" i="4" a="1"/>
  <c r="D1095" i="4" s="1"/>
  <c r="B1095" i="4" a="1"/>
  <c r="B1095" i="4" s="1"/>
  <c r="N1095" i="4" a="1"/>
  <c r="N1095" i="4" s="1"/>
  <c r="M1095" i="4" a="1"/>
  <c r="M1095" i="4" s="1"/>
  <c r="E1095" i="4" a="1"/>
  <c r="E1095" i="4" s="1"/>
  <c r="E1108" i="4" a="1"/>
  <c r="E1108" i="4" s="1"/>
  <c r="C1109" i="4" a="1"/>
  <c r="C1109" i="4" s="1"/>
  <c r="E1109" i="4" a="1"/>
  <c r="E1109" i="4" s="1"/>
  <c r="D1099" i="4" a="1"/>
  <c r="D1099" i="4" s="1"/>
  <c r="D1106" i="4" a="1"/>
  <c r="D1106" i="4" s="1"/>
  <c r="E1112" i="4" a="1"/>
  <c r="E1112" i="4" s="1"/>
  <c r="D1112" i="4" a="1"/>
  <c r="D1112" i="4" s="1"/>
  <c r="M1099" i="4" a="1"/>
  <c r="M1099" i="4" s="1"/>
  <c r="D1104" i="4" a="1"/>
  <c r="D1104" i="4" s="1"/>
  <c r="N1104" i="4" a="1"/>
  <c r="N1104" i="4" s="1"/>
  <c r="E1104" i="4" a="1"/>
  <c r="E1104" i="4" s="1"/>
  <c r="M1109" i="4" a="1"/>
  <c r="M1109" i="4" s="1"/>
  <c r="M1068" i="4" a="1"/>
  <c r="M1068" i="4" s="1"/>
  <c r="M1084" i="4" a="1"/>
  <c r="M1084" i="4" s="1"/>
  <c r="M1092" i="4" a="1"/>
  <c r="M1092" i="4" s="1"/>
  <c r="B1096" i="4" a="1"/>
  <c r="B1096" i="4" s="1"/>
  <c r="D1097" i="4" a="1"/>
  <c r="D1097" i="4" s="1"/>
  <c r="D1101" i="4" a="1"/>
  <c r="D1101" i="4" s="1"/>
  <c r="M1102" i="4" a="1"/>
  <c r="M1102" i="4" s="1"/>
  <c r="M1107" i="4" a="1"/>
  <c r="M1107" i="4" s="1"/>
  <c r="E1111" i="4" a="1"/>
  <c r="E1111" i="4" s="1"/>
  <c r="M1111" i="4" a="1"/>
  <c r="M1111" i="4" s="1"/>
  <c r="D1116" i="4" a="1"/>
  <c r="D1116" i="4" s="1"/>
  <c r="M1121" i="4" a="1"/>
  <c r="M1121" i="4" s="1"/>
  <c r="C1124" i="4" a="1"/>
  <c r="C1124" i="4" s="1"/>
  <c r="M1088" i="4" a="1"/>
  <c r="M1088" i="4" s="1"/>
  <c r="N1090" i="4" a="1"/>
  <c r="N1090" i="4" s="1"/>
  <c r="M1094" i="4" a="1"/>
  <c r="M1094" i="4" s="1"/>
  <c r="B1100" i="4" a="1"/>
  <c r="B1100" i="4" s="1"/>
  <c r="B1102" i="4" a="1"/>
  <c r="B1102" i="4" s="1"/>
  <c r="D1103" i="4" a="1"/>
  <c r="D1103" i="4" s="1"/>
  <c r="M1103" i="4" a="1"/>
  <c r="M1103" i="4" s="1"/>
  <c r="N1107" i="4" a="1"/>
  <c r="N1107" i="4" s="1"/>
  <c r="B1117" i="4" a="1"/>
  <c r="B1117" i="4" s="1"/>
  <c r="H1119" i="4"/>
  <c r="N1124" i="4" a="1"/>
  <c r="N1124" i="4" s="1"/>
  <c r="N1109" i="4" a="1"/>
  <c r="N1109" i="4" s="1"/>
  <c r="M1114" i="4" a="1"/>
  <c r="M1114" i="4" s="1"/>
  <c r="C1117" i="4" a="1"/>
  <c r="C1117" i="4" s="1"/>
  <c r="M1117" i="4" a="1"/>
  <c r="M1117" i="4" s="1"/>
  <c r="J1133" i="4"/>
  <c r="M1096" i="4" a="1"/>
  <c r="M1096" i="4" s="1"/>
  <c r="M1098" i="4" a="1"/>
  <c r="M1098" i="4" s="1"/>
  <c r="E1101" i="4" a="1"/>
  <c r="E1101" i="4" s="1"/>
  <c r="E1103" i="4" a="1"/>
  <c r="E1103" i="4" s="1"/>
  <c r="B1107" i="4" a="1"/>
  <c r="B1107" i="4" s="1"/>
  <c r="M1108" i="4" a="1"/>
  <c r="M1108" i="4" s="1"/>
  <c r="M1116" i="4" a="1"/>
  <c r="M1116" i="4" s="1"/>
  <c r="E1117" i="4" a="1"/>
  <c r="E1117" i="4" s="1"/>
  <c r="C1105" i="4" a="1"/>
  <c r="C1105" i="4" s="1"/>
  <c r="N1117" i="4" a="1"/>
  <c r="N1117" i="4" s="1"/>
  <c r="N1093" i="4" a="1"/>
  <c r="N1093" i="4" s="1"/>
  <c r="B1093" i="4" a="1"/>
  <c r="B1093" i="4" s="1"/>
  <c r="M1097" i="4" a="1"/>
  <c r="M1097" i="4" s="1"/>
  <c r="E1097" i="4" a="1"/>
  <c r="E1097" i="4" s="1"/>
  <c r="N1099" i="4" a="1"/>
  <c r="N1099" i="4" s="1"/>
  <c r="B1099" i="4" a="1"/>
  <c r="B1099" i="4" s="1"/>
  <c r="N1106" i="4" a="1"/>
  <c r="N1106" i="4" s="1"/>
  <c r="E1106" i="4" a="1"/>
  <c r="E1106" i="4" s="1"/>
  <c r="D1111" i="4" a="1"/>
  <c r="D1111" i="4" s="1"/>
  <c r="C1111" i="4" a="1"/>
  <c r="C1111" i="4" s="1"/>
  <c r="B1112" i="4" a="1"/>
  <c r="B1112" i="4" s="1"/>
  <c r="N1112" i="4" a="1"/>
  <c r="N1112" i="4" s="1"/>
  <c r="M1113" i="4" a="1"/>
  <c r="M1113" i="4" s="1"/>
  <c r="E1113" i="4" a="1"/>
  <c r="E1113" i="4" s="1"/>
  <c r="C1114" i="4" a="1"/>
  <c r="C1114" i="4" s="1"/>
  <c r="B1114" i="4" a="1"/>
  <c r="B1114" i="4" s="1"/>
  <c r="N1115" i="4" a="1"/>
  <c r="N1115" i="4" s="1"/>
  <c r="B1115" i="4" a="1"/>
  <c r="B1115" i="4" s="1"/>
  <c r="M1115" i="4" a="1"/>
  <c r="M1115" i="4" s="1"/>
  <c r="J1117" i="4"/>
  <c r="H1117" i="4"/>
  <c r="B1118" i="4" a="1"/>
  <c r="B1118" i="4" s="1"/>
  <c r="E1118" i="4" a="1"/>
  <c r="E1118" i="4" s="1"/>
  <c r="D1121" i="4" a="1"/>
  <c r="D1121" i="4" s="1"/>
  <c r="C1121" i="4" a="1"/>
  <c r="C1121" i="4" s="1"/>
  <c r="B1121" i="4" a="1"/>
  <c r="B1121" i="4" s="1"/>
  <c r="J1121" i="4"/>
  <c r="H1121" i="4"/>
  <c r="B1122" i="4" a="1"/>
  <c r="B1122" i="4" s="1"/>
  <c r="C1122" i="4" a="1"/>
  <c r="C1122" i="4" s="1"/>
  <c r="J1124" i="4"/>
  <c r="H1124" i="4"/>
  <c r="C1125" i="4" a="1"/>
  <c r="C1125" i="4" s="1"/>
  <c r="B1125" i="4" a="1"/>
  <c r="B1125" i="4" s="1"/>
  <c r="N1125" i="4" a="1"/>
  <c r="N1125" i="4" s="1"/>
  <c r="H1125" i="4"/>
  <c r="J1125" i="4"/>
  <c r="E1126" i="4" a="1"/>
  <c r="E1126" i="4" s="1"/>
  <c r="B1126" i="4" a="1"/>
  <c r="B1126" i="4" s="1"/>
  <c r="D1126" i="4" a="1"/>
  <c r="D1126" i="4" s="1"/>
  <c r="B1127" i="4" a="1"/>
  <c r="B1127" i="4" s="1"/>
  <c r="E1127" i="4" a="1"/>
  <c r="E1127" i="4" s="1"/>
  <c r="E1133" i="4" a="1"/>
  <c r="E1133" i="4" s="1"/>
  <c r="B1133" i="4" a="1"/>
  <c r="B1133" i="4" s="1"/>
  <c r="D1133" i="4" a="1"/>
  <c r="D1133" i="4" s="1"/>
  <c r="N1135" i="4" a="1"/>
  <c r="N1135" i="4" s="1"/>
  <c r="M1135" i="4" a="1"/>
  <c r="M1135" i="4" s="1"/>
  <c r="C1135" i="4" a="1"/>
  <c r="C1135" i="4" s="1"/>
  <c r="E1141" i="4" a="1"/>
  <c r="E1141" i="4" s="1"/>
  <c r="B1141" i="4" a="1"/>
  <c r="B1141" i="4" s="1"/>
  <c r="C1141" i="4" a="1"/>
  <c r="C1141" i="4" s="1"/>
  <c r="N1141" i="4" a="1"/>
  <c r="N1141" i="4" s="1"/>
  <c r="M1141" i="4" a="1"/>
  <c r="M1141" i="4" s="1"/>
  <c r="D1141" i="4" a="1"/>
  <c r="D1141" i="4" s="1"/>
  <c r="N1142" i="4" a="1"/>
  <c r="N1142" i="4" s="1"/>
  <c r="E1142" i="4" a="1"/>
  <c r="E1142" i="4" s="1"/>
  <c r="D1142" i="4" a="1"/>
  <c r="D1142" i="4" s="1"/>
  <c r="B1142" i="4" a="1"/>
  <c r="B1142" i="4" s="1"/>
  <c r="N1144" i="4" a="1"/>
  <c r="N1144" i="4" s="1"/>
  <c r="E1144" i="4" a="1"/>
  <c r="E1144" i="4" s="1"/>
  <c r="M1144" i="4" a="1"/>
  <c r="M1144" i="4" s="1"/>
  <c r="C1144" i="4" a="1"/>
  <c r="C1144" i="4" s="1"/>
  <c r="B1144" i="4" a="1"/>
  <c r="B1144" i="4" s="1"/>
  <c r="J1145" i="4"/>
  <c r="H1145" i="4"/>
  <c r="N1149" i="4" a="1"/>
  <c r="N1149" i="4" s="1"/>
  <c r="B1149" i="4" a="1"/>
  <c r="B1149" i="4" s="1"/>
  <c r="N1151" i="4" a="1"/>
  <c r="N1151" i="4" s="1"/>
  <c r="M1153" i="4" a="1"/>
  <c r="M1153" i="4" s="1"/>
  <c r="N1153" i="4" a="1"/>
  <c r="N1153" i="4" s="1"/>
  <c r="E1153" i="4" a="1"/>
  <c r="E1153" i="4" s="1"/>
  <c r="B1153" i="4" a="1"/>
  <c r="B1153" i="4" s="1"/>
  <c r="B1136" i="4" a="1"/>
  <c r="B1136" i="4" s="1"/>
  <c r="E1146" i="4" a="1"/>
  <c r="E1146" i="4" s="1"/>
  <c r="C1148" i="4" a="1"/>
  <c r="C1148" i="4" s="1"/>
  <c r="C1149" i="4" a="1"/>
  <c r="C1149" i="4" s="1"/>
  <c r="N1154" i="4" a="1"/>
  <c r="N1154" i="4" s="1"/>
  <c r="E1154" i="4" a="1"/>
  <c r="E1154" i="4" s="1"/>
  <c r="B1154" i="4" a="1"/>
  <c r="B1154" i="4" s="1"/>
  <c r="E1155" i="4" a="1"/>
  <c r="E1155" i="4" s="1"/>
  <c r="H1165" i="4"/>
  <c r="J1165" i="4"/>
  <c r="D1167" i="4" a="1"/>
  <c r="D1167" i="4" s="1"/>
  <c r="B1167" i="4" a="1"/>
  <c r="B1167" i="4" s="1"/>
  <c r="M1167" i="4" a="1"/>
  <c r="M1167" i="4" s="1"/>
  <c r="E1167" i="4" a="1"/>
  <c r="E1167" i="4" s="1"/>
  <c r="N1167" i="4" a="1"/>
  <c r="N1167" i="4" s="1"/>
  <c r="H1130" i="4"/>
  <c r="N1131" i="4" a="1"/>
  <c r="N1131" i="4" s="1"/>
  <c r="C1140" i="4" a="1"/>
  <c r="C1140" i="4" s="1"/>
  <c r="N1143" i="4" a="1"/>
  <c r="N1143" i="4" s="1"/>
  <c r="B1143" i="4" a="1"/>
  <c r="B1143" i="4" s="1"/>
  <c r="D1143" i="4" a="1"/>
  <c r="D1143" i="4" s="1"/>
  <c r="M1143" i="4" a="1"/>
  <c r="M1143" i="4" s="1"/>
  <c r="H1147" i="4"/>
  <c r="J1147" i="4"/>
  <c r="B1148" i="4" a="1"/>
  <c r="B1148" i="4" s="1"/>
  <c r="H1151" i="4"/>
  <c r="J1151" i="4"/>
  <c r="D1153" i="4" a="1"/>
  <c r="D1153" i="4" s="1"/>
  <c r="C1154" i="4" a="1"/>
  <c r="C1154" i="4" s="1"/>
  <c r="N1159" i="4" a="1"/>
  <c r="N1159" i="4" s="1"/>
  <c r="B1159" i="4" a="1"/>
  <c r="B1159" i="4" s="1"/>
  <c r="M1159" i="4" a="1"/>
  <c r="M1159" i="4" s="1"/>
  <c r="N1164" i="4" a="1"/>
  <c r="N1164" i="4" s="1"/>
  <c r="D1164" i="4" a="1"/>
  <c r="D1164" i="4" s="1"/>
  <c r="C1164" i="4" a="1"/>
  <c r="C1164" i="4" s="1"/>
  <c r="B1164" i="4" a="1"/>
  <c r="B1164" i="4" s="1"/>
  <c r="E1164" i="4" a="1"/>
  <c r="E1164" i="4" s="1"/>
  <c r="N1168" i="4" a="1"/>
  <c r="N1168" i="4" s="1"/>
  <c r="C1168" i="4" a="1"/>
  <c r="C1168" i="4" s="1"/>
  <c r="E1168" i="4" a="1"/>
  <c r="E1168" i="4" s="1"/>
  <c r="M1168" i="4" a="1"/>
  <c r="M1168" i="4" s="1"/>
  <c r="J1163" i="4"/>
  <c r="H1163" i="4"/>
  <c r="M1122" i="4" a="1"/>
  <c r="M1122" i="4" s="1"/>
  <c r="M1123" i="4" a="1"/>
  <c r="M1123" i="4" s="1"/>
  <c r="D1137" i="4" a="1"/>
  <c r="D1137" i="4" s="1"/>
  <c r="M1137" i="4" a="1"/>
  <c r="M1137" i="4" s="1"/>
  <c r="M1147" i="4" a="1"/>
  <c r="M1147" i="4" s="1"/>
  <c r="B1147" i="4" a="1"/>
  <c r="B1147" i="4" s="1"/>
  <c r="C1147" i="4" a="1"/>
  <c r="C1147" i="4" s="1"/>
  <c r="E1149" i="4" a="1"/>
  <c r="E1149" i="4" s="1"/>
  <c r="M1149" i="4" a="1"/>
  <c r="M1149" i="4" s="1"/>
  <c r="C1151" i="4" a="1"/>
  <c r="C1151" i="4" s="1"/>
  <c r="M1152" i="4" a="1"/>
  <c r="M1152" i="4" s="1"/>
  <c r="B1152" i="4" a="1"/>
  <c r="B1152" i="4" s="1"/>
  <c r="E1162" i="4" a="1"/>
  <c r="E1162" i="4" s="1"/>
  <c r="J1171" i="4"/>
  <c r="H1171" i="4"/>
  <c r="M1162" i="4" a="1"/>
  <c r="M1162" i="4" s="1"/>
  <c r="C1177" i="4" a="1"/>
  <c r="C1177" i="4" s="1"/>
  <c r="N1177" i="4" a="1"/>
  <c r="N1177" i="4" s="1"/>
  <c r="B1177" i="4" a="1"/>
  <c r="B1177" i="4" s="1"/>
  <c r="M1177" i="4" a="1"/>
  <c r="M1177" i="4" s="1"/>
  <c r="E1177" i="4" a="1"/>
  <c r="E1177" i="4" s="1"/>
  <c r="D1177" i="4" a="1"/>
  <c r="D1177" i="4" s="1"/>
  <c r="M1112" i="4" a="1"/>
  <c r="M1112" i="4" s="1"/>
  <c r="M1129" i="4" a="1"/>
  <c r="M1129" i="4" s="1"/>
  <c r="C1139" i="4" a="1"/>
  <c r="C1139" i="4" s="1"/>
  <c r="D1139" i="4" a="1"/>
  <c r="D1139" i="4" s="1"/>
  <c r="J1141" i="4"/>
  <c r="E1143" i="4" a="1"/>
  <c r="E1143" i="4" s="1"/>
  <c r="N1146" i="4" a="1"/>
  <c r="N1146" i="4" s="1"/>
  <c r="B1146" i="4" a="1"/>
  <c r="B1146" i="4" s="1"/>
  <c r="C1146" i="4" a="1"/>
  <c r="C1146" i="4" s="1"/>
  <c r="D1146" i="4" a="1"/>
  <c r="D1146" i="4" s="1"/>
  <c r="N1150" i="4" a="1"/>
  <c r="N1150" i="4" s="1"/>
  <c r="M1150" i="4" a="1"/>
  <c r="M1150" i="4" s="1"/>
  <c r="C1150" i="4" a="1"/>
  <c r="C1150" i="4" s="1"/>
  <c r="B1150" i="4" a="1"/>
  <c r="B1150" i="4" s="1"/>
  <c r="M1151" i="4" a="1"/>
  <c r="M1151" i="4" s="1"/>
  <c r="J1153" i="4"/>
  <c r="C1155" i="4" a="1"/>
  <c r="C1155" i="4" s="1"/>
  <c r="D1155" i="4" a="1"/>
  <c r="D1155" i="4" s="1"/>
  <c r="N1155" i="4" a="1"/>
  <c r="N1155" i="4" s="1"/>
  <c r="B1155" i="4" a="1"/>
  <c r="B1155" i="4" s="1"/>
  <c r="C1156" i="4" a="1"/>
  <c r="C1156" i="4" s="1"/>
  <c r="M1156" i="4" a="1"/>
  <c r="M1156" i="4" s="1"/>
  <c r="E1156" i="4" a="1"/>
  <c r="E1156" i="4" s="1"/>
  <c r="N1158" i="4" a="1"/>
  <c r="N1158" i="4" s="1"/>
  <c r="M1158" i="4" a="1"/>
  <c r="M1158" i="4" s="1"/>
  <c r="B1158" i="4" a="1"/>
  <c r="B1158" i="4" s="1"/>
  <c r="B1165" i="4" a="1"/>
  <c r="B1165" i="4" s="1"/>
  <c r="C1165" i="4" a="1"/>
  <c r="C1165" i="4" s="1"/>
  <c r="M1165" i="4" a="1"/>
  <c r="M1165" i="4" s="1"/>
  <c r="E1165" i="4" a="1"/>
  <c r="E1165" i="4" s="1"/>
  <c r="D1165" i="4" a="1"/>
  <c r="D1165" i="4" s="1"/>
  <c r="N1165" i="4" a="1"/>
  <c r="N1165" i="4" s="1"/>
  <c r="H1169" i="4"/>
  <c r="M1090" i="4" a="1"/>
  <c r="M1090" i="4" s="1"/>
  <c r="M1106" i="4" a="1"/>
  <c r="M1106" i="4" s="1"/>
  <c r="B1109" i="4" a="1"/>
  <c r="B1109" i="4" s="1"/>
  <c r="C1123" i="4" a="1"/>
  <c r="C1123" i="4" s="1"/>
  <c r="M1128" i="4" a="1"/>
  <c r="M1128" i="4" s="1"/>
  <c r="E1131" i="4" a="1"/>
  <c r="E1131" i="4" s="1"/>
  <c r="C1132" i="4" a="1"/>
  <c r="C1132" i="4" s="1"/>
  <c r="D1135" i="4" a="1"/>
  <c r="D1135" i="4" s="1"/>
  <c r="N1138" i="4" a="1"/>
  <c r="N1138" i="4" s="1"/>
  <c r="E1138" i="4" a="1"/>
  <c r="E1138" i="4" s="1"/>
  <c r="B1139" i="4" a="1"/>
  <c r="B1139" i="4" s="1"/>
  <c r="B1140" i="4" a="1"/>
  <c r="B1140" i="4" s="1"/>
  <c r="D1147" i="4" a="1"/>
  <c r="D1147" i="4" s="1"/>
  <c r="N1147" i="4" a="1"/>
  <c r="N1147" i="4" s="1"/>
  <c r="D1156" i="4" a="1"/>
  <c r="D1156" i="4" s="1"/>
  <c r="C1158" i="4" a="1"/>
  <c r="C1158" i="4" s="1"/>
  <c r="C1160" i="4" a="1"/>
  <c r="C1160" i="4" s="1"/>
  <c r="N1166" i="4" a="1"/>
  <c r="N1166" i="4" s="1"/>
  <c r="M1166" i="4" a="1"/>
  <c r="M1166" i="4" s="1"/>
  <c r="B1166" i="4" a="1"/>
  <c r="B1166" i="4" s="1"/>
  <c r="D1166" i="4" a="1"/>
  <c r="D1166" i="4" s="1"/>
  <c r="E1166" i="4" a="1"/>
  <c r="E1166" i="4" s="1"/>
  <c r="J1167" i="4"/>
  <c r="N1171" i="4" a="1"/>
  <c r="N1171" i="4" s="1"/>
  <c r="C1182" i="4" a="1"/>
  <c r="C1182" i="4" s="1"/>
  <c r="E1190" i="4" a="1"/>
  <c r="E1190" i="4" s="1"/>
  <c r="C1191" i="4" a="1"/>
  <c r="C1191" i="4" s="1"/>
  <c r="C1196" i="4" a="1"/>
  <c r="C1196" i="4" s="1"/>
  <c r="H1197" i="4"/>
  <c r="J1197" i="4"/>
  <c r="D1199" i="4" a="1"/>
  <c r="D1199" i="4" s="1"/>
  <c r="M1199" i="4" a="1"/>
  <c r="M1199" i="4" s="1"/>
  <c r="C1199" i="4" a="1"/>
  <c r="C1199" i="4" s="1"/>
  <c r="M1132" i="4" a="1"/>
  <c r="M1132" i="4" s="1"/>
  <c r="N1136" i="4" a="1"/>
  <c r="N1136" i="4" s="1"/>
  <c r="C1136" i="4" a="1"/>
  <c r="C1136" i="4" s="1"/>
  <c r="E1157" i="4" a="1"/>
  <c r="E1157" i="4" s="1"/>
  <c r="B1157" i="4" a="1"/>
  <c r="B1157" i="4" s="1"/>
  <c r="M1170" i="4" a="1"/>
  <c r="M1170" i="4" s="1"/>
  <c r="N1174" i="4" a="1"/>
  <c r="N1174" i="4" s="1"/>
  <c r="M1174" i="4" a="1"/>
  <c r="M1174" i="4" s="1"/>
  <c r="C1174" i="4" a="1"/>
  <c r="C1174" i="4" s="1"/>
  <c r="M1179" i="4" a="1"/>
  <c r="M1179" i="4" s="1"/>
  <c r="E1179" i="4" a="1"/>
  <c r="E1179" i="4" s="1"/>
  <c r="N1186" i="4" a="1"/>
  <c r="N1186" i="4" s="1"/>
  <c r="M1186" i="4" a="1"/>
  <c r="M1186" i="4" s="1"/>
  <c r="M1193" i="4" a="1"/>
  <c r="M1193" i="4" s="1"/>
  <c r="E1193" i="4" a="1"/>
  <c r="E1193" i="4" s="1"/>
  <c r="N1212" i="4" a="1"/>
  <c r="N1212" i="4" s="1"/>
  <c r="M1212" i="4" a="1"/>
  <c r="M1212" i="4" s="1"/>
  <c r="D1212" i="4" a="1"/>
  <c r="D1212" i="4" s="1"/>
  <c r="C1212" i="4" a="1"/>
  <c r="C1212" i="4" s="1"/>
  <c r="B1212" i="4" a="1"/>
  <c r="B1212" i="4" s="1"/>
  <c r="E1212" i="4" a="1"/>
  <c r="E1212" i="4" s="1"/>
  <c r="B1214" i="4" a="1"/>
  <c r="B1214" i="4" s="1"/>
  <c r="M1214" i="4" a="1"/>
  <c r="M1214" i="4" s="1"/>
  <c r="E1214" i="4" a="1"/>
  <c r="E1214" i="4" s="1"/>
  <c r="D1214" i="4" a="1"/>
  <c r="D1214" i="4" s="1"/>
  <c r="C1214" i="4" a="1"/>
  <c r="C1214" i="4" s="1"/>
  <c r="B1186" i="4" a="1"/>
  <c r="B1186" i="4" s="1"/>
  <c r="E1189" i="4" a="1"/>
  <c r="E1189" i="4" s="1"/>
  <c r="C1189" i="4" a="1"/>
  <c r="C1189" i="4" s="1"/>
  <c r="N1202" i="4" a="1"/>
  <c r="N1202" i="4" s="1"/>
  <c r="M1202" i="4" a="1"/>
  <c r="M1202" i="4" s="1"/>
  <c r="D1202" i="4" a="1"/>
  <c r="D1202" i="4" s="1"/>
  <c r="C1202" i="4" a="1"/>
  <c r="C1202" i="4" s="1"/>
  <c r="B1202" i="4" a="1"/>
  <c r="B1202" i="4" s="1"/>
  <c r="E1182" i="4" a="1"/>
  <c r="E1182" i="4" s="1"/>
  <c r="C1186" i="4" a="1"/>
  <c r="C1186" i="4" s="1"/>
  <c r="B1189" i="4" a="1"/>
  <c r="B1189" i="4" s="1"/>
  <c r="C1193" i="4" a="1"/>
  <c r="C1193" i="4" s="1"/>
  <c r="N1193" i="4" a="1"/>
  <c r="N1193" i="4" s="1"/>
  <c r="C1197" i="4" a="1"/>
  <c r="C1197" i="4" s="1"/>
  <c r="N1197" i="4" a="1"/>
  <c r="N1197" i="4" s="1"/>
  <c r="E1202" i="4" a="1"/>
  <c r="E1202" i="4" s="1"/>
  <c r="C1203" i="4" a="1"/>
  <c r="C1203" i="4" s="1"/>
  <c r="N1203" i="4" a="1"/>
  <c r="N1203" i="4" s="1"/>
  <c r="B1203" i="4" a="1"/>
  <c r="B1203" i="4" s="1"/>
  <c r="M1203" i="4" a="1"/>
  <c r="M1203" i="4" s="1"/>
  <c r="D1203" i="4" a="1"/>
  <c r="D1203" i="4" s="1"/>
  <c r="E1204" i="4" a="1"/>
  <c r="E1204" i="4" s="1"/>
  <c r="M1204" i="4" a="1"/>
  <c r="M1204" i="4" s="1"/>
  <c r="C1204" i="4" a="1"/>
  <c r="C1204" i="4" s="1"/>
  <c r="B1204" i="4" a="1"/>
  <c r="B1204" i="4" s="1"/>
  <c r="N1178" i="4" a="1"/>
  <c r="N1178" i="4" s="1"/>
  <c r="B1178" i="4" a="1"/>
  <c r="B1178" i="4" s="1"/>
  <c r="M1178" i="4" a="1"/>
  <c r="M1178" i="4" s="1"/>
  <c r="N1192" i="4" a="1"/>
  <c r="N1192" i="4" s="1"/>
  <c r="E1192" i="4" a="1"/>
  <c r="E1192" i="4" s="1"/>
  <c r="M1192" i="4" a="1"/>
  <c r="M1192" i="4" s="1"/>
  <c r="H1211" i="4"/>
  <c r="J1211" i="4"/>
  <c r="N1184" i="4" a="1"/>
  <c r="N1184" i="4" s="1"/>
  <c r="C1184" i="4" a="1"/>
  <c r="C1184" i="4" s="1"/>
  <c r="M1184" i="4" a="1"/>
  <c r="M1184" i="4" s="1"/>
  <c r="D1189" i="4" a="1"/>
  <c r="D1189" i="4" s="1"/>
  <c r="M1189" i="4" a="1"/>
  <c r="M1189" i="4" s="1"/>
  <c r="B1192" i="4" a="1"/>
  <c r="B1192" i="4" s="1"/>
  <c r="N1194" i="4" a="1"/>
  <c r="N1194" i="4" s="1"/>
  <c r="B1194" i="4" a="1"/>
  <c r="B1194" i="4" s="1"/>
  <c r="C1194" i="4" a="1"/>
  <c r="C1194" i="4" s="1"/>
  <c r="E1194" i="4" a="1"/>
  <c r="E1194" i="4" s="1"/>
  <c r="N1198" i="4" a="1"/>
  <c r="N1198" i="4" s="1"/>
  <c r="M1198" i="4" a="1"/>
  <c r="M1198" i="4" s="1"/>
  <c r="C1198" i="4" a="1"/>
  <c r="C1198" i="4" s="1"/>
  <c r="E1198" i="4" a="1"/>
  <c r="E1198" i="4" s="1"/>
  <c r="E1205" i="4" a="1"/>
  <c r="E1205" i="4" s="1"/>
  <c r="N1205" i="4" a="1"/>
  <c r="N1205" i="4" s="1"/>
  <c r="C1205" i="4" a="1"/>
  <c r="C1205" i="4" s="1"/>
  <c r="B1205" i="4" a="1"/>
  <c r="B1205" i="4" s="1"/>
  <c r="M1205" i="4" a="1"/>
  <c r="M1205" i="4" s="1"/>
  <c r="N1210" i="4" a="1"/>
  <c r="N1210" i="4" s="1"/>
  <c r="C1210" i="4" a="1"/>
  <c r="C1210" i="4" s="1"/>
  <c r="B1210" i="4" a="1"/>
  <c r="B1210" i="4" s="1"/>
  <c r="D1210" i="4" a="1"/>
  <c r="D1210" i="4" s="1"/>
  <c r="M1210" i="4" a="1"/>
  <c r="M1210" i="4" s="1"/>
  <c r="E1210" i="4" a="1"/>
  <c r="E1210" i="4" s="1"/>
  <c r="M1163" i="4" a="1"/>
  <c r="M1163" i="4" s="1"/>
  <c r="C1163" i="4" a="1"/>
  <c r="C1163" i="4" s="1"/>
  <c r="D1171" i="4" a="1"/>
  <c r="D1171" i="4" s="1"/>
  <c r="D1178" i="4" a="1"/>
  <c r="D1178" i="4" s="1"/>
  <c r="B1184" i="4" a="1"/>
  <c r="B1184" i="4" s="1"/>
  <c r="C1187" i="4" a="1"/>
  <c r="C1187" i="4" s="1"/>
  <c r="E1187" i="4" a="1"/>
  <c r="E1187" i="4" s="1"/>
  <c r="M1187" i="4" a="1"/>
  <c r="M1187" i="4" s="1"/>
  <c r="N1189" i="4" a="1"/>
  <c r="N1189" i="4" s="1"/>
  <c r="C1192" i="4" a="1"/>
  <c r="C1192" i="4" s="1"/>
  <c r="H1199" i="4"/>
  <c r="N1206" i="4" a="1"/>
  <c r="N1206" i="4" s="1"/>
  <c r="B1206" i="4" a="1"/>
  <c r="B1206" i="4" s="1"/>
  <c r="M1206" i="4" a="1"/>
  <c r="M1206" i="4" s="1"/>
  <c r="D1206" i="4" a="1"/>
  <c r="D1206" i="4" s="1"/>
  <c r="C1206" i="4" a="1"/>
  <c r="C1206" i="4" s="1"/>
  <c r="N1148" i="4" a="1"/>
  <c r="N1148" i="4" s="1"/>
  <c r="D1148" i="4" a="1"/>
  <c r="D1148" i="4" s="1"/>
  <c r="D1151" i="4" a="1"/>
  <c r="D1151" i="4" s="1"/>
  <c r="N1160" i="4" a="1"/>
  <c r="N1160" i="4" s="1"/>
  <c r="E1160" i="4" a="1"/>
  <c r="E1160" i="4" s="1"/>
  <c r="H1161" i="4"/>
  <c r="N1162" i="4" a="1"/>
  <c r="N1162" i="4" s="1"/>
  <c r="B1162" i="4" a="1"/>
  <c r="B1162" i="4" s="1"/>
  <c r="D1162" i="4" a="1"/>
  <c r="D1162" i="4" s="1"/>
  <c r="B1163" i="4" a="1"/>
  <c r="B1163" i="4" s="1"/>
  <c r="E1171" i="4" a="1"/>
  <c r="E1171" i="4" s="1"/>
  <c r="M1171" i="4" a="1"/>
  <c r="M1171" i="4" s="1"/>
  <c r="N1175" i="4" a="1"/>
  <c r="N1175" i="4" s="1"/>
  <c r="B1175" i="4" a="1"/>
  <c r="B1175" i="4" s="1"/>
  <c r="E1175" i="4" a="1"/>
  <c r="E1175" i="4" s="1"/>
  <c r="N1180" i="4" a="1"/>
  <c r="N1180" i="4" s="1"/>
  <c r="D1180" i="4" a="1"/>
  <c r="D1180" i="4" s="1"/>
  <c r="B1180" i="4" a="1"/>
  <c r="B1180" i="4" s="1"/>
  <c r="E1180" i="4" a="1"/>
  <c r="E1180" i="4" s="1"/>
  <c r="B1182" i="4" a="1"/>
  <c r="B1182" i="4" s="1"/>
  <c r="D1184" i="4" a="1"/>
  <c r="D1184" i="4" s="1"/>
  <c r="N1185" i="4" a="1"/>
  <c r="N1185" i="4" s="1"/>
  <c r="D1185" i="4" a="1"/>
  <c r="D1185" i="4" s="1"/>
  <c r="B1185" i="4" a="1"/>
  <c r="B1185" i="4" s="1"/>
  <c r="B1187" i="4" a="1"/>
  <c r="B1187" i="4" s="1"/>
  <c r="D1188" i="4" a="1"/>
  <c r="D1188" i="4" s="1"/>
  <c r="D1192" i="4" a="1"/>
  <c r="D1192" i="4" s="1"/>
  <c r="H1193" i="4"/>
  <c r="D1194" i="4" a="1"/>
  <c r="D1194" i="4" s="1"/>
  <c r="D1198" i="4" a="1"/>
  <c r="D1198" i="4" s="1"/>
  <c r="E1206" i="4" a="1"/>
  <c r="E1206" i="4" s="1"/>
  <c r="N1170" i="4" a="1"/>
  <c r="N1170" i="4" s="1"/>
  <c r="N1176" i="4" a="1"/>
  <c r="N1176" i="4" s="1"/>
  <c r="E1176" i="4" a="1"/>
  <c r="E1176" i="4" s="1"/>
  <c r="B1190" i="4" a="1"/>
  <c r="B1190" i="4" s="1"/>
  <c r="N1191" i="4" a="1"/>
  <c r="N1191" i="4" s="1"/>
  <c r="B1191" i="4" a="1"/>
  <c r="B1191" i="4" s="1"/>
  <c r="D1195" i="4" a="1"/>
  <c r="D1195" i="4" s="1"/>
  <c r="B1200" i="4" a="1"/>
  <c r="B1200" i="4" s="1"/>
  <c r="N1207" i="4" a="1"/>
  <c r="N1207" i="4" s="1"/>
  <c r="B1207" i="4" a="1"/>
  <c r="B1207" i="4" s="1"/>
  <c r="M1207" i="4" a="1"/>
  <c r="M1207" i="4" s="1"/>
  <c r="B1208" i="4" a="1"/>
  <c r="B1208" i="4" s="1"/>
  <c r="B1209" i="4" a="1"/>
  <c r="B1209" i="4" s="1"/>
  <c r="D1220" i="4" a="1"/>
  <c r="D1220" i="4" s="1"/>
  <c r="N1231" i="4" a="1"/>
  <c r="N1231" i="4" s="1"/>
  <c r="E1231" i="4" a="1"/>
  <c r="E1231" i="4" s="1"/>
  <c r="B1231" i="4" a="1"/>
  <c r="B1231" i="4" s="1"/>
  <c r="M1231" i="4" a="1"/>
  <c r="M1231" i="4" s="1"/>
  <c r="D1231" i="4" a="1"/>
  <c r="D1231" i="4" s="1"/>
  <c r="C1231" i="4" a="1"/>
  <c r="C1231" i="4" s="1"/>
  <c r="E1234" i="4" a="1"/>
  <c r="E1234" i="4" s="1"/>
  <c r="B1234" i="4" a="1"/>
  <c r="B1234" i="4" s="1"/>
  <c r="D1234" i="4" a="1"/>
  <c r="D1234" i="4" s="1"/>
  <c r="N1234" i="4" a="1"/>
  <c r="N1234" i="4" s="1"/>
  <c r="M1234" i="4" a="1"/>
  <c r="M1234" i="4" s="1"/>
  <c r="C1234" i="4" a="1"/>
  <c r="C1234" i="4" s="1"/>
  <c r="E1220" i="4" a="1"/>
  <c r="E1220" i="4" s="1"/>
  <c r="N1222" i="4" a="1"/>
  <c r="N1222" i="4" s="1"/>
  <c r="D1222" i="4" a="1"/>
  <c r="D1222" i="4" s="1"/>
  <c r="B1222" i="4" a="1"/>
  <c r="B1222" i="4" s="1"/>
  <c r="M1222" i="4" a="1"/>
  <c r="M1222" i="4" s="1"/>
  <c r="M1227" i="4" a="1"/>
  <c r="M1227" i="4" s="1"/>
  <c r="D1227" i="4" a="1"/>
  <c r="D1227" i="4" s="1"/>
  <c r="C1227" i="4" a="1"/>
  <c r="C1227" i="4" s="1"/>
  <c r="B1227" i="4" a="1"/>
  <c r="B1227" i="4" s="1"/>
  <c r="B1229" i="4" a="1"/>
  <c r="B1229" i="4" s="1"/>
  <c r="M1229" i="4" a="1"/>
  <c r="M1229" i="4" s="1"/>
  <c r="D1209" i="4" a="1"/>
  <c r="D1209" i="4" s="1"/>
  <c r="M1209" i="4" a="1"/>
  <c r="M1209" i="4" s="1"/>
  <c r="H1213" i="4"/>
  <c r="B1219" i="4" a="1"/>
  <c r="B1219" i="4" s="1"/>
  <c r="H1221" i="4"/>
  <c r="C1222" i="4" a="1"/>
  <c r="C1222" i="4" s="1"/>
  <c r="E1229" i="4" a="1"/>
  <c r="E1229" i="4" s="1"/>
  <c r="C1213" i="4" a="1"/>
  <c r="C1213" i="4" s="1"/>
  <c r="E1213" i="4" a="1"/>
  <c r="E1213" i="4" s="1"/>
  <c r="M1216" i="4" a="1"/>
  <c r="M1216" i="4" s="1"/>
  <c r="D1216" i="4" a="1"/>
  <c r="D1216" i="4" s="1"/>
  <c r="M1221" i="4" a="1"/>
  <c r="M1221" i="4" s="1"/>
  <c r="N1221" i="4" a="1"/>
  <c r="N1221" i="4" s="1"/>
  <c r="H1231" i="4"/>
  <c r="J1231" i="4"/>
  <c r="N1152" i="4" a="1"/>
  <c r="N1152" i="4" s="1"/>
  <c r="C1152" i="4" a="1"/>
  <c r="C1152" i="4" s="1"/>
  <c r="D1170" i="4" a="1"/>
  <c r="D1170" i="4" s="1"/>
  <c r="N1173" i="4" a="1"/>
  <c r="N1173" i="4" s="1"/>
  <c r="D1176" i="4" a="1"/>
  <c r="D1176" i="4" s="1"/>
  <c r="N1182" i="4" a="1"/>
  <c r="N1182" i="4" s="1"/>
  <c r="M1182" i="4" a="1"/>
  <c r="M1182" i="4" s="1"/>
  <c r="D1183" i="4" a="1"/>
  <c r="D1183" i="4" s="1"/>
  <c r="N1183" i="4" a="1"/>
  <c r="N1183" i="4" s="1"/>
  <c r="D1191" i="4" a="1"/>
  <c r="D1191" i="4" s="1"/>
  <c r="B1195" i="4" a="1"/>
  <c r="B1195" i="4" s="1"/>
  <c r="N1196" i="4" a="1"/>
  <c r="N1196" i="4" s="1"/>
  <c r="D1196" i="4" a="1"/>
  <c r="D1196" i="4" s="1"/>
  <c r="D1207" i="4" a="1"/>
  <c r="D1207" i="4" s="1"/>
  <c r="B1213" i="4" a="1"/>
  <c r="B1213" i="4" s="1"/>
  <c r="N1218" i="4" a="1"/>
  <c r="N1218" i="4" s="1"/>
  <c r="E1218" i="4" a="1"/>
  <c r="E1218" i="4" s="1"/>
  <c r="M1218" i="4" a="1"/>
  <c r="M1218" i="4" s="1"/>
  <c r="D1218" i="4" a="1"/>
  <c r="D1218" i="4" s="1"/>
  <c r="B1218" i="4" a="1"/>
  <c r="B1218" i="4" s="1"/>
  <c r="B1221" i="4" a="1"/>
  <c r="B1221" i="4" s="1"/>
  <c r="E1222" i="4" a="1"/>
  <c r="E1222" i="4" s="1"/>
  <c r="J1209" i="4"/>
  <c r="H1209" i="4"/>
  <c r="N1217" i="4" a="1"/>
  <c r="N1217" i="4" s="1"/>
  <c r="B1217" i="4" a="1"/>
  <c r="B1217" i="4" s="1"/>
  <c r="E1217" i="4" a="1"/>
  <c r="E1217" i="4" s="1"/>
  <c r="C1217" i="4" a="1"/>
  <c r="C1217" i="4" s="1"/>
  <c r="N1220" i="4" a="1"/>
  <c r="N1220" i="4" s="1"/>
  <c r="B1220" i="4" a="1"/>
  <c r="B1220" i="4" s="1"/>
  <c r="N1190" i="4" a="1"/>
  <c r="N1190" i="4" s="1"/>
  <c r="N1208" i="4" a="1"/>
  <c r="N1208" i="4" s="1"/>
  <c r="E1208" i="4" a="1"/>
  <c r="E1208" i="4" s="1"/>
  <c r="D1208" i="4" a="1"/>
  <c r="D1208" i="4" s="1"/>
  <c r="C1220" i="4" a="1"/>
  <c r="C1220" i="4" s="1"/>
  <c r="M1223" i="4" a="1"/>
  <c r="M1223" i="4" s="1"/>
  <c r="E1223" i="4" a="1"/>
  <c r="E1223" i="4" s="1"/>
  <c r="N1237" i="4" a="1"/>
  <c r="N1237" i="4" s="1"/>
  <c r="E1237" i="4" a="1"/>
  <c r="E1237" i="4" s="1"/>
  <c r="B1237" i="4" a="1"/>
  <c r="B1237" i="4" s="1"/>
  <c r="N1241" i="4" a="1"/>
  <c r="N1241" i="4" s="1"/>
  <c r="D1241" i="4" a="1"/>
  <c r="D1241" i="4" s="1"/>
  <c r="C1241" i="4" a="1"/>
  <c r="C1241" i="4" s="1"/>
  <c r="B1241" i="4" a="1"/>
  <c r="B1241" i="4" s="1"/>
  <c r="M1241" i="4" a="1"/>
  <c r="M1241" i="4" s="1"/>
  <c r="D1226" i="4" a="1"/>
  <c r="D1226" i="4" s="1"/>
  <c r="C1233" i="4" a="1"/>
  <c r="C1233" i="4" s="1"/>
  <c r="E1233" i="4" a="1"/>
  <c r="E1233" i="4" s="1"/>
  <c r="C1237" i="4" a="1"/>
  <c r="C1237" i="4" s="1"/>
  <c r="E1239" i="4" a="1"/>
  <c r="E1239" i="4" s="1"/>
  <c r="C1229" i="4" a="1"/>
  <c r="C1229" i="4" s="1"/>
  <c r="N1229" i="4" a="1"/>
  <c r="N1229" i="4" s="1"/>
  <c r="N1236" i="4" a="1"/>
  <c r="N1236" i="4" s="1"/>
  <c r="B1236" i="4" a="1"/>
  <c r="B1236" i="4" s="1"/>
  <c r="M1236" i="4" a="1"/>
  <c r="M1236" i="4" s="1"/>
  <c r="C1236" i="4" a="1"/>
  <c r="C1236" i="4" s="1"/>
  <c r="N1235" i="4" a="1"/>
  <c r="N1235" i="4" s="1"/>
  <c r="D1235" i="4" a="1"/>
  <c r="D1235" i="4" s="1"/>
  <c r="D1237" i="4" a="1"/>
  <c r="D1237" i="4" s="1"/>
  <c r="M1240" i="4" a="1"/>
  <c r="M1240" i="4" s="1"/>
  <c r="C1240" i="4" a="1"/>
  <c r="C1240" i="4" s="1"/>
  <c r="N1240" i="4" a="1"/>
  <c r="N1240" i="4" s="1"/>
  <c r="E1241" i="4" a="1"/>
  <c r="E1241" i="4" s="1"/>
  <c r="N1200" i="4" a="1"/>
  <c r="N1200" i="4" s="1"/>
  <c r="N1215" i="4" a="1"/>
  <c r="N1215" i="4" s="1"/>
  <c r="C1219" i="4" a="1"/>
  <c r="C1219" i="4" s="1"/>
  <c r="N1224" i="4" a="1"/>
  <c r="N1224" i="4" s="1"/>
  <c r="M1224" i="4" a="1"/>
  <c r="M1224" i="4" s="1"/>
  <c r="D1225" i="4" a="1"/>
  <c r="D1225" i="4" s="1"/>
  <c r="N1225" i="4" a="1"/>
  <c r="N1225" i="4" s="1"/>
  <c r="B1235" i="4" a="1"/>
  <c r="B1235" i="4" s="1"/>
  <c r="M1237" i="4" a="1"/>
  <c r="M1237" i="4" s="1"/>
  <c r="B1240" i="4" a="1"/>
  <c r="B1240" i="4" s="1"/>
  <c r="N1245" i="4" a="1"/>
  <c r="N1245" i="4" s="1"/>
  <c r="E1245" i="4" a="1"/>
  <c r="E1245" i="4" s="1"/>
  <c r="C1245" i="4" a="1"/>
  <c r="C1245" i="4" s="1"/>
  <c r="B1245" i="4" a="1"/>
  <c r="B1245" i="4" s="1"/>
  <c r="D1245" i="4" a="1"/>
  <c r="D1245" i="4" s="1"/>
  <c r="J1246" i="4"/>
  <c r="H1246" i="4"/>
  <c r="N1134" i="4" a="1"/>
  <c r="N1134" i="4" s="1"/>
  <c r="M1134" i="4" a="1"/>
  <c r="M1134" i="4" s="1"/>
  <c r="N1140" i="4" a="1"/>
  <c r="N1140" i="4" s="1"/>
  <c r="N1156" i="4" a="1"/>
  <c r="N1156" i="4" s="1"/>
  <c r="N1172" i="4" a="1"/>
  <c r="N1172" i="4" s="1"/>
  <c r="N1188" i="4" a="1"/>
  <c r="N1188" i="4" s="1"/>
  <c r="C1200" i="4" a="1"/>
  <c r="C1200" i="4" s="1"/>
  <c r="N1204" i="4" a="1"/>
  <c r="N1204" i="4" s="1"/>
  <c r="N1216" i="4" a="1"/>
  <c r="N1216" i="4" s="1"/>
  <c r="E1219" i="4" a="1"/>
  <c r="E1219" i="4" s="1"/>
  <c r="J1223" i="4"/>
  <c r="C1224" i="4" a="1"/>
  <c r="C1224" i="4" s="1"/>
  <c r="N1226" i="4" a="1"/>
  <c r="N1226" i="4" s="1"/>
  <c r="C1226" i="4" a="1"/>
  <c r="C1226" i="4" s="1"/>
  <c r="E1228" i="4" a="1"/>
  <c r="E1228" i="4" s="1"/>
  <c r="D1229" i="4" a="1"/>
  <c r="D1229" i="4" s="1"/>
  <c r="E1236" i="4" a="1"/>
  <c r="E1236" i="4" s="1"/>
  <c r="N1239" i="4" a="1"/>
  <c r="N1239" i="4" s="1"/>
  <c r="B1239" i="4" a="1"/>
  <c r="B1239" i="4" s="1"/>
  <c r="D1239" i="4" a="1"/>
  <c r="D1239" i="4" s="1"/>
  <c r="D1240" i="4" a="1"/>
  <c r="D1240" i="4" s="1"/>
  <c r="D1243" i="4" a="1"/>
  <c r="D1243" i="4" s="1"/>
  <c r="N1244" i="4" a="1"/>
  <c r="N1244" i="4" s="1"/>
  <c r="B1244" i="4" a="1"/>
  <c r="B1244" i="4" s="1"/>
  <c r="D1244" i="4" a="1"/>
  <c r="D1244" i="4" s="1"/>
  <c r="M1258" i="4" a="1"/>
  <c r="M1258" i="4" s="1"/>
  <c r="N1258" i="4" a="1"/>
  <c r="N1258" i="4" s="1"/>
  <c r="E1258" i="4" a="1"/>
  <c r="E1258" i="4" s="1"/>
  <c r="C1258" i="4" a="1"/>
  <c r="C1258" i="4" s="1"/>
  <c r="D1258" i="4" a="1"/>
  <c r="D1258" i="4" s="1"/>
  <c r="C1232" i="4" a="1"/>
  <c r="C1232" i="4" s="1"/>
  <c r="N1232" i="4" a="1"/>
  <c r="N1232" i="4" s="1"/>
  <c r="J1260" i="4"/>
  <c r="H1260" i="4"/>
  <c r="D1252" i="4" a="1"/>
  <c r="D1252" i="4" s="1"/>
  <c r="N1252" i="4" a="1"/>
  <c r="N1252" i="4" s="1"/>
  <c r="B1252" i="4" a="1"/>
  <c r="B1252" i="4" s="1"/>
  <c r="N1251" i="4" a="1"/>
  <c r="N1251" i="4" s="1"/>
  <c r="M1251" i="4" a="1"/>
  <c r="M1251" i="4" s="1"/>
  <c r="E1251" i="4" a="1"/>
  <c r="E1251" i="4" s="1"/>
  <c r="M1252" i="4" a="1"/>
  <c r="M1252" i="4" s="1"/>
  <c r="H1254" i="4"/>
  <c r="N1243" i="4" a="1"/>
  <c r="N1243" i="4" s="1"/>
  <c r="M1243" i="4" a="1"/>
  <c r="M1243" i="4" s="1"/>
  <c r="D1251" i="4" a="1"/>
  <c r="D1251" i="4" s="1"/>
  <c r="B1265" i="4" a="1"/>
  <c r="B1265" i="4" s="1"/>
  <c r="M1265" i="4" a="1"/>
  <c r="M1265" i="4" s="1"/>
  <c r="N1265" i="4" a="1"/>
  <c r="N1265" i="4" s="1"/>
  <c r="E1265" i="4" a="1"/>
  <c r="E1265" i="4" s="1"/>
  <c r="D1265" i="4" a="1"/>
  <c r="D1265" i="4" s="1"/>
  <c r="C1265" i="4" a="1"/>
  <c r="C1265" i="4" s="1"/>
  <c r="N1214" i="4" a="1"/>
  <c r="N1214" i="4" s="1"/>
  <c r="N1230" i="4" a="1"/>
  <c r="N1230" i="4" s="1"/>
  <c r="D1232" i="4" a="1"/>
  <c r="D1232" i="4" s="1"/>
  <c r="B1243" i="4" a="1"/>
  <c r="B1243" i="4" s="1"/>
  <c r="C1244" i="4" a="1"/>
  <c r="C1244" i="4" s="1"/>
  <c r="N1249" i="4" a="1"/>
  <c r="N1249" i="4" s="1"/>
  <c r="D1249" i="4" a="1"/>
  <c r="D1249" i="4" s="1"/>
  <c r="B1275" i="4" a="1"/>
  <c r="B1275" i="4" s="1"/>
  <c r="M1275" i="4" a="1"/>
  <c r="M1275" i="4" s="1"/>
  <c r="C1254" i="4" a="1"/>
  <c r="C1254" i="4" s="1"/>
  <c r="C1259" i="4" a="1"/>
  <c r="C1259" i="4" s="1"/>
  <c r="E1266" i="4" a="1"/>
  <c r="E1266" i="4" s="1"/>
  <c r="M1266" i="4" a="1"/>
  <c r="M1266" i="4" s="1"/>
  <c r="D1268" i="4" a="1"/>
  <c r="D1268" i="4" s="1"/>
  <c r="B1268" i="4" a="1"/>
  <c r="B1268" i="4" s="1"/>
  <c r="C1272" i="4" a="1"/>
  <c r="C1272" i="4" s="1"/>
  <c r="C1275" i="4" a="1"/>
  <c r="C1275" i="4" s="1"/>
  <c r="D1280" i="4" a="1"/>
  <c r="D1280" i="4" s="1"/>
  <c r="B1280" i="4" a="1"/>
  <c r="B1280" i="4" s="1"/>
  <c r="N1233" i="4" a="1"/>
  <c r="N1233" i="4" s="1"/>
  <c r="N1247" i="4" a="1"/>
  <c r="N1247" i="4" s="1"/>
  <c r="C1248" i="4" a="1"/>
  <c r="C1248" i="4" s="1"/>
  <c r="E1253" i="4" a="1"/>
  <c r="E1253" i="4" s="1"/>
  <c r="E1257" i="4" a="1"/>
  <c r="E1257" i="4" s="1"/>
  <c r="D1259" i="4" a="1"/>
  <c r="D1259" i="4" s="1"/>
  <c r="B1271" i="4" a="1"/>
  <c r="B1271" i="4" s="1"/>
  <c r="M1271" i="4" a="1"/>
  <c r="M1271" i="4" s="1"/>
  <c r="M1272" i="4" a="1"/>
  <c r="M1272" i="4" s="1"/>
  <c r="D1274" i="4" a="1"/>
  <c r="D1274" i="4" s="1"/>
  <c r="B1274" i="4" a="1"/>
  <c r="B1274" i="4" s="1"/>
  <c r="C1274" i="4" a="1"/>
  <c r="C1274" i="4" s="1"/>
  <c r="D1275" i="4" a="1"/>
  <c r="D1275" i="4" s="1"/>
  <c r="B1277" i="4" a="1"/>
  <c r="B1277" i="4" s="1"/>
  <c r="M1277" i="4" a="1"/>
  <c r="M1277" i="4" s="1"/>
  <c r="B1262" i="4" a="1"/>
  <c r="B1262" i="4" s="1"/>
  <c r="E1272" i="4" a="1"/>
  <c r="E1272" i="4" s="1"/>
  <c r="C1280" i="4" a="1"/>
  <c r="C1280" i="4" s="1"/>
  <c r="M1280" i="4" a="1"/>
  <c r="M1280" i="4" s="1"/>
  <c r="E1259" i="4" a="1"/>
  <c r="E1259" i="4" s="1"/>
  <c r="B1267" i="4" a="1"/>
  <c r="B1267" i="4" s="1"/>
  <c r="M1267" i="4" a="1"/>
  <c r="M1267" i="4" s="1"/>
  <c r="D1270" i="4" a="1"/>
  <c r="D1270" i="4" s="1"/>
  <c r="B1270" i="4" a="1"/>
  <c r="B1270" i="4" s="1"/>
  <c r="C1270" i="4" a="1"/>
  <c r="C1270" i="4" s="1"/>
  <c r="B1273" i="4" a="1"/>
  <c r="B1273" i="4" s="1"/>
  <c r="M1273" i="4" a="1"/>
  <c r="M1273" i="4" s="1"/>
  <c r="E1275" i="4" a="1"/>
  <c r="E1275" i="4" s="1"/>
  <c r="N1275" i="4" a="1"/>
  <c r="N1275" i="4" s="1"/>
  <c r="N1280" i="4" a="1"/>
  <c r="N1280" i="4" s="1"/>
  <c r="B1253" i="4" a="1"/>
  <c r="B1253" i="4" s="1"/>
  <c r="M1259" i="4" a="1"/>
  <c r="M1259" i="4" s="1"/>
  <c r="C1267" i="4" a="1"/>
  <c r="C1267" i="4" s="1"/>
  <c r="E1268" i="4" a="1"/>
  <c r="E1268" i="4" s="1"/>
  <c r="N1268" i="4" a="1"/>
  <c r="N1268" i="4" s="1"/>
  <c r="E1274" i="4" a="1"/>
  <c r="E1274" i="4" s="1"/>
  <c r="M1274" i="4" a="1"/>
  <c r="M1274" i="4" s="1"/>
  <c r="D1276" i="4" a="1"/>
  <c r="D1276" i="4" s="1"/>
  <c r="B1276" i="4" a="1"/>
  <c r="B1276" i="4" s="1"/>
  <c r="D1277" i="4" a="1"/>
  <c r="D1277" i="4" s="1"/>
  <c r="B1279" i="4" a="1"/>
  <c r="B1279" i="4" s="1"/>
  <c r="M1279" i="4" a="1"/>
  <c r="M1279" i="4" s="1"/>
  <c r="E1279" i="4" a="1"/>
  <c r="E1279" i="4" s="1"/>
  <c r="E1282" i="4" a="1"/>
  <c r="E1282" i="4" s="1"/>
  <c r="B1247" i="4" a="1"/>
  <c r="B1247" i="4" s="1"/>
  <c r="C1253" i="4" a="1"/>
  <c r="C1253" i="4" s="1"/>
  <c r="N1255" i="4" a="1"/>
  <c r="N1255" i="4" s="1"/>
  <c r="C1256" i="4" a="1"/>
  <c r="C1256" i="4" s="1"/>
  <c r="B1257" i="4" a="1"/>
  <c r="B1257" i="4" s="1"/>
  <c r="D1264" i="4" a="1"/>
  <c r="D1264" i="4" s="1"/>
  <c r="D1266" i="4" a="1"/>
  <c r="D1266" i="4" s="1"/>
  <c r="B1266" i="4" a="1"/>
  <c r="B1266" i="4" s="1"/>
  <c r="C1266" i="4" a="1"/>
  <c r="C1266" i="4" s="1"/>
  <c r="D1267" i="4" a="1"/>
  <c r="D1267" i="4" s="1"/>
  <c r="B1269" i="4" a="1"/>
  <c r="B1269" i="4" s="1"/>
  <c r="M1269" i="4" a="1"/>
  <c r="M1269" i="4" s="1"/>
  <c r="E1271" i="4" a="1"/>
  <c r="E1271" i="4" s="1"/>
  <c r="N1271" i="4" a="1"/>
  <c r="N1271" i="4" s="1"/>
  <c r="C1273" i="4" a="1"/>
  <c r="C1273" i="4" s="1"/>
  <c r="E1277" i="4" a="1"/>
  <c r="E1277" i="4" s="1"/>
  <c r="N1277" i="4" a="1"/>
  <c r="N1277" i="4" s="1"/>
  <c r="C1279" i="4" a="1"/>
  <c r="C1279" i="4" s="1"/>
  <c r="N1262" i="4" a="1"/>
  <c r="N1262" i="4" s="1"/>
  <c r="M1262" i="4" a="1"/>
  <c r="M1262" i="4" s="1"/>
  <c r="D1272" i="4" a="1"/>
  <c r="D1272" i="4" s="1"/>
  <c r="B1272" i="4" a="1"/>
  <c r="B1272" i="4" s="1"/>
  <c r="C1281" i="4" a="1"/>
  <c r="C1281" i="4" s="1"/>
  <c r="M1281" i="4" a="1"/>
  <c r="M1281" i="4" s="1"/>
  <c r="B1281" i="4" a="1"/>
  <c r="B1281" i="4" s="1"/>
  <c r="B1285" i="4" a="1"/>
  <c r="B1285" i="4" s="1"/>
  <c r="C1286" i="4" a="1"/>
  <c r="C1286" i="4" s="1"/>
  <c r="N1284" i="4" a="1"/>
  <c r="N1284" i="4" s="1"/>
  <c r="D1278" i="4" a="1"/>
  <c r="D1278" i="4" s="1"/>
  <c r="N1278" i="4" a="1"/>
  <c r="N1278" i="4" s="1"/>
  <c r="D1282" i="4" a="1"/>
  <c r="D1282" i="4" s="1"/>
  <c r="N1282" i="4" a="1"/>
  <c r="N1282" i="4" s="1"/>
  <c r="D1286" i="4" a="1"/>
  <c r="D1286" i="4" s="1"/>
  <c r="N1286" i="4" a="1"/>
  <c r="N1286" i="4" s="1"/>
  <c r="B1278" i="4" a="1"/>
  <c r="B1278" i="4" s="1"/>
  <c r="B1282" i="4" a="1"/>
  <c r="B1282" i="4" s="1"/>
  <c r="N1293" i="4" a="1"/>
  <c r="N1293" i="4" s="1"/>
  <c r="B1293" i="4" a="1"/>
  <c r="B1293" i="4" s="1"/>
  <c r="N1296" i="4" a="1"/>
  <c r="N1296" i="4" s="1"/>
  <c r="B1296" i="4" a="1"/>
  <c r="B1296" i="4" s="1"/>
  <c r="N1298" i="4" a="1"/>
  <c r="N1298" i="4" s="1"/>
  <c r="B1298" i="4" a="1"/>
  <c r="B1298" i="4" s="1"/>
  <c r="E1298" i="4" a="1"/>
  <c r="E1298" i="4" s="1"/>
  <c r="D1298" i="4" a="1"/>
  <c r="D1298" i="4" s="1"/>
  <c r="D1300" i="4" a="1"/>
  <c r="D1300" i="4" s="1"/>
  <c r="N1300" i="4" a="1"/>
  <c r="N1300" i="4" s="1"/>
  <c r="B1300" i="4" a="1"/>
  <c r="B1300" i="4" s="1"/>
  <c r="M1300" i="4" a="1"/>
  <c r="M1300" i="4" s="1"/>
  <c r="E1300" i="4" a="1"/>
  <c r="E1300" i="4" s="1"/>
  <c r="B1301" i="4" a="1"/>
  <c r="B1301" i="4" s="1"/>
  <c r="C1301" i="4" a="1"/>
  <c r="C1301" i="4" s="1"/>
  <c r="M1302" i="4" a="1"/>
  <c r="M1302" i="4" s="1"/>
  <c r="D1302" i="4" a="1"/>
  <c r="D1302" i="4" s="1"/>
  <c r="N1302" i="4" a="1"/>
  <c r="N1302" i="4" s="1"/>
  <c r="B1302" i="4" a="1"/>
  <c r="B1302" i="4" s="1"/>
  <c r="B1303" i="4" a="1"/>
  <c r="B1303" i="4" s="1"/>
  <c r="E1303" i="4" a="1"/>
  <c r="E1303" i="4" s="1"/>
  <c r="M1304" i="4" a="1"/>
  <c r="M1304" i="4" s="1"/>
  <c r="D1304" i="4" a="1"/>
  <c r="D1304" i="4" s="1"/>
  <c r="E1305" i="4" a="1"/>
  <c r="E1305" i="4" s="1"/>
  <c r="B1305" i="4" a="1"/>
  <c r="B1305" i="4" s="1"/>
  <c r="D1308" i="4" a="1"/>
  <c r="D1308" i="4" s="1"/>
  <c r="B1308" i="4" a="1"/>
  <c r="B1308" i="4" s="1"/>
  <c r="M1308" i="4" a="1"/>
  <c r="M1308" i="4" s="1"/>
  <c r="E1308" i="4" a="1"/>
  <c r="E1308" i="4" s="1"/>
  <c r="J1309" i="4"/>
  <c r="N1316" i="4" a="1"/>
  <c r="N1316" i="4" s="1"/>
  <c r="B1316" i="4" a="1"/>
  <c r="B1316" i="4" s="1"/>
  <c r="E1319" i="4" a="1"/>
  <c r="E1319" i="4" s="1"/>
  <c r="B1319" i="4" a="1"/>
  <c r="B1319" i="4" s="1"/>
  <c r="C1326" i="4" a="1"/>
  <c r="C1326" i="4" s="1"/>
  <c r="M1326" i="4" a="1"/>
  <c r="M1326" i="4" s="1"/>
  <c r="E1326" i="4" a="1"/>
  <c r="E1326" i="4" s="1"/>
  <c r="C1330" i="4" a="1"/>
  <c r="C1330" i="4" s="1"/>
  <c r="D1330" i="4" a="1"/>
  <c r="D1330" i="4" s="1"/>
  <c r="H1332" i="4"/>
  <c r="J1332" i="4"/>
  <c r="C1334" i="4" a="1"/>
  <c r="C1334" i="4" s="1"/>
  <c r="M1334" i="4" a="1"/>
  <c r="M1334" i="4" s="1"/>
  <c r="E1334" i="4" a="1"/>
  <c r="E1334" i="4" s="1"/>
  <c r="B1334" i="4" a="1"/>
  <c r="B1334" i="4" s="1"/>
  <c r="D1338" i="4" a="1"/>
  <c r="D1338" i="4" s="1"/>
  <c r="M1338" i="4" a="1"/>
  <c r="M1338" i="4" s="1"/>
  <c r="E1338" i="4" a="1"/>
  <c r="E1338" i="4" s="1"/>
  <c r="C1339" i="4" a="1"/>
  <c r="C1339" i="4" s="1"/>
  <c r="N1339" i="4" a="1"/>
  <c r="N1339" i="4" s="1"/>
  <c r="D1339" i="4" a="1"/>
  <c r="D1339" i="4" s="1"/>
  <c r="H1340" i="4"/>
  <c r="J1340" i="4"/>
  <c r="B1343" i="4" a="1"/>
  <c r="B1343" i="4" s="1"/>
  <c r="D1343" i="4" a="1"/>
  <c r="D1343" i="4" s="1"/>
  <c r="C1343" i="4" a="1"/>
  <c r="C1343" i="4" s="1"/>
  <c r="C1346" i="4" a="1"/>
  <c r="C1346" i="4" s="1"/>
  <c r="N1346" i="4" a="1"/>
  <c r="N1346" i="4" s="1"/>
  <c r="D1346" i="4" a="1"/>
  <c r="D1346" i="4" s="1"/>
  <c r="B1346" i="4" a="1"/>
  <c r="B1346" i="4" s="1"/>
  <c r="J1347" i="4"/>
  <c r="H1347" i="4"/>
  <c r="M1348" i="4" a="1"/>
  <c r="M1348" i="4" s="1"/>
  <c r="E1348" i="4" a="1"/>
  <c r="E1348" i="4" s="1"/>
  <c r="C1348" i="4" a="1"/>
  <c r="C1348" i="4" s="1"/>
  <c r="B1356" i="4" a="1"/>
  <c r="B1356" i="4" s="1"/>
  <c r="B1362" i="4" a="1"/>
  <c r="B1362" i="4" s="1"/>
  <c r="B1363" i="4" a="1"/>
  <c r="B1363" i="4" s="1"/>
  <c r="D1364" i="4" a="1"/>
  <c r="D1364" i="4" s="1"/>
  <c r="M1313" i="4" a="1"/>
  <c r="M1313" i="4" s="1"/>
  <c r="C1320" i="4" a="1"/>
  <c r="C1320" i="4" s="1"/>
  <c r="M1321" i="4" a="1"/>
  <c r="M1321" i="4" s="1"/>
  <c r="C1336" i="4" a="1"/>
  <c r="C1336" i="4" s="1"/>
  <c r="M1337" i="4" a="1"/>
  <c r="M1337" i="4" s="1"/>
  <c r="E1342" i="4" a="1"/>
  <c r="E1342" i="4" s="1"/>
  <c r="M1342" i="4" a="1"/>
  <c r="M1342" i="4" s="1"/>
  <c r="B1354" i="4" a="1"/>
  <c r="B1354" i="4" s="1"/>
  <c r="B1355" i="4" a="1"/>
  <c r="B1355" i="4" s="1"/>
  <c r="D1356" i="4" a="1"/>
  <c r="D1356" i="4" s="1"/>
  <c r="D1357" i="4" a="1"/>
  <c r="D1357" i="4" s="1"/>
  <c r="C1362" i="4" a="1"/>
  <c r="C1362" i="4" s="1"/>
  <c r="E1355" i="4" a="1"/>
  <c r="E1355" i="4" s="1"/>
  <c r="C1344" i="4" a="1"/>
  <c r="C1344" i="4" s="1"/>
  <c r="D1354" i="4" a="1"/>
  <c r="D1354" i="4" s="1"/>
  <c r="E1350" i="4" a="1"/>
  <c r="E1350" i="4" s="1"/>
  <c r="M1350" i="4" a="1"/>
  <c r="M1350" i="4" s="1"/>
  <c r="C1351" i="4" a="1"/>
  <c r="C1351" i="4" s="1"/>
  <c r="D1351" i="4" a="1"/>
  <c r="D1351" i="4" s="1"/>
  <c r="H1351" i="4"/>
  <c r="J1351" i="4"/>
  <c r="E1352" i="4" a="1"/>
  <c r="E1352" i="4" s="1"/>
  <c r="C1352" i="4" a="1"/>
  <c r="C1352" i="4" s="1"/>
  <c r="E1354" i="4" a="1"/>
  <c r="E1354" i="4" s="1"/>
  <c r="M1354" i="4" a="1"/>
  <c r="M1354" i="4" s="1"/>
  <c r="C1355" i="4" a="1"/>
  <c r="C1355" i="4" s="1"/>
  <c r="D1355" i="4" a="1"/>
  <c r="D1355" i="4" s="1"/>
  <c r="H1355" i="4"/>
  <c r="J1355" i="4"/>
  <c r="E1356" i="4" a="1"/>
  <c r="E1356" i="4" s="1"/>
  <c r="C1356" i="4" a="1"/>
  <c r="C1356" i="4" s="1"/>
  <c r="E1358" i="4" a="1"/>
  <c r="E1358" i="4" s="1"/>
  <c r="M1358" i="4" a="1"/>
  <c r="M1358" i="4" s="1"/>
  <c r="C1359" i="4" a="1"/>
  <c r="C1359" i="4" s="1"/>
  <c r="D1359" i="4" a="1"/>
  <c r="D1359" i="4" s="1"/>
  <c r="H1359" i="4"/>
  <c r="J1359" i="4"/>
  <c r="E1360" i="4" a="1"/>
  <c r="E1360" i="4" s="1"/>
  <c r="C1360" i="4" a="1"/>
  <c r="C1360" i="4" s="1"/>
  <c r="E1362" i="4" a="1"/>
  <c r="E1362" i="4" s="1"/>
  <c r="M1362" i="4" a="1"/>
  <c r="M1362" i="4" s="1"/>
  <c r="C1363" i="4" a="1"/>
  <c r="C1363" i="4" s="1"/>
  <c r="D1363" i="4" a="1"/>
  <c r="D1363" i="4" s="1"/>
  <c r="H1363" i="4"/>
  <c r="J1363" i="4"/>
  <c r="E1364" i="4" a="1"/>
  <c r="E1364" i="4" s="1"/>
  <c r="C1364" i="4" a="1"/>
  <c r="C1364" i="4" s="1"/>
  <c r="C1367" i="4" a="1"/>
  <c r="C1367" i="4" s="1"/>
  <c r="M1367" i="4" a="1"/>
  <c r="M1367" i="4" s="1"/>
  <c r="E1367" i="4" a="1"/>
  <c r="E1367" i="4" s="1"/>
  <c r="E1368" i="4" a="1"/>
  <c r="E1368" i="4" s="1"/>
  <c r="C1368" i="4" a="1"/>
  <c r="C1368" i="4" s="1"/>
  <c r="M1368" i="4" a="1"/>
  <c r="M1368" i="4" s="1"/>
  <c r="C1369" i="4" a="1"/>
  <c r="C1369" i="4" s="1"/>
  <c r="B1369" i="4" a="1"/>
  <c r="B1369" i="4" s="1"/>
  <c r="M1369" i="4" a="1"/>
  <c r="M1369" i="4" s="1"/>
  <c r="E1369" i="4" a="1"/>
  <c r="E1369" i="4" s="1"/>
  <c r="H1370" i="4"/>
  <c r="J1370" i="4"/>
  <c r="C1373" i="4" a="1"/>
  <c r="C1373" i="4" s="1"/>
  <c r="B1373" i="4" a="1"/>
  <c r="B1373" i="4" s="1"/>
  <c r="N1373" i="4" a="1"/>
  <c r="N1373" i="4" s="1"/>
  <c r="M1374" i="4" a="1"/>
  <c r="M1374" i="4" s="1"/>
  <c r="B1374" i="4" a="1"/>
  <c r="B1374" i="4" s="1"/>
  <c r="M1375" i="4" a="1"/>
  <c r="M1375" i="4" s="1"/>
  <c r="E1375" i="4" a="1"/>
  <c r="E1375" i="4" s="1"/>
  <c r="N1375" i="4" a="1"/>
  <c r="N1375" i="4" s="1"/>
  <c r="M1376" i="4" a="1"/>
  <c r="M1376" i="4" s="1"/>
  <c r="N1376" i="4" a="1"/>
  <c r="N1376" i="4" s="1"/>
  <c r="C1377" i="4" a="1"/>
  <c r="C1377" i="4" s="1"/>
  <c r="B1377" i="4" a="1"/>
  <c r="B1377" i="4" s="1"/>
  <c r="N1377" i="4" a="1"/>
  <c r="N1377" i="4" s="1"/>
  <c r="C1379" i="4" a="1"/>
  <c r="C1379" i="4" s="1"/>
  <c r="M1379" i="4" a="1"/>
  <c r="M1379" i="4" s="1"/>
  <c r="E1379" i="4" a="1"/>
  <c r="E1379" i="4" s="1"/>
  <c r="D1379" i="4" a="1"/>
  <c r="D1379" i="4" s="1"/>
  <c r="H1379" i="4"/>
  <c r="J1379" i="4"/>
  <c r="E1380" i="4" a="1"/>
  <c r="E1380" i="4" s="1"/>
  <c r="M1380" i="4" a="1"/>
  <c r="M1380" i="4" s="1"/>
  <c r="D1380" i="4" a="1"/>
  <c r="D1380" i="4" s="1"/>
  <c r="C1381" i="4" a="1"/>
  <c r="C1381" i="4" s="1"/>
  <c r="B1381" i="4" a="1"/>
  <c r="B1381" i="4" s="1"/>
  <c r="D1381" i="4" a="1"/>
  <c r="D1381" i="4" s="1"/>
  <c r="B1382" i="4" a="1"/>
  <c r="B1382" i="4" s="1"/>
  <c r="C1382" i="4" a="1"/>
  <c r="C1382" i="4" s="1"/>
  <c r="C1383" i="4" a="1"/>
  <c r="C1383" i="4" s="1"/>
  <c r="N1383" i="4" a="1"/>
  <c r="N1383" i="4" s="1"/>
  <c r="B1383" i="4" a="1"/>
  <c r="B1383" i="4" s="1"/>
  <c r="H1383" i="4"/>
  <c r="J1383" i="4"/>
  <c r="E1384" i="4" a="1"/>
  <c r="E1384" i="4" s="1"/>
  <c r="N1384" i="4" a="1"/>
  <c r="N1384" i="4" s="1"/>
  <c r="B1384" i="4" a="1"/>
  <c r="B1384" i="4" s="1"/>
  <c r="J1384" i="4"/>
  <c r="H1384" i="4"/>
  <c r="B1386" i="4" a="1"/>
  <c r="B1386" i="4" s="1"/>
  <c r="N1386" i="4" a="1"/>
  <c r="N1386" i="4" s="1"/>
  <c r="C1387" i="4" a="1"/>
  <c r="C1387" i="4" s="1"/>
  <c r="D1387" i="4" a="1"/>
  <c r="D1387" i="4" s="1"/>
  <c r="N1387" i="4" a="1"/>
  <c r="N1387" i="4" s="1"/>
  <c r="E1388" i="4" a="1"/>
  <c r="E1388" i="4" s="1"/>
  <c r="D1388" i="4" a="1"/>
  <c r="D1388" i="4" s="1"/>
  <c r="N1388" i="4" a="1"/>
  <c r="N1388" i="4" s="1"/>
  <c r="E1389" i="4" a="1"/>
  <c r="E1389" i="4" s="1"/>
  <c r="B1389" i="4" a="1"/>
  <c r="B1389" i="4" s="1"/>
  <c r="N1389" i="4" a="1"/>
  <c r="N1389" i="4" s="1"/>
  <c r="M1390" i="4" a="1"/>
  <c r="M1390" i="4" s="1"/>
  <c r="D1390" i="4" a="1"/>
  <c r="D1390" i="4" s="1"/>
  <c r="C1390" i="4" a="1"/>
  <c r="C1390" i="4" s="1"/>
  <c r="H1390" i="4"/>
  <c r="J1390" i="4"/>
  <c r="E1391" i="4" a="1"/>
  <c r="E1391" i="4" s="1"/>
  <c r="B1391" i="4" a="1"/>
  <c r="B1391" i="4" s="1"/>
  <c r="N1391" i="4" a="1"/>
  <c r="N1391" i="4" s="1"/>
  <c r="E1393" i="4" a="1"/>
  <c r="E1393" i="4" s="1"/>
  <c r="B1393" i="4" a="1"/>
  <c r="B1393" i="4" s="1"/>
  <c r="M1393" i="4" a="1"/>
  <c r="M1393" i="4" s="1"/>
  <c r="M1394" i="4" a="1"/>
  <c r="M1394" i="4" s="1"/>
  <c r="D1394" i="4" a="1"/>
  <c r="D1394" i="4" s="1"/>
  <c r="N1396" i="4" a="1"/>
  <c r="N1396" i="4" s="1"/>
  <c r="D1396" i="4" a="1"/>
  <c r="D1396" i="4" s="1"/>
  <c r="E1397" i="4" a="1"/>
  <c r="E1397" i="4" s="1"/>
  <c r="B1397" i="4" a="1"/>
  <c r="B1397" i="4" s="1"/>
  <c r="N1397" i="4" a="1"/>
  <c r="N1397" i="4" s="1"/>
  <c r="M1398" i="4" a="1"/>
  <c r="M1398" i="4" s="1"/>
  <c r="D1398" i="4" a="1"/>
  <c r="D1398" i="4" s="1"/>
  <c r="C1398" i="4" a="1"/>
  <c r="C1398" i="4" s="1"/>
  <c r="H1398" i="4"/>
  <c r="J1398" i="4"/>
  <c r="B1399" i="4" a="1"/>
  <c r="B1399" i="4" s="1"/>
  <c r="N1399" i="4" a="1"/>
  <c r="N1399" i="4" s="1"/>
  <c r="H1400" i="4"/>
  <c r="J1400" i="4"/>
  <c r="E1405" i="4" a="1"/>
  <c r="E1405" i="4" s="1"/>
  <c r="N1405" i="4" a="1"/>
  <c r="N1405" i="4" s="1"/>
  <c r="B1405" i="4" a="1"/>
  <c r="B1405" i="4" s="1"/>
  <c r="M1405" i="4" a="1"/>
  <c r="M1405" i="4" s="1"/>
  <c r="N1407" i="4" a="1"/>
  <c r="N1407" i="4" s="1"/>
  <c r="M1407" i="4" a="1"/>
  <c r="M1407" i="4" s="1"/>
  <c r="B1407" i="4" a="1"/>
  <c r="B1407" i="4" s="1"/>
  <c r="B1411" i="4" a="1"/>
  <c r="B1411" i="4" s="1"/>
  <c r="N1411" i="4" a="1"/>
  <c r="N1411" i="4" s="1"/>
  <c r="E1411" i="4" a="1"/>
  <c r="E1411" i="4" s="1"/>
  <c r="J1412" i="4"/>
  <c r="H1412" i="4"/>
  <c r="N1416" i="4" a="1"/>
  <c r="N1416" i="4" s="1"/>
  <c r="D1416" i="4" a="1"/>
  <c r="D1416" i="4" s="1"/>
  <c r="M1416" i="4" a="1"/>
  <c r="M1416" i="4" s="1"/>
  <c r="C1416" i="4" a="1"/>
  <c r="C1416" i="4" s="1"/>
  <c r="M1418" i="4" a="1"/>
  <c r="M1418" i="4" s="1"/>
  <c r="D1418" i="4" a="1"/>
  <c r="D1418" i="4" s="1"/>
  <c r="N1418" i="4" a="1"/>
  <c r="N1418" i="4" s="1"/>
  <c r="C1418" i="4" a="1"/>
  <c r="C1418" i="4" s="1"/>
  <c r="N1432" i="4" a="1"/>
  <c r="N1432" i="4" s="1"/>
  <c r="E1432" i="4" a="1"/>
  <c r="E1432" i="4" s="1"/>
  <c r="E1323" i="4" a="1"/>
  <c r="E1323" i="4" s="1"/>
  <c r="E1325" i="4" a="1"/>
  <c r="E1325" i="4" s="1"/>
  <c r="E1327" i="4" a="1"/>
  <c r="E1327" i="4" s="1"/>
  <c r="E1329" i="4" a="1"/>
  <c r="E1329" i="4" s="1"/>
  <c r="E1331" i="4" a="1"/>
  <c r="E1331" i="4" s="1"/>
  <c r="E1333" i="4" a="1"/>
  <c r="E1333" i="4" s="1"/>
  <c r="E1335" i="4" a="1"/>
  <c r="E1335" i="4" s="1"/>
  <c r="E1337" i="4" a="1"/>
  <c r="E1337" i="4" s="1"/>
  <c r="E1339" i="4" a="1"/>
  <c r="E1339" i="4" s="1"/>
  <c r="E1341" i="4" a="1"/>
  <c r="E1341" i="4" s="1"/>
  <c r="E1343" i="4" a="1"/>
  <c r="E1343" i="4" s="1"/>
  <c r="E1345" i="4" a="1"/>
  <c r="E1345" i="4" s="1"/>
  <c r="E1347" i="4" a="1"/>
  <c r="E1347" i="4" s="1"/>
  <c r="M1366" i="4" a="1"/>
  <c r="M1366" i="4" s="1"/>
  <c r="J1371" i="4"/>
  <c r="C1385" i="4" a="1"/>
  <c r="C1385" i="4" s="1"/>
  <c r="B1385" i="4" a="1"/>
  <c r="B1385" i="4" s="1"/>
  <c r="M1402" i="4" a="1"/>
  <c r="M1402" i="4" s="1"/>
  <c r="D1402" i="4" a="1"/>
  <c r="D1402" i="4" s="1"/>
  <c r="N1409" i="4" a="1"/>
  <c r="N1409" i="4" s="1"/>
  <c r="E1409" i="4" a="1"/>
  <c r="E1409" i="4" s="1"/>
  <c r="B1409" i="4" a="1"/>
  <c r="B1409" i="4" s="1"/>
  <c r="M1414" i="4" a="1"/>
  <c r="M1414" i="4" s="1"/>
  <c r="C1414" i="4" a="1"/>
  <c r="C1414" i="4" s="1"/>
  <c r="C1349" i="4" a="1"/>
  <c r="C1349" i="4" s="1"/>
  <c r="N1349" i="4" a="1"/>
  <c r="N1349" i="4" s="1"/>
  <c r="C1353" i="4" a="1"/>
  <c r="C1353" i="4" s="1"/>
  <c r="N1353" i="4" a="1"/>
  <c r="N1353" i="4" s="1"/>
  <c r="C1357" i="4" a="1"/>
  <c r="C1357" i="4" s="1"/>
  <c r="N1357" i="4" a="1"/>
  <c r="N1357" i="4" s="1"/>
  <c r="C1361" i="4" a="1"/>
  <c r="C1361" i="4" s="1"/>
  <c r="N1361" i="4" a="1"/>
  <c r="N1361" i="4" s="1"/>
  <c r="C1365" i="4" a="1"/>
  <c r="C1365" i="4" s="1"/>
  <c r="B1365" i="4" a="1"/>
  <c r="B1365" i="4" s="1"/>
  <c r="C1372" i="4" a="1"/>
  <c r="C1372" i="4" s="1"/>
  <c r="C1375" i="4" a="1"/>
  <c r="C1375" i="4" s="1"/>
  <c r="E1376" i="4" a="1"/>
  <c r="E1376" i="4" s="1"/>
  <c r="E1395" i="4" a="1"/>
  <c r="E1395" i="4" s="1"/>
  <c r="M1406" i="4" a="1"/>
  <c r="M1406" i="4" s="1"/>
  <c r="D1406" i="4" a="1"/>
  <c r="D1406" i="4" s="1"/>
  <c r="J1427" i="4"/>
  <c r="H1427" i="4"/>
  <c r="M1432" i="4" a="1"/>
  <c r="M1432" i="4" s="1"/>
  <c r="C1412" i="4" a="1"/>
  <c r="C1412" i="4" s="1"/>
  <c r="N1412" i="4" a="1"/>
  <c r="N1412" i="4" s="1"/>
  <c r="N1420" i="4" a="1"/>
  <c r="N1420" i="4" s="1"/>
  <c r="C1420" i="4" a="1"/>
  <c r="C1420" i="4" s="1"/>
  <c r="C1429" i="4" a="1"/>
  <c r="C1429" i="4" s="1"/>
  <c r="B1429" i="4" a="1"/>
  <c r="B1429" i="4" s="1"/>
  <c r="M1429" i="4" a="1"/>
  <c r="M1429" i="4" s="1"/>
  <c r="E1430" i="4" a="1"/>
  <c r="E1430" i="4" s="1"/>
  <c r="N1430" i="4" a="1"/>
  <c r="N1430" i="4" s="1"/>
  <c r="D1430" i="4" a="1"/>
  <c r="D1430" i="4" s="1"/>
  <c r="J1435" i="4"/>
  <c r="H1435" i="4"/>
  <c r="M1412" i="4" a="1"/>
  <c r="M1412" i="4" s="1"/>
  <c r="E1415" i="4" a="1"/>
  <c r="E1415" i="4" s="1"/>
  <c r="B1415" i="4" a="1"/>
  <c r="B1415" i="4" s="1"/>
  <c r="H1418" i="4"/>
  <c r="E1419" i="4" a="1"/>
  <c r="E1419" i="4" s="1"/>
  <c r="D1422" i="4" a="1"/>
  <c r="D1422" i="4" s="1"/>
  <c r="M1424" i="4" a="1"/>
  <c r="M1424" i="4" s="1"/>
  <c r="D1424" i="4" a="1"/>
  <c r="D1424" i="4" s="1"/>
  <c r="J1396" i="4"/>
  <c r="E1401" i="4" a="1"/>
  <c r="E1401" i="4" s="1"/>
  <c r="N1401" i="4" a="1"/>
  <c r="N1401" i="4" s="1"/>
  <c r="B1401" i="4" a="1"/>
  <c r="B1401" i="4" s="1"/>
  <c r="D1410" i="4" a="1"/>
  <c r="D1410" i="4" s="1"/>
  <c r="N1413" i="4" a="1"/>
  <c r="N1413" i="4" s="1"/>
  <c r="E1413" i="4" a="1"/>
  <c r="E1413" i="4" s="1"/>
  <c r="J1416" i="4"/>
  <c r="E1417" i="4" a="1"/>
  <c r="E1417" i="4" s="1"/>
  <c r="N1417" i="4" a="1"/>
  <c r="N1417" i="4" s="1"/>
  <c r="D1420" i="4" a="1"/>
  <c r="D1420" i="4" s="1"/>
  <c r="M1428" i="4" a="1"/>
  <c r="M1428" i="4" s="1"/>
  <c r="E1428" i="4" a="1"/>
  <c r="E1428" i="4" s="1"/>
  <c r="N1428" i="4" a="1"/>
  <c r="N1428" i="4" s="1"/>
  <c r="D1428" i="4" a="1"/>
  <c r="D1428" i="4" s="1"/>
  <c r="D1442" i="4" a="1"/>
  <c r="D1442" i="4" s="1"/>
  <c r="M1442" i="4" a="1"/>
  <c r="M1442" i="4" s="1"/>
  <c r="E1442" i="4" a="1"/>
  <c r="E1442" i="4" s="1"/>
  <c r="N1442" i="4" a="1"/>
  <c r="N1442" i="4" s="1"/>
  <c r="E1366" i="4" a="1"/>
  <c r="E1366" i="4" s="1"/>
  <c r="E1370" i="4" a="1"/>
  <c r="E1370" i="4" s="1"/>
  <c r="E1374" i="4" a="1"/>
  <c r="E1374" i="4" s="1"/>
  <c r="E1378" i="4" a="1"/>
  <c r="E1378" i="4" s="1"/>
  <c r="E1382" i="4" a="1"/>
  <c r="E1382" i="4" s="1"/>
  <c r="E1386" i="4" a="1"/>
  <c r="E1386" i="4" s="1"/>
  <c r="M1392" i="4" a="1"/>
  <c r="M1392" i="4" s="1"/>
  <c r="M1396" i="4" a="1"/>
  <c r="M1396" i="4" s="1"/>
  <c r="M1400" i="4" a="1"/>
  <c r="M1400" i="4" s="1"/>
  <c r="M1404" i="4" a="1"/>
  <c r="M1404" i="4" s="1"/>
  <c r="M1408" i="4" a="1"/>
  <c r="M1408" i="4" s="1"/>
  <c r="N1424" i="4" a="1"/>
  <c r="N1424" i="4" s="1"/>
  <c r="E1424" i="4" a="1"/>
  <c r="E1424" i="4" s="1"/>
  <c r="C1434" i="4" a="1"/>
  <c r="C1434" i="4" s="1"/>
  <c r="N1434" i="4" a="1"/>
  <c r="N1434" i="4" s="1"/>
  <c r="E1434" i="4" a="1"/>
  <c r="E1434" i="4" s="1"/>
  <c r="N1449" i="4" a="1"/>
  <c r="N1449" i="4" s="1"/>
  <c r="M1449" i="4" a="1"/>
  <c r="M1449" i="4" s="1"/>
  <c r="D1449" i="4" a="1"/>
  <c r="D1449" i="4" s="1"/>
  <c r="B1449" i="4" a="1"/>
  <c r="B1449" i="4" s="1"/>
  <c r="N1441" i="4" a="1"/>
  <c r="N1441" i="4" s="1"/>
  <c r="M1441" i="4" a="1"/>
  <c r="M1441" i="4" s="1"/>
  <c r="D1441" i="4" a="1"/>
  <c r="D1441" i="4" s="1"/>
  <c r="M1448" i="4" a="1"/>
  <c r="M1448" i="4" s="1"/>
  <c r="N1448" i="4" a="1"/>
  <c r="N1448" i="4" s="1"/>
  <c r="E1448" i="4" a="1"/>
  <c r="E1448" i="4" s="1"/>
  <c r="C1438" i="4" a="1"/>
  <c r="C1438" i="4" s="1"/>
  <c r="M1438" i="4" a="1"/>
  <c r="M1438" i="4" s="1"/>
  <c r="D1438" i="4" a="1"/>
  <c r="D1438" i="4" s="1"/>
  <c r="N1438" i="4" a="1"/>
  <c r="N1438" i="4" s="1"/>
  <c r="E1438" i="4" a="1"/>
  <c r="E1438" i="4" s="1"/>
  <c r="E1447" i="4" a="1"/>
  <c r="E1447" i="4" s="1"/>
  <c r="B1447" i="4" a="1"/>
  <c r="B1447" i="4" s="1"/>
  <c r="N1447" i="4" a="1"/>
  <c r="N1447" i="4" s="1"/>
  <c r="D1447" i="4" a="1"/>
  <c r="D1447" i="4" s="1"/>
  <c r="M1447" i="4" a="1"/>
  <c r="M1447" i="4" s="1"/>
  <c r="C1447" i="4" a="1"/>
  <c r="C1447" i="4" s="1"/>
  <c r="C1450" i="4" a="1"/>
  <c r="C1450" i="4" s="1"/>
  <c r="B1450" i="4" a="1"/>
  <c r="B1450" i="4" s="1"/>
  <c r="M1450" i="4" a="1"/>
  <c r="M1450" i="4" s="1"/>
  <c r="D1450" i="4" a="1"/>
  <c r="D1450" i="4" s="1"/>
  <c r="N1450" i="4" a="1"/>
  <c r="N1450" i="4" s="1"/>
  <c r="E1399" i="4" a="1"/>
  <c r="E1399" i="4" s="1"/>
  <c r="E1403" i="4" a="1"/>
  <c r="E1403" i="4" s="1"/>
  <c r="E1407" i="4" a="1"/>
  <c r="E1407" i="4" s="1"/>
  <c r="E1431" i="4" a="1"/>
  <c r="E1431" i="4" s="1"/>
  <c r="M1431" i="4" a="1"/>
  <c r="M1431" i="4" s="1"/>
  <c r="C1431" i="4" a="1"/>
  <c r="C1431" i="4" s="1"/>
  <c r="D1434" i="4" a="1"/>
  <c r="D1434" i="4" s="1"/>
  <c r="E1436" i="4" a="1"/>
  <c r="E1436" i="4" s="1"/>
  <c r="M1436" i="4" a="1"/>
  <c r="M1436" i="4" s="1"/>
  <c r="B1438" i="4" a="1"/>
  <c r="B1438" i="4" s="1"/>
  <c r="B1441" i="4" a="1"/>
  <c r="B1441" i="4" s="1"/>
  <c r="D1444" i="4" a="1"/>
  <c r="D1444" i="4" s="1"/>
  <c r="M1444" i="4" a="1"/>
  <c r="M1444" i="4" s="1"/>
  <c r="E1444" i="4" a="1"/>
  <c r="E1444" i="4" s="1"/>
  <c r="E1450" i="4" a="1"/>
  <c r="E1450" i="4" s="1"/>
  <c r="M1451" i="4" a="1"/>
  <c r="M1451" i="4" s="1"/>
  <c r="D1451" i="4" a="1"/>
  <c r="D1451" i="4" s="1"/>
  <c r="N1451" i="4" a="1"/>
  <c r="N1451" i="4" s="1"/>
  <c r="N1452" i="4" a="1"/>
  <c r="N1452" i="4" s="1"/>
  <c r="M1452" i="4" a="1"/>
  <c r="M1452" i="4" s="1"/>
  <c r="J1447" i="4"/>
  <c r="H1447" i="4"/>
  <c r="C1427" i="4" a="1"/>
  <c r="C1427" i="4" s="1"/>
  <c r="H1430" i="4"/>
  <c r="J1430" i="4"/>
  <c r="M1454" i="4" a="1"/>
  <c r="M1454" i="4" s="1"/>
  <c r="N1454" i="4" a="1"/>
  <c r="N1454" i="4" s="1"/>
  <c r="E1454" i="4" a="1"/>
  <c r="E1454" i="4" s="1"/>
  <c r="E1439" i="4" a="1"/>
  <c r="E1439" i="4" s="1"/>
  <c r="D1440" i="4" a="1"/>
  <c r="D1440" i="4" s="1"/>
  <c r="C1442" i="4" a="1"/>
  <c r="C1442" i="4" s="1"/>
  <c r="C1443" i="4" a="1"/>
  <c r="C1443" i="4" s="1"/>
  <c r="C1446" i="4" a="1"/>
  <c r="C1446" i="4" s="1"/>
  <c r="J1446" i="4"/>
  <c r="C1453" i="4" a="1"/>
  <c r="C1453" i="4" s="1"/>
  <c r="D1443" i="4" a="1"/>
  <c r="D1443" i="4" s="1"/>
  <c r="J1449" i="4"/>
  <c r="D1458" i="4" a="1"/>
  <c r="D1458" i="4" s="1"/>
  <c r="C1430" i="4" a="1"/>
  <c r="C1430" i="4" s="1"/>
  <c r="D1389" i="4" a="1"/>
  <c r="D1389" i="4" s="1"/>
  <c r="C1389" i="4" a="1"/>
  <c r="C1389" i="4" s="1"/>
  <c r="J1389" i="4"/>
  <c r="H1389" i="4"/>
  <c r="B1390" i="4" a="1"/>
  <c r="B1390" i="4" s="1"/>
  <c r="E1390" i="4" a="1"/>
  <c r="E1390" i="4" s="1"/>
  <c r="D1391" i="4" a="1"/>
  <c r="D1391" i="4" s="1"/>
  <c r="C1391" i="4" a="1"/>
  <c r="C1391" i="4" s="1"/>
  <c r="J1391" i="4"/>
  <c r="H1391" i="4"/>
  <c r="B1392" i="4" a="1"/>
  <c r="B1392" i="4" s="1"/>
  <c r="E1392" i="4" a="1"/>
  <c r="E1392" i="4" s="1"/>
  <c r="D1393" i="4" a="1"/>
  <c r="D1393" i="4" s="1"/>
  <c r="C1393" i="4" a="1"/>
  <c r="C1393" i="4" s="1"/>
  <c r="J1393" i="4"/>
  <c r="H1393" i="4"/>
  <c r="B1394" i="4" a="1"/>
  <c r="B1394" i="4" s="1"/>
  <c r="E1394" i="4" a="1"/>
  <c r="E1394" i="4" s="1"/>
  <c r="D1395" i="4" a="1"/>
  <c r="D1395" i="4" s="1"/>
  <c r="C1395" i="4" a="1"/>
  <c r="C1395" i="4" s="1"/>
  <c r="J1395" i="4"/>
  <c r="H1395" i="4"/>
  <c r="B1396" i="4" a="1"/>
  <c r="B1396" i="4" s="1"/>
  <c r="E1396" i="4" a="1"/>
  <c r="E1396" i="4" s="1"/>
  <c r="D1397" i="4" a="1"/>
  <c r="D1397" i="4" s="1"/>
  <c r="C1397" i="4" a="1"/>
  <c r="C1397" i="4" s="1"/>
  <c r="J1397" i="4"/>
  <c r="H1397" i="4"/>
  <c r="B1398" i="4" a="1"/>
  <c r="B1398" i="4" s="1"/>
  <c r="E1398" i="4" a="1"/>
  <c r="E1398" i="4" s="1"/>
  <c r="D1399" i="4" a="1"/>
  <c r="D1399" i="4" s="1"/>
  <c r="C1399" i="4" a="1"/>
  <c r="C1399" i="4" s="1"/>
  <c r="J1399" i="4"/>
  <c r="H1399" i="4"/>
  <c r="B1400" i="4" a="1"/>
  <c r="B1400" i="4" s="1"/>
  <c r="E1400" i="4" a="1"/>
  <c r="E1400" i="4" s="1"/>
  <c r="D1401" i="4" a="1"/>
  <c r="D1401" i="4" s="1"/>
  <c r="C1401" i="4" a="1"/>
  <c r="C1401" i="4" s="1"/>
  <c r="J1401" i="4"/>
  <c r="H1401" i="4"/>
  <c r="B1402" i="4" a="1"/>
  <c r="B1402" i="4" s="1"/>
  <c r="E1402" i="4" a="1"/>
  <c r="E1402" i="4" s="1"/>
  <c r="D1403" i="4" a="1"/>
  <c r="D1403" i="4" s="1"/>
  <c r="C1403" i="4" a="1"/>
  <c r="C1403" i="4" s="1"/>
  <c r="J1403" i="4"/>
  <c r="H1403" i="4"/>
  <c r="B1404" i="4" a="1"/>
  <c r="B1404" i="4" s="1"/>
  <c r="E1404" i="4" a="1"/>
  <c r="E1404" i="4" s="1"/>
  <c r="D1405" i="4" a="1"/>
  <c r="D1405" i="4" s="1"/>
  <c r="C1405" i="4" a="1"/>
  <c r="C1405" i="4" s="1"/>
  <c r="J1405" i="4"/>
  <c r="H1405" i="4"/>
  <c r="B1406" i="4" a="1"/>
  <c r="B1406" i="4" s="1"/>
  <c r="E1406" i="4" a="1"/>
  <c r="E1406" i="4" s="1"/>
  <c r="D1407" i="4" a="1"/>
  <c r="D1407" i="4" s="1"/>
  <c r="C1407" i="4" a="1"/>
  <c r="C1407" i="4" s="1"/>
  <c r="J1407" i="4"/>
  <c r="H1407" i="4"/>
  <c r="B1408" i="4" a="1"/>
  <c r="B1408" i="4" s="1"/>
  <c r="E1408" i="4" a="1"/>
  <c r="E1408" i="4" s="1"/>
  <c r="D1409" i="4" a="1"/>
  <c r="D1409" i="4" s="1"/>
  <c r="C1409" i="4" a="1"/>
  <c r="C1409" i="4" s="1"/>
  <c r="M1409" i="4" a="1"/>
  <c r="M1409" i="4" s="1"/>
  <c r="J1409" i="4"/>
  <c r="H1409" i="4"/>
  <c r="B1410" i="4" a="1"/>
  <c r="B1410" i="4" s="1"/>
  <c r="E1410" i="4" a="1"/>
  <c r="E1410" i="4" s="1"/>
  <c r="D1411" i="4" a="1"/>
  <c r="D1411" i="4" s="1"/>
  <c r="C1411" i="4" a="1"/>
  <c r="C1411" i="4" s="1"/>
  <c r="M1411" i="4" a="1"/>
  <c r="M1411" i="4" s="1"/>
  <c r="J1411" i="4"/>
  <c r="H1411" i="4"/>
  <c r="B1412" i="4" a="1"/>
  <c r="B1412" i="4" s="1"/>
  <c r="E1412" i="4" a="1"/>
  <c r="E1412" i="4" s="1"/>
  <c r="D1413" i="4" a="1"/>
  <c r="D1413" i="4" s="1"/>
  <c r="C1413" i="4" a="1"/>
  <c r="C1413" i="4" s="1"/>
  <c r="M1413" i="4" a="1"/>
  <c r="M1413" i="4" s="1"/>
  <c r="J1413" i="4"/>
  <c r="H1413" i="4"/>
  <c r="B1414" i="4" a="1"/>
  <c r="B1414" i="4" s="1"/>
  <c r="E1414" i="4" a="1"/>
  <c r="E1414" i="4" s="1"/>
  <c r="D1415" i="4" a="1"/>
  <c r="D1415" i="4" s="1"/>
  <c r="C1415" i="4" a="1"/>
  <c r="C1415" i="4" s="1"/>
  <c r="M1415" i="4" a="1"/>
  <c r="M1415" i="4" s="1"/>
  <c r="J1415" i="4"/>
  <c r="H1415" i="4"/>
  <c r="B1416" i="4" a="1"/>
  <c r="B1416" i="4" s="1"/>
  <c r="E1416" i="4" a="1"/>
  <c r="E1416" i="4" s="1"/>
  <c r="D1417" i="4" a="1"/>
  <c r="D1417" i="4" s="1"/>
  <c r="C1417" i="4" a="1"/>
  <c r="C1417" i="4" s="1"/>
  <c r="M1417" i="4" a="1"/>
  <c r="M1417" i="4" s="1"/>
  <c r="J1417" i="4"/>
  <c r="H1417" i="4"/>
  <c r="B1418" i="4" a="1"/>
  <c r="B1418" i="4" s="1"/>
  <c r="E1418" i="4" a="1"/>
  <c r="E1418" i="4" s="1"/>
  <c r="D1419" i="4" a="1"/>
  <c r="D1419" i="4" s="1"/>
  <c r="C1419" i="4" a="1"/>
  <c r="C1419" i="4" s="1"/>
  <c r="M1419" i="4" a="1"/>
  <c r="M1419" i="4" s="1"/>
  <c r="J1419" i="4"/>
  <c r="H1419" i="4"/>
  <c r="B1420" i="4" a="1"/>
  <c r="B1420" i="4" s="1"/>
  <c r="E1420" i="4" a="1"/>
  <c r="E1420" i="4" s="1"/>
  <c r="D1421" i="4" a="1"/>
  <c r="D1421" i="4" s="1"/>
  <c r="C1421" i="4" a="1"/>
  <c r="C1421" i="4" s="1"/>
  <c r="M1421" i="4" a="1"/>
  <c r="M1421" i="4" s="1"/>
  <c r="J1421" i="4"/>
  <c r="H1421" i="4"/>
  <c r="B1422" i="4" a="1"/>
  <c r="B1422" i="4" s="1"/>
  <c r="E1422" i="4" a="1"/>
  <c r="E1422" i="4" s="1"/>
  <c r="C1424" i="4" a="1"/>
  <c r="C1424" i="4" s="1"/>
  <c r="B1424" i="4" a="1"/>
  <c r="B1424" i="4" s="1"/>
  <c r="E1427" i="4" a="1"/>
  <c r="E1427" i="4" s="1"/>
  <c r="B1427" i="4" a="1"/>
  <c r="B1427" i="4" s="1"/>
  <c r="C1428" i="4" a="1"/>
  <c r="C1428" i="4" s="1"/>
  <c r="B1428" i="4" a="1"/>
  <c r="B1428" i="4" s="1"/>
  <c r="H1429" i="4"/>
  <c r="J1429" i="4"/>
  <c r="C1432" i="4" a="1"/>
  <c r="C1432" i="4" s="1"/>
  <c r="B1432" i="4" a="1"/>
  <c r="B1432" i="4" s="1"/>
  <c r="E1435" i="4" a="1"/>
  <c r="E1435" i="4" s="1"/>
  <c r="B1435" i="4" a="1"/>
  <c r="B1435" i="4" s="1"/>
  <c r="C1436" i="4" a="1"/>
  <c r="C1436" i="4" s="1"/>
  <c r="B1436" i="4" a="1"/>
  <c r="B1436" i="4" s="1"/>
  <c r="H1437" i="4"/>
  <c r="J1437" i="4"/>
  <c r="C1440" i="4" a="1"/>
  <c r="C1440" i="4" s="1"/>
  <c r="B1440" i="4" a="1"/>
  <c r="B1440" i="4" s="1"/>
  <c r="E1443" i="4" a="1"/>
  <c r="E1443" i="4" s="1"/>
  <c r="B1443" i="4" a="1"/>
  <c r="B1443" i="4" s="1"/>
  <c r="C1444" i="4" a="1"/>
  <c r="C1444" i="4" s="1"/>
  <c r="B1444" i="4" a="1"/>
  <c r="B1444" i="4" s="1"/>
  <c r="H1445" i="4"/>
  <c r="J1445" i="4"/>
  <c r="C1448" i="4" a="1"/>
  <c r="C1448" i="4" s="1"/>
  <c r="B1448" i="4" a="1"/>
  <c r="B1448" i="4" s="1"/>
  <c r="E1451" i="4" a="1"/>
  <c r="E1451" i="4" s="1"/>
  <c r="B1451" i="4" a="1"/>
  <c r="B1451" i="4" s="1"/>
  <c r="C1452" i="4" a="1"/>
  <c r="C1452" i="4" s="1"/>
  <c r="B1452" i="4" a="1"/>
  <c r="B1452" i="4" s="1"/>
  <c r="E1453" i="4" a="1"/>
  <c r="E1453" i="4" s="1"/>
  <c r="B1453" i="4" a="1"/>
  <c r="B1453" i="4" s="1"/>
  <c r="M1453" i="4" a="1"/>
  <c r="M1453" i="4" s="1"/>
  <c r="C1454" i="4" a="1"/>
  <c r="C1454" i="4" s="1"/>
  <c r="B1454" i="4" a="1"/>
  <c r="B1454" i="4" s="1"/>
  <c r="E1457" i="4" a="1"/>
  <c r="E1457" i="4" s="1"/>
  <c r="B1457" i="4" a="1"/>
  <c r="B1457" i="4" s="1"/>
  <c r="M1457" i="4" a="1"/>
  <c r="M1457" i="4" s="1"/>
  <c r="D1457" i="4" a="1"/>
  <c r="D1457" i="4" s="1"/>
  <c r="C1458" i="4" a="1"/>
  <c r="C1458" i="4" s="1"/>
  <c r="B1458" i="4" a="1"/>
  <c r="B1458" i="4" s="1"/>
  <c r="N1458" i="4" a="1"/>
  <c r="N1458" i="4" s="1"/>
  <c r="E1458" i="4" a="1"/>
  <c r="E1458" i="4" s="1"/>
  <c r="E1461" i="4" a="1"/>
  <c r="E1461" i="4" s="1"/>
  <c r="B1461" i="4" a="1"/>
  <c r="B1461" i="4" s="1"/>
  <c r="D1461" i="4" a="1"/>
  <c r="D1461" i="4" s="1"/>
  <c r="C1461" i="4" a="1"/>
  <c r="C1461" i="4" s="1"/>
  <c r="H1462" i="4"/>
  <c r="J1462" i="4"/>
  <c r="E1463" i="4" a="1"/>
  <c r="E1463" i="4" s="1"/>
  <c r="N1463" i="4" a="1"/>
  <c r="N1463" i="4" s="1"/>
  <c r="D1463" i="4" a="1"/>
  <c r="D1463" i="4" s="1"/>
  <c r="B1465" i="4" a="1"/>
  <c r="B1465" i="4" s="1"/>
  <c r="M1465" i="4" a="1"/>
  <c r="M1465" i="4" s="1"/>
  <c r="C1465" i="4" a="1"/>
  <c r="C1465" i="4" s="1"/>
  <c r="D1465" i="4" a="1"/>
  <c r="D1465" i="4" s="1"/>
  <c r="N1465" i="4" a="1"/>
  <c r="N1465" i="4" s="1"/>
  <c r="E1465" i="4" a="1"/>
  <c r="E1465" i="4" s="1"/>
  <c r="D1466" i="4" a="1"/>
  <c r="D1466" i="4" s="1"/>
  <c r="M1466" i="4" a="1"/>
  <c r="M1466" i="4" s="1"/>
  <c r="E1466" i="4" a="1"/>
  <c r="E1466" i="4" s="1"/>
  <c r="C1466" i="4" a="1"/>
  <c r="C1466" i="4" s="1"/>
  <c r="N1466" i="4" a="1"/>
  <c r="N1466" i="4" s="1"/>
  <c r="B1466" i="4" a="1"/>
  <c r="B1466" i="4" s="1"/>
  <c r="B1467" i="4" a="1"/>
  <c r="B1467" i="4" s="1"/>
  <c r="M1467" i="4" a="1"/>
  <c r="M1467" i="4" s="1"/>
  <c r="E1467" i="4" a="1"/>
  <c r="E1467" i="4" s="1"/>
  <c r="D1467" i="4" a="1"/>
  <c r="D1467" i="4" s="1"/>
  <c r="N1467" i="4" a="1"/>
  <c r="N1467" i="4" s="1"/>
  <c r="C1467" i="4" a="1"/>
  <c r="C1467" i="4" s="1"/>
  <c r="M1468" i="4" a="1"/>
  <c r="M1468" i="4" s="1"/>
  <c r="E1468" i="4" a="1"/>
  <c r="E1468" i="4" s="1"/>
  <c r="M1471" i="4" a="1"/>
  <c r="M1471" i="4" s="1"/>
  <c r="C1471" i="4" a="1"/>
  <c r="C1471" i="4" s="1"/>
  <c r="M1472" i="4" a="1"/>
  <c r="M1472" i="4" s="1"/>
  <c r="C1472" i="4" a="1"/>
  <c r="C1472" i="4" s="1"/>
  <c r="D1478" i="4" a="1"/>
  <c r="D1478" i="4" s="1"/>
  <c r="N1478" i="4" a="1"/>
  <c r="N1478" i="4" s="1"/>
  <c r="M1478" i="4" a="1"/>
  <c r="M1478" i="4" s="1"/>
  <c r="E1478" i="4" a="1"/>
  <c r="E1478" i="4" s="1"/>
  <c r="C1478" i="4" a="1"/>
  <c r="C1478" i="4" s="1"/>
  <c r="B1478" i="4" a="1"/>
  <c r="B1478" i="4" s="1"/>
  <c r="N1481" i="4" a="1"/>
  <c r="N1481" i="4" s="1"/>
  <c r="E1481" i="4" a="1"/>
  <c r="E1481" i="4" s="1"/>
  <c r="D1481" i="4" a="1"/>
  <c r="D1481" i="4" s="1"/>
  <c r="B1483" i="4" a="1"/>
  <c r="B1483" i="4" s="1"/>
  <c r="D1483" i="4" a="1"/>
  <c r="D1483" i="4" s="1"/>
  <c r="C1483" i="4" a="1"/>
  <c r="C1483" i="4" s="1"/>
  <c r="N1483" i="4" a="1"/>
  <c r="N1483" i="4" s="1"/>
  <c r="J1489" i="4"/>
  <c r="H1489" i="4"/>
  <c r="M1475" i="4" a="1"/>
  <c r="M1475" i="4" s="1"/>
  <c r="C1475" i="4" a="1"/>
  <c r="C1475" i="4" s="1"/>
  <c r="M1483" i="4" a="1"/>
  <c r="M1483" i="4" s="1"/>
  <c r="H1485" i="4"/>
  <c r="J1485" i="4"/>
  <c r="J1494" i="4"/>
  <c r="H1494" i="4"/>
  <c r="B1477" i="4" a="1"/>
  <c r="B1477" i="4" s="1"/>
  <c r="M1477" i="4" a="1"/>
  <c r="M1477" i="4" s="1"/>
  <c r="D1477" i="4" a="1"/>
  <c r="D1477" i="4" s="1"/>
  <c r="N1477" i="4" a="1"/>
  <c r="N1477" i="4" s="1"/>
  <c r="E1477" i="4" a="1"/>
  <c r="E1477" i="4" s="1"/>
  <c r="E1483" i="4" a="1"/>
  <c r="E1483" i="4" s="1"/>
  <c r="J1486" i="4"/>
  <c r="H1486" i="4"/>
  <c r="C1489" i="4" a="1"/>
  <c r="C1489" i="4" s="1"/>
  <c r="E1489" i="4" a="1"/>
  <c r="E1489" i="4" s="1"/>
  <c r="D1492" i="4" a="1"/>
  <c r="D1492" i="4" s="1"/>
  <c r="B1492" i="4" a="1"/>
  <c r="B1492" i="4" s="1"/>
  <c r="M1492" i="4" a="1"/>
  <c r="M1492" i="4" s="1"/>
  <c r="E1492" i="4" a="1"/>
  <c r="E1492" i="4" s="1"/>
  <c r="N1492" i="4" a="1"/>
  <c r="N1492" i="4" s="1"/>
  <c r="C1492" i="4" a="1"/>
  <c r="C1492" i="4" s="1"/>
  <c r="C1462" i="4" a="1"/>
  <c r="C1462" i="4" s="1"/>
  <c r="B1462" i="4" a="1"/>
  <c r="B1462" i="4" s="1"/>
  <c r="N1464" i="4" a="1"/>
  <c r="N1464" i="4" s="1"/>
  <c r="E1471" i="4" a="1"/>
  <c r="E1471" i="4" s="1"/>
  <c r="B1473" i="4" a="1"/>
  <c r="B1473" i="4" s="1"/>
  <c r="M1473" i="4" a="1"/>
  <c r="M1473" i="4" s="1"/>
  <c r="N1473" i="4" a="1"/>
  <c r="N1473" i="4" s="1"/>
  <c r="E1473" i="4" a="1"/>
  <c r="E1473" i="4" s="1"/>
  <c r="C1473" i="4" a="1"/>
  <c r="C1473" i="4" s="1"/>
  <c r="C1477" i="4" a="1"/>
  <c r="C1477" i="4" s="1"/>
  <c r="B1491" i="4" a="1"/>
  <c r="B1491" i="4" s="1"/>
  <c r="M1491" i="4" a="1"/>
  <c r="M1491" i="4" s="1"/>
  <c r="N1491" i="4" a="1"/>
  <c r="N1491" i="4" s="1"/>
  <c r="E1491" i="4" a="1"/>
  <c r="E1491" i="4" s="1"/>
  <c r="D1491" i="4" a="1"/>
  <c r="D1491" i="4" s="1"/>
  <c r="C1491" i="4" a="1"/>
  <c r="C1491" i="4" s="1"/>
  <c r="M1462" i="4" a="1"/>
  <c r="M1462" i="4" s="1"/>
  <c r="D1473" i="4" a="1"/>
  <c r="D1473" i="4" s="1"/>
  <c r="D1474" i="4" a="1"/>
  <c r="D1474" i="4" s="1"/>
  <c r="M1474" i="4" a="1"/>
  <c r="M1474" i="4" s="1"/>
  <c r="B1474" i="4" a="1"/>
  <c r="B1474" i="4" s="1"/>
  <c r="D1482" i="4" a="1"/>
  <c r="D1482" i="4" s="1"/>
  <c r="C1482" i="4" a="1"/>
  <c r="C1482" i="4" s="1"/>
  <c r="B1482" i="4" a="1"/>
  <c r="B1482" i="4" s="1"/>
  <c r="N1482" i="4" a="1"/>
  <c r="N1482" i="4" s="1"/>
  <c r="E1462" i="4" a="1"/>
  <c r="E1462" i="4" s="1"/>
  <c r="N1462" i="4" a="1"/>
  <c r="N1462" i="4" s="1"/>
  <c r="J1475" i="4"/>
  <c r="H1475" i="4"/>
  <c r="B1479" i="4" a="1"/>
  <c r="B1479" i="4" s="1"/>
  <c r="D1479" i="4" a="1"/>
  <c r="D1479" i="4" s="1"/>
  <c r="M1479" i="4" a="1"/>
  <c r="M1479" i="4" s="1"/>
  <c r="E1479" i="4" a="1"/>
  <c r="E1479" i="4" s="1"/>
  <c r="C1479" i="4" a="1"/>
  <c r="C1479" i="4" s="1"/>
  <c r="M1482" i="4" a="1"/>
  <c r="M1482" i="4" s="1"/>
  <c r="E1425" i="4" a="1"/>
  <c r="E1425" i="4" s="1"/>
  <c r="E1429" i="4" a="1"/>
  <c r="E1429" i="4" s="1"/>
  <c r="E1433" i="4" a="1"/>
  <c r="E1433" i="4" s="1"/>
  <c r="E1437" i="4" a="1"/>
  <c r="E1437" i="4" s="1"/>
  <c r="E1441" i="4" a="1"/>
  <c r="E1441" i="4" s="1"/>
  <c r="E1445" i="4" a="1"/>
  <c r="E1445" i="4" s="1"/>
  <c r="E1449" i="4" a="1"/>
  <c r="E1449" i="4" s="1"/>
  <c r="H1452" i="4"/>
  <c r="J1452" i="4"/>
  <c r="C1456" i="4" a="1"/>
  <c r="C1456" i="4" s="1"/>
  <c r="H1456" i="4"/>
  <c r="J1456" i="4"/>
  <c r="C1460" i="4" a="1"/>
  <c r="C1460" i="4" s="1"/>
  <c r="H1460" i="4"/>
  <c r="J1460" i="4"/>
  <c r="C1464" i="4" a="1"/>
  <c r="C1464" i="4" s="1"/>
  <c r="H1464" i="4"/>
  <c r="J1464" i="4"/>
  <c r="D1471" i="4" a="1"/>
  <c r="D1471" i="4" s="1"/>
  <c r="B1475" i="4" a="1"/>
  <c r="B1475" i="4" s="1"/>
  <c r="E1475" i="4" a="1"/>
  <c r="E1475" i="4" s="1"/>
  <c r="D1476" i="4" a="1"/>
  <c r="D1476" i="4" s="1"/>
  <c r="B1476" i="4" a="1"/>
  <c r="B1476" i="4" s="1"/>
  <c r="E1486" i="4" a="1"/>
  <c r="E1486" i="4" s="1"/>
  <c r="D1488" i="4" a="1"/>
  <c r="D1488" i="4" s="1"/>
  <c r="B1488" i="4" a="1"/>
  <c r="B1488" i="4" s="1"/>
  <c r="N1488" i="4" a="1"/>
  <c r="N1488" i="4" s="1"/>
  <c r="C1488" i="4" a="1"/>
  <c r="C1488" i="4" s="1"/>
  <c r="D1489" i="4" a="1"/>
  <c r="D1489" i="4" s="1"/>
  <c r="H1490" i="4"/>
  <c r="C1493" i="4" a="1"/>
  <c r="C1493" i="4" s="1"/>
  <c r="H1495" i="4"/>
  <c r="N1498" i="4" a="1"/>
  <c r="N1498" i="4" s="1"/>
  <c r="J1502" i="4"/>
  <c r="H1502" i="4"/>
  <c r="B1485" i="4" a="1"/>
  <c r="B1485" i="4" s="1"/>
  <c r="M1485" i="4" a="1"/>
  <c r="M1485" i="4" s="1"/>
  <c r="C1485" i="4" a="1"/>
  <c r="C1485" i="4" s="1"/>
  <c r="D1490" i="4" a="1"/>
  <c r="D1490" i="4" s="1"/>
  <c r="N1490" i="4" a="1"/>
  <c r="N1490" i="4" s="1"/>
  <c r="E1472" i="4" a="1"/>
  <c r="E1472" i="4" s="1"/>
  <c r="B1490" i="4" a="1"/>
  <c r="B1490" i="4" s="1"/>
  <c r="D1506" i="4" a="1"/>
  <c r="D1506" i="4" s="1"/>
  <c r="C1506" i="4" a="1"/>
  <c r="C1506" i="4" s="1"/>
  <c r="M1506" i="4" a="1"/>
  <c r="M1506" i="4" s="1"/>
  <c r="E1506" i="4" a="1"/>
  <c r="E1506" i="4" s="1"/>
  <c r="N1506" i="4" a="1"/>
  <c r="N1506" i="4" s="1"/>
  <c r="J1515" i="4"/>
  <c r="H1515" i="4"/>
  <c r="B1481" i="4" a="1"/>
  <c r="B1481" i="4" s="1"/>
  <c r="M1481" i="4" a="1"/>
  <c r="M1481" i="4" s="1"/>
  <c r="C1481" i="4" a="1"/>
  <c r="C1481" i="4" s="1"/>
  <c r="C1490" i="4" a="1"/>
  <c r="C1490" i="4" s="1"/>
  <c r="M1490" i="4" a="1"/>
  <c r="M1490" i="4" s="1"/>
  <c r="E1499" i="4" a="1"/>
  <c r="E1499" i="4" s="1"/>
  <c r="B1506" i="4" a="1"/>
  <c r="B1506" i="4" s="1"/>
  <c r="D1511" i="4" a="1"/>
  <c r="D1511" i="4" s="1"/>
  <c r="E1511" i="4" a="1"/>
  <c r="E1511" i="4" s="1"/>
  <c r="C1511" i="4" a="1"/>
  <c r="C1511" i="4" s="1"/>
  <c r="N1514" i="4" a="1"/>
  <c r="N1514" i="4" s="1"/>
  <c r="E1514" i="4" a="1"/>
  <c r="E1514" i="4" s="1"/>
  <c r="M1514" i="4" a="1"/>
  <c r="M1514" i="4" s="1"/>
  <c r="D1514" i="4" a="1"/>
  <c r="D1514" i="4" s="1"/>
  <c r="B1514" i="4" a="1"/>
  <c r="B1514" i="4" s="1"/>
  <c r="C1514" i="4" a="1"/>
  <c r="C1514" i="4" s="1"/>
  <c r="B1471" i="4" a="1"/>
  <c r="B1471" i="4" s="1"/>
  <c r="N1471" i="4" a="1"/>
  <c r="N1471" i="4" s="1"/>
  <c r="D1472" i="4" a="1"/>
  <c r="D1472" i="4" s="1"/>
  <c r="B1472" i="4" a="1"/>
  <c r="B1472" i="4" s="1"/>
  <c r="D1480" i="4" a="1"/>
  <c r="D1480" i="4" s="1"/>
  <c r="B1480" i="4" a="1"/>
  <c r="B1480" i="4" s="1"/>
  <c r="C1480" i="4" a="1"/>
  <c r="C1480" i="4" s="1"/>
  <c r="E1485" i="4" a="1"/>
  <c r="E1485" i="4" s="1"/>
  <c r="D1486" i="4" a="1"/>
  <c r="D1486" i="4" s="1"/>
  <c r="B1486" i="4" a="1"/>
  <c r="B1486" i="4" s="1"/>
  <c r="M1486" i="4" a="1"/>
  <c r="M1486" i="4" s="1"/>
  <c r="B1489" i="4" a="1"/>
  <c r="B1489" i="4" s="1"/>
  <c r="M1489" i="4" a="1"/>
  <c r="M1489" i="4" s="1"/>
  <c r="E1490" i="4" a="1"/>
  <c r="E1490" i="4" s="1"/>
  <c r="D1500" i="4" a="1"/>
  <c r="D1500" i="4" s="1"/>
  <c r="M1500" i="4" a="1"/>
  <c r="M1500" i="4" s="1"/>
  <c r="E1500" i="4" a="1"/>
  <c r="E1500" i="4" s="1"/>
  <c r="B1500" i="4" a="1"/>
  <c r="B1500" i="4" s="1"/>
  <c r="J1509" i="4"/>
  <c r="H1509" i="4"/>
  <c r="B1493" i="4" a="1"/>
  <c r="B1493" i="4" s="1"/>
  <c r="M1493" i="4" a="1"/>
  <c r="M1493" i="4" s="1"/>
  <c r="D1496" i="4" a="1"/>
  <c r="D1496" i="4" s="1"/>
  <c r="M1496" i="4" a="1"/>
  <c r="M1496" i="4" s="1"/>
  <c r="E1496" i="4" a="1"/>
  <c r="E1496" i="4" s="1"/>
  <c r="B1496" i="4" a="1"/>
  <c r="B1496" i="4" s="1"/>
  <c r="C1496" i="4" a="1"/>
  <c r="C1496" i="4" s="1"/>
  <c r="J1497" i="4"/>
  <c r="H1497" i="4"/>
  <c r="H1499" i="4"/>
  <c r="J1499" i="4"/>
  <c r="J1506" i="4"/>
  <c r="H1506" i="4"/>
  <c r="H1517" i="4"/>
  <c r="J1517" i="4"/>
  <c r="D1494" i="4" a="1"/>
  <c r="D1494" i="4" s="1"/>
  <c r="M1494" i="4" a="1"/>
  <c r="M1494" i="4" s="1"/>
  <c r="E1494" i="4" a="1"/>
  <c r="E1494" i="4" s="1"/>
  <c r="D1508" i="4" a="1"/>
  <c r="D1508" i="4" s="1"/>
  <c r="M1508" i="4" a="1"/>
  <c r="M1508" i="4" s="1"/>
  <c r="E1508" i="4" a="1"/>
  <c r="E1508" i="4" s="1"/>
  <c r="B1508" i="4" a="1"/>
  <c r="B1508" i="4" s="1"/>
  <c r="D1510" i="4" a="1"/>
  <c r="D1510" i="4" s="1"/>
  <c r="C1510" i="4" a="1"/>
  <c r="C1510" i="4" s="1"/>
  <c r="N1516" i="4" a="1"/>
  <c r="N1516" i="4" s="1"/>
  <c r="B1516" i="4" a="1"/>
  <c r="B1516" i="4" s="1"/>
  <c r="C1516" i="4" a="1"/>
  <c r="C1516" i="4" s="1"/>
  <c r="D1516" i="4" a="1"/>
  <c r="D1516" i="4" s="1"/>
  <c r="N1520" i="4" a="1"/>
  <c r="N1520" i="4" s="1"/>
  <c r="M1520" i="4" a="1"/>
  <c r="M1520" i="4" s="1"/>
  <c r="C1520" i="4" a="1"/>
  <c r="C1520" i="4" s="1"/>
  <c r="N1524" i="4" a="1"/>
  <c r="N1524" i="4" s="1"/>
  <c r="C1524" i="4" a="1"/>
  <c r="C1524" i="4" s="1"/>
  <c r="E1524" i="4" a="1"/>
  <c r="E1524" i="4" s="1"/>
  <c r="D1524" i="4" a="1"/>
  <c r="D1524" i="4" s="1"/>
  <c r="M1524" i="4" a="1"/>
  <c r="M1524" i="4" s="1"/>
  <c r="H1525" i="4"/>
  <c r="J1525" i="4"/>
  <c r="E1527" i="4" a="1"/>
  <c r="E1527" i="4" s="1"/>
  <c r="M1527" i="4" a="1"/>
  <c r="M1527" i="4" s="1"/>
  <c r="N1527" i="4" a="1"/>
  <c r="N1527" i="4" s="1"/>
  <c r="D1527" i="4" a="1"/>
  <c r="D1527" i="4" s="1"/>
  <c r="B1527" i="4" a="1"/>
  <c r="B1527" i="4" s="1"/>
  <c r="C1527" i="4" a="1"/>
  <c r="C1527" i="4" s="1"/>
  <c r="B1524" i="4" a="1"/>
  <c r="B1524" i="4" s="1"/>
  <c r="D1468" i="4" a="1"/>
  <c r="D1468" i="4" s="1"/>
  <c r="B1468" i="4" a="1"/>
  <c r="B1468" i="4" s="1"/>
  <c r="B1469" i="4" a="1"/>
  <c r="B1469" i="4" s="1"/>
  <c r="M1469" i="4" a="1"/>
  <c r="M1469" i="4" s="1"/>
  <c r="D1470" i="4" a="1"/>
  <c r="D1470" i="4" s="1"/>
  <c r="D1484" i="4" a="1"/>
  <c r="D1484" i="4" s="1"/>
  <c r="B1484" i="4" a="1"/>
  <c r="B1484" i="4" s="1"/>
  <c r="B1497" i="4" a="1"/>
  <c r="B1497" i="4" s="1"/>
  <c r="D1497" i="4" a="1"/>
  <c r="D1497" i="4" s="1"/>
  <c r="M1497" i="4" a="1"/>
  <c r="M1497" i="4" s="1"/>
  <c r="B1501" i="4" a="1"/>
  <c r="B1501" i="4" s="1"/>
  <c r="D1501" i="4" a="1"/>
  <c r="D1501" i="4" s="1"/>
  <c r="M1501" i="4" a="1"/>
  <c r="M1501" i="4" s="1"/>
  <c r="D1504" i="4" a="1"/>
  <c r="D1504" i="4" s="1"/>
  <c r="M1504" i="4" a="1"/>
  <c r="M1504" i="4" s="1"/>
  <c r="E1504" i="4" a="1"/>
  <c r="E1504" i="4" s="1"/>
  <c r="B1504" i="4" a="1"/>
  <c r="B1504" i="4" s="1"/>
  <c r="C1508" i="4" a="1"/>
  <c r="C1508" i="4" s="1"/>
  <c r="M1510" i="4" a="1"/>
  <c r="M1510" i="4" s="1"/>
  <c r="N1513" i="4" a="1"/>
  <c r="N1513" i="4" s="1"/>
  <c r="B1513" i="4" a="1"/>
  <c r="B1513" i="4" s="1"/>
  <c r="D1513" i="4" a="1"/>
  <c r="D1513" i="4" s="1"/>
  <c r="M1513" i="4" a="1"/>
  <c r="M1513" i="4" s="1"/>
  <c r="C1513" i="4" a="1"/>
  <c r="C1513" i="4" s="1"/>
  <c r="E1516" i="4" a="1"/>
  <c r="E1516" i="4" s="1"/>
  <c r="D1520" i="4" a="1"/>
  <c r="D1520" i="4" s="1"/>
  <c r="C1532" i="4" a="1"/>
  <c r="C1532" i="4" s="1"/>
  <c r="M1532" i="4" a="1"/>
  <c r="M1532" i="4" s="1"/>
  <c r="B1532" i="4" a="1"/>
  <c r="B1532" i="4" s="1"/>
  <c r="E1532" i="4" a="1"/>
  <c r="E1532" i="4" s="1"/>
  <c r="N1532" i="4" a="1"/>
  <c r="N1532" i="4" s="1"/>
  <c r="D1532" i="4" a="1"/>
  <c r="D1532" i="4" s="1"/>
  <c r="M1507" i="4" a="1"/>
  <c r="M1507" i="4" s="1"/>
  <c r="D1507" i="4" a="1"/>
  <c r="D1507" i="4" s="1"/>
  <c r="E1509" i="4" a="1"/>
  <c r="E1509" i="4" s="1"/>
  <c r="M1517" i="4" a="1"/>
  <c r="M1517" i="4" s="1"/>
  <c r="B1517" i="4" a="1"/>
  <c r="B1517" i="4" s="1"/>
  <c r="N1517" i="4" a="1"/>
  <c r="N1517" i="4" s="1"/>
  <c r="E1517" i="4" a="1"/>
  <c r="E1517" i="4" s="1"/>
  <c r="N1519" i="4" a="1"/>
  <c r="N1519" i="4" s="1"/>
  <c r="C1519" i="4" a="1"/>
  <c r="C1519" i="4" s="1"/>
  <c r="E1519" i="4" a="1"/>
  <c r="E1519" i="4" s="1"/>
  <c r="D1521" i="4" a="1"/>
  <c r="D1521" i="4" s="1"/>
  <c r="E1521" i="4" a="1"/>
  <c r="E1521" i="4" s="1"/>
  <c r="B1521" i="4" a="1"/>
  <c r="B1521" i="4" s="1"/>
  <c r="J1498" i="4"/>
  <c r="H1498" i="4"/>
  <c r="D1502" i="4" a="1"/>
  <c r="D1502" i="4" s="1"/>
  <c r="N1502" i="4" a="1"/>
  <c r="N1502" i="4" s="1"/>
  <c r="M1503" i="4" a="1"/>
  <c r="M1503" i="4" s="1"/>
  <c r="N1504" i="4" a="1"/>
  <c r="N1504" i="4" s="1"/>
  <c r="J1505" i="4"/>
  <c r="H1505" i="4"/>
  <c r="E1507" i="4" a="1"/>
  <c r="E1507" i="4" s="1"/>
  <c r="C1509" i="4" a="1"/>
  <c r="C1509" i="4" s="1"/>
  <c r="D1517" i="4" a="1"/>
  <c r="D1517" i="4" s="1"/>
  <c r="M1519" i="4" a="1"/>
  <c r="M1519" i="4" s="1"/>
  <c r="M1523" i="4" a="1"/>
  <c r="M1523" i="4" s="1"/>
  <c r="B1523" i="4" a="1"/>
  <c r="B1523" i="4" s="1"/>
  <c r="E1523" i="4" a="1"/>
  <c r="E1523" i="4" s="1"/>
  <c r="N1523" i="4" a="1"/>
  <c r="N1523" i="4" s="1"/>
  <c r="D1523" i="4" a="1"/>
  <c r="D1523" i="4" s="1"/>
  <c r="B1487" i="4" a="1"/>
  <c r="B1487" i="4" s="1"/>
  <c r="D1498" i="4" a="1"/>
  <c r="D1498" i="4" s="1"/>
  <c r="B1505" i="4" a="1"/>
  <c r="B1505" i="4" s="1"/>
  <c r="D1505" i="4" a="1"/>
  <c r="D1505" i="4" s="1"/>
  <c r="M1505" i="4" a="1"/>
  <c r="M1505" i="4" s="1"/>
  <c r="J1510" i="4"/>
  <c r="H1510" i="4"/>
  <c r="D1512" i="4" a="1"/>
  <c r="D1512" i="4" s="1"/>
  <c r="M1512" i="4" a="1"/>
  <c r="M1512" i="4" s="1"/>
  <c r="E1512" i="4" a="1"/>
  <c r="E1512" i="4" s="1"/>
  <c r="B1512" i="4" a="1"/>
  <c r="B1512" i="4" s="1"/>
  <c r="B1530" i="4" a="1"/>
  <c r="B1530" i="4" s="1"/>
  <c r="H1531" i="4"/>
  <c r="H1539" i="4"/>
  <c r="J1539" i="4"/>
  <c r="M1542" i="4" a="1"/>
  <c r="M1542" i="4" s="1"/>
  <c r="E1542" i="4" a="1"/>
  <c r="E1542" i="4" s="1"/>
  <c r="B1542" i="4" a="1"/>
  <c r="B1542" i="4" s="1"/>
  <c r="N1542" i="4" a="1"/>
  <c r="N1542" i="4" s="1"/>
  <c r="B1533" i="4" a="1"/>
  <c r="B1533" i="4" s="1"/>
  <c r="N1533" i="4" a="1"/>
  <c r="N1533" i="4" s="1"/>
  <c r="D1533" i="4" a="1"/>
  <c r="D1533" i="4" s="1"/>
  <c r="H1544" i="4"/>
  <c r="J1544" i="4"/>
  <c r="J1545" i="4"/>
  <c r="H1545" i="4"/>
  <c r="H1546" i="4"/>
  <c r="J1546" i="4"/>
  <c r="C1528" i="4" a="1"/>
  <c r="C1528" i="4" s="1"/>
  <c r="M1528" i="4" a="1"/>
  <c r="M1528" i="4" s="1"/>
  <c r="B1528" i="4" a="1"/>
  <c r="B1528" i="4" s="1"/>
  <c r="H1529" i="4"/>
  <c r="J1529" i="4"/>
  <c r="E1531" i="4" a="1"/>
  <c r="E1531" i="4" s="1"/>
  <c r="M1531" i="4" a="1"/>
  <c r="M1531" i="4" s="1"/>
  <c r="N1531" i="4" a="1"/>
  <c r="N1531" i="4" s="1"/>
  <c r="D1531" i="4" a="1"/>
  <c r="D1531" i="4" s="1"/>
  <c r="B1531" i="4" a="1"/>
  <c r="B1531" i="4" s="1"/>
  <c r="C1533" i="4" a="1"/>
  <c r="C1533" i="4" s="1"/>
  <c r="E1538" i="4" a="1"/>
  <c r="E1538" i="4" s="1"/>
  <c r="B1509" i="4" a="1"/>
  <c r="B1509" i="4" s="1"/>
  <c r="D1509" i="4" a="1"/>
  <c r="D1509" i="4" s="1"/>
  <c r="M1509" i="4" a="1"/>
  <c r="M1509" i="4" s="1"/>
  <c r="M1515" i="4" a="1"/>
  <c r="M1515" i="4" s="1"/>
  <c r="E1515" i="4" a="1"/>
  <c r="E1515" i="4" s="1"/>
  <c r="H1519" i="4"/>
  <c r="J1519" i="4"/>
  <c r="C1525" i="4" a="1"/>
  <c r="C1525" i="4" s="1"/>
  <c r="B1525" i="4" a="1"/>
  <c r="B1525" i="4" s="1"/>
  <c r="D1525" i="4" a="1"/>
  <c r="D1525" i="4" s="1"/>
  <c r="M1526" i="4" a="1"/>
  <c r="M1526" i="4" s="1"/>
  <c r="E1526" i="4" a="1"/>
  <c r="E1526" i="4" s="1"/>
  <c r="C1526" i="4" a="1"/>
  <c r="C1526" i="4" s="1"/>
  <c r="H1532" i="4"/>
  <c r="J1532" i="4"/>
  <c r="D1546" i="4" a="1"/>
  <c r="D1546" i="4" s="1"/>
  <c r="N1546" i="4" a="1"/>
  <c r="N1546" i="4" s="1"/>
  <c r="E1546" i="4" a="1"/>
  <c r="E1546" i="4" s="1"/>
  <c r="M1546" i="4" a="1"/>
  <c r="M1546" i="4" s="1"/>
  <c r="C1546" i="4" a="1"/>
  <c r="C1546" i="4" s="1"/>
  <c r="E1535" i="4" a="1"/>
  <c r="E1535" i="4" s="1"/>
  <c r="M1535" i="4" a="1"/>
  <c r="M1535" i="4" s="1"/>
  <c r="B1535" i="4" a="1"/>
  <c r="B1535" i="4" s="1"/>
  <c r="N1535" i="4" a="1"/>
  <c r="N1535" i="4" s="1"/>
  <c r="D1535" i="4" a="1"/>
  <c r="D1535" i="4" s="1"/>
  <c r="C1535" i="4" a="1"/>
  <c r="C1535" i="4" s="1"/>
  <c r="H1528" i="4"/>
  <c r="J1528" i="4"/>
  <c r="C1530" i="4" a="1"/>
  <c r="C1530" i="4" s="1"/>
  <c r="M1530" i="4" a="1"/>
  <c r="M1530" i="4" s="1"/>
  <c r="N1536" i="4" a="1"/>
  <c r="N1536" i="4" s="1"/>
  <c r="N1522" i="4" a="1"/>
  <c r="N1522" i="4" s="1"/>
  <c r="C1522" i="4" a="1"/>
  <c r="C1522" i="4" s="1"/>
  <c r="E1536" i="4" a="1"/>
  <c r="E1536" i="4" s="1"/>
  <c r="B1538" i="4" a="1"/>
  <c r="B1538" i="4" s="1"/>
  <c r="D1539" i="4" a="1"/>
  <c r="D1539" i="4" s="1"/>
  <c r="H1540" i="4"/>
  <c r="J1540" i="4"/>
  <c r="M1544" i="4" a="1"/>
  <c r="M1544" i="4" s="1"/>
  <c r="N1544" i="4" a="1"/>
  <c r="N1544" i="4" s="1"/>
  <c r="E1544" i="4" a="1"/>
  <c r="E1544" i="4" s="1"/>
  <c r="B1544" i="4" a="1"/>
  <c r="B1544" i="4" s="1"/>
  <c r="M1548" i="4" a="1"/>
  <c r="M1548" i="4" s="1"/>
  <c r="D1548" i="4" a="1"/>
  <c r="D1548" i="4" s="1"/>
  <c r="E1554" i="4" a="1"/>
  <c r="E1554" i="4" s="1"/>
  <c r="M1554" i="4" a="1"/>
  <c r="M1554" i="4" s="1"/>
  <c r="N1554" i="4" a="1"/>
  <c r="N1554" i="4" s="1"/>
  <c r="D1554" i="4" a="1"/>
  <c r="D1554" i="4" s="1"/>
  <c r="C1540" i="4" a="1"/>
  <c r="C1540" i="4" s="1"/>
  <c r="M1540" i="4" a="1"/>
  <c r="M1540" i="4" s="1"/>
  <c r="D1551" i="4" a="1"/>
  <c r="D1551" i="4" s="1"/>
  <c r="E1551" i="4" a="1"/>
  <c r="E1551" i="4" s="1"/>
  <c r="H1536" i="4"/>
  <c r="J1536" i="4"/>
  <c r="D1538" i="4" a="1"/>
  <c r="D1538" i="4" s="1"/>
  <c r="N1538" i="4" a="1"/>
  <c r="N1538" i="4" s="1"/>
  <c r="E1529" i="4" a="1"/>
  <c r="E1529" i="4" s="1"/>
  <c r="M1529" i="4" a="1"/>
  <c r="M1529" i="4" s="1"/>
  <c r="C1536" i="4" a="1"/>
  <c r="C1536" i="4" s="1"/>
  <c r="M1536" i="4" a="1"/>
  <c r="M1536" i="4" s="1"/>
  <c r="E1539" i="4" a="1"/>
  <c r="E1539" i="4" s="1"/>
  <c r="M1539" i="4" a="1"/>
  <c r="M1539" i="4" s="1"/>
  <c r="B1539" i="4" a="1"/>
  <c r="B1539" i="4" s="1"/>
  <c r="D1540" i="4" a="1"/>
  <c r="D1540" i="4" s="1"/>
  <c r="M1545" i="4" a="1"/>
  <c r="M1545" i="4" s="1"/>
  <c r="H1547" i="4"/>
  <c r="J1553" i="4"/>
  <c r="H1553" i="4"/>
  <c r="B1495" i="4" a="1"/>
  <c r="B1495" i="4" s="1"/>
  <c r="N1495" i="4" a="1"/>
  <c r="N1495" i="4" s="1"/>
  <c r="B1499" i="4" a="1"/>
  <c r="B1499" i="4" s="1"/>
  <c r="N1499" i="4" a="1"/>
  <c r="N1499" i="4" s="1"/>
  <c r="B1503" i="4" a="1"/>
  <c r="B1503" i="4" s="1"/>
  <c r="N1503" i="4" a="1"/>
  <c r="N1503" i="4" s="1"/>
  <c r="B1507" i="4" a="1"/>
  <c r="B1507" i="4" s="1"/>
  <c r="N1507" i="4" a="1"/>
  <c r="N1507" i="4" s="1"/>
  <c r="B1511" i="4" a="1"/>
  <c r="B1511" i="4" s="1"/>
  <c r="N1511" i="4" a="1"/>
  <c r="N1511" i="4" s="1"/>
  <c r="N1518" i="4" a="1"/>
  <c r="N1518" i="4" s="1"/>
  <c r="D1518" i="4" a="1"/>
  <c r="D1518" i="4" s="1"/>
  <c r="E1522" i="4" a="1"/>
  <c r="E1522" i="4" s="1"/>
  <c r="B1529" i="4" a="1"/>
  <c r="B1529" i="4" s="1"/>
  <c r="B1536" i="4" a="1"/>
  <c r="B1536" i="4" s="1"/>
  <c r="E1540" i="4" a="1"/>
  <c r="E1540" i="4" s="1"/>
  <c r="N1540" i="4" a="1"/>
  <c r="N1540" i="4" s="1"/>
  <c r="B1543" i="4" a="1"/>
  <c r="B1543" i="4" s="1"/>
  <c r="N1543" i="4" a="1"/>
  <c r="N1543" i="4" s="1"/>
  <c r="N1545" i="4" a="1"/>
  <c r="N1545" i="4" s="1"/>
  <c r="E1545" i="4" a="1"/>
  <c r="E1545" i="4" s="1"/>
  <c r="B1545" i="4" a="1"/>
  <c r="B1545" i="4" s="1"/>
  <c r="N1548" i="4" a="1"/>
  <c r="N1548" i="4" s="1"/>
  <c r="M1547" i="4" a="1"/>
  <c r="M1547" i="4" s="1"/>
  <c r="E1547" i="4" a="1"/>
  <c r="E1547" i="4" s="1"/>
  <c r="N1547" i="4" a="1"/>
  <c r="N1547" i="4" s="1"/>
  <c r="D1547" i="4" a="1"/>
  <c r="D1547" i="4" s="1"/>
  <c r="N1556" i="4" a="1"/>
  <c r="N1556" i="4" s="1"/>
  <c r="B1556" i="4" a="1"/>
  <c r="B1556" i="4" s="1"/>
  <c r="D1556" i="4" a="1"/>
  <c r="D1556" i="4" s="1"/>
  <c r="E1533" i="4" a="1"/>
  <c r="E1533" i="4" s="1"/>
  <c r="C1534" i="4" a="1"/>
  <c r="C1534" i="4" s="1"/>
  <c r="E1537" i="4" a="1"/>
  <c r="E1537" i="4" s="1"/>
  <c r="C1538" i="4" a="1"/>
  <c r="C1538" i="4" s="1"/>
  <c r="M1541" i="4" a="1"/>
  <c r="M1541" i="4" s="1"/>
  <c r="E1541" i="4" a="1"/>
  <c r="E1541" i="4" s="1"/>
  <c r="M1543" i="4" a="1"/>
  <c r="M1543" i="4" s="1"/>
  <c r="M1551" i="4" a="1"/>
  <c r="M1551" i="4" s="1"/>
  <c r="C1552" i="4" a="1"/>
  <c r="C1552" i="4" s="1"/>
  <c r="B1552" i="4" a="1"/>
  <c r="B1552" i="4" s="1"/>
  <c r="C1556" i="4" a="1"/>
  <c r="C1556" i="4" s="1"/>
  <c r="E1556" i="4" a="1"/>
  <c r="E1556" i="4" s="1"/>
  <c r="D1550" i="4" a="1"/>
  <c r="D1550" i="4" s="1"/>
  <c r="N1553" i="4" a="1"/>
  <c r="N1553" i="4" s="1"/>
  <c r="E1553" i="4" a="1"/>
  <c r="E1553" i="4" s="1"/>
  <c r="M1556" i="4" a="1"/>
  <c r="M1556" i="4" s="1"/>
  <c r="N1561" i="4" a="1"/>
  <c r="N1561" i="4" s="1"/>
  <c r="E1561" i="4" a="1"/>
  <c r="E1561" i="4" s="1"/>
  <c r="C1561" i="4" a="1"/>
  <c r="C1561" i="4" s="1"/>
  <c r="B1559" i="4" a="1"/>
  <c r="B1559" i="4" s="1"/>
  <c r="C1559" i="4" a="1"/>
  <c r="C1559" i="4" s="1"/>
  <c r="N1526" i="4" a="1"/>
  <c r="N1526" i="4" s="1"/>
  <c r="M1533" i="4" a="1"/>
  <c r="M1533" i="4" s="1"/>
  <c r="M1534" i="4" a="1"/>
  <c r="M1534" i="4" s="1"/>
  <c r="M1537" i="4" a="1"/>
  <c r="M1537" i="4" s="1"/>
  <c r="M1538" i="4" a="1"/>
  <c r="M1538" i="4" s="1"/>
  <c r="E1550" i="4" a="1"/>
  <c r="E1550" i="4" s="1"/>
  <c r="M1550" i="4" a="1"/>
  <c r="M1550" i="4" s="1"/>
  <c r="D1558" i="4" a="1"/>
  <c r="D1558" i="4" s="1"/>
  <c r="C1558" i="4" a="1"/>
  <c r="C1558" i="4" s="1"/>
  <c r="B1558" i="4" a="1"/>
  <c r="B1558" i="4" s="1"/>
  <c r="J1570" i="4"/>
  <c r="H1570" i="4"/>
  <c r="D1575" i="4" a="1"/>
  <c r="D1575" i="4" s="1"/>
  <c r="C1567" i="4" a="1"/>
  <c r="C1567" i="4" s="1"/>
  <c r="N1567" i="4" a="1"/>
  <c r="N1567" i="4" s="1"/>
  <c r="E1567" i="4" a="1"/>
  <c r="E1567" i="4" s="1"/>
  <c r="C1564" i="4" a="1"/>
  <c r="C1564" i="4" s="1"/>
  <c r="E1564" i="4" a="1"/>
  <c r="E1564" i="4" s="1"/>
  <c r="D1564" i="4" a="1"/>
  <c r="D1564" i="4" s="1"/>
  <c r="N1560" i="4" a="1"/>
  <c r="N1560" i="4" s="1"/>
  <c r="M1561" i="4" a="1"/>
  <c r="M1561" i="4" s="1"/>
  <c r="J1561" i="4"/>
  <c r="B1564" i="4" a="1"/>
  <c r="B1564" i="4" s="1"/>
  <c r="M1564" i="4" a="1"/>
  <c r="M1564" i="4" s="1"/>
  <c r="J1573" i="4"/>
  <c r="H1573" i="4"/>
  <c r="D1542" i="4" a="1"/>
  <c r="D1542" i="4" s="1"/>
  <c r="C1555" i="4" a="1"/>
  <c r="C1555" i="4" s="1"/>
  <c r="E1571" i="4" a="1"/>
  <c r="E1571" i="4" s="1"/>
  <c r="D1571" i="4" a="1"/>
  <c r="D1571" i="4" s="1"/>
  <c r="E1572" i="4" a="1"/>
  <c r="E1572" i="4" s="1"/>
  <c r="D1572" i="4" a="1"/>
  <c r="D1572" i="4" s="1"/>
  <c r="C1572" i="4" a="1"/>
  <c r="C1572" i="4" s="1"/>
  <c r="B1572" i="4" a="1"/>
  <c r="B1572" i="4" s="1"/>
  <c r="D1574" i="4" a="1"/>
  <c r="D1574" i="4" s="1"/>
  <c r="E1574" i="4" a="1"/>
  <c r="E1574" i="4" s="1"/>
  <c r="B1574" i="4" a="1"/>
  <c r="B1574" i="4" s="1"/>
  <c r="N1574" i="4" a="1"/>
  <c r="N1574" i="4" s="1"/>
  <c r="M1574" i="4" a="1"/>
  <c r="M1574" i="4" s="1"/>
  <c r="C1574" i="4" a="1"/>
  <c r="C1574" i="4" s="1"/>
  <c r="C1563" i="4" a="1"/>
  <c r="C1563" i="4" s="1"/>
  <c r="N1568" i="4" a="1"/>
  <c r="N1568" i="4" s="1"/>
  <c r="B1568" i="4" a="1"/>
  <c r="B1568" i="4" s="1"/>
  <c r="H1572" i="4"/>
  <c r="C1577" i="4" a="1"/>
  <c r="C1577" i="4" s="1"/>
  <c r="N1584" i="4" a="1"/>
  <c r="N1584" i="4" s="1"/>
  <c r="J1586" i="4"/>
  <c r="H1586" i="4"/>
  <c r="M1553" i="4" a="1"/>
  <c r="M1553" i="4" s="1"/>
  <c r="B1565" i="4" a="1"/>
  <c r="B1565" i="4" s="1"/>
  <c r="E1566" i="4" a="1"/>
  <c r="E1566" i="4" s="1"/>
  <c r="N1566" i="4" a="1"/>
  <c r="N1566" i="4" s="1"/>
  <c r="E1568" i="4" a="1"/>
  <c r="E1568" i="4" s="1"/>
  <c r="C1570" i="4" a="1"/>
  <c r="C1570" i="4" s="1"/>
  <c r="D1570" i="4" a="1"/>
  <c r="D1570" i="4" s="1"/>
  <c r="D1577" i="4" a="1"/>
  <c r="D1577" i="4" s="1"/>
  <c r="N1577" i="4" a="1"/>
  <c r="N1577" i="4" s="1"/>
  <c r="C1584" i="4" a="1"/>
  <c r="C1584" i="4" s="1"/>
  <c r="M1584" i="4" a="1"/>
  <c r="M1584" i="4" s="1"/>
  <c r="D1584" i="4" a="1"/>
  <c r="D1584" i="4" s="1"/>
  <c r="E1590" i="4" a="1"/>
  <c r="E1590" i="4" s="1"/>
  <c r="D1590" i="4" a="1"/>
  <c r="D1590" i="4" s="1"/>
  <c r="C1590" i="4" a="1"/>
  <c r="C1590" i="4" s="1"/>
  <c r="B1590" i="4" a="1"/>
  <c r="B1590" i="4" s="1"/>
  <c r="M1590" i="4" a="1"/>
  <c r="M1590" i="4" s="1"/>
  <c r="M1568" i="4" a="1"/>
  <c r="M1568" i="4" s="1"/>
  <c r="E1577" i="4" a="1"/>
  <c r="E1577" i="4" s="1"/>
  <c r="H1578" i="4"/>
  <c r="J1578" i="4"/>
  <c r="B1581" i="4" a="1"/>
  <c r="B1581" i="4" s="1"/>
  <c r="N1581" i="4" a="1"/>
  <c r="N1581" i="4" s="1"/>
  <c r="C1581" i="4" a="1"/>
  <c r="C1581" i="4" s="1"/>
  <c r="E1584" i="4" a="1"/>
  <c r="E1584" i="4" s="1"/>
  <c r="N1585" i="4" a="1"/>
  <c r="N1585" i="4" s="1"/>
  <c r="E1585" i="4" a="1"/>
  <c r="E1585" i="4" s="1"/>
  <c r="B1585" i="4" a="1"/>
  <c r="B1585" i="4" s="1"/>
  <c r="E1563" i="4" a="1"/>
  <c r="E1563" i="4" s="1"/>
  <c r="M1567" i="4" a="1"/>
  <c r="M1567" i="4" s="1"/>
  <c r="E1570" i="4" a="1"/>
  <c r="E1570" i="4" s="1"/>
  <c r="M1570" i="4" a="1"/>
  <c r="M1570" i="4" s="1"/>
  <c r="B1571" i="4" a="1"/>
  <c r="B1571" i="4" s="1"/>
  <c r="N1572" i="4" a="1"/>
  <c r="N1572" i="4" s="1"/>
  <c r="M1572" i="4" a="1"/>
  <c r="M1572" i="4" s="1"/>
  <c r="M1575" i="4" a="1"/>
  <c r="M1575" i="4" s="1"/>
  <c r="M1576" i="4" a="1"/>
  <c r="M1576" i="4" s="1"/>
  <c r="N1576" i="4" a="1"/>
  <c r="N1576" i="4" s="1"/>
  <c r="B1576" i="4" a="1"/>
  <c r="B1576" i="4" s="1"/>
  <c r="E1579" i="4" a="1"/>
  <c r="E1579" i="4" s="1"/>
  <c r="D1579" i="4" a="1"/>
  <c r="D1579" i="4" s="1"/>
  <c r="B1579" i="4" a="1"/>
  <c r="B1579" i="4" s="1"/>
  <c r="J1590" i="4"/>
  <c r="H1590" i="4"/>
  <c r="J1574" i="4"/>
  <c r="H1574" i="4"/>
  <c r="J1577" i="4"/>
  <c r="H1577" i="4"/>
  <c r="M1582" i="4" a="1"/>
  <c r="M1582" i="4" s="1"/>
  <c r="E1582" i="4" a="1"/>
  <c r="E1582" i="4" s="1"/>
  <c r="D1582" i="4" a="1"/>
  <c r="D1582" i="4" s="1"/>
  <c r="N1582" i="4" a="1"/>
  <c r="N1582" i="4" s="1"/>
  <c r="B1582" i="4" a="1"/>
  <c r="B1582" i="4" s="1"/>
  <c r="N1565" i="4" a="1"/>
  <c r="N1565" i="4" s="1"/>
  <c r="B1575" i="4" a="1"/>
  <c r="B1575" i="4" s="1"/>
  <c r="E1575" i="4" a="1"/>
  <c r="E1575" i="4" s="1"/>
  <c r="C1575" i="4" a="1"/>
  <c r="C1575" i="4" s="1"/>
  <c r="C1578" i="4" a="1"/>
  <c r="C1578" i="4" s="1"/>
  <c r="N1587" i="4" a="1"/>
  <c r="N1587" i="4" s="1"/>
  <c r="E1587" i="4" a="1"/>
  <c r="E1587" i="4" s="1"/>
  <c r="D1587" i="4" a="1"/>
  <c r="D1587" i="4" s="1"/>
  <c r="M1571" i="4" a="1"/>
  <c r="M1571" i="4" s="1"/>
  <c r="E1578" i="4" a="1"/>
  <c r="E1578" i="4" s="1"/>
  <c r="N1578" i="4" a="1"/>
  <c r="N1578" i="4" s="1"/>
  <c r="N1590" i="4" a="1"/>
  <c r="N1590" i="4" s="1"/>
  <c r="M1586" i="4" a="1"/>
  <c r="M1586" i="4" s="1"/>
  <c r="M1589" i="4" a="1"/>
  <c r="M1589" i="4" s="1"/>
  <c r="C1593" i="4" a="1"/>
  <c r="C1593" i="4" s="1"/>
  <c r="M1580" i="4" a="1"/>
  <c r="M1580" i="4" s="1"/>
  <c r="J1581" i="4"/>
  <c r="E1583" i="4" a="1"/>
  <c r="E1583" i="4" s="1"/>
  <c r="C1588" i="4" a="1"/>
  <c r="C1588" i="4" s="1"/>
  <c r="E1591" i="4" a="1"/>
  <c r="E1591" i="4" s="1"/>
  <c r="D1592" i="4" a="1"/>
  <c r="D1592" i="4" s="1"/>
  <c r="C1595" i="4" a="1"/>
  <c r="C1595" i="4" s="1"/>
  <c r="C1599" i="4" a="1"/>
  <c r="C1599" i="4" s="1"/>
  <c r="D1593" i="4" a="1"/>
  <c r="D1593" i="4" s="1"/>
  <c r="C1589" i="4" a="1"/>
  <c r="C1589" i="4" s="1"/>
  <c r="M1592" i="4" a="1"/>
  <c r="M1592" i="4" s="1"/>
  <c r="D1595" i="4" a="1"/>
  <c r="D1595" i="4" s="1"/>
  <c r="D1599" i="4" a="1"/>
  <c r="D1599" i="4" s="1"/>
  <c r="M1587" i="4" a="1"/>
  <c r="M1587" i="4" s="1"/>
  <c r="M1593" i="4" a="1"/>
  <c r="M1593" i="4" s="1"/>
  <c r="N1599" i="4" a="1"/>
  <c r="N1599" i="4" s="1"/>
  <c r="M1559" i="4" a="1"/>
  <c r="M1559" i="4" s="1"/>
  <c r="M1565" i="4" a="1"/>
  <c r="M1565" i="4" s="1"/>
  <c r="M1581" i="4" a="1"/>
  <c r="M1581" i="4" s="1"/>
  <c r="B1584" i="4" a="1"/>
  <c r="B1584" i="4" s="1"/>
  <c r="D1586" i="4" a="1"/>
  <c r="D1586" i="4" s="1"/>
  <c r="B1587" i="4" a="1"/>
  <c r="B1587" i="4" s="1"/>
  <c r="M1588" i="4" a="1"/>
  <c r="M1588" i="4" s="1"/>
  <c r="D1589" i="4" a="1"/>
  <c r="D1589" i="4" s="1"/>
  <c r="B1591" i="4" a="1"/>
  <c r="B1591" i="4" s="1"/>
  <c r="E1595" i="4" a="1"/>
  <c r="E1595" i="4" s="1"/>
  <c r="M1599" i="4" a="1"/>
  <c r="M1599" i="4" s="1"/>
  <c r="M1585" i="4" a="1"/>
  <c r="M1585" i="4" s="1"/>
  <c r="B1588" i="4" a="1"/>
  <c r="B1588" i="4" s="1"/>
  <c r="D1591" i="4" a="1"/>
  <c r="D1591" i="4" s="1"/>
  <c r="B1599" i="4" a="1"/>
  <c r="B1599" i="4" s="1"/>
  <c r="N1592" i="4" a="1"/>
  <c r="N1592" i="4" s="1"/>
  <c r="B1592" i="4" a="1"/>
  <c r="B1592" i="4" s="1"/>
  <c r="N1593" i="4" a="1"/>
  <c r="N1593" i="4" s="1"/>
  <c r="E1593" i="4" a="1"/>
  <c r="E1593" i="4" s="1"/>
  <c r="M1595" i="4" a="1"/>
  <c r="M1595" i="4" s="1"/>
  <c r="B1595" i="4" a="1"/>
  <c r="B1595" i="4" s="1"/>
  <c r="J1609" i="4"/>
  <c r="H1609" i="4"/>
  <c r="B1611" i="4" a="1"/>
  <c r="B1611" i="4" s="1"/>
  <c r="N1611" i="4" a="1"/>
  <c r="N1611" i="4" s="1"/>
  <c r="B1612" i="4" a="1"/>
  <c r="B1612" i="4" s="1"/>
  <c r="N1612" i="4" a="1"/>
  <c r="N1612" i="4" s="1"/>
  <c r="E1613" i="4" a="1"/>
  <c r="E1613" i="4" s="1"/>
  <c r="D1613" i="4" a="1"/>
  <c r="D1613" i="4" s="1"/>
  <c r="J1614" i="4"/>
  <c r="H1614" i="4"/>
  <c r="J1615" i="4"/>
  <c r="H1615" i="4"/>
  <c r="N1616" i="4" a="1"/>
  <c r="N1616" i="4" s="1"/>
  <c r="C1616" i="4" a="1"/>
  <c r="C1616" i="4" s="1"/>
  <c r="N1618" i="4" a="1"/>
  <c r="N1618" i="4" s="1"/>
  <c r="C1618" i="4" a="1"/>
  <c r="C1618" i="4" s="1"/>
  <c r="C1604" i="4" a="1"/>
  <c r="C1604" i="4" s="1"/>
  <c r="N1604" i="4" a="1"/>
  <c r="N1604" i="4" s="1"/>
  <c r="M1611" i="4" a="1"/>
  <c r="M1611" i="4" s="1"/>
  <c r="M1612" i="4" a="1"/>
  <c r="M1612" i="4" s="1"/>
  <c r="N1589" i="4" a="1"/>
  <c r="N1589" i="4" s="1"/>
  <c r="M1596" i="4" a="1"/>
  <c r="M1596" i="4" s="1"/>
  <c r="N1608" i="4" a="1"/>
  <c r="N1608" i="4" s="1"/>
  <c r="B1608" i="4" a="1"/>
  <c r="B1608" i="4" s="1"/>
  <c r="D1614" i="4" a="1"/>
  <c r="D1614" i="4" s="1"/>
  <c r="C1614" i="4" a="1"/>
  <c r="C1614" i="4" s="1"/>
  <c r="N1614" i="4" a="1"/>
  <c r="N1614" i="4" s="1"/>
  <c r="B1615" i="4" a="1"/>
  <c r="B1615" i="4" s="1"/>
  <c r="C1615" i="4" a="1"/>
  <c r="C1615" i="4" s="1"/>
  <c r="M1615" i="4" a="1"/>
  <c r="M1615" i="4" s="1"/>
  <c r="D1616" i="4" a="1"/>
  <c r="D1616" i="4" s="1"/>
  <c r="B1616" i="4" a="1"/>
  <c r="B1616" i="4" s="1"/>
  <c r="M1616" i="4" a="1"/>
  <c r="M1616" i="4" s="1"/>
  <c r="E1616" i="4" a="1"/>
  <c r="E1616" i="4" s="1"/>
  <c r="B1617" i="4" a="1"/>
  <c r="B1617" i="4" s="1"/>
  <c r="M1617" i="4" a="1"/>
  <c r="M1617" i="4" s="1"/>
  <c r="D1618" i="4" a="1"/>
  <c r="D1618" i="4" s="1"/>
  <c r="B1618" i="4" a="1"/>
  <c r="B1618" i="4" s="1"/>
  <c r="M1618" i="4" a="1"/>
  <c r="M1618" i="4" s="1"/>
  <c r="E1618" i="4" a="1"/>
  <c r="E1618" i="4" s="1"/>
  <c r="J1618" i="4"/>
  <c r="H1618" i="4"/>
  <c r="D1620" i="4" a="1"/>
  <c r="D1620" i="4" s="1"/>
  <c r="B1620" i="4" a="1"/>
  <c r="B1620" i="4" s="1"/>
  <c r="N1620" i="4" a="1"/>
  <c r="N1620" i="4" s="1"/>
  <c r="B1621" i="4" a="1"/>
  <c r="B1621" i="4" s="1"/>
  <c r="M1621" i="4" a="1"/>
  <c r="M1621" i="4" s="1"/>
  <c r="D1621" i="4" a="1"/>
  <c r="D1621" i="4" s="1"/>
  <c r="D1622" i="4" a="1"/>
  <c r="D1622" i="4" s="1"/>
  <c r="B1622" i="4" a="1"/>
  <c r="B1622" i="4" s="1"/>
  <c r="N1622" i="4" a="1"/>
  <c r="N1622" i="4" s="1"/>
  <c r="J1622" i="4"/>
  <c r="H1622" i="4"/>
  <c r="C1623" i="4" a="1"/>
  <c r="C1623" i="4" s="1"/>
  <c r="M1623" i="4" a="1"/>
  <c r="M1623" i="4" s="1"/>
  <c r="D1624" i="4" a="1"/>
  <c r="D1624" i="4" s="1"/>
  <c r="B1624" i="4" a="1"/>
  <c r="B1624" i="4" s="1"/>
  <c r="M1624" i="4" a="1"/>
  <c r="M1624" i="4" s="1"/>
  <c r="E1624" i="4" a="1"/>
  <c r="E1624" i="4" s="1"/>
  <c r="C1624" i="4" a="1"/>
  <c r="C1624" i="4" s="1"/>
  <c r="J1625" i="4"/>
  <c r="H1625" i="4"/>
  <c r="D1626" i="4" a="1"/>
  <c r="D1626" i="4" s="1"/>
  <c r="E1626" i="4" a="1"/>
  <c r="E1626" i="4" s="1"/>
  <c r="C1626" i="4" a="1"/>
  <c r="C1626" i="4" s="1"/>
  <c r="J1626" i="4"/>
  <c r="H1626" i="4"/>
  <c r="E1627" i="4" a="1"/>
  <c r="E1627" i="4" s="1"/>
  <c r="D1627" i="4" a="1"/>
  <c r="D1627" i="4" s="1"/>
  <c r="D1628" i="4" a="1"/>
  <c r="D1628" i="4" s="1"/>
  <c r="B1628" i="4" a="1"/>
  <c r="B1628" i="4" s="1"/>
  <c r="M1628" i="4" a="1"/>
  <c r="M1628" i="4" s="1"/>
  <c r="E1628" i="4" a="1"/>
  <c r="E1628" i="4" s="1"/>
  <c r="N1628" i="4" a="1"/>
  <c r="N1628" i="4" s="1"/>
  <c r="B1629" i="4" a="1"/>
  <c r="B1629" i="4" s="1"/>
  <c r="M1629" i="4" a="1"/>
  <c r="M1629" i="4" s="1"/>
  <c r="D1629" i="4" a="1"/>
  <c r="D1629" i="4" s="1"/>
  <c r="E1629" i="4" a="1"/>
  <c r="E1629" i="4" s="1"/>
  <c r="D1630" i="4" a="1"/>
  <c r="D1630" i="4" s="1"/>
  <c r="M1630" i="4" a="1"/>
  <c r="M1630" i="4" s="1"/>
  <c r="B1630" i="4" a="1"/>
  <c r="B1630" i="4" s="1"/>
  <c r="B1633" i="4" a="1"/>
  <c r="B1633" i="4" s="1"/>
  <c r="M1633" i="4" a="1"/>
  <c r="M1633" i="4" s="1"/>
  <c r="D1633" i="4" a="1"/>
  <c r="D1633" i="4" s="1"/>
  <c r="N1633" i="4" a="1"/>
  <c r="N1633" i="4" s="1"/>
  <c r="C1633" i="4" a="1"/>
  <c r="C1633" i="4" s="1"/>
  <c r="J1634" i="4"/>
  <c r="H1634" i="4"/>
  <c r="D1636" i="4" a="1"/>
  <c r="D1636" i="4" s="1"/>
  <c r="B1636" i="4" a="1"/>
  <c r="B1636" i="4" s="1"/>
  <c r="M1636" i="4" a="1"/>
  <c r="M1636" i="4" s="1"/>
  <c r="E1636" i="4" a="1"/>
  <c r="E1636" i="4" s="1"/>
  <c r="N1636" i="4" a="1"/>
  <c r="N1636" i="4" s="1"/>
  <c r="B1637" i="4" a="1"/>
  <c r="B1637" i="4" s="1"/>
  <c r="M1637" i="4" a="1"/>
  <c r="M1637" i="4" s="1"/>
  <c r="D1637" i="4" a="1"/>
  <c r="D1637" i="4" s="1"/>
  <c r="D1638" i="4" a="1"/>
  <c r="D1638" i="4" s="1"/>
  <c r="N1638" i="4" a="1"/>
  <c r="N1638" i="4" s="1"/>
  <c r="M1638" i="4" a="1"/>
  <c r="M1638" i="4" s="1"/>
  <c r="B1638" i="4" a="1"/>
  <c r="B1638" i="4" s="1"/>
  <c r="J1638" i="4"/>
  <c r="H1638" i="4"/>
  <c r="D1640" i="4" a="1"/>
  <c r="D1640" i="4" s="1"/>
  <c r="B1640" i="4" a="1"/>
  <c r="B1640" i="4" s="1"/>
  <c r="M1640" i="4" a="1"/>
  <c r="M1640" i="4" s="1"/>
  <c r="E1640" i="4" a="1"/>
  <c r="E1640" i="4" s="1"/>
  <c r="C1640" i="4" a="1"/>
  <c r="C1640" i="4" s="1"/>
  <c r="J1641" i="4"/>
  <c r="H1641" i="4"/>
  <c r="J1642" i="4"/>
  <c r="H1642" i="4"/>
  <c r="J1643" i="4"/>
  <c r="H1643" i="4"/>
  <c r="D1643" i="4" a="1"/>
  <c r="D1643" i="4" s="1"/>
  <c r="E1643" i="4" a="1"/>
  <c r="E1643" i="4" s="1"/>
  <c r="D1644" i="4" a="1"/>
  <c r="D1644" i="4" s="1"/>
  <c r="B1644" i="4" a="1"/>
  <c r="B1644" i="4" s="1"/>
  <c r="M1644" i="4" a="1"/>
  <c r="M1644" i="4" s="1"/>
  <c r="E1644" i="4" a="1"/>
  <c r="E1644" i="4" s="1"/>
  <c r="N1644" i="4" a="1"/>
  <c r="N1644" i="4" s="1"/>
  <c r="D1646" i="4" a="1"/>
  <c r="D1646" i="4" s="1"/>
  <c r="B1646" i="4" a="1"/>
  <c r="B1646" i="4" s="1"/>
  <c r="E1646" i="4" a="1"/>
  <c r="E1646" i="4" s="1"/>
  <c r="M1613" i="4" a="1"/>
  <c r="M1613" i="4" s="1"/>
  <c r="B1625" i="4" a="1"/>
  <c r="B1625" i="4" s="1"/>
  <c r="M1625" i="4" a="1"/>
  <c r="M1625" i="4" s="1"/>
  <c r="D1625" i="4" a="1"/>
  <c r="D1625" i="4" s="1"/>
  <c r="J1630" i="4"/>
  <c r="H1630" i="4"/>
  <c r="D1632" i="4" a="1"/>
  <c r="D1632" i="4" s="1"/>
  <c r="B1632" i="4" a="1"/>
  <c r="B1632" i="4" s="1"/>
  <c r="M1632" i="4" a="1"/>
  <c r="M1632" i="4" s="1"/>
  <c r="E1632" i="4" a="1"/>
  <c r="E1632" i="4" s="1"/>
  <c r="C1639" i="4" a="1"/>
  <c r="C1639" i="4" s="1"/>
  <c r="C1646" i="4" a="1"/>
  <c r="C1646" i="4" s="1"/>
  <c r="M1646" i="4" a="1"/>
  <c r="M1646" i="4" s="1"/>
  <c r="E1647" i="4" a="1"/>
  <c r="E1647" i="4" s="1"/>
  <c r="J1652" i="4"/>
  <c r="H1652" i="4"/>
  <c r="C1649" i="4" a="1"/>
  <c r="C1649" i="4" s="1"/>
  <c r="B1649" i="4" a="1"/>
  <c r="B1649" i="4" s="1"/>
  <c r="J1655" i="4"/>
  <c r="H1655" i="4"/>
  <c r="C1632" i="4" a="1"/>
  <c r="C1632" i="4" s="1"/>
  <c r="D1642" i="4" a="1"/>
  <c r="D1642" i="4" s="1"/>
  <c r="M1605" i="4" a="1"/>
  <c r="M1605" i="4" s="1"/>
  <c r="B1619" i="4" a="1"/>
  <c r="B1619" i="4" s="1"/>
  <c r="N1625" i="4" a="1"/>
  <c r="N1625" i="4" s="1"/>
  <c r="D1634" i="4" a="1"/>
  <c r="D1634" i="4" s="1"/>
  <c r="B1641" i="4" a="1"/>
  <c r="B1641" i="4" s="1"/>
  <c r="M1641" i="4" a="1"/>
  <c r="M1641" i="4" s="1"/>
  <c r="D1641" i="4" a="1"/>
  <c r="D1641" i="4" s="1"/>
  <c r="C1642" i="4" a="1"/>
  <c r="C1642" i="4" s="1"/>
  <c r="J1650" i="4"/>
  <c r="D1648" i="4" a="1"/>
  <c r="D1648" i="4" s="1"/>
  <c r="E1648" i="4" a="1"/>
  <c r="E1648" i="4" s="1"/>
  <c r="J1651" i="4"/>
  <c r="H1651" i="4"/>
  <c r="C1653" i="4" a="1"/>
  <c r="C1653" i="4" s="1"/>
  <c r="E1653" i="4" a="1"/>
  <c r="E1653" i="4" s="1"/>
  <c r="N1653" i="4" a="1"/>
  <c r="N1653" i="4" s="1"/>
  <c r="M1651" i="4" a="1"/>
  <c r="M1651" i="4" s="1"/>
  <c r="B1623" i="4" a="1"/>
  <c r="B1623" i="4" s="1"/>
  <c r="N1623" i="4" a="1"/>
  <c r="N1623" i="4" s="1"/>
  <c r="B1627" i="4" a="1"/>
  <c r="B1627" i="4" s="1"/>
  <c r="N1627" i="4" a="1"/>
  <c r="N1627" i="4" s="1"/>
  <c r="B1631" i="4" a="1"/>
  <c r="B1631" i="4" s="1"/>
  <c r="N1631" i="4" a="1"/>
  <c r="N1631" i="4" s="1"/>
  <c r="B1635" i="4" a="1"/>
  <c r="B1635" i="4" s="1"/>
  <c r="N1635" i="4" a="1"/>
  <c r="N1635" i="4" s="1"/>
  <c r="B1639" i="4" a="1"/>
  <c r="B1639" i="4" s="1"/>
  <c r="N1639" i="4" a="1"/>
  <c r="N1639" i="4" s="1"/>
  <c r="B1643" i="4" a="1"/>
  <c r="B1643" i="4" s="1"/>
  <c r="N1643" i="4" a="1"/>
  <c r="N1643" i="4" s="1"/>
  <c r="D1650" i="4" a="1"/>
  <c r="D1650" i="4" s="1"/>
  <c r="N1650" i="4" a="1"/>
  <c r="N1650" i="4" s="1"/>
  <c r="E1651" i="4" a="1"/>
  <c r="E1651" i="4" s="1"/>
  <c r="C1651" i="4" a="1"/>
  <c r="C1651" i="4" s="1"/>
  <c r="C1657" i="4" a="1"/>
  <c r="C1657" i="4" s="1"/>
  <c r="N1657" i="4" a="1"/>
  <c r="N1657" i="4" s="1"/>
  <c r="M1653" i="4" a="1"/>
  <c r="M1653" i="4" s="1"/>
  <c r="C1645" i="4" a="1"/>
  <c r="C1645" i="4" s="1"/>
  <c r="J1646" i="4"/>
  <c r="H1646" i="4"/>
  <c r="C1652" i="4" a="1"/>
  <c r="C1652" i="4" s="1"/>
  <c r="B1653" i="4" a="1"/>
  <c r="B1653" i="4" s="1"/>
  <c r="C1656" i="4" a="1"/>
  <c r="C1656" i="4" s="1"/>
  <c r="M1656" i="4" a="1"/>
  <c r="M1656" i="4" s="1"/>
  <c r="D1656" i="4" a="1"/>
  <c r="D1656" i="4" s="1"/>
  <c r="E1657" i="4" a="1"/>
  <c r="E1657" i="4" s="1"/>
  <c r="J1659" i="4"/>
  <c r="H1662" i="4"/>
  <c r="M1647" i="4" a="1"/>
  <c r="M1647" i="4" s="1"/>
  <c r="M1648" i="4" a="1"/>
  <c r="M1648" i="4" s="1"/>
  <c r="C1655" i="4" a="1"/>
  <c r="C1655" i="4" s="1"/>
  <c r="E1659" i="4" a="1"/>
  <c r="E1659" i="4" s="1"/>
  <c r="C1662" i="4" a="1"/>
  <c r="C1662" i="4" s="1"/>
  <c r="N1655" i="4" a="1"/>
  <c r="N1655" i="4" s="1"/>
  <c r="M1645" i="4" a="1"/>
  <c r="M1645" i="4" s="1"/>
  <c r="E1645" i="4" a="1"/>
  <c r="E1645" i="4" s="1"/>
  <c r="N1660" i="4" a="1"/>
  <c r="N1660" i="4" s="1"/>
  <c r="B1660" i="4" a="1"/>
  <c r="B1660" i="4" s="1"/>
  <c r="B1673" i="4" a="1"/>
  <c r="B1673" i="4" s="1"/>
  <c r="N1673" i="4" a="1"/>
  <c r="N1673" i="4" s="1"/>
  <c r="E1673" i="4" a="1"/>
  <c r="E1673" i="4" s="1"/>
  <c r="B1674" i="4" a="1"/>
  <c r="B1674" i="4" s="1"/>
  <c r="E1674" i="4" a="1"/>
  <c r="E1674" i="4" s="1"/>
  <c r="D1675" i="4" a="1"/>
  <c r="D1675" i="4" s="1"/>
  <c r="N1675" i="4" a="1"/>
  <c r="N1675" i="4" s="1"/>
  <c r="C1676" i="4" a="1"/>
  <c r="C1676" i="4" s="1"/>
  <c r="M1676" i="4" a="1"/>
  <c r="M1676" i="4" s="1"/>
  <c r="D1676" i="4" a="1"/>
  <c r="D1676" i="4" s="1"/>
  <c r="N1677" i="4" a="1"/>
  <c r="N1677" i="4" s="1"/>
  <c r="B1677" i="4" a="1"/>
  <c r="B1677" i="4" s="1"/>
  <c r="C1679" i="4" a="1"/>
  <c r="C1679" i="4" s="1"/>
  <c r="B1679" i="4" a="1"/>
  <c r="B1679" i="4" s="1"/>
  <c r="E1679" i="4" a="1"/>
  <c r="E1679" i="4" s="1"/>
  <c r="D1682" i="4" a="1"/>
  <c r="D1682" i="4" s="1"/>
  <c r="C1682" i="4" a="1"/>
  <c r="C1682" i="4" s="1"/>
  <c r="B1683" i="4" a="1"/>
  <c r="B1683" i="4" s="1"/>
  <c r="C1683" i="4" a="1"/>
  <c r="C1683" i="4" s="1"/>
  <c r="M1684" i="4" a="1"/>
  <c r="M1684" i="4" s="1"/>
  <c r="C1684" i="4" a="1"/>
  <c r="C1684" i="4" s="1"/>
  <c r="J1685" i="4"/>
  <c r="H1685" i="4"/>
  <c r="D1686" i="4" a="1"/>
  <c r="D1686" i="4" s="1"/>
  <c r="C1686" i="4" a="1"/>
  <c r="C1686" i="4" s="1"/>
  <c r="B1686" i="4" a="1"/>
  <c r="B1686" i="4" s="1"/>
  <c r="H1686" i="4"/>
  <c r="J1686" i="4"/>
  <c r="J1687" i="4"/>
  <c r="H1687" i="4"/>
  <c r="N1687" i="4" a="1"/>
  <c r="N1687" i="4" s="1"/>
  <c r="C1687" i="4" a="1"/>
  <c r="C1687" i="4" s="1"/>
  <c r="M1688" i="4" a="1"/>
  <c r="M1688" i="4" s="1"/>
  <c r="D1688" i="4" a="1"/>
  <c r="D1688" i="4" s="1"/>
  <c r="C1688" i="4" a="1"/>
  <c r="C1688" i="4" s="1"/>
  <c r="B1688" i="4" a="1"/>
  <c r="B1688" i="4" s="1"/>
  <c r="J1688" i="4"/>
  <c r="H1688" i="4"/>
  <c r="J1690" i="4"/>
  <c r="H1690" i="4"/>
  <c r="M1657" i="4" a="1"/>
  <c r="M1657" i="4" s="1"/>
  <c r="M1671" i="4" a="1"/>
  <c r="M1671" i="4" s="1"/>
  <c r="E1678" i="4" a="1"/>
  <c r="E1678" i="4" s="1"/>
  <c r="N1678" i="4" a="1"/>
  <c r="N1678" i="4" s="1"/>
  <c r="H1693" i="4"/>
  <c r="B1694" i="4" a="1"/>
  <c r="B1694" i="4" s="1"/>
  <c r="B1699" i="4" a="1"/>
  <c r="B1699" i="4" s="1"/>
  <c r="M1689" i="4" a="1"/>
  <c r="M1689" i="4" s="1"/>
  <c r="B1690" i="4" a="1"/>
  <c r="B1690" i="4" s="1"/>
  <c r="B1689" i="4" a="1"/>
  <c r="B1689" i="4" s="1"/>
  <c r="C1690" i="4" a="1"/>
  <c r="C1690" i="4" s="1"/>
  <c r="B1691" i="4" a="1"/>
  <c r="B1691" i="4" s="1"/>
  <c r="H1692" i="4"/>
  <c r="B1693" i="4" a="1"/>
  <c r="B1693" i="4" s="1"/>
  <c r="M1694" i="4" a="1"/>
  <c r="M1694" i="4" s="1"/>
  <c r="E1687" i="4" a="1"/>
  <c r="E1687" i="4" s="1"/>
  <c r="C1689" i="4" a="1"/>
  <c r="C1689" i="4" s="1"/>
  <c r="D1690" i="4" a="1"/>
  <c r="D1690" i="4" s="1"/>
  <c r="C1691" i="4" a="1"/>
  <c r="C1691" i="4" s="1"/>
  <c r="D1698" i="4" a="1"/>
  <c r="D1698" i="4" s="1"/>
  <c r="D1701" i="4" a="1"/>
  <c r="D1701" i="4" s="1"/>
  <c r="D1689" i="4" a="1"/>
  <c r="D1689" i="4" s="1"/>
  <c r="C1697" i="4" a="1"/>
  <c r="C1697" i="4" s="1"/>
  <c r="N1680" i="4" a="1"/>
  <c r="N1680" i="4" s="1"/>
  <c r="B1680" i="4" a="1"/>
  <c r="B1680" i="4" s="1"/>
  <c r="N1692" i="4" a="1"/>
  <c r="N1692" i="4" s="1"/>
  <c r="E1692" i="4" a="1"/>
  <c r="E1692" i="4" s="1"/>
  <c r="D1693" i="4" a="1"/>
  <c r="D1693" i="4" s="1"/>
  <c r="E1693" i="4" a="1"/>
  <c r="E1693" i="4" s="1"/>
  <c r="C1694" i="4" a="1"/>
  <c r="C1694" i="4" s="1"/>
  <c r="E1694" i="4" a="1"/>
  <c r="E1694" i="4" s="1"/>
  <c r="D1694" i="4" a="1"/>
  <c r="D1694" i="4" s="1"/>
  <c r="N1695" i="4" a="1"/>
  <c r="N1695" i="4" s="1"/>
  <c r="C1695" i="4" a="1"/>
  <c r="C1695" i="4" s="1"/>
  <c r="B1695" i="4" a="1"/>
  <c r="B1695" i="4" s="1"/>
  <c r="H1697" i="4"/>
  <c r="J1697" i="4"/>
  <c r="D1697" i="4" a="1"/>
  <c r="D1697" i="4" s="1"/>
  <c r="N1697" i="4" a="1"/>
  <c r="N1697" i="4" s="1"/>
  <c r="N1699" i="4" a="1"/>
  <c r="N1699" i="4" s="1"/>
  <c r="E1699" i="4" a="1"/>
  <c r="E1699" i="4" s="1"/>
  <c r="J1700" i="4"/>
  <c r="H1700" i="4"/>
  <c r="C1701" i="4" a="1"/>
  <c r="C1701" i="4" s="1"/>
  <c r="B1701" i="4" a="1"/>
  <c r="B1701" i="4" s="1"/>
  <c r="N1701" i="4" a="1"/>
  <c r="N1701" i="4" s="1"/>
  <c r="N1702" i="4" a="1"/>
  <c r="N1702" i="4" s="1"/>
  <c r="B1702" i="4" a="1"/>
  <c r="B1702" i="4" s="1"/>
  <c r="M1702" i="4" a="1"/>
  <c r="M1702" i="4" s="1"/>
  <c r="D1702" i="4" a="1"/>
  <c r="D1702" i="4" s="1"/>
  <c r="J1703" i="4"/>
  <c r="H1703" i="4"/>
  <c r="D1704" i="4" a="1"/>
  <c r="D1704" i="4" s="1"/>
  <c r="M1704" i="4" a="1"/>
  <c r="M1704" i="4" s="1"/>
  <c r="B1704" i="4" a="1"/>
  <c r="B1704" i="4" s="1"/>
  <c r="N1704" i="4" a="1"/>
  <c r="N1704" i="4" s="1"/>
  <c r="J1704" i="4"/>
  <c r="H1704" i="4"/>
  <c r="M1706" i="4" a="1"/>
  <c r="M1706" i="4" s="1"/>
  <c r="E1706" i="4" a="1"/>
  <c r="E1706" i="4" s="1"/>
  <c r="B1706" i="4" a="1"/>
  <c r="B1706" i="4" s="1"/>
  <c r="N1708" i="4" a="1"/>
  <c r="N1708" i="4" s="1"/>
  <c r="D1708" i="4" a="1"/>
  <c r="D1708" i="4" s="1"/>
  <c r="N1711" i="4" a="1"/>
  <c r="N1711" i="4" s="1"/>
  <c r="C1711" i="4" a="1"/>
  <c r="C1711" i="4" s="1"/>
  <c r="D1711" i="4" a="1"/>
  <c r="D1711" i="4" s="1"/>
  <c r="C1712" i="4" a="1"/>
  <c r="C1712" i="4" s="1"/>
  <c r="B1712" i="4" a="1"/>
  <c r="B1712" i="4" s="1"/>
  <c r="M1712" i="4" a="1"/>
  <c r="M1712" i="4" s="1"/>
  <c r="M1714" i="4" a="1"/>
  <c r="M1714" i="4" s="1"/>
  <c r="E1714" i="4" a="1"/>
  <c r="E1714" i="4" s="1"/>
  <c r="C1717" i="4" a="1"/>
  <c r="C1717" i="4" s="1"/>
  <c r="B1717" i="4" a="1"/>
  <c r="B1717" i="4" s="1"/>
  <c r="E1717" i="4" a="1"/>
  <c r="E1717" i="4" s="1"/>
  <c r="M1722" i="4" a="1"/>
  <c r="M1722" i="4" s="1"/>
  <c r="B1722" i="4" a="1"/>
  <c r="B1722" i="4" s="1"/>
  <c r="N1722" i="4" a="1"/>
  <c r="N1722" i="4" s="1"/>
  <c r="E1722" i="4" a="1"/>
  <c r="E1722" i="4" s="1"/>
  <c r="D1722" i="4" a="1"/>
  <c r="D1722" i="4" s="1"/>
  <c r="C1722" i="4" a="1"/>
  <c r="C1722" i="4" s="1"/>
  <c r="E1709" i="4" a="1"/>
  <c r="E1709" i="4" s="1"/>
  <c r="D1709" i="4" a="1"/>
  <c r="D1709" i="4" s="1"/>
  <c r="J1720" i="4"/>
  <c r="H1720" i="4"/>
  <c r="D1720" i="4" a="1"/>
  <c r="D1720" i="4" s="1"/>
  <c r="B1721" i="4" a="1"/>
  <c r="B1721" i="4" s="1"/>
  <c r="E1721" i="4" a="1"/>
  <c r="E1721" i="4" s="1"/>
  <c r="C1710" i="4" a="1"/>
  <c r="C1710" i="4" s="1"/>
  <c r="E1712" i="4" a="1"/>
  <c r="E1712" i="4" s="1"/>
  <c r="N1718" i="4" a="1"/>
  <c r="N1718" i="4" s="1"/>
  <c r="B1718" i="4" a="1"/>
  <c r="B1718" i="4" s="1"/>
  <c r="M1718" i="4" a="1"/>
  <c r="M1718" i="4" s="1"/>
  <c r="D1721" i="4" a="1"/>
  <c r="D1721" i="4" s="1"/>
  <c r="E1696" i="4" a="1"/>
  <c r="E1696" i="4" s="1"/>
  <c r="N1696" i="4" a="1"/>
  <c r="N1696" i="4" s="1"/>
  <c r="B1705" i="4" a="1"/>
  <c r="B1705" i="4" s="1"/>
  <c r="E1705" i="4" a="1"/>
  <c r="E1705" i="4" s="1"/>
  <c r="M1709" i="4" a="1"/>
  <c r="M1709" i="4" s="1"/>
  <c r="H1709" i="4"/>
  <c r="B1710" i="4" a="1"/>
  <c r="B1710" i="4" s="1"/>
  <c r="H1712" i="4"/>
  <c r="M1713" i="4" a="1"/>
  <c r="M1713" i="4" s="1"/>
  <c r="H1713" i="4"/>
  <c r="C1714" i="4" a="1"/>
  <c r="C1714" i="4" s="1"/>
  <c r="N1714" i="4" a="1"/>
  <c r="N1714" i="4" s="1"/>
  <c r="B1714" i="4" a="1"/>
  <c r="B1714" i="4" s="1"/>
  <c r="E1716" i="4" a="1"/>
  <c r="E1716" i="4" s="1"/>
  <c r="D1716" i="4" a="1"/>
  <c r="D1716" i="4" s="1"/>
  <c r="H1716" i="4"/>
  <c r="M1717" i="4" a="1"/>
  <c r="M1717" i="4" s="1"/>
  <c r="M1720" i="4" a="1"/>
  <c r="M1720" i="4" s="1"/>
  <c r="N1721" i="4" a="1"/>
  <c r="N1721" i="4" s="1"/>
  <c r="M1677" i="4" a="1"/>
  <c r="M1677" i="4" s="1"/>
  <c r="M1691" i="4" a="1"/>
  <c r="M1691" i="4" s="1"/>
  <c r="M1697" i="4" a="1"/>
  <c r="M1697" i="4" s="1"/>
  <c r="C1698" i="4" a="1"/>
  <c r="C1698" i="4" s="1"/>
  <c r="N1698" i="4" a="1"/>
  <c r="N1698" i="4" s="1"/>
  <c r="B1698" i="4" a="1"/>
  <c r="B1698" i="4" s="1"/>
  <c r="E1700" i="4" a="1"/>
  <c r="E1700" i="4" s="1"/>
  <c r="D1700" i="4" a="1"/>
  <c r="D1700" i="4" s="1"/>
  <c r="M1701" i="4" a="1"/>
  <c r="M1701" i="4" s="1"/>
  <c r="N1705" i="4" a="1"/>
  <c r="N1705" i="4" s="1"/>
  <c r="J1707" i="4"/>
  <c r="H1707" i="4"/>
  <c r="D1710" i="4" a="1"/>
  <c r="D1710" i="4" s="1"/>
  <c r="J1711" i="4"/>
  <c r="D1714" i="4" a="1"/>
  <c r="D1714" i="4" s="1"/>
  <c r="D1718" i="4" a="1"/>
  <c r="D1718" i="4" s="1"/>
  <c r="N1720" i="4" a="1"/>
  <c r="N1720" i="4" s="1"/>
  <c r="M1695" i="4" a="1"/>
  <c r="M1695" i="4" s="1"/>
  <c r="M1711" i="4" a="1"/>
  <c r="M1711" i="4" s="1"/>
  <c r="M1699" i="4" a="1"/>
  <c r="M1699" i="4" s="1"/>
  <c r="M1715" i="4" a="1"/>
  <c r="M1715" i="4" s="1"/>
  <c r="E511" i="4" a="1"/>
  <c r="E511" i="4" s="1"/>
  <c r="M515" i="4" a="1"/>
  <c r="M515" i="4" s="1"/>
  <c r="E583" i="4" a="1"/>
  <c r="E583" i="4" s="1"/>
  <c r="C583" i="4" a="1"/>
  <c r="C583" i="4" s="1"/>
  <c r="B583" i="4" a="1"/>
  <c r="B583" i="4" s="1"/>
  <c r="J590" i="4"/>
  <c r="H590" i="4"/>
  <c r="B502" i="4" a="1"/>
  <c r="B502" i="4" s="1"/>
  <c r="N502" i="4" a="1"/>
  <c r="N502" i="4" s="1"/>
  <c r="M507" i="4" a="1"/>
  <c r="M507" i="4" s="1"/>
  <c r="B510" i="4" a="1"/>
  <c r="B510" i="4" s="1"/>
  <c r="N510" i="4" a="1"/>
  <c r="N510" i="4" s="1"/>
  <c r="H546" i="4"/>
  <c r="C547" i="4" a="1"/>
  <c r="C547" i="4" s="1"/>
  <c r="D547" i="4" a="1"/>
  <c r="D547" i="4" s="1"/>
  <c r="E548" i="4" a="1"/>
  <c r="E548" i="4" s="1"/>
  <c r="C548" i="4" a="1"/>
  <c r="C548" i="4" s="1"/>
  <c r="N548" i="4" a="1"/>
  <c r="N548" i="4" s="1"/>
  <c r="E549" i="4" a="1"/>
  <c r="E549" i="4" s="1"/>
  <c r="M549" i="4" a="1"/>
  <c r="M549" i="4" s="1"/>
  <c r="H555" i="4"/>
  <c r="E556" i="4" a="1"/>
  <c r="E556" i="4" s="1"/>
  <c r="M563" i="4" a="1"/>
  <c r="M563" i="4" s="1"/>
  <c r="B563" i="4" a="1"/>
  <c r="B563" i="4" s="1"/>
  <c r="B564" i="4" a="1"/>
  <c r="B564" i="4" s="1"/>
  <c r="D565" i="4" a="1"/>
  <c r="D565" i="4" s="1"/>
  <c r="D566" i="4" a="1"/>
  <c r="D566" i="4" s="1"/>
  <c r="J569" i="4"/>
  <c r="H569" i="4"/>
  <c r="B570" i="4" a="1"/>
  <c r="B570" i="4" s="1"/>
  <c r="M583" i="4" a="1"/>
  <c r="M583" i="4" s="1"/>
  <c r="E585" i="4" a="1"/>
  <c r="E585" i="4" s="1"/>
  <c r="N585" i="4" a="1"/>
  <c r="N585" i="4" s="1"/>
  <c r="B598" i="4" a="1"/>
  <c r="B598" i="4" s="1"/>
  <c r="B506" i="4" a="1"/>
  <c r="B506" i="4" s="1"/>
  <c r="N506" i="4" a="1"/>
  <c r="N506" i="4" s="1"/>
  <c r="C535" i="4" a="1"/>
  <c r="C535" i="4" s="1"/>
  <c r="D535" i="4" a="1"/>
  <c r="D535" i="4" s="1"/>
  <c r="E536" i="4" a="1"/>
  <c r="E536" i="4" s="1"/>
  <c r="C536" i="4" a="1"/>
  <c r="C536" i="4" s="1"/>
  <c r="N536" i="4" a="1"/>
  <c r="N536" i="4" s="1"/>
  <c r="C506" i="4" a="1"/>
  <c r="C506" i="4" s="1"/>
  <c r="C515" i="4" a="1"/>
  <c r="C515" i="4" s="1"/>
  <c r="N515" i="4" a="1"/>
  <c r="N515" i="4" s="1"/>
  <c r="C530" i="4" a="1"/>
  <c r="C530" i="4" s="1"/>
  <c r="C531" i="4" a="1"/>
  <c r="C531" i="4" s="1"/>
  <c r="N531" i="4" a="1"/>
  <c r="N531" i="4" s="1"/>
  <c r="C534" i="4" a="1"/>
  <c r="C534" i="4" s="1"/>
  <c r="J535" i="4"/>
  <c r="E538" i="4" a="1"/>
  <c r="E538" i="4" s="1"/>
  <c r="M538" i="4" a="1"/>
  <c r="M538" i="4" s="1"/>
  <c r="D542" i="4" a="1"/>
  <c r="D542" i="4" s="1"/>
  <c r="B547" i="4" a="1"/>
  <c r="B547" i="4" s="1"/>
  <c r="B548" i="4" a="1"/>
  <c r="B548" i="4" s="1"/>
  <c r="H548" i="4"/>
  <c r="H553" i="4"/>
  <c r="H554" i="4"/>
  <c r="B555" i="4" a="1"/>
  <c r="B555" i="4" s="1"/>
  <c r="H561" i="4"/>
  <c r="J563" i="4"/>
  <c r="N564" i="4" a="1"/>
  <c r="N564" i="4" s="1"/>
  <c r="E564" i="4" a="1"/>
  <c r="E564" i="4" s="1"/>
  <c r="M565" i="4" a="1"/>
  <c r="M565" i="4" s="1"/>
  <c r="C570" i="4" a="1"/>
  <c r="C570" i="4" s="1"/>
  <c r="C578" i="4" a="1"/>
  <c r="C578" i="4" s="1"/>
  <c r="J581" i="4"/>
  <c r="D583" i="4" a="1"/>
  <c r="D583" i="4" s="1"/>
  <c r="N583" i="4" a="1"/>
  <c r="N583" i="4" s="1"/>
  <c r="J584" i="4"/>
  <c r="M586" i="4" a="1"/>
  <c r="M586" i="4" s="1"/>
  <c r="J587" i="4"/>
  <c r="H587" i="4"/>
  <c r="E590" i="4" a="1"/>
  <c r="E590" i="4" s="1"/>
  <c r="C590" i="4" a="1"/>
  <c r="C590" i="4" s="1"/>
  <c r="N590" i="4" a="1"/>
  <c r="N590" i="4" s="1"/>
  <c r="D590" i="4" a="1"/>
  <c r="D590" i="4" s="1"/>
  <c r="B514" i="4" a="1"/>
  <c r="B514" i="4" s="1"/>
  <c r="N514" i="4" a="1"/>
  <c r="N514" i="4" s="1"/>
  <c r="C507" i="4" a="1"/>
  <c r="C507" i="4" s="1"/>
  <c r="N507" i="4" a="1"/>
  <c r="N507" i="4" s="1"/>
  <c r="C527" i="4" a="1"/>
  <c r="C527" i="4" s="1"/>
  <c r="E512" i="4" a="1"/>
  <c r="E512" i="4" s="1"/>
  <c r="J514" i="4"/>
  <c r="B515" i="4" a="1"/>
  <c r="B515" i="4" s="1"/>
  <c r="C539" i="4" a="1"/>
  <c r="C539" i="4" s="1"/>
  <c r="D539" i="4" a="1"/>
  <c r="D539" i="4" s="1"/>
  <c r="E540" i="4" a="1"/>
  <c r="E540" i="4" s="1"/>
  <c r="C540" i="4" a="1"/>
  <c r="C540" i="4" s="1"/>
  <c r="N540" i="4" a="1"/>
  <c r="N540" i="4" s="1"/>
  <c r="M541" i="4" a="1"/>
  <c r="M541" i="4" s="1"/>
  <c r="E565" i="4" a="1"/>
  <c r="E565" i="4" s="1"/>
  <c r="N565" i="4" a="1"/>
  <c r="N565" i="4" s="1"/>
  <c r="D569" i="4" a="1"/>
  <c r="D569" i="4" s="1"/>
  <c r="E569" i="4" a="1"/>
  <c r="E569" i="4" s="1"/>
  <c r="N575" i="4" a="1"/>
  <c r="N575" i="4" s="1"/>
  <c r="B575" i="4" a="1"/>
  <c r="B575" i="4" s="1"/>
  <c r="D575" i="4" a="1"/>
  <c r="D575" i="4" s="1"/>
  <c r="E575" i="4" a="1"/>
  <c r="E575" i="4" s="1"/>
  <c r="J577" i="4"/>
  <c r="H577" i="4"/>
  <c r="N581" i="4" a="1"/>
  <c r="N581" i="4" s="1"/>
  <c r="M581" i="4" a="1"/>
  <c r="M581" i="4" s="1"/>
  <c r="E581" i="4" a="1"/>
  <c r="E581" i="4" s="1"/>
  <c r="D581" i="4" a="1"/>
  <c r="D581" i="4" s="1"/>
  <c r="B581" i="4" a="1"/>
  <c r="B581" i="4" s="1"/>
  <c r="J582" i="4"/>
  <c r="H582" i="4"/>
  <c r="B586" i="4" a="1"/>
  <c r="B586" i="4" s="1"/>
  <c r="D586" i="4" a="1"/>
  <c r="D586" i="4" s="1"/>
  <c r="E586" i="4" a="1"/>
  <c r="E586" i="4" s="1"/>
  <c r="E589" i="4" a="1"/>
  <c r="E589" i="4" s="1"/>
  <c r="M589" i="4" a="1"/>
  <c r="M589" i="4" s="1"/>
  <c r="D589" i="4" a="1"/>
  <c r="D589" i="4" s="1"/>
  <c r="B589" i="4" a="1"/>
  <c r="B589" i="4" s="1"/>
  <c r="N589" i="4" a="1"/>
  <c r="N589" i="4" s="1"/>
  <c r="N592" i="4" a="1"/>
  <c r="N592" i="4" s="1"/>
  <c r="E592" i="4" a="1"/>
  <c r="E592" i="4" s="1"/>
  <c r="D592" i="4" a="1"/>
  <c r="D592" i="4" s="1"/>
  <c r="B592" i="4" a="1"/>
  <c r="B592" i="4" s="1"/>
  <c r="E546" i="4" a="1"/>
  <c r="E546" i="4" s="1"/>
  <c r="M546" i="4" a="1"/>
  <c r="M546" i="4" s="1"/>
  <c r="H502" i="4"/>
  <c r="J505" i="4"/>
  <c r="H506" i="4"/>
  <c r="J509" i="4"/>
  <c r="H510" i="4"/>
  <c r="J513" i="4"/>
  <c r="J517" i="4"/>
  <c r="H518" i="4"/>
  <c r="J521" i="4"/>
  <c r="H522" i="4"/>
  <c r="J525" i="4"/>
  <c r="H526" i="4"/>
  <c r="H530" i="4"/>
  <c r="B535" i="4" a="1"/>
  <c r="B535" i="4" s="1"/>
  <c r="B536" i="4" a="1"/>
  <c r="B536" i="4" s="1"/>
  <c r="H536" i="4"/>
  <c r="C502" i="4" a="1"/>
  <c r="C502" i="4" s="1"/>
  <c r="C511" i="4" a="1"/>
  <c r="C511" i="4" s="1"/>
  <c r="N511" i="4" a="1"/>
  <c r="N511" i="4" s="1"/>
  <c r="C519" i="4" a="1"/>
  <c r="C519" i="4" s="1"/>
  <c r="N519" i="4" a="1"/>
  <c r="N519" i="4" s="1"/>
  <c r="E516" i="4" a="1"/>
  <c r="E516" i="4" s="1"/>
  <c r="E541" i="4" a="1"/>
  <c r="E541" i="4" s="1"/>
  <c r="B556" i="4" a="1"/>
  <c r="B556" i="4" s="1"/>
  <c r="D502" i="4" a="1"/>
  <c r="D502" i="4" s="1"/>
  <c r="B504" i="4" a="1"/>
  <c r="B504" i="4" s="1"/>
  <c r="E509" i="4" a="1"/>
  <c r="E509" i="4" s="1"/>
  <c r="M513" i="4" a="1"/>
  <c r="M513" i="4" s="1"/>
  <c r="D514" i="4" a="1"/>
  <c r="D514" i="4" s="1"/>
  <c r="B516" i="4" a="1"/>
  <c r="B516" i="4" s="1"/>
  <c r="N516" i="4" a="1"/>
  <c r="N516" i="4" s="1"/>
  <c r="E521" i="4" a="1"/>
  <c r="E521" i="4" s="1"/>
  <c r="M525" i="4" a="1"/>
  <c r="M525" i="4" s="1"/>
  <c r="D526" i="4" a="1"/>
  <c r="D526" i="4" s="1"/>
  <c r="B528" i="4" a="1"/>
  <c r="B528" i="4" s="1"/>
  <c r="H556" i="4"/>
  <c r="C561" i="4" a="1"/>
  <c r="C561" i="4" s="1"/>
  <c r="D563" i="4" a="1"/>
  <c r="D563" i="4" s="1"/>
  <c r="B569" i="4" a="1"/>
  <c r="B569" i="4" s="1"/>
  <c r="E570" i="4" a="1"/>
  <c r="E570" i="4" s="1"/>
  <c r="H571" i="4"/>
  <c r="J571" i="4"/>
  <c r="C575" i="4" a="1"/>
  <c r="C575" i="4" s="1"/>
  <c r="N578" i="4" a="1"/>
  <c r="N578" i="4" s="1"/>
  <c r="C581" i="4" a="1"/>
  <c r="C581" i="4" s="1"/>
  <c r="N586" i="4" a="1"/>
  <c r="N586" i="4" s="1"/>
  <c r="C589" i="4" a="1"/>
  <c r="C589" i="4" s="1"/>
  <c r="N591" i="4" a="1"/>
  <c r="N591" i="4" s="1"/>
  <c r="B591" i="4" a="1"/>
  <c r="B591" i="4" s="1"/>
  <c r="M591" i="4" a="1"/>
  <c r="M591" i="4" s="1"/>
  <c r="D591" i="4" a="1"/>
  <c r="D591" i="4" s="1"/>
  <c r="N593" i="4" a="1"/>
  <c r="N593" i="4" s="1"/>
  <c r="M593" i="4" a="1"/>
  <c r="M593" i="4" s="1"/>
  <c r="E593" i="4" a="1"/>
  <c r="E593" i="4" s="1"/>
  <c r="B596" i="4" a="1"/>
  <c r="B596" i="4" s="1"/>
  <c r="E596" i="4" a="1"/>
  <c r="E596" i="4" s="1"/>
  <c r="C596" i="4" a="1"/>
  <c r="C596" i="4" s="1"/>
  <c r="C510" i="4" a="1"/>
  <c r="C510" i="4" s="1"/>
  <c r="C522" i="4" a="1"/>
  <c r="C522" i="4" s="1"/>
  <c r="C526" i="4" a="1"/>
  <c r="C526" i="4" s="1"/>
  <c r="E508" i="4" a="1"/>
  <c r="E508" i="4" s="1"/>
  <c r="B511" i="4" a="1"/>
  <c r="B511" i="4" s="1"/>
  <c r="E524" i="4" a="1"/>
  <c r="E524" i="4" s="1"/>
  <c r="B527" i="4" a="1"/>
  <c r="B527" i="4" s="1"/>
  <c r="E528" i="4" a="1"/>
  <c r="E528" i="4" s="1"/>
  <c r="E532" i="4" a="1"/>
  <c r="E532" i="4" s="1"/>
  <c r="J545" i="4"/>
  <c r="C546" i="4" a="1"/>
  <c r="C546" i="4" s="1"/>
  <c r="J547" i="4"/>
  <c r="M550" i="4" a="1"/>
  <c r="M550" i="4" s="1"/>
  <c r="E550" i="4" a="1"/>
  <c r="E550" i="4" s="1"/>
  <c r="E505" i="4" a="1"/>
  <c r="E505" i="4" s="1"/>
  <c r="D506" i="4" a="1"/>
  <c r="D506" i="4" s="1"/>
  <c r="B508" i="4" a="1"/>
  <c r="B508" i="4" s="1"/>
  <c r="N508" i="4" a="1"/>
  <c r="N508" i="4" s="1"/>
  <c r="M517" i="4" a="1"/>
  <c r="M517" i="4" s="1"/>
  <c r="D522" i="4" a="1"/>
  <c r="D522" i="4" s="1"/>
  <c r="B524" i="4" a="1"/>
  <c r="B524" i="4" s="1"/>
  <c r="N524" i="4" a="1"/>
  <c r="N524" i="4" s="1"/>
  <c r="E529" i="4" a="1"/>
  <c r="E529" i="4" s="1"/>
  <c r="D530" i="4" a="1"/>
  <c r="D530" i="4" s="1"/>
  <c r="N532" i="4" a="1"/>
  <c r="N532" i="4" s="1"/>
  <c r="M533" i="4" a="1"/>
  <c r="M533" i="4" s="1"/>
  <c r="D534" i="4" a="1"/>
  <c r="D534" i="4" s="1"/>
  <c r="D536" i="4" a="1"/>
  <c r="D536" i="4" s="1"/>
  <c r="B539" i="4" a="1"/>
  <c r="B539" i="4" s="1"/>
  <c r="B540" i="4" a="1"/>
  <c r="B540" i="4" s="1"/>
  <c r="H540" i="4"/>
  <c r="B550" i="4" a="1"/>
  <c r="B550" i="4" s="1"/>
  <c r="H550" i="4"/>
  <c r="J503" i="4"/>
  <c r="J507" i="4"/>
  <c r="J511" i="4"/>
  <c r="J515" i="4"/>
  <c r="J519" i="4"/>
  <c r="J523" i="4"/>
  <c r="J527" i="4"/>
  <c r="J531" i="4"/>
  <c r="E535" i="4" a="1"/>
  <c r="E535" i="4" s="1"/>
  <c r="M535" i="4" a="1"/>
  <c r="M535" i="4" s="1"/>
  <c r="J537" i="4"/>
  <c r="C538" i="4" a="1"/>
  <c r="C538" i="4" s="1"/>
  <c r="J539" i="4"/>
  <c r="E542" i="4" a="1"/>
  <c r="E542" i="4" s="1"/>
  <c r="M542" i="4" a="1"/>
  <c r="M542" i="4" s="1"/>
  <c r="D546" i="4" a="1"/>
  <c r="D546" i="4" s="1"/>
  <c r="D548" i="4" a="1"/>
  <c r="D548" i="4" s="1"/>
  <c r="C551" i="4" a="1"/>
  <c r="C551" i="4" s="1"/>
  <c r="D554" i="4" a="1"/>
  <c r="D554" i="4" s="1"/>
  <c r="C554" i="4" a="1"/>
  <c r="C554" i="4" s="1"/>
  <c r="E555" i="4" a="1"/>
  <c r="E555" i="4" s="1"/>
  <c r="C556" i="4" a="1"/>
  <c r="C556" i="4" s="1"/>
  <c r="C557" i="4" a="1"/>
  <c r="C557" i="4" s="1"/>
  <c r="B566" i="4" a="1"/>
  <c r="B566" i="4" s="1"/>
  <c r="M567" i="4" a="1"/>
  <c r="M567" i="4" s="1"/>
  <c r="D567" i="4" a="1"/>
  <c r="D567" i="4" s="1"/>
  <c r="H568" i="4"/>
  <c r="J568" i="4"/>
  <c r="C569" i="4" a="1"/>
  <c r="C569" i="4" s="1"/>
  <c r="M569" i="4" a="1"/>
  <c r="M569" i="4" s="1"/>
  <c r="N570" i="4" a="1"/>
  <c r="N570" i="4" s="1"/>
  <c r="E572" i="4" a="1"/>
  <c r="E572" i="4" s="1"/>
  <c r="D572" i="4" a="1"/>
  <c r="D572" i="4" s="1"/>
  <c r="E579" i="4" a="1"/>
  <c r="E579" i="4" s="1"/>
  <c r="E582" i="4" a="1"/>
  <c r="E582" i="4" s="1"/>
  <c r="D582" i="4" a="1"/>
  <c r="D582" i="4" s="1"/>
  <c r="C582" i="4" a="1"/>
  <c r="C582" i="4" s="1"/>
  <c r="B582" i="4" a="1"/>
  <c r="B582" i="4" s="1"/>
  <c r="J583" i="4"/>
  <c r="H583" i="4"/>
  <c r="D584" i="4" a="1"/>
  <c r="D584" i="4" s="1"/>
  <c r="N584" i="4" a="1"/>
  <c r="N584" i="4" s="1"/>
  <c r="N587" i="4" a="1"/>
  <c r="N587" i="4" s="1"/>
  <c r="B590" i="4" a="1"/>
  <c r="B590" i="4" s="1"/>
  <c r="C591" i="4" a="1"/>
  <c r="C591" i="4" s="1"/>
  <c r="C503" i="4" a="1"/>
  <c r="C503" i="4" s="1"/>
  <c r="N503" i="4" a="1"/>
  <c r="N503" i="4" s="1"/>
  <c r="C514" i="4" a="1"/>
  <c r="C514" i="4" s="1"/>
  <c r="C518" i="4" a="1"/>
  <c r="C518" i="4" s="1"/>
  <c r="C523" i="4" a="1"/>
  <c r="C523" i="4" s="1"/>
  <c r="N523" i="4" a="1"/>
  <c r="N523" i="4" s="1"/>
  <c r="E504" i="4" a="1"/>
  <c r="E504" i="4" s="1"/>
  <c r="B507" i="4" a="1"/>
  <c r="B507" i="4" s="1"/>
  <c r="E520" i="4" a="1"/>
  <c r="E520" i="4" s="1"/>
  <c r="N559" i="4" a="1"/>
  <c r="N559" i="4" s="1"/>
  <c r="B559" i="4" a="1"/>
  <c r="B559" i="4" s="1"/>
  <c r="D510" i="4" a="1"/>
  <c r="D510" i="4" s="1"/>
  <c r="B512" i="4" a="1"/>
  <c r="B512" i="4" s="1"/>
  <c r="N512" i="4" a="1"/>
  <c r="N512" i="4" s="1"/>
  <c r="D518" i="4" a="1"/>
  <c r="D518" i="4" s="1"/>
  <c r="B520" i="4" a="1"/>
  <c r="B520" i="4" s="1"/>
  <c r="N520" i="4" a="1"/>
  <c r="N520" i="4" s="1"/>
  <c r="B532" i="4" a="1"/>
  <c r="B532" i="4" s="1"/>
  <c r="J552" i="4"/>
  <c r="M502" i="4" a="1"/>
  <c r="M502" i="4" s="1"/>
  <c r="D503" i="4" a="1"/>
  <c r="D503" i="4" s="1"/>
  <c r="C504" i="4" a="1"/>
  <c r="C504" i="4" s="1"/>
  <c r="C505" i="4" a="1"/>
  <c r="C505" i="4" s="1"/>
  <c r="N505" i="4" a="1"/>
  <c r="N505" i="4" s="1"/>
  <c r="M506" i="4" a="1"/>
  <c r="M506" i="4" s="1"/>
  <c r="D507" i="4" a="1"/>
  <c r="D507" i="4" s="1"/>
  <c r="C508" i="4" a="1"/>
  <c r="C508" i="4" s="1"/>
  <c r="C509" i="4" a="1"/>
  <c r="C509" i="4" s="1"/>
  <c r="N509" i="4" a="1"/>
  <c r="N509" i="4" s="1"/>
  <c r="M510" i="4" a="1"/>
  <c r="M510" i="4" s="1"/>
  <c r="D511" i="4" a="1"/>
  <c r="D511" i="4" s="1"/>
  <c r="C512" i="4" a="1"/>
  <c r="C512" i="4" s="1"/>
  <c r="C513" i="4" a="1"/>
  <c r="C513" i="4" s="1"/>
  <c r="N513" i="4" a="1"/>
  <c r="N513" i="4" s="1"/>
  <c r="M514" i="4" a="1"/>
  <c r="M514" i="4" s="1"/>
  <c r="D515" i="4" a="1"/>
  <c r="D515" i="4" s="1"/>
  <c r="C516" i="4" a="1"/>
  <c r="C516" i="4" s="1"/>
  <c r="C517" i="4" a="1"/>
  <c r="C517" i="4" s="1"/>
  <c r="N517" i="4" a="1"/>
  <c r="N517" i="4" s="1"/>
  <c r="M518" i="4" a="1"/>
  <c r="M518" i="4" s="1"/>
  <c r="D519" i="4" a="1"/>
  <c r="D519" i="4" s="1"/>
  <c r="C520" i="4" a="1"/>
  <c r="C520" i="4" s="1"/>
  <c r="C521" i="4" a="1"/>
  <c r="C521" i="4" s="1"/>
  <c r="N521" i="4" a="1"/>
  <c r="N521" i="4" s="1"/>
  <c r="M522" i="4" a="1"/>
  <c r="M522" i="4" s="1"/>
  <c r="D523" i="4" a="1"/>
  <c r="D523" i="4" s="1"/>
  <c r="C524" i="4" a="1"/>
  <c r="C524" i="4" s="1"/>
  <c r="C525" i="4" a="1"/>
  <c r="C525" i="4" s="1"/>
  <c r="N525" i="4" a="1"/>
  <c r="N525" i="4" s="1"/>
  <c r="M526" i="4" a="1"/>
  <c r="M526" i="4" s="1"/>
  <c r="D527" i="4" a="1"/>
  <c r="D527" i="4" s="1"/>
  <c r="C528" i="4" a="1"/>
  <c r="C528" i="4" s="1"/>
  <c r="C529" i="4" a="1"/>
  <c r="C529" i="4" s="1"/>
  <c r="N529" i="4" a="1"/>
  <c r="N529" i="4" s="1"/>
  <c r="M530" i="4" a="1"/>
  <c r="M530" i="4" s="1"/>
  <c r="D531" i="4" a="1"/>
  <c r="D531" i="4" s="1"/>
  <c r="C532" i="4" a="1"/>
  <c r="C532" i="4" s="1"/>
  <c r="C533" i="4" a="1"/>
  <c r="C533" i="4" s="1"/>
  <c r="N533" i="4" a="1"/>
  <c r="N533" i="4" s="1"/>
  <c r="M536" i="4" a="1"/>
  <c r="M536" i="4" s="1"/>
  <c r="B542" i="4" a="1"/>
  <c r="B542" i="4" s="1"/>
  <c r="C543" i="4" a="1"/>
  <c r="C543" i="4" s="1"/>
  <c r="D543" i="4" a="1"/>
  <c r="D543" i="4" s="1"/>
  <c r="E544" i="4" a="1"/>
  <c r="E544" i="4" s="1"/>
  <c r="C544" i="4" a="1"/>
  <c r="C544" i="4" s="1"/>
  <c r="N544" i="4" a="1"/>
  <c r="N544" i="4" s="1"/>
  <c r="E545" i="4" a="1"/>
  <c r="E545" i="4" s="1"/>
  <c r="E547" i="4" a="1"/>
  <c r="E547" i="4" s="1"/>
  <c r="M547" i="4" a="1"/>
  <c r="M547" i="4" s="1"/>
  <c r="J549" i="4"/>
  <c r="C550" i="4" a="1"/>
  <c r="C550" i="4" s="1"/>
  <c r="D551" i="4" a="1"/>
  <c r="D551" i="4" s="1"/>
  <c r="M555" i="4" a="1"/>
  <c r="M555" i="4" s="1"/>
  <c r="D557" i="4" a="1"/>
  <c r="D557" i="4" s="1"/>
  <c r="D559" i="4" a="1"/>
  <c r="D559" i="4" s="1"/>
  <c r="E561" i="4" a="1"/>
  <c r="E561" i="4" s="1"/>
  <c r="M561" i="4" a="1"/>
  <c r="M561" i="4" s="1"/>
  <c r="E563" i="4" a="1"/>
  <c r="E563" i="4" s="1"/>
  <c r="N563" i="4" a="1"/>
  <c r="N563" i="4" s="1"/>
  <c r="N569" i="4" a="1"/>
  <c r="N569" i="4" s="1"/>
  <c r="C571" i="4" a="1"/>
  <c r="C571" i="4" s="1"/>
  <c r="B571" i="4" a="1"/>
  <c r="B571" i="4" s="1"/>
  <c r="D571" i="4" a="1"/>
  <c r="D571" i="4" s="1"/>
  <c r="M575" i="4" a="1"/>
  <c r="M575" i="4" s="1"/>
  <c r="D577" i="4" a="1"/>
  <c r="D577" i="4" s="1"/>
  <c r="B577" i="4" a="1"/>
  <c r="B577" i="4" s="1"/>
  <c r="N577" i="4" a="1"/>
  <c r="N577" i="4" s="1"/>
  <c r="M577" i="4" a="1"/>
  <c r="M577" i="4" s="1"/>
  <c r="E577" i="4" a="1"/>
  <c r="E577" i="4" s="1"/>
  <c r="C577" i="4" a="1"/>
  <c r="C577" i="4" s="1"/>
  <c r="J580" i="4"/>
  <c r="H580" i="4"/>
  <c r="E584" i="4" a="1"/>
  <c r="E584" i="4" s="1"/>
  <c r="B587" i="4" a="1"/>
  <c r="B587" i="4" s="1"/>
  <c r="E591" i="4" a="1"/>
  <c r="E591" i="4" s="1"/>
  <c r="M592" i="4" a="1"/>
  <c r="M592" i="4" s="1"/>
  <c r="B593" i="4" a="1"/>
  <c r="B593" i="4" s="1"/>
  <c r="E534" i="4" a="1"/>
  <c r="E534" i="4" s="1"/>
  <c r="M534" i="4" a="1"/>
  <c r="M534" i="4" s="1"/>
  <c r="N535" i="4" a="1"/>
  <c r="N535" i="4" s="1"/>
  <c r="D540" i="4" a="1"/>
  <c r="D540" i="4" s="1"/>
  <c r="N546" i="4" a="1"/>
  <c r="N546" i="4" s="1"/>
  <c r="M548" i="4" a="1"/>
  <c r="M548" i="4" s="1"/>
  <c r="N556" i="4" a="1"/>
  <c r="N556" i="4" s="1"/>
  <c r="E559" i="4" a="1"/>
  <c r="E559" i="4" s="1"/>
  <c r="D560" i="4" a="1"/>
  <c r="D560" i="4" s="1"/>
  <c r="D568" i="4" a="1"/>
  <c r="D568" i="4" s="1"/>
  <c r="C568" i="4" a="1"/>
  <c r="C568" i="4" s="1"/>
  <c r="N568" i="4" a="1"/>
  <c r="N568" i="4" s="1"/>
  <c r="E568" i="4" a="1"/>
  <c r="E568" i="4" s="1"/>
  <c r="C585" i="4" a="1"/>
  <c r="C585" i="4" s="1"/>
  <c r="C592" i="4" a="1"/>
  <c r="C592" i="4" s="1"/>
  <c r="C593" i="4" a="1"/>
  <c r="C593" i="4" s="1"/>
  <c r="D596" i="4" a="1"/>
  <c r="D596" i="4" s="1"/>
  <c r="H600" i="4"/>
  <c r="J600" i="4"/>
  <c r="J601" i="4"/>
  <c r="H601" i="4"/>
  <c r="D617" i="4" a="1"/>
  <c r="D617" i="4" s="1"/>
  <c r="M617" i="4" a="1"/>
  <c r="M617" i="4" s="1"/>
  <c r="C636" i="4" a="1"/>
  <c r="C636" i="4" s="1"/>
  <c r="N636" i="4" a="1"/>
  <c r="N636" i="4" s="1"/>
  <c r="E636" i="4" a="1"/>
  <c r="E636" i="4" s="1"/>
  <c r="B644" i="4" a="1"/>
  <c r="B644" i="4" s="1"/>
  <c r="N644" i="4" a="1"/>
  <c r="N644" i="4" s="1"/>
  <c r="E644" i="4" a="1"/>
  <c r="E644" i="4" s="1"/>
  <c r="C644" i="4" a="1"/>
  <c r="C644" i="4" s="1"/>
  <c r="E605" i="4" a="1"/>
  <c r="E605" i="4" s="1"/>
  <c r="D610" i="4" a="1"/>
  <c r="D610" i="4" s="1"/>
  <c r="N610" i="4" a="1"/>
  <c r="N610" i="4" s="1"/>
  <c r="C537" i="4" a="1"/>
  <c r="C537" i="4" s="1"/>
  <c r="N537" i="4" a="1"/>
  <c r="N537" i="4" s="1"/>
  <c r="C541" i="4" a="1"/>
  <c r="C541" i="4" s="1"/>
  <c r="N541" i="4" a="1"/>
  <c r="N541" i="4" s="1"/>
  <c r="C545" i="4" a="1"/>
  <c r="C545" i="4" s="1"/>
  <c r="N545" i="4" a="1"/>
  <c r="N545" i="4" s="1"/>
  <c r="C549" i="4" a="1"/>
  <c r="C549" i="4" s="1"/>
  <c r="N549" i="4" a="1"/>
  <c r="N549" i="4" s="1"/>
  <c r="M564" i="4" a="1"/>
  <c r="M564" i="4" s="1"/>
  <c r="M566" i="4" a="1"/>
  <c r="M566" i="4" s="1"/>
  <c r="E573" i="4" a="1"/>
  <c r="E573" i="4" s="1"/>
  <c r="N573" i="4" a="1"/>
  <c r="N573" i="4" s="1"/>
  <c r="M585" i="4" a="1"/>
  <c r="M585" i="4" s="1"/>
  <c r="E588" i="4" a="1"/>
  <c r="E588" i="4" s="1"/>
  <c r="M590" i="4" a="1"/>
  <c r="M590" i="4" s="1"/>
  <c r="J592" i="4"/>
  <c r="C594" i="4" a="1"/>
  <c r="C594" i="4" s="1"/>
  <c r="D595" i="4" a="1"/>
  <c r="D595" i="4" s="1"/>
  <c r="N596" i="4" a="1"/>
  <c r="N596" i="4" s="1"/>
  <c r="M597" i="4" a="1"/>
  <c r="M597" i="4" s="1"/>
  <c r="N598" i="4" a="1"/>
  <c r="N598" i="4" s="1"/>
  <c r="M603" i="4" a="1"/>
  <c r="M603" i="4" s="1"/>
  <c r="C603" i="4" a="1"/>
  <c r="C603" i="4" s="1"/>
  <c r="H603" i="4"/>
  <c r="B605" i="4" a="1"/>
  <c r="B605" i="4" s="1"/>
  <c r="J605" i="4"/>
  <c r="J606" i="4"/>
  <c r="D607" i="4" a="1"/>
  <c r="D607" i="4" s="1"/>
  <c r="E609" i="4" a="1"/>
  <c r="E609" i="4" s="1"/>
  <c r="E610" i="4" a="1"/>
  <c r="E610" i="4" s="1"/>
  <c r="H611" i="4"/>
  <c r="H612" i="4"/>
  <c r="M616" i="4" a="1"/>
  <c r="M616" i="4" s="1"/>
  <c r="C617" i="4" a="1"/>
  <c r="C617" i="4" s="1"/>
  <c r="N620" i="4" a="1"/>
  <c r="N620" i="4" s="1"/>
  <c r="E620" i="4" a="1"/>
  <c r="E620" i="4" s="1"/>
  <c r="N621" i="4" a="1"/>
  <c r="N621" i="4" s="1"/>
  <c r="H628" i="4"/>
  <c r="J630" i="4"/>
  <c r="B634" i="4" a="1"/>
  <c r="B634" i="4" s="1"/>
  <c r="N634" i="4" a="1"/>
  <c r="N634" i="4" s="1"/>
  <c r="D634" i="4" a="1"/>
  <c r="D634" i="4" s="1"/>
  <c r="C646" i="4" a="1"/>
  <c r="C646" i="4" s="1"/>
  <c r="B646" i="4" a="1"/>
  <c r="B646" i="4" s="1"/>
  <c r="E646" i="4" a="1"/>
  <c r="E646" i="4" s="1"/>
  <c r="H651" i="4"/>
  <c r="J651" i="4"/>
  <c r="E606" i="4" a="1"/>
  <c r="E606" i="4" s="1"/>
  <c r="C606" i="4" a="1"/>
  <c r="C606" i="4" s="1"/>
  <c r="N609" i="4" a="1"/>
  <c r="N609" i="4" s="1"/>
  <c r="C611" i="4" a="1"/>
  <c r="C611" i="4" s="1"/>
  <c r="M611" i="4" a="1"/>
  <c r="M611" i="4" s="1"/>
  <c r="E611" i="4" a="1"/>
  <c r="E611" i="4" s="1"/>
  <c r="N615" i="4" a="1"/>
  <c r="N615" i="4" s="1"/>
  <c r="B615" i="4" a="1"/>
  <c r="B615" i="4" s="1"/>
  <c r="D615" i="4" a="1"/>
  <c r="D615" i="4" s="1"/>
  <c r="N617" i="4" a="1"/>
  <c r="N617" i="4" s="1"/>
  <c r="M619" i="4" a="1"/>
  <c r="M619" i="4" s="1"/>
  <c r="C619" i="4" a="1"/>
  <c r="C619" i="4" s="1"/>
  <c r="J619" i="4"/>
  <c r="J622" i="4"/>
  <c r="C630" i="4" a="1"/>
  <c r="C630" i="4" s="1"/>
  <c r="E630" i="4" a="1"/>
  <c r="E630" i="4" s="1"/>
  <c r="D633" i="4" a="1"/>
  <c r="D633" i="4" s="1"/>
  <c r="C633" i="4" a="1"/>
  <c r="C633" i="4" s="1"/>
  <c r="M633" i="4" a="1"/>
  <c r="M633" i="4" s="1"/>
  <c r="J635" i="4"/>
  <c r="M645" i="4" a="1"/>
  <c r="M645" i="4" s="1"/>
  <c r="E645" i="4" a="1"/>
  <c r="E645" i="4" s="1"/>
  <c r="D645" i="4" a="1"/>
  <c r="D645" i="4" s="1"/>
  <c r="N645" i="4" a="1"/>
  <c r="N645" i="4" s="1"/>
  <c r="B645" i="4" a="1"/>
  <c r="B645" i="4" s="1"/>
  <c r="M574" i="4" a="1"/>
  <c r="M574" i="4" s="1"/>
  <c r="B578" i="4" a="1"/>
  <c r="B578" i="4" s="1"/>
  <c r="M587" i="4" a="1"/>
  <c r="M587" i="4" s="1"/>
  <c r="C587" i="4" a="1"/>
  <c r="C587" i="4" s="1"/>
  <c r="E595" i="4" a="1"/>
  <c r="E595" i="4" s="1"/>
  <c r="N599" i="4" a="1"/>
  <c r="N599" i="4" s="1"/>
  <c r="B599" i="4" a="1"/>
  <c r="B599" i="4" s="1"/>
  <c r="B601" i="4" a="1"/>
  <c r="B601" i="4" s="1"/>
  <c r="D605" i="4" a="1"/>
  <c r="D605" i="4" s="1"/>
  <c r="D606" i="4" a="1"/>
  <c r="D606" i="4" s="1"/>
  <c r="E608" i="4" a="1"/>
  <c r="E608" i="4" s="1"/>
  <c r="N608" i="4" a="1"/>
  <c r="N608" i="4" s="1"/>
  <c r="B611" i="4" a="1"/>
  <c r="B611" i="4" s="1"/>
  <c r="N612" i="4" a="1"/>
  <c r="N612" i="4" s="1"/>
  <c r="C612" i="4" a="1"/>
  <c r="C612" i="4" s="1"/>
  <c r="H614" i="4"/>
  <c r="E617" i="4" a="1"/>
  <c r="E617" i="4" s="1"/>
  <c r="B619" i="4" a="1"/>
  <c r="B619" i="4" s="1"/>
  <c r="E622" i="4" a="1"/>
  <c r="E622" i="4" s="1"/>
  <c r="C622" i="4" a="1"/>
  <c r="C622" i="4" s="1"/>
  <c r="H625" i="4"/>
  <c r="B626" i="4" a="1"/>
  <c r="B626" i="4" s="1"/>
  <c r="B628" i="4" a="1"/>
  <c r="B628" i="4" s="1"/>
  <c r="N628" i="4" a="1"/>
  <c r="N628" i="4" s="1"/>
  <c r="E628" i="4" a="1"/>
  <c r="E628" i="4" s="1"/>
  <c r="C628" i="4" a="1"/>
  <c r="C628" i="4" s="1"/>
  <c r="B630" i="4" a="1"/>
  <c r="B630" i="4" s="1"/>
  <c r="M635" i="4" a="1"/>
  <c r="M635" i="4" s="1"/>
  <c r="E635" i="4" a="1"/>
  <c r="E635" i="4" s="1"/>
  <c r="C635" i="4" a="1"/>
  <c r="C635" i="4" s="1"/>
  <c r="N637" i="4" a="1"/>
  <c r="N637" i="4" s="1"/>
  <c r="B637" i="4" a="1"/>
  <c r="B637" i="4" s="1"/>
  <c r="E637" i="4" a="1"/>
  <c r="E637" i="4" s="1"/>
  <c r="N639" i="4" a="1"/>
  <c r="N639" i="4" s="1"/>
  <c r="D644" i="4" a="1"/>
  <c r="D644" i="4" s="1"/>
  <c r="C645" i="4" a="1"/>
  <c r="C645" i="4" s="1"/>
  <c r="M646" i="4" a="1"/>
  <c r="M646" i="4" s="1"/>
  <c r="N646" i="4" a="1"/>
  <c r="N646" i="4" s="1"/>
  <c r="N651" i="4" a="1"/>
  <c r="N651" i="4" s="1"/>
  <c r="M651" i="4" a="1"/>
  <c r="M651" i="4" s="1"/>
  <c r="E651" i="4" a="1"/>
  <c r="E651" i="4" s="1"/>
  <c r="N652" i="4" a="1"/>
  <c r="N652" i="4" s="1"/>
  <c r="D652" i="4" a="1"/>
  <c r="D652" i="4" s="1"/>
  <c r="C652" i="4" a="1"/>
  <c r="C652" i="4" s="1"/>
  <c r="M598" i="4" a="1"/>
  <c r="M598" i="4" s="1"/>
  <c r="M605" i="4" a="1"/>
  <c r="M605" i="4" s="1"/>
  <c r="N606" i="4" a="1"/>
  <c r="N606" i="4" s="1"/>
  <c r="M614" i="4" a="1"/>
  <c r="M614" i="4" s="1"/>
  <c r="C615" i="4" a="1"/>
  <c r="C615" i="4" s="1"/>
  <c r="D616" i="4" a="1"/>
  <c r="D616" i="4" s="1"/>
  <c r="D619" i="4" a="1"/>
  <c r="D619" i="4" s="1"/>
  <c r="J621" i="4"/>
  <c r="D625" i="4" a="1"/>
  <c r="D625" i="4" s="1"/>
  <c r="D626" i="4" a="1"/>
  <c r="D626" i="4" s="1"/>
  <c r="N626" i="4" a="1"/>
  <c r="N626" i="4" s="1"/>
  <c r="N630" i="4" a="1"/>
  <c r="N630" i="4" s="1"/>
  <c r="N633" i="4" a="1"/>
  <c r="N633" i="4" s="1"/>
  <c r="E566" i="4" a="1"/>
  <c r="E566" i="4" s="1"/>
  <c r="M570" i="4" a="1"/>
  <c r="M570" i="4" s="1"/>
  <c r="N572" i="4" a="1"/>
  <c r="N572" i="4" s="1"/>
  <c r="E578" i="4" a="1"/>
  <c r="E578" i="4" s="1"/>
  <c r="N594" i="4" a="1"/>
  <c r="N594" i="4" s="1"/>
  <c r="C599" i="4" a="1"/>
  <c r="C599" i="4" s="1"/>
  <c r="C601" i="4" a="1"/>
  <c r="C601" i="4" s="1"/>
  <c r="D601" i="4" a="1"/>
  <c r="D601" i="4" s="1"/>
  <c r="D604" i="4" a="1"/>
  <c r="D604" i="4" s="1"/>
  <c r="D609" i="4" a="1"/>
  <c r="D609" i="4" s="1"/>
  <c r="H609" i="4"/>
  <c r="D611" i="4" a="1"/>
  <c r="D611" i="4" s="1"/>
  <c r="E615" i="4" a="1"/>
  <c r="E615" i="4" s="1"/>
  <c r="E616" i="4" a="1"/>
  <c r="E616" i="4" s="1"/>
  <c r="N616" i="4" a="1"/>
  <c r="N616" i="4" s="1"/>
  <c r="B621" i="4" a="1"/>
  <c r="B621" i="4" s="1"/>
  <c r="D622" i="4" a="1"/>
  <c r="D622" i="4" s="1"/>
  <c r="N622" i="4" a="1"/>
  <c r="N622" i="4" s="1"/>
  <c r="M625" i="4" a="1"/>
  <c r="M625" i="4" s="1"/>
  <c r="C625" i="4" a="1"/>
  <c r="C625" i="4" s="1"/>
  <c r="E626" i="4" a="1"/>
  <c r="E626" i="4" s="1"/>
  <c r="D630" i="4" a="1"/>
  <c r="D630" i="4" s="1"/>
  <c r="E633" i="4" a="1"/>
  <c r="E633" i="4" s="1"/>
  <c r="D635" i="4" a="1"/>
  <c r="D635" i="4" s="1"/>
  <c r="D637" i="4" a="1"/>
  <c r="D637" i="4" s="1"/>
  <c r="M637" i="4" a="1"/>
  <c r="M637" i="4" s="1"/>
  <c r="C639" i="4" a="1"/>
  <c r="C639" i="4" s="1"/>
  <c r="H641" i="4"/>
  <c r="D642" i="4" a="1"/>
  <c r="D642" i="4" s="1"/>
  <c r="C642" i="4" a="1"/>
  <c r="C642" i="4" s="1"/>
  <c r="N642" i="4" a="1"/>
  <c r="N642" i="4" s="1"/>
  <c r="C595" i="4" a="1"/>
  <c r="C595" i="4" s="1"/>
  <c r="M595" i="4" a="1"/>
  <c r="M595" i="4" s="1"/>
  <c r="B602" i="4" a="1"/>
  <c r="B602" i="4" s="1"/>
  <c r="D602" i="4" a="1"/>
  <c r="D602" i="4" s="1"/>
  <c r="N605" i="4" a="1"/>
  <c r="N605" i="4" s="1"/>
  <c r="N607" i="4" a="1"/>
  <c r="N607" i="4" s="1"/>
  <c r="B607" i="4" a="1"/>
  <c r="B607" i="4" s="1"/>
  <c r="M608" i="4" a="1"/>
  <c r="M608" i="4" s="1"/>
  <c r="C610" i="4" a="1"/>
  <c r="C610" i="4" s="1"/>
  <c r="C614" i="4" a="1"/>
  <c r="C614" i="4" s="1"/>
  <c r="E614" i="4" a="1"/>
  <c r="E614" i="4" s="1"/>
  <c r="M615" i="4" a="1"/>
  <c r="M615" i="4" s="1"/>
  <c r="E619" i="4" a="1"/>
  <c r="E619" i="4" s="1"/>
  <c r="N619" i="4" a="1"/>
  <c r="N619" i="4" s="1"/>
  <c r="C627" i="4" a="1"/>
  <c r="C627" i="4" s="1"/>
  <c r="M627" i="4" a="1"/>
  <c r="M627" i="4" s="1"/>
  <c r="E627" i="4" a="1"/>
  <c r="E627" i="4" s="1"/>
  <c r="E629" i="4" a="1"/>
  <c r="E629" i="4" s="1"/>
  <c r="N629" i="4" a="1"/>
  <c r="N629" i="4" s="1"/>
  <c r="B629" i="4" a="1"/>
  <c r="B629" i="4" s="1"/>
  <c r="N566" i="4" a="1"/>
  <c r="N566" i="4" s="1"/>
  <c r="C574" i="4" a="1"/>
  <c r="C574" i="4" s="1"/>
  <c r="M578" i="4" a="1"/>
  <c r="M578" i="4" s="1"/>
  <c r="M579" i="4" a="1"/>
  <c r="M579" i="4" s="1"/>
  <c r="D588" i="4" a="1"/>
  <c r="D588" i="4" s="1"/>
  <c r="D593" i="4" a="1"/>
  <c r="D593" i="4" s="1"/>
  <c r="B595" i="4" a="1"/>
  <c r="B595" i="4" s="1"/>
  <c r="H596" i="4"/>
  <c r="C598" i="4" a="1"/>
  <c r="C598" i="4" s="1"/>
  <c r="E598" i="4" a="1"/>
  <c r="E598" i="4" s="1"/>
  <c r="E599" i="4" a="1"/>
  <c r="E599" i="4" s="1"/>
  <c r="E601" i="4" a="1"/>
  <c r="E601" i="4" s="1"/>
  <c r="E602" i="4" a="1"/>
  <c r="E602" i="4" s="1"/>
  <c r="E604" i="4" a="1"/>
  <c r="E604" i="4" s="1"/>
  <c r="M606" i="4" a="1"/>
  <c r="M606" i="4" s="1"/>
  <c r="J608" i="4"/>
  <c r="C609" i="4" a="1"/>
  <c r="C609" i="4" s="1"/>
  <c r="B610" i="4" a="1"/>
  <c r="B610" i="4" s="1"/>
  <c r="N611" i="4" a="1"/>
  <c r="N611" i="4" s="1"/>
  <c r="E613" i="4" a="1"/>
  <c r="E613" i="4" s="1"/>
  <c r="N613" i="4" a="1"/>
  <c r="N613" i="4" s="1"/>
  <c r="B613" i="4" a="1"/>
  <c r="B613" i="4" s="1"/>
  <c r="B617" i="4" a="1"/>
  <c r="B617" i="4" s="1"/>
  <c r="B618" i="4" a="1"/>
  <c r="B618" i="4" s="1"/>
  <c r="D618" i="4" a="1"/>
  <c r="D618" i="4" s="1"/>
  <c r="H620" i="4"/>
  <c r="D621" i="4" a="1"/>
  <c r="D621" i="4" s="1"/>
  <c r="M621" i="4" a="1"/>
  <c r="M621" i="4" s="1"/>
  <c r="N623" i="4" a="1"/>
  <c r="N623" i="4" s="1"/>
  <c r="N625" i="4" a="1"/>
  <c r="N625" i="4" s="1"/>
  <c r="B627" i="4" a="1"/>
  <c r="B627" i="4" s="1"/>
  <c r="C629" i="4" a="1"/>
  <c r="C629" i="4" s="1"/>
  <c r="E638" i="4" a="1"/>
  <c r="E638" i="4" s="1"/>
  <c r="C638" i="4" a="1"/>
  <c r="C638" i="4" s="1"/>
  <c r="M639" i="4" a="1"/>
  <c r="M639" i="4" s="1"/>
  <c r="M641" i="4" a="1"/>
  <c r="M641" i="4" s="1"/>
  <c r="E641" i="4" a="1"/>
  <c r="E641" i="4" s="1"/>
  <c r="C641" i="4" a="1"/>
  <c r="C641" i="4" s="1"/>
  <c r="C643" i="4" a="1"/>
  <c r="C643" i="4" s="1"/>
  <c r="N643" i="4" a="1"/>
  <c r="N643" i="4" s="1"/>
  <c r="B643" i="4" a="1"/>
  <c r="B643" i="4" s="1"/>
  <c r="M643" i="4" a="1"/>
  <c r="M643" i="4" s="1"/>
  <c r="E643" i="4" a="1"/>
  <c r="E643" i="4" s="1"/>
  <c r="M610" i="4" a="1"/>
  <c r="M610" i="4" s="1"/>
  <c r="M626" i="4" a="1"/>
  <c r="M626" i="4" s="1"/>
  <c r="D631" i="4" a="1"/>
  <c r="D631" i="4" s="1"/>
  <c r="M642" i="4" a="1"/>
  <c r="M642" i="4" s="1"/>
  <c r="D647" i="4" a="1"/>
  <c r="D647" i="4" s="1"/>
  <c r="N649" i="4" a="1"/>
  <c r="N649" i="4" s="1"/>
  <c r="B651" i="4" a="1"/>
  <c r="B651" i="4" s="1"/>
  <c r="J652" i="4"/>
  <c r="D654" i="4" a="1"/>
  <c r="D654" i="4" s="1"/>
  <c r="E659" i="4" a="1"/>
  <c r="E659" i="4" s="1"/>
  <c r="B659" i="4" a="1"/>
  <c r="B659" i="4" s="1"/>
  <c r="J659" i="4"/>
  <c r="D662" i="4" a="1"/>
  <c r="D662" i="4" s="1"/>
  <c r="C665" i="4" a="1"/>
  <c r="C665" i="4" s="1"/>
  <c r="D671" i="4" a="1"/>
  <c r="D671" i="4" s="1"/>
  <c r="C671" i="4" a="1"/>
  <c r="C671" i="4" s="1"/>
  <c r="M671" i="4" a="1"/>
  <c r="M671" i="4" s="1"/>
  <c r="H675" i="4"/>
  <c r="B676" i="4" a="1"/>
  <c r="B676" i="4" s="1"/>
  <c r="D676" i="4" a="1"/>
  <c r="D676" i="4" s="1"/>
  <c r="M678" i="4" a="1"/>
  <c r="M678" i="4" s="1"/>
  <c r="C682" i="4" a="1"/>
  <c r="C682" i="4" s="1"/>
  <c r="M683" i="4" a="1"/>
  <c r="M683" i="4" s="1"/>
  <c r="B683" i="4" a="1"/>
  <c r="B683" i="4" s="1"/>
  <c r="E686" i="4" a="1"/>
  <c r="E686" i="4" s="1"/>
  <c r="N686" i="4" a="1"/>
  <c r="N686" i="4" s="1"/>
  <c r="D686" i="4" a="1"/>
  <c r="D686" i="4" s="1"/>
  <c r="H699" i="4"/>
  <c r="J699" i="4"/>
  <c r="M556" i="4" a="1"/>
  <c r="M556" i="4" s="1"/>
  <c r="M572" i="4" a="1"/>
  <c r="M572" i="4" s="1"/>
  <c r="M588" i="4" a="1"/>
  <c r="M588" i="4" s="1"/>
  <c r="M604" i="4" a="1"/>
  <c r="M604" i="4" s="1"/>
  <c r="M620" i="4" a="1"/>
  <c r="M620" i="4" s="1"/>
  <c r="B623" i="4" a="1"/>
  <c r="B623" i="4" s="1"/>
  <c r="M636" i="4" a="1"/>
  <c r="M636" i="4" s="1"/>
  <c r="B639" i="4" a="1"/>
  <c r="B639" i="4" s="1"/>
  <c r="M649" i="4" a="1"/>
  <c r="M649" i="4" s="1"/>
  <c r="J650" i="4"/>
  <c r="H650" i="4"/>
  <c r="C651" i="4" a="1"/>
  <c r="C651" i="4" s="1"/>
  <c r="E652" i="4" a="1"/>
  <c r="E652" i="4" s="1"/>
  <c r="B652" i="4" a="1"/>
  <c r="B652" i="4" s="1"/>
  <c r="E653" i="4" a="1"/>
  <c r="E653" i="4" s="1"/>
  <c r="M653" i="4" a="1"/>
  <c r="M653" i="4" s="1"/>
  <c r="E655" i="4" a="1"/>
  <c r="E655" i="4" s="1"/>
  <c r="C659" i="4" a="1"/>
  <c r="C659" i="4" s="1"/>
  <c r="E662" i="4" a="1"/>
  <c r="E662" i="4" s="1"/>
  <c r="N662" i="4" a="1"/>
  <c r="N662" i="4" s="1"/>
  <c r="N671" i="4" a="1"/>
  <c r="N671" i="4" s="1"/>
  <c r="C673" i="4" a="1"/>
  <c r="C673" i="4" s="1"/>
  <c r="H681" i="4"/>
  <c r="C683" i="4" a="1"/>
  <c r="C683" i="4" s="1"/>
  <c r="J684" i="4"/>
  <c r="H684" i="4"/>
  <c r="B686" i="4" a="1"/>
  <c r="B686" i="4" s="1"/>
  <c r="D691" i="4" a="1"/>
  <c r="D691" i="4" s="1"/>
  <c r="C657" i="4" a="1"/>
  <c r="C657" i="4" s="1"/>
  <c r="E657" i="4" a="1"/>
  <c r="E657" i="4" s="1"/>
  <c r="C660" i="4" a="1"/>
  <c r="C660" i="4" s="1"/>
  <c r="N660" i="4" a="1"/>
  <c r="N660" i="4" s="1"/>
  <c r="E665" i="4" a="1"/>
  <c r="E665" i="4" s="1"/>
  <c r="M667" i="4" a="1"/>
  <c r="M667" i="4" s="1"/>
  <c r="N667" i="4" a="1"/>
  <c r="N667" i="4" s="1"/>
  <c r="E667" i="4" a="1"/>
  <c r="E667" i="4" s="1"/>
  <c r="H670" i="4"/>
  <c r="J670" i="4"/>
  <c r="D673" i="4" a="1"/>
  <c r="D673" i="4" s="1"/>
  <c r="M673" i="4" a="1"/>
  <c r="M673" i="4" s="1"/>
  <c r="E678" i="4" a="1"/>
  <c r="E678" i="4" s="1"/>
  <c r="D688" i="4" a="1"/>
  <c r="D688" i="4" s="1"/>
  <c r="N688" i="4" a="1"/>
  <c r="N688" i="4" s="1"/>
  <c r="E688" i="4" a="1"/>
  <c r="E688" i="4" s="1"/>
  <c r="H704" i="4"/>
  <c r="J704" i="4"/>
  <c r="H656" i="4"/>
  <c r="B657" i="4" a="1"/>
  <c r="B657" i="4" s="1"/>
  <c r="B667" i="4" a="1"/>
  <c r="B667" i="4" s="1"/>
  <c r="N673" i="4" a="1"/>
  <c r="N673" i="4" s="1"/>
  <c r="E675" i="4" a="1"/>
  <c r="E675" i="4" s="1"/>
  <c r="C675" i="4" a="1"/>
  <c r="C675" i="4" s="1"/>
  <c r="D675" i="4" a="1"/>
  <c r="D675" i="4" s="1"/>
  <c r="M675" i="4" a="1"/>
  <c r="M675" i="4" s="1"/>
  <c r="N677" i="4" a="1"/>
  <c r="N677" i="4" s="1"/>
  <c r="B677" i="4" a="1"/>
  <c r="B677" i="4" s="1"/>
  <c r="E677" i="4" a="1"/>
  <c r="E677" i="4" s="1"/>
  <c r="C677" i="4" a="1"/>
  <c r="C677" i="4" s="1"/>
  <c r="M681" i="4" a="1"/>
  <c r="M681" i="4" s="1"/>
  <c r="D681" i="4" a="1"/>
  <c r="D681" i="4" s="1"/>
  <c r="C681" i="4" a="1"/>
  <c r="C681" i="4" s="1"/>
  <c r="E684" i="4" a="1"/>
  <c r="E684" i="4" s="1"/>
  <c r="B684" i="4" a="1"/>
  <c r="B684" i="4" s="1"/>
  <c r="N684" i="4" a="1"/>
  <c r="N684" i="4" s="1"/>
  <c r="D684" i="4" a="1"/>
  <c r="D684" i="4" s="1"/>
  <c r="C684" i="4" a="1"/>
  <c r="C684" i="4" s="1"/>
  <c r="D692" i="4" a="1"/>
  <c r="D692" i="4" s="1"/>
  <c r="E692" i="4" a="1"/>
  <c r="E692" i="4" s="1"/>
  <c r="M634" i="4" a="1"/>
  <c r="M634" i="4" s="1"/>
  <c r="C649" i="4" a="1"/>
  <c r="C649" i="4" s="1"/>
  <c r="C650" i="4" a="1"/>
  <c r="C650" i="4" s="1"/>
  <c r="M654" i="4" a="1"/>
  <c r="M654" i="4" s="1"/>
  <c r="B655" i="4" a="1"/>
  <c r="B655" i="4" s="1"/>
  <c r="N658" i="4" a="1"/>
  <c r="N658" i="4" s="1"/>
  <c r="C658" i="4" a="1"/>
  <c r="C658" i="4" s="1"/>
  <c r="E660" i="4" a="1"/>
  <c r="E660" i="4" s="1"/>
  <c r="C667" i="4" a="1"/>
  <c r="C667" i="4" s="1"/>
  <c r="M668" i="4" a="1"/>
  <c r="M668" i="4" s="1"/>
  <c r="E673" i="4" a="1"/>
  <c r="E673" i="4" s="1"/>
  <c r="B675" i="4" a="1"/>
  <c r="B675" i="4" s="1"/>
  <c r="D677" i="4" a="1"/>
  <c r="D677" i="4" s="1"/>
  <c r="D679" i="4" a="1"/>
  <c r="D679" i="4" s="1"/>
  <c r="N679" i="4" a="1"/>
  <c r="N679" i="4" s="1"/>
  <c r="B679" i="4" a="1"/>
  <c r="B679" i="4" s="1"/>
  <c r="C679" i="4" a="1"/>
  <c r="C679" i="4" s="1"/>
  <c r="M679" i="4" a="1"/>
  <c r="M679" i="4" s="1"/>
  <c r="E679" i="4" a="1"/>
  <c r="E679" i="4" s="1"/>
  <c r="B681" i="4" a="1"/>
  <c r="B681" i="4" s="1"/>
  <c r="E683" i="4" a="1"/>
  <c r="E683" i="4" s="1"/>
  <c r="N683" i="4" a="1"/>
  <c r="N683" i="4" s="1"/>
  <c r="J685" i="4"/>
  <c r="M596" i="4" a="1"/>
  <c r="M596" i="4" s="1"/>
  <c r="M612" i="4" a="1"/>
  <c r="M612" i="4" s="1"/>
  <c r="M628" i="4" a="1"/>
  <c r="M628" i="4" s="1"/>
  <c r="B631" i="4" a="1"/>
  <c r="B631" i="4" s="1"/>
  <c r="M644" i="4" a="1"/>
  <c r="M644" i="4" s="1"/>
  <c r="B647" i="4" a="1"/>
  <c r="B647" i="4" s="1"/>
  <c r="D650" i="4" a="1"/>
  <c r="D650" i="4" s="1"/>
  <c r="B654" i="4" a="1"/>
  <c r="B654" i="4" s="1"/>
  <c r="D657" i="4" a="1"/>
  <c r="D657" i="4" s="1"/>
  <c r="D658" i="4" a="1"/>
  <c r="D658" i="4" s="1"/>
  <c r="N659" i="4" a="1"/>
  <c r="N659" i="4" s="1"/>
  <c r="B662" i="4" a="1"/>
  <c r="B662" i="4" s="1"/>
  <c r="E664" i="4" a="1"/>
  <c r="E664" i="4" s="1"/>
  <c r="H665" i="4"/>
  <c r="D667" i="4" a="1"/>
  <c r="D667" i="4" s="1"/>
  <c r="E668" i="4" a="1"/>
  <c r="E668" i="4" s="1"/>
  <c r="B668" i="4" a="1"/>
  <c r="B668" i="4" s="1"/>
  <c r="C670" i="4" a="1"/>
  <c r="C670" i="4" s="1"/>
  <c r="B670" i="4" a="1"/>
  <c r="B670" i="4" s="1"/>
  <c r="N670" i="4" a="1"/>
  <c r="N670" i="4" s="1"/>
  <c r="D670" i="4" a="1"/>
  <c r="D670" i="4" s="1"/>
  <c r="H671" i="4"/>
  <c r="N675" i="4" a="1"/>
  <c r="N675" i="4" s="1"/>
  <c r="M677" i="4" a="1"/>
  <c r="M677" i="4" s="1"/>
  <c r="N681" i="4" a="1"/>
  <c r="N681" i="4" s="1"/>
  <c r="M689" i="4" a="1"/>
  <c r="M689" i="4" s="1"/>
  <c r="E689" i="4" a="1"/>
  <c r="E689" i="4" s="1"/>
  <c r="B689" i="4" a="1"/>
  <c r="B689" i="4" s="1"/>
  <c r="C701" i="4" a="1"/>
  <c r="C701" i="4" s="1"/>
  <c r="B701" i="4" a="1"/>
  <c r="B701" i="4" s="1"/>
  <c r="M657" i="4" a="1"/>
  <c r="M657" i="4" s="1"/>
  <c r="M682" i="4" a="1"/>
  <c r="M682" i="4" s="1"/>
  <c r="B682" i="4" a="1"/>
  <c r="B682" i="4" s="1"/>
  <c r="N682" i="4" a="1"/>
  <c r="N682" i="4" s="1"/>
  <c r="E682" i="4" a="1"/>
  <c r="E682" i="4" s="1"/>
  <c r="D685" i="4" a="1"/>
  <c r="D685" i="4" s="1"/>
  <c r="C685" i="4" a="1"/>
  <c r="C685" i="4" s="1"/>
  <c r="N685" i="4" a="1"/>
  <c r="N685" i="4" s="1"/>
  <c r="B696" i="4" a="1"/>
  <c r="B696" i="4" s="1"/>
  <c r="N696" i="4" a="1"/>
  <c r="N696" i="4" s="1"/>
  <c r="E696" i="4" a="1"/>
  <c r="E696" i="4" s="1"/>
  <c r="D696" i="4" a="1"/>
  <c r="D696" i="4" s="1"/>
  <c r="C696" i="4" a="1"/>
  <c r="C696" i="4" s="1"/>
  <c r="M652" i="4" a="1"/>
  <c r="M652" i="4" s="1"/>
  <c r="N655" i="4" a="1"/>
  <c r="N655" i="4" s="1"/>
  <c r="M655" i="4" a="1"/>
  <c r="M655" i="4" s="1"/>
  <c r="B660" i="4" a="1"/>
  <c r="B660" i="4" s="1"/>
  <c r="M665" i="4" a="1"/>
  <c r="M665" i="4" s="1"/>
  <c r="D665" i="4" a="1"/>
  <c r="D665" i="4" s="1"/>
  <c r="B665" i="4" a="1"/>
  <c r="B665" i="4" s="1"/>
  <c r="H669" i="4"/>
  <c r="J669" i="4"/>
  <c r="C678" i="4" a="1"/>
  <c r="C678" i="4" s="1"/>
  <c r="B678" i="4" a="1"/>
  <c r="B678" i="4" s="1"/>
  <c r="D678" i="4" a="1"/>
  <c r="D678" i="4" s="1"/>
  <c r="J703" i="4"/>
  <c r="H703" i="4"/>
  <c r="C676" i="4" a="1"/>
  <c r="C676" i="4" s="1"/>
  <c r="N676" i="4" a="1"/>
  <c r="N676" i="4" s="1"/>
  <c r="E680" i="4" a="1"/>
  <c r="E680" i="4" s="1"/>
  <c r="C689" i="4" a="1"/>
  <c r="C689" i="4" s="1"/>
  <c r="M697" i="4" a="1"/>
  <c r="M697" i="4" s="1"/>
  <c r="D697" i="4" a="1"/>
  <c r="D697" i="4" s="1"/>
  <c r="H697" i="4"/>
  <c r="D699" i="4" a="1"/>
  <c r="D699" i="4" s="1"/>
  <c r="M702" i="4" a="1"/>
  <c r="M702" i="4" s="1"/>
  <c r="D703" i="4" a="1"/>
  <c r="D703" i="4" s="1"/>
  <c r="D704" i="4" a="1"/>
  <c r="D704" i="4" s="1"/>
  <c r="N704" i="4" a="1"/>
  <c r="N704" i="4" s="1"/>
  <c r="N709" i="4" a="1"/>
  <c r="N709" i="4" s="1"/>
  <c r="B709" i="4" a="1"/>
  <c r="B709" i="4" s="1"/>
  <c r="E709" i="4" a="1"/>
  <c r="E709" i="4" s="1"/>
  <c r="D709" i="4" a="1"/>
  <c r="D709" i="4" s="1"/>
  <c r="M713" i="4" a="1"/>
  <c r="M713" i="4" s="1"/>
  <c r="D713" i="4" a="1"/>
  <c r="D713" i="4" s="1"/>
  <c r="M715" i="4" a="1"/>
  <c r="M715" i="4" s="1"/>
  <c r="J717" i="4"/>
  <c r="H717" i="4"/>
  <c r="D720" i="4" a="1"/>
  <c r="D720" i="4" s="1"/>
  <c r="M720" i="4" a="1"/>
  <c r="M720" i="4" s="1"/>
  <c r="H721" i="4"/>
  <c r="E722" i="4" a="1"/>
  <c r="E722" i="4" s="1"/>
  <c r="C738" i="4" a="1"/>
  <c r="C738" i="4" s="1"/>
  <c r="J744" i="4"/>
  <c r="H744" i="4"/>
  <c r="J748" i="4"/>
  <c r="H748" i="4"/>
  <c r="H752" i="4"/>
  <c r="J752" i="4"/>
  <c r="M688" i="4" a="1"/>
  <c r="M688" i="4" s="1"/>
  <c r="E691" i="4" a="1"/>
  <c r="E691" i="4" s="1"/>
  <c r="C691" i="4" a="1"/>
  <c r="C691" i="4" s="1"/>
  <c r="M696" i="4" a="1"/>
  <c r="M696" i="4" s="1"/>
  <c r="B698" i="4" a="1"/>
  <c r="B698" i="4" s="1"/>
  <c r="C710" i="4" a="1"/>
  <c r="C710" i="4" s="1"/>
  <c r="B710" i="4" a="1"/>
  <c r="B710" i="4" s="1"/>
  <c r="D723" i="4" a="1"/>
  <c r="D723" i="4" s="1"/>
  <c r="B723" i="4" a="1"/>
  <c r="B723" i="4" s="1"/>
  <c r="N723" i="4" a="1"/>
  <c r="N723" i="4" s="1"/>
  <c r="E723" i="4" a="1"/>
  <c r="E723" i="4" s="1"/>
  <c r="M723" i="4" a="1"/>
  <c r="M723" i="4" s="1"/>
  <c r="J724" i="4"/>
  <c r="N725" i="4" a="1"/>
  <c r="N725" i="4" s="1"/>
  <c r="D729" i="4" a="1"/>
  <c r="D729" i="4" s="1"/>
  <c r="C729" i="4" a="1"/>
  <c r="C729" i="4" s="1"/>
  <c r="N729" i="4" a="1"/>
  <c r="N729" i="4" s="1"/>
  <c r="B729" i="4" a="1"/>
  <c r="B729" i="4" s="1"/>
  <c r="D735" i="4" a="1"/>
  <c r="D735" i="4" s="1"/>
  <c r="B735" i="4" a="1"/>
  <c r="B735" i="4" s="1"/>
  <c r="M735" i="4" a="1"/>
  <c r="M735" i="4" s="1"/>
  <c r="E735" i="4" a="1"/>
  <c r="E735" i="4" s="1"/>
  <c r="C735" i="4" a="1"/>
  <c r="C735" i="4" s="1"/>
  <c r="N735" i="4" a="1"/>
  <c r="N735" i="4" s="1"/>
  <c r="J736" i="4"/>
  <c r="J740" i="4"/>
  <c r="E753" i="4" a="1"/>
  <c r="E753" i="4" s="1"/>
  <c r="M753" i="4" a="1"/>
  <c r="M753" i="4" s="1"/>
  <c r="N693" i="4" a="1"/>
  <c r="N693" i="4" s="1"/>
  <c r="B693" i="4" a="1"/>
  <c r="B693" i="4" s="1"/>
  <c r="E693" i="4" a="1"/>
  <c r="E693" i="4" s="1"/>
  <c r="D695" i="4" a="1"/>
  <c r="D695" i="4" s="1"/>
  <c r="N695" i="4" a="1"/>
  <c r="N695" i="4" s="1"/>
  <c r="B695" i="4" a="1"/>
  <c r="B695" i="4" s="1"/>
  <c r="E699" i="4" a="1"/>
  <c r="E699" i="4" s="1"/>
  <c r="E707" i="4" a="1"/>
  <c r="E707" i="4" s="1"/>
  <c r="C707" i="4" a="1"/>
  <c r="C707" i="4" s="1"/>
  <c r="N707" i="4" a="1"/>
  <c r="N707" i="4" s="1"/>
  <c r="B707" i="4" a="1"/>
  <c r="B707" i="4" s="1"/>
  <c r="D710" i="4" a="1"/>
  <c r="D710" i="4" s="1"/>
  <c r="M712" i="4" a="1"/>
  <c r="M712" i="4" s="1"/>
  <c r="D721" i="4" a="1"/>
  <c r="D721" i="4" s="1"/>
  <c r="C721" i="4" a="1"/>
  <c r="C721" i="4" s="1"/>
  <c r="N721" i="4" a="1"/>
  <c r="N721" i="4" s="1"/>
  <c r="M721" i="4" a="1"/>
  <c r="M721" i="4" s="1"/>
  <c r="E721" i="4" a="1"/>
  <c r="E721" i="4" s="1"/>
  <c r="J716" i="4"/>
  <c r="H716" i="4"/>
  <c r="B724" i="4" a="1"/>
  <c r="B724" i="4" s="1"/>
  <c r="C724" i="4" a="1"/>
  <c r="C724" i="4" s="1"/>
  <c r="M724" i="4" a="1"/>
  <c r="M724" i="4" s="1"/>
  <c r="D724" i="4" a="1"/>
  <c r="D724" i="4" s="1"/>
  <c r="B740" i="4" a="1"/>
  <c r="B740" i="4" s="1"/>
  <c r="M740" i="4" a="1"/>
  <c r="M740" i="4" s="1"/>
  <c r="C740" i="4" a="1"/>
  <c r="C740" i="4" s="1"/>
  <c r="N740" i="4" a="1"/>
  <c r="N740" i="4" s="1"/>
  <c r="E740" i="4" a="1"/>
  <c r="E740" i="4" s="1"/>
  <c r="D740" i="4" a="1"/>
  <c r="D740" i="4" s="1"/>
  <c r="C708" i="4" a="1"/>
  <c r="C708" i="4" s="1"/>
  <c r="N708" i="4" a="1"/>
  <c r="N708" i="4" s="1"/>
  <c r="D745" i="4" a="1"/>
  <c r="D745" i="4" s="1"/>
  <c r="M745" i="4" a="1"/>
  <c r="M745" i="4" s="1"/>
  <c r="E745" i="4" a="1"/>
  <c r="E745" i="4" s="1"/>
  <c r="C745" i="4" a="1"/>
  <c r="C745" i="4" s="1"/>
  <c r="B745" i="4" a="1"/>
  <c r="B745" i="4" s="1"/>
  <c r="M664" i="4" a="1"/>
  <c r="M664" i="4" s="1"/>
  <c r="B666" i="4" a="1"/>
  <c r="B666" i="4" s="1"/>
  <c r="M684" i="4" a="1"/>
  <c r="M684" i="4" s="1"/>
  <c r="D693" i="4" a="1"/>
  <c r="D693" i="4" s="1"/>
  <c r="E697" i="4" a="1"/>
  <c r="E697" i="4" s="1"/>
  <c r="N697" i="4" a="1"/>
  <c r="N697" i="4" s="1"/>
  <c r="M699" i="4" a="1"/>
  <c r="M699" i="4" s="1"/>
  <c r="E701" i="4" a="1"/>
  <c r="E701" i="4" s="1"/>
  <c r="M701" i="4" a="1"/>
  <c r="M701" i="4" s="1"/>
  <c r="D708" i="4" a="1"/>
  <c r="D708" i="4" s="1"/>
  <c r="D711" i="4" a="1"/>
  <c r="D711" i="4" s="1"/>
  <c r="N711" i="4" a="1"/>
  <c r="N711" i="4" s="1"/>
  <c r="B711" i="4" a="1"/>
  <c r="B711" i="4" s="1"/>
  <c r="M711" i="4" a="1"/>
  <c r="M711" i="4" s="1"/>
  <c r="D712" i="4" a="1"/>
  <c r="D712" i="4" s="1"/>
  <c r="B714" i="4" a="1"/>
  <c r="B714" i="4" s="1"/>
  <c r="E714" i="4" a="1"/>
  <c r="E714" i="4" s="1"/>
  <c r="E717" i="4" a="1"/>
  <c r="E717" i="4" s="1"/>
  <c r="J723" i="4"/>
  <c r="H723" i="4"/>
  <c r="E724" i="4" a="1"/>
  <c r="E724" i="4" s="1"/>
  <c r="E737" i="4" a="1"/>
  <c r="E737" i="4" s="1"/>
  <c r="M737" i="4" a="1"/>
  <c r="M737" i="4" s="1"/>
  <c r="N745" i="4" a="1"/>
  <c r="N745" i="4" s="1"/>
  <c r="C748" i="4" a="1"/>
  <c r="C748" i="4" s="1"/>
  <c r="N661" i="4" a="1"/>
  <c r="N661" i="4" s="1"/>
  <c r="B661" i="4" a="1"/>
  <c r="B661" i="4" s="1"/>
  <c r="E661" i="4" a="1"/>
  <c r="E661" i="4" s="1"/>
  <c r="M662" i="4" a="1"/>
  <c r="M662" i="4" s="1"/>
  <c r="D663" i="4" a="1"/>
  <c r="D663" i="4" s="1"/>
  <c r="N663" i="4" a="1"/>
  <c r="N663" i="4" s="1"/>
  <c r="B663" i="4" a="1"/>
  <c r="B663" i="4" s="1"/>
  <c r="E670" i="4" a="1"/>
  <c r="E670" i="4" s="1"/>
  <c r="M691" i="4" a="1"/>
  <c r="M691" i="4" s="1"/>
  <c r="C692" i="4" a="1"/>
  <c r="C692" i="4" s="1"/>
  <c r="N692" i="4" a="1"/>
  <c r="N692" i="4" s="1"/>
  <c r="D694" i="4" a="1"/>
  <c r="D694" i="4" s="1"/>
  <c r="E695" i="4" a="1"/>
  <c r="E695" i="4" s="1"/>
  <c r="M695" i="4" a="1"/>
  <c r="M695" i="4" s="1"/>
  <c r="B699" i="4" a="1"/>
  <c r="B699" i="4" s="1"/>
  <c r="C700" i="4" a="1"/>
  <c r="C700" i="4" s="1"/>
  <c r="B703" i="4" a="1"/>
  <c r="B703" i="4" s="1"/>
  <c r="B704" i="4" a="1"/>
  <c r="B704" i="4" s="1"/>
  <c r="N706" i="4" a="1"/>
  <c r="N706" i="4" s="1"/>
  <c r="M707" i="4" a="1"/>
  <c r="M707" i="4" s="1"/>
  <c r="E708" i="4" a="1"/>
  <c r="E708" i="4" s="1"/>
  <c r="E712" i="4" a="1"/>
  <c r="E712" i="4" s="1"/>
  <c r="J713" i="4"/>
  <c r="H713" i="4"/>
  <c r="C714" i="4" a="1"/>
  <c r="C714" i="4" s="1"/>
  <c r="B716" i="4" a="1"/>
  <c r="B716" i="4" s="1"/>
  <c r="B722" i="4" a="1"/>
  <c r="B722" i="4" s="1"/>
  <c r="C722" i="4" a="1"/>
  <c r="C722" i="4" s="1"/>
  <c r="M722" i="4" a="1"/>
  <c r="M722" i="4" s="1"/>
  <c r="M725" i="4" a="1"/>
  <c r="M725" i="4" s="1"/>
  <c r="J729" i="4"/>
  <c r="H729" i="4"/>
  <c r="D730" i="4" a="1"/>
  <c r="D730" i="4" s="1"/>
  <c r="D733" i="4" a="1"/>
  <c r="D733" i="4" s="1"/>
  <c r="C733" i="4" a="1"/>
  <c r="C733" i="4" s="1"/>
  <c r="M733" i="4" a="1"/>
  <c r="M733" i="4" s="1"/>
  <c r="E733" i="4" a="1"/>
  <c r="E733" i="4" s="1"/>
  <c r="B733" i="4" a="1"/>
  <c r="B733" i="4" s="1"/>
  <c r="N733" i="4" a="1"/>
  <c r="N733" i="4" s="1"/>
  <c r="D706" i="4" a="1"/>
  <c r="D706" i="4" s="1"/>
  <c r="C706" i="4" a="1"/>
  <c r="C706" i="4" s="1"/>
  <c r="N712" i="4" a="1"/>
  <c r="N712" i="4" s="1"/>
  <c r="B734" i="4" a="1"/>
  <c r="B734" i="4" s="1"/>
  <c r="C734" i="4" a="1"/>
  <c r="C734" i="4" s="1"/>
  <c r="M734" i="4" a="1"/>
  <c r="M734" i="4" s="1"/>
  <c r="E734" i="4" a="1"/>
  <c r="E734" i="4" s="1"/>
  <c r="D734" i="4" a="1"/>
  <c r="D734" i="4" s="1"/>
  <c r="M738" i="4" a="1"/>
  <c r="M738" i="4" s="1"/>
  <c r="E738" i="4" a="1"/>
  <c r="E738" i="4" s="1"/>
  <c r="D738" i="4" a="1"/>
  <c r="D738" i="4" s="1"/>
  <c r="M704" i="4" a="1"/>
  <c r="M704" i="4" s="1"/>
  <c r="E719" i="4" a="1"/>
  <c r="E719" i="4" s="1"/>
  <c r="C728" i="4" a="1"/>
  <c r="C728" i="4" s="1"/>
  <c r="B730" i="4" a="1"/>
  <c r="B730" i="4" s="1"/>
  <c r="D731" i="4" a="1"/>
  <c r="D731" i="4" s="1"/>
  <c r="B736" i="4" a="1"/>
  <c r="B736" i="4" s="1"/>
  <c r="M736" i="4" a="1"/>
  <c r="M736" i="4" s="1"/>
  <c r="C737" i="4" a="1"/>
  <c r="C737" i="4" s="1"/>
  <c r="E741" i="4" a="1"/>
  <c r="E741" i="4" s="1"/>
  <c r="E742" i="4" a="1"/>
  <c r="E742" i="4" s="1"/>
  <c r="B744" i="4" a="1"/>
  <c r="B744" i="4" s="1"/>
  <c r="M744" i="4" a="1"/>
  <c r="M744" i="4" s="1"/>
  <c r="C746" i="4" a="1"/>
  <c r="C746" i="4" s="1"/>
  <c r="C747" i="4" a="1"/>
  <c r="C747" i="4" s="1"/>
  <c r="D753" i="4" a="1"/>
  <c r="D753" i="4" s="1"/>
  <c r="B753" i="4" a="1"/>
  <c r="B753" i="4" s="1"/>
  <c r="N757" i="4" a="1"/>
  <c r="N757" i="4" s="1"/>
  <c r="B757" i="4" a="1"/>
  <c r="B757" i="4" s="1"/>
  <c r="D760" i="4" a="1"/>
  <c r="D760" i="4" s="1"/>
  <c r="D761" i="4" a="1"/>
  <c r="D761" i="4" s="1"/>
  <c r="M764" i="4" a="1"/>
  <c r="M764" i="4" s="1"/>
  <c r="N764" i="4" a="1"/>
  <c r="N764" i="4" s="1"/>
  <c r="C764" i="4" a="1"/>
  <c r="C764" i="4" s="1"/>
  <c r="B764" i="4" a="1"/>
  <c r="B764" i="4" s="1"/>
  <c r="J759" i="4"/>
  <c r="H759" i="4"/>
  <c r="C766" i="4" a="1"/>
  <c r="C766" i="4" s="1"/>
  <c r="D766" i="4" a="1"/>
  <c r="D766" i="4" s="1"/>
  <c r="N766" i="4" a="1"/>
  <c r="N766" i="4" s="1"/>
  <c r="M766" i="4" a="1"/>
  <c r="M766" i="4" s="1"/>
  <c r="E766" i="4" a="1"/>
  <c r="E766" i="4" s="1"/>
  <c r="J769" i="4"/>
  <c r="H769" i="4"/>
  <c r="N778" i="4" a="1"/>
  <c r="N778" i="4" s="1"/>
  <c r="E778" i="4" a="1"/>
  <c r="E778" i="4" s="1"/>
  <c r="M660" i="4" a="1"/>
  <c r="M660" i="4" s="1"/>
  <c r="M676" i="4" a="1"/>
  <c r="M676" i="4" s="1"/>
  <c r="M692" i="4" a="1"/>
  <c r="M692" i="4" s="1"/>
  <c r="M708" i="4" a="1"/>
  <c r="M708" i="4" s="1"/>
  <c r="B718" i="4" a="1"/>
  <c r="B718" i="4" s="1"/>
  <c r="D719" i="4" a="1"/>
  <c r="D719" i="4" s="1"/>
  <c r="B720" i="4" a="1"/>
  <c r="B720" i="4" s="1"/>
  <c r="E725" i="4" a="1"/>
  <c r="E725" i="4" s="1"/>
  <c r="D728" i="4" a="1"/>
  <c r="D728" i="4" s="1"/>
  <c r="C732" i="4" a="1"/>
  <c r="C732" i="4" s="1"/>
  <c r="E739" i="4" a="1"/>
  <c r="E739" i="4" s="1"/>
  <c r="D743" i="4" a="1"/>
  <c r="D743" i="4" s="1"/>
  <c r="B743" i="4" a="1"/>
  <c r="B743" i="4" s="1"/>
  <c r="M743" i="4" a="1"/>
  <c r="M743" i="4" s="1"/>
  <c r="E743" i="4" a="1"/>
  <c r="E743" i="4" s="1"/>
  <c r="C744" i="4" a="1"/>
  <c r="C744" i="4" s="1"/>
  <c r="E746" i="4" a="1"/>
  <c r="E746" i="4" s="1"/>
  <c r="E747" i="4" a="1"/>
  <c r="E747" i="4" s="1"/>
  <c r="B752" i="4" a="1"/>
  <c r="B752" i="4" s="1"/>
  <c r="M752" i="4" a="1"/>
  <c r="M752" i="4" s="1"/>
  <c r="C753" i="4" a="1"/>
  <c r="C753" i="4" s="1"/>
  <c r="D754" i="4" a="1"/>
  <c r="D754" i="4" s="1"/>
  <c r="D757" i="4" a="1"/>
  <c r="D757" i="4" s="1"/>
  <c r="E760" i="4" a="1"/>
  <c r="E760" i="4" s="1"/>
  <c r="D764" i="4" a="1"/>
  <c r="D764" i="4" s="1"/>
  <c r="H765" i="4"/>
  <c r="B766" i="4" a="1"/>
  <c r="B766" i="4" s="1"/>
  <c r="M778" i="4" a="1"/>
  <c r="M778" i="4" s="1"/>
  <c r="D741" i="4" a="1"/>
  <c r="D741" i="4" s="1"/>
  <c r="N741" i="4" a="1"/>
  <c r="N741" i="4" s="1"/>
  <c r="B742" i="4" a="1"/>
  <c r="B742" i="4" s="1"/>
  <c r="M742" i="4" a="1"/>
  <c r="M742" i="4" s="1"/>
  <c r="D749" i="4" a="1"/>
  <c r="D749" i="4" s="1"/>
  <c r="C749" i="4" a="1"/>
  <c r="C749" i="4" s="1"/>
  <c r="B750" i="4" a="1"/>
  <c r="B750" i="4" s="1"/>
  <c r="C750" i="4" a="1"/>
  <c r="C750" i="4" s="1"/>
  <c r="D751" i="4" a="1"/>
  <c r="D751" i="4" s="1"/>
  <c r="B751" i="4" a="1"/>
  <c r="B751" i="4" s="1"/>
  <c r="C752" i="4" a="1"/>
  <c r="C752" i="4" s="1"/>
  <c r="E758" i="4" a="1"/>
  <c r="E758" i="4" s="1"/>
  <c r="B758" i="4" a="1"/>
  <c r="B758" i="4" s="1"/>
  <c r="N758" i="4" a="1"/>
  <c r="N758" i="4" s="1"/>
  <c r="B759" i="4" a="1"/>
  <c r="B759" i="4" s="1"/>
  <c r="C759" i="4" a="1"/>
  <c r="C759" i="4" s="1"/>
  <c r="D773" i="4" a="1"/>
  <c r="D773" i="4" s="1"/>
  <c r="N773" i="4" a="1"/>
  <c r="N773" i="4" s="1"/>
  <c r="E755" i="4" a="1"/>
  <c r="E755" i="4" s="1"/>
  <c r="D769" i="4" a="1"/>
  <c r="D769" i="4" s="1"/>
  <c r="B769" i="4" a="1"/>
  <c r="B769" i="4" s="1"/>
  <c r="E773" i="4" a="1"/>
  <c r="E773" i="4" s="1"/>
  <c r="M658" i="4" a="1"/>
  <c r="M658" i="4" s="1"/>
  <c r="M674" i="4" a="1"/>
  <c r="M674" i="4" s="1"/>
  <c r="M690" i="4" a="1"/>
  <c r="M690" i="4" s="1"/>
  <c r="M706" i="4" a="1"/>
  <c r="M706" i="4" s="1"/>
  <c r="D718" i="4" a="1"/>
  <c r="D718" i="4" s="1"/>
  <c r="C719" i="4" a="1"/>
  <c r="C719" i="4" s="1"/>
  <c r="D725" i="4" a="1"/>
  <c r="D725" i="4" s="1"/>
  <c r="C725" i="4" a="1"/>
  <c r="C725" i="4" s="1"/>
  <c r="E730" i="4" a="1"/>
  <c r="E730" i="4" s="1"/>
  <c r="M731" i="4" a="1"/>
  <c r="M731" i="4" s="1"/>
  <c r="E732" i="4" a="1"/>
  <c r="E732" i="4" s="1"/>
  <c r="E736" i="4" a="1"/>
  <c r="E736" i="4" s="1"/>
  <c r="J737" i="4"/>
  <c r="H737" i="4"/>
  <c r="D739" i="4" a="1"/>
  <c r="D739" i="4" s="1"/>
  <c r="B739" i="4" a="1"/>
  <c r="B739" i="4" s="1"/>
  <c r="N739" i="4" a="1"/>
  <c r="N739" i="4" s="1"/>
  <c r="C742" i="4" a="1"/>
  <c r="C742" i="4" s="1"/>
  <c r="E744" i="4" a="1"/>
  <c r="E744" i="4" s="1"/>
  <c r="N744" i="4" a="1"/>
  <c r="N744" i="4" s="1"/>
  <c r="B748" i="4" a="1"/>
  <c r="B748" i="4" s="1"/>
  <c r="M748" i="4" a="1"/>
  <c r="M748" i="4" s="1"/>
  <c r="D750" i="4" a="1"/>
  <c r="D750" i="4" s="1"/>
  <c r="D752" i="4" a="1"/>
  <c r="D752" i="4" s="1"/>
  <c r="N753" i="4" a="1"/>
  <c r="N753" i="4" s="1"/>
  <c r="M754" i="4" a="1"/>
  <c r="M754" i="4" s="1"/>
  <c r="C758" i="4" a="1"/>
  <c r="C758" i="4" s="1"/>
  <c r="D759" i="4" a="1"/>
  <c r="D759" i="4" s="1"/>
  <c r="M761" i="4" a="1"/>
  <c r="M761" i="4" s="1"/>
  <c r="B763" i="4" a="1"/>
  <c r="B763" i="4" s="1"/>
  <c r="N763" i="4" a="1"/>
  <c r="N763" i="4" s="1"/>
  <c r="C763" i="4" a="1"/>
  <c r="C763" i="4" s="1"/>
  <c r="N769" i="4" a="1"/>
  <c r="N769" i="4" s="1"/>
  <c r="B726" i="4" a="1"/>
  <c r="B726" i="4" s="1"/>
  <c r="D727" i="4" a="1"/>
  <c r="D727" i="4" s="1"/>
  <c r="B728" i="4" a="1"/>
  <c r="B728" i="4" s="1"/>
  <c r="E731" i="4" a="1"/>
  <c r="E731" i="4" s="1"/>
  <c r="D737" i="4" a="1"/>
  <c r="D737" i="4" s="1"/>
  <c r="B737" i="4" a="1"/>
  <c r="B737" i="4" s="1"/>
  <c r="C741" i="4" a="1"/>
  <c r="C741" i="4" s="1"/>
  <c r="D742" i="4" a="1"/>
  <c r="D742" i="4" s="1"/>
  <c r="D747" i="4" a="1"/>
  <c r="D747" i="4" s="1"/>
  <c r="B747" i="4" a="1"/>
  <c r="B747" i="4" s="1"/>
  <c r="D758" i="4" a="1"/>
  <c r="D758" i="4" s="1"/>
  <c r="J764" i="4"/>
  <c r="H764" i="4"/>
  <c r="D765" i="4" a="1"/>
  <c r="D765" i="4" s="1"/>
  <c r="N765" i="4" a="1"/>
  <c r="N765" i="4" s="1"/>
  <c r="C765" i="4" a="1"/>
  <c r="C765" i="4" s="1"/>
  <c r="B765" i="4" a="1"/>
  <c r="B765" i="4" s="1"/>
  <c r="J775" i="4"/>
  <c r="H775" i="4"/>
  <c r="H777" i="4"/>
  <c r="J777" i="4"/>
  <c r="J753" i="4"/>
  <c r="H753" i="4"/>
  <c r="M755" i="4" a="1"/>
  <c r="M755" i="4" s="1"/>
  <c r="D755" i="4" a="1"/>
  <c r="D755" i="4" s="1"/>
  <c r="B755" i="4" a="1"/>
  <c r="B755" i="4" s="1"/>
  <c r="N760" i="4" a="1"/>
  <c r="N760" i="4" s="1"/>
  <c r="B760" i="4" a="1"/>
  <c r="B760" i="4" s="1"/>
  <c r="C760" i="4" a="1"/>
  <c r="C760" i="4" s="1"/>
  <c r="N770" i="4" a="1"/>
  <c r="N770" i="4" s="1"/>
  <c r="B770" i="4" a="1"/>
  <c r="B770" i="4" s="1"/>
  <c r="D770" i="4" a="1"/>
  <c r="D770" i="4" s="1"/>
  <c r="E770" i="4" a="1"/>
  <c r="E770" i="4" s="1"/>
  <c r="M770" i="4" a="1"/>
  <c r="M770" i="4" s="1"/>
  <c r="C770" i="4" a="1"/>
  <c r="C770" i="4" s="1"/>
  <c r="H779" i="4"/>
  <c r="J779" i="4"/>
  <c r="M775" i="4" a="1"/>
  <c r="M775" i="4" s="1"/>
  <c r="M777" i="4" a="1"/>
  <c r="M777" i="4" s="1"/>
  <c r="B782" i="4" a="1"/>
  <c r="B782" i="4" s="1"/>
  <c r="C784" i="4" a="1"/>
  <c r="C784" i="4" s="1"/>
  <c r="N786" i="4" a="1"/>
  <c r="N786" i="4" s="1"/>
  <c r="B786" i="4" a="1"/>
  <c r="B786" i="4" s="1"/>
  <c r="M786" i="4" a="1"/>
  <c r="M786" i="4" s="1"/>
  <c r="E786" i="4" a="1"/>
  <c r="E786" i="4" s="1"/>
  <c r="C786" i="4" a="1"/>
  <c r="C786" i="4" s="1"/>
  <c r="H790" i="4"/>
  <c r="J790" i="4"/>
  <c r="D782" i="4" a="1"/>
  <c r="D782" i="4" s="1"/>
  <c r="D784" i="4" a="1"/>
  <c r="D784" i="4" s="1"/>
  <c r="M784" i="4" a="1"/>
  <c r="M784" i="4" s="1"/>
  <c r="C787" i="4" a="1"/>
  <c r="C787" i="4" s="1"/>
  <c r="D787" i="4" a="1"/>
  <c r="D787" i="4" s="1"/>
  <c r="N787" i="4" a="1"/>
  <c r="N787" i="4" s="1"/>
  <c r="E787" i="4" a="1"/>
  <c r="E787" i="4" s="1"/>
  <c r="E791" i="4" a="1"/>
  <c r="E791" i="4" s="1"/>
  <c r="N791" i="4" a="1"/>
  <c r="N791" i="4" s="1"/>
  <c r="E777" i="4" a="1"/>
  <c r="E777" i="4" s="1"/>
  <c r="B777" i="4" a="1"/>
  <c r="B777" i="4" s="1"/>
  <c r="H781" i="4"/>
  <c r="E782" i="4" a="1"/>
  <c r="E782" i="4" s="1"/>
  <c r="M782" i="4" a="1"/>
  <c r="M782" i="4" s="1"/>
  <c r="M787" i="4" a="1"/>
  <c r="M787" i="4" s="1"/>
  <c r="B795" i="4" a="1"/>
  <c r="B795" i="4" s="1"/>
  <c r="N795" i="4" a="1"/>
  <c r="N795" i="4" s="1"/>
  <c r="E795" i="4" a="1"/>
  <c r="E795" i="4" s="1"/>
  <c r="B738" i="4" a="1"/>
  <c r="B738" i="4" s="1"/>
  <c r="B754" i="4" a="1"/>
  <c r="B754" i="4" s="1"/>
  <c r="M763" i="4" a="1"/>
  <c r="M763" i="4" s="1"/>
  <c r="N767" i="4" a="1"/>
  <c r="N767" i="4" s="1"/>
  <c r="E767" i="4" a="1"/>
  <c r="E767" i="4" s="1"/>
  <c r="B767" i="4" a="1"/>
  <c r="B767" i="4" s="1"/>
  <c r="J772" i="4"/>
  <c r="H772" i="4"/>
  <c r="N775" i="4" a="1"/>
  <c r="N775" i="4" s="1"/>
  <c r="H778" i="4"/>
  <c r="J778" i="4"/>
  <c r="D779" i="4" a="1"/>
  <c r="D779" i="4" s="1"/>
  <c r="H780" i="4"/>
  <c r="N782" i="4" a="1"/>
  <c r="N782" i="4" s="1"/>
  <c r="J785" i="4"/>
  <c r="B787" i="4" a="1"/>
  <c r="B787" i="4" s="1"/>
  <c r="E789" i="4" a="1"/>
  <c r="E789" i="4" s="1"/>
  <c r="N776" i="4" a="1"/>
  <c r="N776" i="4" s="1"/>
  <c r="B776" i="4" a="1"/>
  <c r="B776" i="4" s="1"/>
  <c r="M776" i="4" a="1"/>
  <c r="M776" i="4" s="1"/>
  <c r="E776" i="4" a="1"/>
  <c r="E776" i="4" s="1"/>
  <c r="J776" i="4"/>
  <c r="D777" i="4" a="1"/>
  <c r="D777" i="4" s="1"/>
  <c r="N777" i="4" a="1"/>
  <c r="N777" i="4" s="1"/>
  <c r="J783" i="4"/>
  <c r="C795" i="4" a="1"/>
  <c r="C795" i="4" s="1"/>
  <c r="M759" i="4" a="1"/>
  <c r="M759" i="4" s="1"/>
  <c r="M769" i="4" a="1"/>
  <c r="M769" i="4" s="1"/>
  <c r="E769" i="4" a="1"/>
  <c r="E769" i="4" s="1"/>
  <c r="D772" i="4" a="1"/>
  <c r="D772" i="4" s="1"/>
  <c r="B772" i="4" a="1"/>
  <c r="B772" i="4" s="1"/>
  <c r="C772" i="4" a="1"/>
  <c r="C772" i="4" s="1"/>
  <c r="B773" i="4" a="1"/>
  <c r="B773" i="4" s="1"/>
  <c r="C773" i="4" a="1"/>
  <c r="C773" i="4" s="1"/>
  <c r="C776" i="4" a="1"/>
  <c r="C776" i="4" s="1"/>
  <c r="B778" i="4" a="1"/>
  <c r="B778" i="4" s="1"/>
  <c r="N783" i="4" a="1"/>
  <c r="N783" i="4" s="1"/>
  <c r="D783" i="4" a="1"/>
  <c r="D783" i="4" s="1"/>
  <c r="M790" i="4" a="1"/>
  <c r="M790" i="4" s="1"/>
  <c r="B790" i="4" a="1"/>
  <c r="B790" i="4" s="1"/>
  <c r="C790" i="4" a="1"/>
  <c r="C790" i="4" s="1"/>
  <c r="N790" i="4" a="1"/>
  <c r="N790" i="4" s="1"/>
  <c r="D790" i="4" a="1"/>
  <c r="D790" i="4" s="1"/>
  <c r="D795" i="4" a="1"/>
  <c r="D795" i="4" s="1"/>
  <c r="B791" i="4" a="1"/>
  <c r="B791" i="4" s="1"/>
  <c r="E784" i="4" a="1"/>
  <c r="E784" i="4" s="1"/>
  <c r="B784" i="4" a="1"/>
  <c r="B784" i="4" s="1"/>
  <c r="E793" i="4" a="1"/>
  <c r="E793" i="4" s="1"/>
  <c r="B793" i="4" a="1"/>
  <c r="B793" i="4" s="1"/>
  <c r="D797" i="4" a="1"/>
  <c r="D797" i="4" s="1"/>
  <c r="B797" i="4" a="1"/>
  <c r="B797" i="4" s="1"/>
  <c r="H798" i="4"/>
  <c r="J798" i="4"/>
  <c r="N799" i="4" a="1"/>
  <c r="N799" i="4" s="1"/>
  <c r="B799" i="4" a="1"/>
  <c r="B799" i="4" s="1"/>
  <c r="H800" i="4"/>
  <c r="J800" i="4"/>
  <c r="C792" i="4" a="1"/>
  <c r="C792" i="4" s="1"/>
  <c r="B792" i="4" a="1"/>
  <c r="B792" i="4" s="1"/>
  <c r="D793" i="4" a="1"/>
  <c r="D793" i="4" s="1"/>
  <c r="D796" i="4" a="1"/>
  <c r="D796" i="4" s="1"/>
  <c r="B796" i="4" a="1"/>
  <c r="B796" i="4" s="1"/>
  <c r="E797" i="4" a="1"/>
  <c r="E797" i="4" s="1"/>
  <c r="D799" i="4" a="1"/>
  <c r="D799" i="4" s="1"/>
  <c r="D813" i="4" a="1"/>
  <c r="D813" i="4" s="1"/>
  <c r="B813" i="4" a="1"/>
  <c r="B813" i="4" s="1"/>
  <c r="N813" i="4" a="1"/>
  <c r="N813" i="4" s="1"/>
  <c r="E813" i="4" a="1"/>
  <c r="E813" i="4" s="1"/>
  <c r="C813" i="4" a="1"/>
  <c r="C813" i="4" s="1"/>
  <c r="N802" i="4" a="1"/>
  <c r="N802" i="4" s="1"/>
  <c r="B802" i="4" a="1"/>
  <c r="B802" i="4" s="1"/>
  <c r="D802" i="4" a="1"/>
  <c r="D802" i="4" s="1"/>
  <c r="M802" i="4" a="1"/>
  <c r="M802" i="4" s="1"/>
  <c r="E802" i="4" a="1"/>
  <c r="E802" i="4" s="1"/>
  <c r="N809" i="4" a="1"/>
  <c r="N809" i="4" s="1"/>
  <c r="D809" i="4" a="1"/>
  <c r="D809" i="4" s="1"/>
  <c r="B809" i="4" a="1"/>
  <c r="B809" i="4" s="1"/>
  <c r="C756" i="4" a="1"/>
  <c r="C756" i="4" s="1"/>
  <c r="N756" i="4" a="1"/>
  <c r="N756" i="4" s="1"/>
  <c r="D762" i="4" a="1"/>
  <c r="D762" i="4" s="1"/>
  <c r="B775" i="4" a="1"/>
  <c r="B775" i="4" s="1"/>
  <c r="J784" i="4"/>
  <c r="C785" i="4" a="1"/>
  <c r="C785" i="4" s="1"/>
  <c r="N785" i="4" a="1"/>
  <c r="N785" i="4" s="1"/>
  <c r="D788" i="4" a="1"/>
  <c r="D788" i="4" s="1"/>
  <c r="B789" i="4" a="1"/>
  <c r="B789" i="4" s="1"/>
  <c r="C789" i="4" a="1"/>
  <c r="C789" i="4" s="1"/>
  <c r="M792" i="4" a="1"/>
  <c r="M792" i="4" s="1"/>
  <c r="M796" i="4" a="1"/>
  <c r="M796" i="4" s="1"/>
  <c r="E799" i="4" a="1"/>
  <c r="E799" i="4" s="1"/>
  <c r="N810" i="4" a="1"/>
  <c r="N810" i="4" s="1"/>
  <c r="B810" i="4" a="1"/>
  <c r="B810" i="4" s="1"/>
  <c r="D810" i="4" a="1"/>
  <c r="D810" i="4" s="1"/>
  <c r="C810" i="4" a="1"/>
  <c r="C810" i="4" s="1"/>
  <c r="M810" i="4" a="1"/>
  <c r="M810" i="4" s="1"/>
  <c r="E810" i="4" a="1"/>
  <c r="E810" i="4" s="1"/>
  <c r="E800" i="4" a="1"/>
  <c r="E800" i="4" s="1"/>
  <c r="B800" i="4" a="1"/>
  <c r="B800" i="4" s="1"/>
  <c r="D800" i="4" a="1"/>
  <c r="D800" i="4" s="1"/>
  <c r="C800" i="4" a="1"/>
  <c r="C800" i="4" s="1"/>
  <c r="M800" i="4" a="1"/>
  <c r="M800" i="4" s="1"/>
  <c r="N806" i="4" a="1"/>
  <c r="N806" i="4" s="1"/>
  <c r="E806" i="4" a="1"/>
  <c r="E806" i="4" s="1"/>
  <c r="E816" i="4" a="1"/>
  <c r="E816" i="4" s="1"/>
  <c r="C816" i="4" a="1"/>
  <c r="C816" i="4" s="1"/>
  <c r="N816" i="4" a="1"/>
  <c r="N816" i="4" s="1"/>
  <c r="M816" i="4" a="1"/>
  <c r="M816" i="4" s="1"/>
  <c r="D816" i="4" a="1"/>
  <c r="D816" i="4" s="1"/>
  <c r="B816" i="4" a="1"/>
  <c r="B816" i="4" s="1"/>
  <c r="M797" i="4" a="1"/>
  <c r="M797" i="4" s="1"/>
  <c r="C801" i="4" a="1"/>
  <c r="C801" i="4" s="1"/>
  <c r="E801" i="4" a="1"/>
  <c r="E801" i="4" s="1"/>
  <c r="D803" i="4" a="1"/>
  <c r="D803" i="4" s="1"/>
  <c r="E804" i="4" a="1"/>
  <c r="E804" i="4" s="1"/>
  <c r="M804" i="4" a="1"/>
  <c r="M804" i="4" s="1"/>
  <c r="M806" i="4" a="1"/>
  <c r="M806" i="4" s="1"/>
  <c r="D806" i="4" a="1"/>
  <c r="D806" i="4" s="1"/>
  <c r="C806" i="4" a="1"/>
  <c r="C806" i="4" s="1"/>
  <c r="B807" i="4" a="1"/>
  <c r="B807" i="4" s="1"/>
  <c r="N807" i="4" a="1"/>
  <c r="N807" i="4" s="1"/>
  <c r="M809" i="4" a="1"/>
  <c r="M809" i="4" s="1"/>
  <c r="C818" i="4" a="1"/>
  <c r="C818" i="4" s="1"/>
  <c r="D819" i="4" a="1"/>
  <c r="D819" i="4" s="1"/>
  <c r="M757" i="4" a="1"/>
  <c r="M757" i="4" s="1"/>
  <c r="E768" i="4" a="1"/>
  <c r="E768" i="4" s="1"/>
  <c r="N768" i="4" a="1"/>
  <c r="N768" i="4" s="1"/>
  <c r="J792" i="4"/>
  <c r="M795" i="4" a="1"/>
  <c r="M795" i="4" s="1"/>
  <c r="H796" i="4"/>
  <c r="D801" i="4" a="1"/>
  <c r="D801" i="4" s="1"/>
  <c r="E803" i="4" a="1"/>
  <c r="E803" i="4" s="1"/>
  <c r="B806" i="4" a="1"/>
  <c r="B806" i="4" s="1"/>
  <c r="D807" i="4" a="1"/>
  <c r="D807" i="4" s="1"/>
  <c r="E809" i="4" a="1"/>
  <c r="E809" i="4" s="1"/>
  <c r="C809" i="4" a="1"/>
  <c r="C809" i="4" s="1"/>
  <c r="B812" i="4" a="1"/>
  <c r="B812" i="4" s="1"/>
  <c r="E815" i="4" a="1"/>
  <c r="E815" i="4" s="1"/>
  <c r="E819" i="4" a="1"/>
  <c r="E819" i="4" s="1"/>
  <c r="C824" i="4" a="1"/>
  <c r="C824" i="4" s="1"/>
  <c r="H828" i="4"/>
  <c r="J828" i="4"/>
  <c r="E829" i="4" a="1"/>
  <c r="E829" i="4" s="1"/>
  <c r="D829" i="4" a="1"/>
  <c r="D829" i="4" s="1"/>
  <c r="B829" i="4" a="1"/>
  <c r="B829" i="4" s="1"/>
  <c r="N829" i="4" a="1"/>
  <c r="N829" i="4" s="1"/>
  <c r="M825" i="4" a="1"/>
  <c r="M825" i="4" s="1"/>
  <c r="B825" i="4" a="1"/>
  <c r="B825" i="4" s="1"/>
  <c r="E825" i="4" a="1"/>
  <c r="E825" i="4" s="1"/>
  <c r="C825" i="4" a="1"/>
  <c r="C825" i="4" s="1"/>
  <c r="M808" i="4" a="1"/>
  <c r="M808" i="4" s="1"/>
  <c r="E808" i="4" a="1"/>
  <c r="E808" i="4" s="1"/>
  <c r="C817" i="4" a="1"/>
  <c r="C817" i="4" s="1"/>
  <c r="N817" i="4" a="1"/>
  <c r="N817" i="4" s="1"/>
  <c r="E817" i="4" a="1"/>
  <c r="E817" i="4" s="1"/>
  <c r="D820" i="4" a="1"/>
  <c r="D820" i="4" s="1"/>
  <c r="D832" i="4" a="1"/>
  <c r="D832" i="4" s="1"/>
  <c r="M832" i="4" a="1"/>
  <c r="M832" i="4" s="1"/>
  <c r="M836" i="4" a="1"/>
  <c r="M836" i="4" s="1"/>
  <c r="B808" i="4" a="1"/>
  <c r="B808" i="4" s="1"/>
  <c r="H815" i="4"/>
  <c r="D817" i="4" a="1"/>
  <c r="D817" i="4" s="1"/>
  <c r="M823" i="4" a="1"/>
  <c r="M823" i="4" s="1"/>
  <c r="B823" i="4" a="1"/>
  <c r="B823" i="4" s="1"/>
  <c r="N823" i="4" a="1"/>
  <c r="N823" i="4" s="1"/>
  <c r="J824" i="4"/>
  <c r="H824" i="4"/>
  <c r="D825" i="4" a="1"/>
  <c r="D825" i="4" s="1"/>
  <c r="N825" i="4" a="1"/>
  <c r="N825" i="4" s="1"/>
  <c r="H831" i="4"/>
  <c r="J831" i="4"/>
  <c r="N820" i="4" a="1"/>
  <c r="N820" i="4" s="1"/>
  <c r="B820" i="4" a="1"/>
  <c r="B820" i="4" s="1"/>
  <c r="M826" i="4" a="1"/>
  <c r="M826" i="4" s="1"/>
  <c r="N826" i="4" a="1"/>
  <c r="N826" i="4" s="1"/>
  <c r="B826" i="4" a="1"/>
  <c r="B826" i="4" s="1"/>
  <c r="D808" i="4" a="1"/>
  <c r="D808" i="4" s="1"/>
  <c r="N811" i="4" a="1"/>
  <c r="N811" i="4" s="1"/>
  <c r="N818" i="4" a="1"/>
  <c r="N818" i="4" s="1"/>
  <c r="B818" i="4" a="1"/>
  <c r="B818" i="4" s="1"/>
  <c r="E818" i="4" a="1"/>
  <c r="E818" i="4" s="1"/>
  <c r="M819" i="4" a="1"/>
  <c r="M819" i="4" s="1"/>
  <c r="C819" i="4" a="1"/>
  <c r="C819" i="4" s="1"/>
  <c r="D823" i="4" a="1"/>
  <c r="D823" i="4" s="1"/>
  <c r="C826" i="4" a="1"/>
  <c r="C826" i="4" s="1"/>
  <c r="J827" i="4"/>
  <c r="H827" i="4"/>
  <c r="N828" i="4" a="1"/>
  <c r="N828" i="4" s="1"/>
  <c r="C769" i="4" a="1"/>
  <c r="C769" i="4" s="1"/>
  <c r="M773" i="4" a="1"/>
  <c r="M773" i="4" s="1"/>
  <c r="M774" i="4" a="1"/>
  <c r="M774" i="4" s="1"/>
  <c r="M791" i="4" a="1"/>
  <c r="M791" i="4" s="1"/>
  <c r="M793" i="4" a="1"/>
  <c r="M793" i="4" s="1"/>
  <c r="C798" i="4" a="1"/>
  <c r="C798" i="4" s="1"/>
  <c r="M798" i="4" a="1"/>
  <c r="M798" i="4" s="1"/>
  <c r="H806" i="4"/>
  <c r="N808" i="4" a="1"/>
  <c r="N808" i="4" s="1"/>
  <c r="H809" i="4"/>
  <c r="D811" i="4" a="1"/>
  <c r="D811" i="4" s="1"/>
  <c r="M813" i="4" a="1"/>
  <c r="M813" i="4" s="1"/>
  <c r="E820" i="4" a="1"/>
  <c r="E820" i="4" s="1"/>
  <c r="M820" i="4" a="1"/>
  <c r="M820" i="4" s="1"/>
  <c r="N822" i="4" a="1"/>
  <c r="N822" i="4" s="1"/>
  <c r="B822" i="4" a="1"/>
  <c r="B822" i="4" s="1"/>
  <c r="M822" i="4" a="1"/>
  <c r="M822" i="4" s="1"/>
  <c r="D822" i="4" a="1"/>
  <c r="D822" i="4" s="1"/>
  <c r="C822" i="4" a="1"/>
  <c r="C822" i="4" s="1"/>
  <c r="E823" i="4" a="1"/>
  <c r="E823" i="4" s="1"/>
  <c r="D824" i="4" a="1"/>
  <c r="D824" i="4" s="1"/>
  <c r="M824" i="4" a="1"/>
  <c r="M824" i="4" s="1"/>
  <c r="E824" i="4" a="1"/>
  <c r="E824" i="4" s="1"/>
  <c r="D826" i="4" a="1"/>
  <c r="D826" i="4" s="1"/>
  <c r="D831" i="4" a="1"/>
  <c r="D831" i="4" s="1"/>
  <c r="C831" i="4" a="1"/>
  <c r="C831" i="4" s="1"/>
  <c r="B832" i="4" a="1"/>
  <c r="B832" i="4" s="1"/>
  <c r="H832" i="4"/>
  <c r="J832" i="4"/>
  <c r="B834" i="4" a="1"/>
  <c r="B834" i="4" s="1"/>
  <c r="C836" i="4" a="1"/>
  <c r="C836" i="4" s="1"/>
  <c r="H836" i="4"/>
  <c r="J836" i="4"/>
  <c r="B838" i="4" a="1"/>
  <c r="B838" i="4" s="1"/>
  <c r="J838" i="4"/>
  <c r="N839" i="4" a="1"/>
  <c r="N839" i="4" s="1"/>
  <c r="E839" i="4" a="1"/>
  <c r="E839" i="4" s="1"/>
  <c r="B839" i="4" a="1"/>
  <c r="B839" i="4" s="1"/>
  <c r="E840" i="4" a="1"/>
  <c r="E840" i="4" s="1"/>
  <c r="M842" i="4" a="1"/>
  <c r="M842" i="4" s="1"/>
  <c r="E842" i="4" a="1"/>
  <c r="E842" i="4" s="1"/>
  <c r="C842" i="4" a="1"/>
  <c r="C842" i="4" s="1"/>
  <c r="C848" i="4" a="1"/>
  <c r="C848" i="4" s="1"/>
  <c r="M848" i="4" a="1"/>
  <c r="M848" i="4" s="1"/>
  <c r="B848" i="4" a="1"/>
  <c r="B848" i="4" s="1"/>
  <c r="M851" i="4" a="1"/>
  <c r="M851" i="4" s="1"/>
  <c r="M807" i="4" a="1"/>
  <c r="M807" i="4" s="1"/>
  <c r="M814" i="4" a="1"/>
  <c r="M814" i="4" s="1"/>
  <c r="M821" i="4" a="1"/>
  <c r="M821" i="4" s="1"/>
  <c r="M830" i="4" a="1"/>
  <c r="M830" i="4" s="1"/>
  <c r="C833" i="4" a="1"/>
  <c r="C833" i="4" s="1"/>
  <c r="J833" i="4"/>
  <c r="J834" i="4"/>
  <c r="C835" i="4" a="1"/>
  <c r="C835" i="4" s="1"/>
  <c r="J835" i="4"/>
  <c r="B836" i="4" a="1"/>
  <c r="B836" i="4" s="1"/>
  <c r="J837" i="4"/>
  <c r="D839" i="4" a="1"/>
  <c r="D839" i="4" s="1"/>
  <c r="B842" i="4" a="1"/>
  <c r="B842" i="4" s="1"/>
  <c r="N848" i="4" a="1"/>
  <c r="N848" i="4" s="1"/>
  <c r="N852" i="4" a="1"/>
  <c r="N852" i="4" s="1"/>
  <c r="B852" i="4" a="1"/>
  <c r="B852" i="4" s="1"/>
  <c r="E852" i="4" a="1"/>
  <c r="E852" i="4" s="1"/>
  <c r="D852" i="4" a="1"/>
  <c r="D852" i="4" s="1"/>
  <c r="B856" i="4" a="1"/>
  <c r="B856" i="4" s="1"/>
  <c r="M856" i="4" a="1"/>
  <c r="M856" i="4" s="1"/>
  <c r="N856" i="4" a="1"/>
  <c r="N856" i="4" s="1"/>
  <c r="D856" i="4" a="1"/>
  <c r="D856" i="4" s="1"/>
  <c r="C856" i="4" a="1"/>
  <c r="C856" i="4" s="1"/>
  <c r="J866" i="4"/>
  <c r="H866" i="4"/>
  <c r="M817" i="4" a="1"/>
  <c r="M817" i="4" s="1"/>
  <c r="E827" i="4" a="1"/>
  <c r="E827" i="4" s="1"/>
  <c r="M831" i="4" a="1"/>
  <c r="M831" i="4" s="1"/>
  <c r="C832" i="4" a="1"/>
  <c r="C832" i="4" s="1"/>
  <c r="D838" i="4" a="1"/>
  <c r="D838" i="4" s="1"/>
  <c r="M839" i="4" a="1"/>
  <c r="M839" i="4" s="1"/>
  <c r="J844" i="4"/>
  <c r="B854" i="4" a="1"/>
  <c r="B854" i="4" s="1"/>
  <c r="E854" i="4" a="1"/>
  <c r="E854" i="4" s="1"/>
  <c r="D854" i="4" a="1"/>
  <c r="D854" i="4" s="1"/>
  <c r="D844" i="4" a="1"/>
  <c r="D844" i="4" s="1"/>
  <c r="C844" i="4" a="1"/>
  <c r="C844" i="4" s="1"/>
  <c r="N840" i="4" a="1"/>
  <c r="N840" i="4" s="1"/>
  <c r="D840" i="4" a="1"/>
  <c r="D840" i="4" s="1"/>
  <c r="H840" i="4"/>
  <c r="B844" i="4" a="1"/>
  <c r="B844" i="4" s="1"/>
  <c r="H846" i="4"/>
  <c r="D857" i="4" a="1"/>
  <c r="D857" i="4" s="1"/>
  <c r="N857" i="4" a="1"/>
  <c r="N857" i="4" s="1"/>
  <c r="E857" i="4" a="1"/>
  <c r="E857" i="4" s="1"/>
  <c r="B857" i="4" a="1"/>
  <c r="B857" i="4" s="1"/>
  <c r="H860" i="4"/>
  <c r="M767" i="4" a="1"/>
  <c r="M767" i="4" s="1"/>
  <c r="M783" i="4" a="1"/>
  <c r="M783" i="4" s="1"/>
  <c r="M799" i="4" a="1"/>
  <c r="M799" i="4" s="1"/>
  <c r="M815" i="4" a="1"/>
  <c r="M815" i="4" s="1"/>
  <c r="B821" i="4" a="1"/>
  <c r="B821" i="4" s="1"/>
  <c r="M829" i="4" a="1"/>
  <c r="M829" i="4" s="1"/>
  <c r="N831" i="4" a="1"/>
  <c r="N831" i="4" s="1"/>
  <c r="E834" i="4" a="1"/>
  <c r="E834" i="4" s="1"/>
  <c r="E836" i="4" a="1"/>
  <c r="E836" i="4" s="1"/>
  <c r="B840" i="4" a="1"/>
  <c r="B840" i="4" s="1"/>
  <c r="N841" i="4" a="1"/>
  <c r="N841" i="4" s="1"/>
  <c r="B841" i="4" a="1"/>
  <c r="B841" i="4" s="1"/>
  <c r="M841" i="4" a="1"/>
  <c r="M841" i="4" s="1"/>
  <c r="D841" i="4" a="1"/>
  <c r="D841" i="4" s="1"/>
  <c r="M844" i="4" a="1"/>
  <c r="M844" i="4" s="1"/>
  <c r="B846" i="4" a="1"/>
  <c r="B846" i="4" s="1"/>
  <c r="D847" i="4" a="1"/>
  <c r="D847" i="4" s="1"/>
  <c r="B847" i="4" a="1"/>
  <c r="B847" i="4" s="1"/>
  <c r="J848" i="4"/>
  <c r="H848" i="4"/>
  <c r="N854" i="4" a="1"/>
  <c r="N854" i="4" s="1"/>
  <c r="E844" i="4" a="1"/>
  <c r="E844" i="4" s="1"/>
  <c r="N844" i="4" a="1"/>
  <c r="N844" i="4" s="1"/>
  <c r="D855" i="4" a="1"/>
  <c r="D855" i="4" s="1"/>
  <c r="N855" i="4" a="1"/>
  <c r="N855" i="4" s="1"/>
  <c r="C855" i="4" a="1"/>
  <c r="C855" i="4" s="1"/>
  <c r="M855" i="4" a="1"/>
  <c r="M855" i="4" s="1"/>
  <c r="E855" i="4" a="1"/>
  <c r="E855" i="4" s="1"/>
  <c r="M857" i="4" a="1"/>
  <c r="M857" i="4" s="1"/>
  <c r="C834" i="4" a="1"/>
  <c r="C834" i="4" s="1"/>
  <c r="C840" i="4" a="1"/>
  <c r="C840" i="4" s="1"/>
  <c r="H842" i="4"/>
  <c r="N843" i="4" a="1"/>
  <c r="N843" i="4" s="1"/>
  <c r="M843" i="4" a="1"/>
  <c r="M843" i="4" s="1"/>
  <c r="D843" i="4" a="1"/>
  <c r="D843" i="4" s="1"/>
  <c r="E843" i="4" a="1"/>
  <c r="E843" i="4" s="1"/>
  <c r="C843" i="4" a="1"/>
  <c r="C843" i="4" s="1"/>
  <c r="J850" i="4"/>
  <c r="H850" i="4"/>
  <c r="B858" i="4" a="1"/>
  <c r="B858" i="4" s="1"/>
  <c r="N858" i="4" a="1"/>
  <c r="N858" i="4" s="1"/>
  <c r="D858" i="4" a="1"/>
  <c r="D858" i="4" s="1"/>
  <c r="C858" i="4" a="1"/>
  <c r="C858" i="4" s="1"/>
  <c r="M858" i="4" a="1"/>
  <c r="M858" i="4" s="1"/>
  <c r="E881" i="4" a="1"/>
  <c r="E881" i="4" s="1"/>
  <c r="D881" i="4" a="1"/>
  <c r="D881" i="4" s="1"/>
  <c r="N881" i="4" a="1"/>
  <c r="N881" i="4" s="1"/>
  <c r="M881" i="4" a="1"/>
  <c r="M881" i="4" s="1"/>
  <c r="C881" i="4" a="1"/>
  <c r="C881" i="4" s="1"/>
  <c r="N886" i="4" a="1"/>
  <c r="N886" i="4" s="1"/>
  <c r="B886" i="4" a="1"/>
  <c r="B886" i="4" s="1"/>
  <c r="M886" i="4" a="1"/>
  <c r="M886" i="4" s="1"/>
  <c r="E886" i="4" a="1"/>
  <c r="E886" i="4" s="1"/>
  <c r="C886" i="4" a="1"/>
  <c r="C886" i="4" s="1"/>
  <c r="E850" i="4" a="1"/>
  <c r="E850" i="4" s="1"/>
  <c r="C850" i="4" a="1"/>
  <c r="C850" i="4" s="1"/>
  <c r="B860" i="4" a="1"/>
  <c r="B860" i="4" s="1"/>
  <c r="E860" i="4" a="1"/>
  <c r="E860" i="4" s="1"/>
  <c r="C860" i="4" a="1"/>
  <c r="C860" i="4" s="1"/>
  <c r="D863" i="4" a="1"/>
  <c r="D863" i="4" s="1"/>
  <c r="N863" i="4" a="1"/>
  <c r="N863" i="4" s="1"/>
  <c r="C863" i="4" a="1"/>
  <c r="C863" i="4" s="1"/>
  <c r="B866" i="4" a="1"/>
  <c r="B866" i="4" s="1"/>
  <c r="N866" i="4" a="1"/>
  <c r="N866" i="4" s="1"/>
  <c r="D866" i="4" a="1"/>
  <c r="D866" i="4" s="1"/>
  <c r="J874" i="4"/>
  <c r="H874" i="4"/>
  <c r="B876" i="4" a="1"/>
  <c r="B876" i="4" s="1"/>
  <c r="E876" i="4" a="1"/>
  <c r="E876" i="4" s="1"/>
  <c r="D876" i="4" a="1"/>
  <c r="D876" i="4" s="1"/>
  <c r="C876" i="4" a="1"/>
  <c r="C876" i="4" s="1"/>
  <c r="N876" i="4" a="1"/>
  <c r="N876" i="4" s="1"/>
  <c r="D867" i="4" a="1"/>
  <c r="D867" i="4" s="1"/>
  <c r="N867" i="4" a="1"/>
  <c r="N867" i="4" s="1"/>
  <c r="M867" i="4" a="1"/>
  <c r="M867" i="4" s="1"/>
  <c r="E884" i="4" a="1"/>
  <c r="E884" i="4" s="1"/>
  <c r="N884" i="4" a="1"/>
  <c r="N884" i="4" s="1"/>
  <c r="B884" i="4" a="1"/>
  <c r="B884" i="4" s="1"/>
  <c r="C884" i="4" a="1"/>
  <c r="C884" i="4" s="1"/>
  <c r="M884" i="4" a="1"/>
  <c r="M884" i="4" s="1"/>
  <c r="N845" i="4" a="1"/>
  <c r="N845" i="4" s="1"/>
  <c r="C845" i="4" a="1"/>
  <c r="C845" i="4" s="1"/>
  <c r="M845" i="4" a="1"/>
  <c r="M845" i="4" s="1"/>
  <c r="C847" i="4" a="1"/>
  <c r="C847" i="4" s="1"/>
  <c r="M863" i="4" a="1"/>
  <c r="M863" i="4" s="1"/>
  <c r="C866" i="4" a="1"/>
  <c r="C866" i="4" s="1"/>
  <c r="D884" i="4" a="1"/>
  <c r="D884" i="4" s="1"/>
  <c r="M888" i="4" a="1"/>
  <c r="M888" i="4" s="1"/>
  <c r="C888" i="4" a="1"/>
  <c r="C888" i="4" s="1"/>
  <c r="B888" i="4" a="1"/>
  <c r="B888" i="4" s="1"/>
  <c r="E888" i="4" a="1"/>
  <c r="E888" i="4" s="1"/>
  <c r="E867" i="4" a="1"/>
  <c r="E867" i="4" s="1"/>
  <c r="B871" i="4" a="1"/>
  <c r="B871" i="4" s="1"/>
  <c r="M871" i="4" a="1"/>
  <c r="M871" i="4" s="1"/>
  <c r="H878" i="4"/>
  <c r="J878" i="4"/>
  <c r="N853" i="4" a="1"/>
  <c r="N853" i="4" s="1"/>
  <c r="E853" i="4" a="1"/>
  <c r="E853" i="4" s="1"/>
  <c r="D859" i="4" a="1"/>
  <c r="D859" i="4" s="1"/>
  <c r="N859" i="4" a="1"/>
  <c r="N859" i="4" s="1"/>
  <c r="M859" i="4" a="1"/>
  <c r="M859" i="4" s="1"/>
  <c r="M860" i="4" a="1"/>
  <c r="M860" i="4" s="1"/>
  <c r="B864" i="4" a="1"/>
  <c r="B864" i="4" s="1"/>
  <c r="M864" i="4" a="1"/>
  <c r="M864" i="4" s="1"/>
  <c r="D865" i="4" a="1"/>
  <c r="D865" i="4" s="1"/>
  <c r="N865" i="4" a="1"/>
  <c r="N865" i="4" s="1"/>
  <c r="E865" i="4" a="1"/>
  <c r="E865" i="4" s="1"/>
  <c r="E866" i="4" a="1"/>
  <c r="E866" i="4" s="1"/>
  <c r="B874" i="4" a="1"/>
  <c r="B874" i="4" s="1"/>
  <c r="N874" i="4" a="1"/>
  <c r="N874" i="4" s="1"/>
  <c r="M874" i="4" a="1"/>
  <c r="M874" i="4" s="1"/>
  <c r="D874" i="4" a="1"/>
  <c r="D874" i="4" s="1"/>
  <c r="M850" i="4" a="1"/>
  <c r="M850" i="4" s="1"/>
  <c r="N851" i="4" a="1"/>
  <c r="N851" i="4" s="1"/>
  <c r="N860" i="4" a="1"/>
  <c r="N860" i="4" s="1"/>
  <c r="C864" i="4" a="1"/>
  <c r="C864" i="4" s="1"/>
  <c r="M866" i="4" a="1"/>
  <c r="M866" i="4" s="1"/>
  <c r="B868" i="4" a="1"/>
  <c r="B868" i="4" s="1"/>
  <c r="E868" i="4" a="1"/>
  <c r="E868" i="4" s="1"/>
  <c r="C868" i="4" a="1"/>
  <c r="C868" i="4" s="1"/>
  <c r="C869" i="4" a="1"/>
  <c r="C869" i="4" s="1"/>
  <c r="C874" i="4" a="1"/>
  <c r="C874" i="4" s="1"/>
  <c r="D875" i="4" a="1"/>
  <c r="D875" i="4" s="1"/>
  <c r="N875" i="4" a="1"/>
  <c r="N875" i="4" s="1"/>
  <c r="M875" i="4" a="1"/>
  <c r="M875" i="4" s="1"/>
  <c r="E875" i="4" a="1"/>
  <c r="E875" i="4" s="1"/>
  <c r="C875" i="4" a="1"/>
  <c r="C875" i="4" s="1"/>
  <c r="J876" i="4"/>
  <c r="D871" i="4" a="1"/>
  <c r="D871" i="4" s="1"/>
  <c r="N871" i="4" a="1"/>
  <c r="N871" i="4" s="1"/>
  <c r="C880" i="4" a="1"/>
  <c r="C880" i="4" s="1"/>
  <c r="B880" i="4" a="1"/>
  <c r="B880" i="4" s="1"/>
  <c r="N889" i="4" a="1"/>
  <c r="N889" i="4" s="1"/>
  <c r="B889" i="4" a="1"/>
  <c r="B889" i="4" s="1"/>
  <c r="M889" i="4" a="1"/>
  <c r="M889" i="4" s="1"/>
  <c r="D889" i="4" a="1"/>
  <c r="D889" i="4" s="1"/>
  <c r="C893" i="4" a="1"/>
  <c r="C893" i="4" s="1"/>
  <c r="C898" i="4" a="1"/>
  <c r="C898" i="4" s="1"/>
  <c r="N898" i="4" a="1"/>
  <c r="N898" i="4" s="1"/>
  <c r="B898" i="4" a="1"/>
  <c r="B898" i="4" s="1"/>
  <c r="M898" i="4" a="1"/>
  <c r="M898" i="4" s="1"/>
  <c r="E898" i="4" a="1"/>
  <c r="E898" i="4" s="1"/>
  <c r="C900" i="4" a="1"/>
  <c r="C900" i="4" s="1"/>
  <c r="J892" i="4"/>
  <c r="M903" i="4" a="1"/>
  <c r="M903" i="4" s="1"/>
  <c r="E903" i="4" a="1"/>
  <c r="E903" i="4" s="1"/>
  <c r="D903" i="4" a="1"/>
  <c r="D903" i="4" s="1"/>
  <c r="C903" i="4" a="1"/>
  <c r="C903" i="4" s="1"/>
  <c r="B903" i="4" a="1"/>
  <c r="B903" i="4" s="1"/>
  <c r="D873" i="4" a="1"/>
  <c r="D873" i="4" s="1"/>
  <c r="N873" i="4" a="1"/>
  <c r="N873" i="4" s="1"/>
  <c r="C878" i="4" a="1"/>
  <c r="C878" i="4" s="1"/>
  <c r="B878" i="4" a="1"/>
  <c r="B878" i="4" s="1"/>
  <c r="M883" i="4" a="1"/>
  <c r="M883" i="4" s="1"/>
  <c r="J888" i="4"/>
  <c r="H888" i="4"/>
  <c r="N891" i="4" a="1"/>
  <c r="N891" i="4" s="1"/>
  <c r="D891" i="4" a="1"/>
  <c r="D891" i="4" s="1"/>
  <c r="C891" i="4" a="1"/>
  <c r="C891" i="4" s="1"/>
  <c r="M891" i="4" a="1"/>
  <c r="M891" i="4" s="1"/>
  <c r="E893" i="4" a="1"/>
  <c r="E893" i="4" s="1"/>
  <c r="D898" i="4" a="1"/>
  <c r="D898" i="4" s="1"/>
  <c r="N849" i="4" a="1"/>
  <c r="N849" i="4" s="1"/>
  <c r="B862" i="4" a="1"/>
  <c r="B862" i="4" s="1"/>
  <c r="B870" i="4" a="1"/>
  <c r="B870" i="4" s="1"/>
  <c r="E873" i="4" a="1"/>
  <c r="E873" i="4" s="1"/>
  <c r="E879" i="4" a="1"/>
  <c r="E879" i="4" s="1"/>
  <c r="D879" i="4" a="1"/>
  <c r="D879" i="4" s="1"/>
  <c r="N879" i="4" a="1"/>
  <c r="N879" i="4" s="1"/>
  <c r="D880" i="4" a="1"/>
  <c r="D880" i="4" s="1"/>
  <c r="N885" i="4" a="1"/>
  <c r="N885" i="4" s="1"/>
  <c r="B885" i="4" a="1"/>
  <c r="B885" i="4" s="1"/>
  <c r="E885" i="4" a="1"/>
  <c r="E885" i="4" s="1"/>
  <c r="B891" i="4" a="1"/>
  <c r="B891" i="4" s="1"/>
  <c r="E899" i="4" a="1"/>
  <c r="E899" i="4" s="1"/>
  <c r="N901" i="4" a="1"/>
  <c r="N901" i="4" s="1"/>
  <c r="C901" i="4" a="1"/>
  <c r="C901" i="4" s="1"/>
  <c r="B901" i="4" a="1"/>
  <c r="B901" i="4" s="1"/>
  <c r="M901" i="4" a="1"/>
  <c r="M901" i="4" s="1"/>
  <c r="E901" i="4" a="1"/>
  <c r="E901" i="4" s="1"/>
  <c r="N903" i="4" a="1"/>
  <c r="N903" i="4" s="1"/>
  <c r="M899" i="4" a="1"/>
  <c r="M899" i="4" s="1"/>
  <c r="D899" i="4" a="1"/>
  <c r="D899" i="4" s="1"/>
  <c r="B872" i="4" a="1"/>
  <c r="B872" i="4" s="1"/>
  <c r="E877" i="4" a="1"/>
  <c r="E877" i="4" s="1"/>
  <c r="D877" i="4" a="1"/>
  <c r="D877" i="4" s="1"/>
  <c r="N877" i="4" a="1"/>
  <c r="N877" i="4" s="1"/>
  <c r="D878" i="4" a="1"/>
  <c r="D878" i="4" s="1"/>
  <c r="N880" i="4" a="1"/>
  <c r="N880" i="4" s="1"/>
  <c r="E883" i="4" a="1"/>
  <c r="E883" i="4" s="1"/>
  <c r="C899" i="4" a="1"/>
  <c r="C899" i="4" s="1"/>
  <c r="N847" i="4" a="1"/>
  <c r="N847" i="4" s="1"/>
  <c r="D861" i="4" a="1"/>
  <c r="D861" i="4" s="1"/>
  <c r="N861" i="4" a="1"/>
  <c r="N861" i="4" s="1"/>
  <c r="D869" i="4" a="1"/>
  <c r="D869" i="4" s="1"/>
  <c r="N869" i="4" a="1"/>
  <c r="N869" i="4" s="1"/>
  <c r="C871" i="4" a="1"/>
  <c r="C871" i="4" s="1"/>
  <c r="E878" i="4" a="1"/>
  <c r="E878" i="4" s="1"/>
  <c r="M878" i="4" a="1"/>
  <c r="M878" i="4" s="1"/>
  <c r="C882" i="4" a="1"/>
  <c r="C882" i="4" s="1"/>
  <c r="N882" i="4" a="1"/>
  <c r="N882" i="4" s="1"/>
  <c r="B882" i="4" a="1"/>
  <c r="B882" i="4" s="1"/>
  <c r="E882" i="4" a="1"/>
  <c r="E882" i="4" s="1"/>
  <c r="N887" i="4" a="1"/>
  <c r="N887" i="4" s="1"/>
  <c r="E887" i="4" a="1"/>
  <c r="E887" i="4" s="1"/>
  <c r="D887" i="4" a="1"/>
  <c r="D887" i="4" s="1"/>
  <c r="B887" i="4" a="1"/>
  <c r="B887" i="4" s="1"/>
  <c r="E891" i="4" a="1"/>
  <c r="E891" i="4" s="1"/>
  <c r="N893" i="4" a="1"/>
  <c r="N893" i="4" s="1"/>
  <c r="M890" i="4" a="1"/>
  <c r="M890" i="4" s="1"/>
  <c r="D890" i="4" a="1"/>
  <c r="D890" i="4" s="1"/>
  <c r="E900" i="4" a="1"/>
  <c r="E900" i="4" s="1"/>
  <c r="D900" i="4" a="1"/>
  <c r="D900" i="4" s="1"/>
  <c r="N900" i="4" a="1"/>
  <c r="N900" i="4" s="1"/>
  <c r="B900" i="4" a="1"/>
  <c r="B900" i="4" s="1"/>
  <c r="C896" i="4" a="1"/>
  <c r="C896" i="4" s="1"/>
  <c r="N897" i="4" a="1"/>
  <c r="N897" i="4" s="1"/>
  <c r="M904" i="4" a="1"/>
  <c r="M904" i="4" s="1"/>
  <c r="N906" i="4" a="1"/>
  <c r="N906" i="4" s="1"/>
  <c r="C911" i="4" a="1"/>
  <c r="C911" i="4" s="1"/>
  <c r="N908" i="4" a="1"/>
  <c r="N908" i="4" s="1"/>
  <c r="E909" i="4" a="1"/>
  <c r="E909" i="4" s="1"/>
  <c r="N909" i="4" a="1"/>
  <c r="N909" i="4" s="1"/>
  <c r="D912" i="4" a="1"/>
  <c r="D912" i="4" s="1"/>
  <c r="N895" i="4" a="1"/>
  <c r="N895" i="4" s="1"/>
  <c r="M902" i="4" a="1"/>
  <c r="M902" i="4" s="1"/>
  <c r="C906" i="4" a="1"/>
  <c r="C906" i="4" s="1"/>
  <c r="J906" i="4"/>
  <c r="M909" i="4" a="1"/>
  <c r="M909" i="4" s="1"/>
  <c r="E911" i="4" a="1"/>
  <c r="E911" i="4" s="1"/>
  <c r="E912" i="4" a="1"/>
  <c r="E912" i="4" s="1"/>
  <c r="C908" i="4" a="1"/>
  <c r="C908" i="4" s="1"/>
  <c r="B909" i="4" a="1"/>
  <c r="B909" i="4" s="1"/>
  <c r="N911" i="4" a="1"/>
  <c r="N911" i="4" s="1"/>
  <c r="N883" i="4" a="1"/>
  <c r="N883" i="4" s="1"/>
  <c r="N899" i="4" a="1"/>
  <c r="N899" i="4" s="1"/>
  <c r="B902" i="4" a="1"/>
  <c r="B902" i="4" s="1"/>
  <c r="M911" i="4" a="1"/>
  <c r="M911" i="4" s="1"/>
  <c r="E915" i="4" a="1"/>
  <c r="E915" i="4" s="1"/>
  <c r="N915" i="4" a="1"/>
  <c r="N915" i="4" s="1"/>
  <c r="C920" i="4" a="1"/>
  <c r="C920" i="4" s="1"/>
  <c r="B920" i="4" a="1"/>
  <c r="B920" i="4" s="1"/>
  <c r="D921" i="4" a="1"/>
  <c r="D921" i="4" s="1"/>
  <c r="E921" i="4" a="1"/>
  <c r="E921" i="4" s="1"/>
  <c r="B923" i="4" a="1"/>
  <c r="B923" i="4" s="1"/>
  <c r="E923" i="4" a="1"/>
  <c r="E923" i="4" s="1"/>
  <c r="C925" i="4" a="1"/>
  <c r="C925" i="4" s="1"/>
  <c r="E925" i="4" a="1"/>
  <c r="E925" i="4" s="1"/>
  <c r="B925" i="4" a="1"/>
  <c r="B925" i="4" s="1"/>
  <c r="N925" i="4" a="1"/>
  <c r="N925" i="4" s="1"/>
  <c r="B927" i="4" a="1"/>
  <c r="B927" i="4" s="1"/>
  <c r="N927" i="4" a="1"/>
  <c r="N927" i="4" s="1"/>
  <c r="C927" i="4" a="1"/>
  <c r="C927" i="4" s="1"/>
  <c r="M930" i="4" a="1"/>
  <c r="M930" i="4" s="1"/>
  <c r="C930" i="4" a="1"/>
  <c r="C930" i="4" s="1"/>
  <c r="D930" i="4" a="1"/>
  <c r="D930" i="4" s="1"/>
  <c r="J931" i="4"/>
  <c r="H931" i="4"/>
  <c r="N932" i="4" a="1"/>
  <c r="N932" i="4" s="1"/>
  <c r="M932" i="4" a="1"/>
  <c r="M932" i="4" s="1"/>
  <c r="E932" i="4" a="1"/>
  <c r="E932" i="4" s="1"/>
  <c r="C932" i="4" a="1"/>
  <c r="C932" i="4" s="1"/>
  <c r="H934" i="4"/>
  <c r="J934" i="4"/>
  <c r="H935" i="4"/>
  <c r="J935" i="4"/>
  <c r="H936" i="4"/>
  <c r="J936" i="4"/>
  <c r="H938" i="4"/>
  <c r="J938" i="4"/>
  <c r="J941" i="4"/>
  <c r="H941" i="4"/>
  <c r="M913" i="4" a="1"/>
  <c r="M913" i="4" s="1"/>
  <c r="H928" i="4"/>
  <c r="M933" i="4" a="1"/>
  <c r="M933" i="4" s="1"/>
  <c r="B937" i="4" a="1"/>
  <c r="B937" i="4" s="1"/>
  <c r="C937" i="4" a="1"/>
  <c r="C937" i="4" s="1"/>
  <c r="M931" i="4" a="1"/>
  <c r="M931" i="4" s="1"/>
  <c r="N937" i="4" a="1"/>
  <c r="N937" i="4" s="1"/>
  <c r="E931" i="4" a="1"/>
  <c r="E931" i="4" s="1"/>
  <c r="M929" i="4" a="1"/>
  <c r="M929" i="4" s="1"/>
  <c r="D931" i="4" a="1"/>
  <c r="D931" i="4" s="1"/>
  <c r="N931" i="4" a="1"/>
  <c r="N931" i="4" s="1"/>
  <c r="E922" i="4" a="1"/>
  <c r="E922" i="4" s="1"/>
  <c r="C922" i="4" a="1"/>
  <c r="C922" i="4" s="1"/>
  <c r="C923" i="4" a="1"/>
  <c r="C923" i="4" s="1"/>
  <c r="N923" i="4" a="1"/>
  <c r="N923" i="4" s="1"/>
  <c r="N924" i="4" a="1"/>
  <c r="N924" i="4" s="1"/>
  <c r="B924" i="4" a="1"/>
  <c r="B924" i="4" s="1"/>
  <c r="E924" i="4" a="1"/>
  <c r="E924" i="4" s="1"/>
  <c r="D926" i="4" a="1"/>
  <c r="D926" i="4" s="1"/>
  <c r="N926" i="4" a="1"/>
  <c r="N926" i="4" s="1"/>
  <c r="B926" i="4" a="1"/>
  <c r="B926" i="4" s="1"/>
  <c r="M928" i="4" a="1"/>
  <c r="M928" i="4" s="1"/>
  <c r="D928" i="4" a="1"/>
  <c r="D928" i="4" s="1"/>
  <c r="E938" i="4" a="1"/>
  <c r="E938" i="4" s="1"/>
  <c r="C938" i="4" a="1"/>
  <c r="C938" i="4" s="1"/>
  <c r="C939" i="4" a="1"/>
  <c r="C939" i="4" s="1"/>
  <c r="N939" i="4" a="1"/>
  <c r="N939" i="4" s="1"/>
  <c r="N940" i="4" a="1"/>
  <c r="N940" i="4" s="1"/>
  <c r="B940" i="4" a="1"/>
  <c r="B940" i="4" s="1"/>
  <c r="E940" i="4" a="1"/>
  <c r="E940" i="4" s="1"/>
  <c r="E941" i="4" a="1"/>
  <c r="E941" i="4" s="1"/>
  <c r="C941" i="4" a="1"/>
  <c r="C941" i="4" s="1"/>
  <c r="N942" i="4" a="1"/>
  <c r="N942" i="4" s="1"/>
  <c r="E942" i="4" a="1"/>
  <c r="E942" i="4" s="1"/>
  <c r="C942" i="4" a="1"/>
  <c r="C942" i="4" s="1"/>
  <c r="J943" i="4"/>
  <c r="H943" i="4"/>
  <c r="E943" i="4" a="1"/>
  <c r="E943" i="4" s="1"/>
  <c r="C943" i="4" a="1"/>
  <c r="C943" i="4" s="1"/>
  <c r="B943" i="4" a="1"/>
  <c r="B943" i="4" s="1"/>
  <c r="E944" i="4" a="1"/>
  <c r="E944" i="4" s="1"/>
  <c r="C944" i="4" a="1"/>
  <c r="C944" i="4" s="1"/>
  <c r="J945" i="4"/>
  <c r="H945" i="4"/>
  <c r="C945" i="4" a="1"/>
  <c r="C945" i="4" s="1"/>
  <c r="B945" i="4" a="1"/>
  <c r="B945" i="4" s="1"/>
  <c r="M946" i="4" a="1"/>
  <c r="M946" i="4" s="1"/>
  <c r="C946" i="4" a="1"/>
  <c r="C946" i="4" s="1"/>
  <c r="E946" i="4" a="1"/>
  <c r="E946" i="4" s="1"/>
  <c r="D946" i="4" a="1"/>
  <c r="D946" i="4" s="1"/>
  <c r="B946" i="4" a="1"/>
  <c r="B946" i="4" s="1"/>
  <c r="J947" i="4"/>
  <c r="H947" i="4"/>
  <c r="C947" i="4" a="1"/>
  <c r="C947" i="4" s="1"/>
  <c r="B947" i="4" a="1"/>
  <c r="B947" i="4" s="1"/>
  <c r="E947" i="4" a="1"/>
  <c r="E947" i="4" s="1"/>
  <c r="N947" i="4" a="1"/>
  <c r="N947" i="4" s="1"/>
  <c r="D947" i="4" a="1"/>
  <c r="D947" i="4" s="1"/>
  <c r="N948" i="4" a="1"/>
  <c r="N948" i="4" s="1"/>
  <c r="E948" i="4" a="1"/>
  <c r="E948" i="4" s="1"/>
  <c r="C948" i="4" a="1"/>
  <c r="C948" i="4" s="1"/>
  <c r="E950" i="4" a="1"/>
  <c r="E950" i="4" s="1"/>
  <c r="D950" i="4" a="1"/>
  <c r="D950" i="4" s="1"/>
  <c r="B950" i="4" a="1"/>
  <c r="B950" i="4" s="1"/>
  <c r="N950" i="4" a="1"/>
  <c r="N950" i="4" s="1"/>
  <c r="J955" i="4"/>
  <c r="H955" i="4"/>
  <c r="H957" i="4"/>
  <c r="J957" i="4"/>
  <c r="M923" i="4" a="1"/>
  <c r="M923" i="4" s="1"/>
  <c r="M939" i="4" a="1"/>
  <c r="M939" i="4" s="1"/>
  <c r="N944" i="4" a="1"/>
  <c r="N944" i="4" s="1"/>
  <c r="D949" i="4" a="1"/>
  <c r="D949" i="4" s="1"/>
  <c r="E954" i="4" a="1"/>
  <c r="E954" i="4" s="1"/>
  <c r="C958" i="4" a="1"/>
  <c r="C958" i="4" s="1"/>
  <c r="E958" i="4" a="1"/>
  <c r="E958" i="4" s="1"/>
  <c r="E959" i="4" a="1"/>
  <c r="E959" i="4" s="1"/>
  <c r="M961" i="4" a="1"/>
  <c r="M961" i="4" s="1"/>
  <c r="C962" i="4" a="1"/>
  <c r="C962" i="4" s="1"/>
  <c r="M965" i="4" a="1"/>
  <c r="M965" i="4" s="1"/>
  <c r="J965" i="4"/>
  <c r="D966" i="4" a="1"/>
  <c r="D966" i="4" s="1"/>
  <c r="N966" i="4" a="1"/>
  <c r="N966" i="4" s="1"/>
  <c r="M968" i="4" a="1"/>
  <c r="M968" i="4" s="1"/>
  <c r="E968" i="4" a="1"/>
  <c r="E968" i="4" s="1"/>
  <c r="J970" i="4"/>
  <c r="D971" i="4" a="1"/>
  <c r="D971" i="4" s="1"/>
  <c r="M973" i="4" a="1"/>
  <c r="M973" i="4" s="1"/>
  <c r="J973" i="4"/>
  <c r="B957" i="4" a="1"/>
  <c r="B957" i="4" s="1"/>
  <c r="N957" i="4" a="1"/>
  <c r="N957" i="4" s="1"/>
  <c r="E963" i="4" a="1"/>
  <c r="E963" i="4" s="1"/>
  <c r="B965" i="4" a="1"/>
  <c r="B965" i="4" s="1"/>
  <c r="N965" i="4" a="1"/>
  <c r="N965" i="4" s="1"/>
  <c r="E965" i="4" a="1"/>
  <c r="E965" i="4" s="1"/>
  <c r="D968" i="4" a="1"/>
  <c r="D968" i="4" s="1"/>
  <c r="C968" i="4" a="1"/>
  <c r="C968" i="4" s="1"/>
  <c r="N971" i="4" a="1"/>
  <c r="N971" i="4" s="1"/>
  <c r="B973" i="4" a="1"/>
  <c r="B973" i="4" s="1"/>
  <c r="N973" i="4" a="1"/>
  <c r="N973" i="4" s="1"/>
  <c r="E973" i="4" a="1"/>
  <c r="E973" i="4" s="1"/>
  <c r="E953" i="4" a="1"/>
  <c r="E953" i="4" s="1"/>
  <c r="N953" i="4" a="1"/>
  <c r="N953" i="4" s="1"/>
  <c r="D957" i="4" a="1"/>
  <c r="D957" i="4" s="1"/>
  <c r="E962" i="4" a="1"/>
  <c r="E962" i="4" s="1"/>
  <c r="C965" i="4" a="1"/>
  <c r="C965" i="4" s="1"/>
  <c r="N968" i="4" a="1"/>
  <c r="N968" i="4" s="1"/>
  <c r="H969" i="4"/>
  <c r="D970" i="4" a="1"/>
  <c r="D970" i="4" s="1"/>
  <c r="B970" i="4" a="1"/>
  <c r="B970" i="4" s="1"/>
  <c r="C973" i="4" a="1"/>
  <c r="C973" i="4" s="1"/>
  <c r="H976" i="4"/>
  <c r="E978" i="4" a="1"/>
  <c r="E978" i="4" s="1"/>
  <c r="D978" i="4" a="1"/>
  <c r="D978" i="4" s="1"/>
  <c r="C978" i="4" a="1"/>
  <c r="C978" i="4" s="1"/>
  <c r="B978" i="4" a="1"/>
  <c r="B978" i="4" s="1"/>
  <c r="C979" i="4" a="1"/>
  <c r="C979" i="4" s="1"/>
  <c r="B979" i="4" a="1"/>
  <c r="B979" i="4" s="1"/>
  <c r="N979" i="4" a="1"/>
  <c r="N979" i="4" s="1"/>
  <c r="M921" i="4" a="1"/>
  <c r="M921" i="4" s="1"/>
  <c r="M937" i="4" a="1"/>
  <c r="M937" i="4" s="1"/>
  <c r="D944" i="4" a="1"/>
  <c r="D944" i="4" s="1"/>
  <c r="M955" i="4" a="1"/>
  <c r="M955" i="4" s="1"/>
  <c r="C955" i="4" a="1"/>
  <c r="C955" i="4" s="1"/>
  <c r="B955" i="4" a="1"/>
  <c r="B955" i="4" s="1"/>
  <c r="M959" i="4" a="1"/>
  <c r="M959" i="4" s="1"/>
  <c r="B960" i="4" a="1"/>
  <c r="B960" i="4" s="1"/>
  <c r="D961" i="4" a="1"/>
  <c r="D961" i="4" s="1"/>
  <c r="N962" i="4" a="1"/>
  <c r="N962" i="4" s="1"/>
  <c r="J963" i="4"/>
  <c r="H963" i="4"/>
  <c r="D965" i="4" a="1"/>
  <c r="D965" i="4" s="1"/>
  <c r="B972" i="4" a="1"/>
  <c r="B972" i="4" s="1"/>
  <c r="D973" i="4" a="1"/>
  <c r="D973" i="4" s="1"/>
  <c r="N978" i="4" a="1"/>
  <c r="N978" i="4" s="1"/>
  <c r="H983" i="4"/>
  <c r="J983" i="4"/>
  <c r="N986" i="4" a="1"/>
  <c r="N986" i="4" s="1"/>
  <c r="E986" i="4" a="1"/>
  <c r="E986" i="4" s="1"/>
  <c r="D986" i="4" a="1"/>
  <c r="D986" i="4" s="1"/>
  <c r="C986" i="4" a="1"/>
  <c r="C986" i="4" s="1"/>
  <c r="B986" i="4" a="1"/>
  <c r="B986" i="4" s="1"/>
  <c r="M954" i="4" a="1"/>
  <c r="M954" i="4" s="1"/>
  <c r="E957" i="4" a="1"/>
  <c r="E957" i="4" s="1"/>
  <c r="B959" i="4" a="1"/>
  <c r="B959" i="4" s="1"/>
  <c r="E961" i="4" a="1"/>
  <c r="E961" i="4" s="1"/>
  <c r="N961" i="4" a="1"/>
  <c r="N961" i="4" s="1"/>
  <c r="C964" i="4" a="1"/>
  <c r="C964" i="4" s="1"/>
  <c r="E970" i="4" a="1"/>
  <c r="E970" i="4" s="1"/>
  <c r="N970" i="4" a="1"/>
  <c r="N970" i="4" s="1"/>
  <c r="M949" i="4" a="1"/>
  <c r="M949" i="4" s="1"/>
  <c r="M963" i="4" a="1"/>
  <c r="M963" i="4" s="1"/>
  <c r="C963" i="4" a="1"/>
  <c r="C963" i="4" s="1"/>
  <c r="B963" i="4" a="1"/>
  <c r="B963" i="4" s="1"/>
  <c r="D964" i="4" a="1"/>
  <c r="D964" i="4" s="1"/>
  <c r="N964" i="4" a="1"/>
  <c r="N964" i="4" s="1"/>
  <c r="B966" i="4" a="1"/>
  <c r="B966" i="4" s="1"/>
  <c r="D972" i="4" a="1"/>
  <c r="D972" i="4" s="1"/>
  <c r="N972" i="4" a="1"/>
  <c r="N972" i="4" s="1"/>
  <c r="J977" i="4"/>
  <c r="H977" i="4"/>
  <c r="D979" i="4" a="1"/>
  <c r="D979" i="4" s="1"/>
  <c r="B980" i="4" a="1"/>
  <c r="B980" i="4" s="1"/>
  <c r="C971" i="4" a="1"/>
  <c r="C971" i="4" s="1"/>
  <c r="B971" i="4" a="1"/>
  <c r="B971" i="4" s="1"/>
  <c r="B949" i="4" a="1"/>
  <c r="B949" i="4" s="1"/>
  <c r="N949" i="4" a="1"/>
  <c r="N949" i="4" s="1"/>
  <c r="M957" i="4" a="1"/>
  <c r="M957" i="4" s="1"/>
  <c r="D959" i="4" a="1"/>
  <c r="D959" i="4" s="1"/>
  <c r="H961" i="4"/>
  <c r="B962" i="4" a="1"/>
  <c r="B962" i="4" s="1"/>
  <c r="C966" i="4" a="1"/>
  <c r="C966" i="4" s="1"/>
  <c r="M978" i="4" a="1"/>
  <c r="M978" i="4" s="1"/>
  <c r="E980" i="4" a="1"/>
  <c r="E980" i="4" s="1"/>
  <c r="H985" i="4"/>
  <c r="M986" i="4" a="1"/>
  <c r="M986" i="4" s="1"/>
  <c r="N987" i="4" a="1"/>
  <c r="N987" i="4" s="1"/>
  <c r="E988" i="4" a="1"/>
  <c r="E988" i="4" s="1"/>
  <c r="J991" i="4"/>
  <c r="H993" i="4"/>
  <c r="M994" i="4" a="1"/>
  <c r="M994" i="4" s="1"/>
  <c r="N995" i="4" a="1"/>
  <c r="N995" i="4" s="1"/>
  <c r="E996" i="4" a="1"/>
  <c r="E996" i="4" s="1"/>
  <c r="N997" i="4" a="1"/>
  <c r="N997" i="4" s="1"/>
  <c r="M971" i="4" a="1"/>
  <c r="M971" i="4" s="1"/>
  <c r="C976" i="4" a="1"/>
  <c r="C976" i="4" s="1"/>
  <c r="H978" i="4"/>
  <c r="M979" i="4" a="1"/>
  <c r="M979" i="4" s="1"/>
  <c r="N980" i="4" a="1"/>
  <c r="N980" i="4" s="1"/>
  <c r="E981" i="4" a="1"/>
  <c r="E981" i="4" s="1"/>
  <c r="C984" i="4" a="1"/>
  <c r="C984" i="4" s="1"/>
  <c r="H986" i="4"/>
  <c r="M987" i="4" a="1"/>
  <c r="M987" i="4" s="1"/>
  <c r="N988" i="4" a="1"/>
  <c r="N988" i="4" s="1"/>
  <c r="E989" i="4" a="1"/>
  <c r="E989" i="4" s="1"/>
  <c r="C992" i="4" a="1"/>
  <c r="C992" i="4" s="1"/>
  <c r="B994" i="4" a="1"/>
  <c r="B994" i="4" s="1"/>
  <c r="M995" i="4" a="1"/>
  <c r="M995" i="4" s="1"/>
  <c r="M948" i="4" a="1"/>
  <c r="M948" i="4" s="1"/>
  <c r="M956" i="4" a="1"/>
  <c r="M956" i="4" s="1"/>
  <c r="M964" i="4" a="1"/>
  <c r="M964" i="4" s="1"/>
  <c r="H971" i="4"/>
  <c r="M972" i="4" a="1"/>
  <c r="M972" i="4" s="1"/>
  <c r="H979" i="4"/>
  <c r="M980" i="4" a="1"/>
  <c r="M980" i="4" s="1"/>
  <c r="N981" i="4" a="1"/>
  <c r="N981" i="4" s="1"/>
  <c r="B987" i="4" a="1"/>
  <c r="B987" i="4" s="1"/>
  <c r="H987" i="4"/>
  <c r="M988" i="4" a="1"/>
  <c r="M988" i="4" s="1"/>
  <c r="N989" i="4" a="1"/>
  <c r="N989" i="4" s="1"/>
  <c r="B995" i="4" a="1"/>
  <c r="B995" i="4" s="1"/>
  <c r="M996" i="4" a="1"/>
  <c r="M996" i="4" s="1"/>
  <c r="M997" i="4" a="1"/>
  <c r="M997" i="4" s="1"/>
  <c r="H997" i="4"/>
  <c r="M998" i="4" a="1"/>
  <c r="M998" i="4" s="1"/>
  <c r="M981" i="4" a="1"/>
  <c r="M981" i="4" s="1"/>
  <c r="M989" i="4" a="1"/>
  <c r="M989" i="4" s="1"/>
  <c r="C994" i="4" a="1"/>
  <c r="C994" i="4" s="1"/>
  <c r="B998" i="4" a="1"/>
  <c r="B998" i="4" s="1"/>
  <c r="H1001" i="4"/>
  <c r="J1001" i="4"/>
  <c r="M945" i="4" a="1"/>
  <c r="M945" i="4" s="1"/>
  <c r="M950" i="4" a="1"/>
  <c r="M950" i="4" s="1"/>
  <c r="M958" i="4" a="1"/>
  <c r="M958" i="4" s="1"/>
  <c r="M966" i="4" a="1"/>
  <c r="M966" i="4" s="1"/>
  <c r="M974" i="4" a="1"/>
  <c r="M974" i="4" s="1"/>
  <c r="B981" i="4" a="1"/>
  <c r="B981" i="4" s="1"/>
  <c r="M982" i="4" a="1"/>
  <c r="M982" i="4" s="1"/>
  <c r="C987" i="4" a="1"/>
  <c r="C987" i="4" s="1"/>
  <c r="B989" i="4" a="1"/>
  <c r="B989" i="4" s="1"/>
  <c r="M990" i="4" a="1"/>
  <c r="M990" i="4" s="1"/>
  <c r="D994" i="4" a="1"/>
  <c r="D994" i="4" s="1"/>
  <c r="C995" i="4" a="1"/>
  <c r="C995" i="4" s="1"/>
  <c r="C998" i="4" a="1"/>
  <c r="C998" i="4" s="1"/>
  <c r="E1000" i="4" a="1"/>
  <c r="E1000" i="4" s="1"/>
  <c r="D1000" i="4" a="1"/>
  <c r="D1000" i="4" s="1"/>
  <c r="C1000" i="4" a="1"/>
  <c r="C1000" i="4" s="1"/>
  <c r="N1000" i="4" a="1"/>
  <c r="N1000" i="4" s="1"/>
  <c r="E994" i="4" a="1"/>
  <c r="E994" i="4" s="1"/>
  <c r="N996" i="4" a="1"/>
  <c r="N996" i="4" s="1"/>
  <c r="H1000" i="4"/>
  <c r="E1001" i="4" a="1"/>
  <c r="E1001" i="4" s="1"/>
  <c r="M1001" i="4" a="1"/>
  <c r="M1001" i="4" s="1"/>
  <c r="B1001" i="4" a="1"/>
  <c r="B1001" i="4" s="1"/>
  <c r="M289" i="4" a="1"/>
  <c r="M289" i="4" s="1"/>
  <c r="D307" i="4" a="1"/>
  <c r="D307" i="4" s="1"/>
  <c r="C307" i="4" a="1"/>
  <c r="C307" i="4" s="1"/>
  <c r="N307" i="4" a="1"/>
  <c r="N307" i="4" s="1"/>
  <c r="E307" i="4" a="1"/>
  <c r="E307" i="4" s="1"/>
  <c r="N277" i="4" a="1"/>
  <c r="N277" i="4" s="1"/>
  <c r="C277" i="4" a="1"/>
  <c r="C277" i="4" s="1"/>
  <c r="D282" i="4" a="1"/>
  <c r="D282" i="4" s="1"/>
  <c r="M282" i="4" a="1"/>
  <c r="M282" i="4" s="1"/>
  <c r="E282" i="4" a="1"/>
  <c r="E282" i="4" s="1"/>
  <c r="B283" i="4" a="1"/>
  <c r="B283" i="4" s="1"/>
  <c r="C283" i="4" a="1"/>
  <c r="C283" i="4" s="1"/>
  <c r="C292" i="4" a="1"/>
  <c r="C292" i="4" s="1"/>
  <c r="E292" i="4" a="1"/>
  <c r="E292" i="4" s="1"/>
  <c r="C294" i="4" a="1"/>
  <c r="C294" i="4" s="1"/>
  <c r="B299" i="4" a="1"/>
  <c r="B299" i="4" s="1"/>
  <c r="N299" i="4" a="1"/>
  <c r="N299" i="4" s="1"/>
  <c r="E299" i="4" a="1"/>
  <c r="E299" i="4" s="1"/>
  <c r="C299" i="4" a="1"/>
  <c r="C299" i="4" s="1"/>
  <c r="M322" i="4" a="1"/>
  <c r="M322" i="4" s="1"/>
  <c r="E322" i="4" a="1"/>
  <c r="E322" i="4" s="1"/>
  <c r="D322" i="4" a="1"/>
  <c r="D322" i="4" s="1"/>
  <c r="C322" i="4" a="1"/>
  <c r="C322" i="4" s="1"/>
  <c r="N322" i="4" a="1"/>
  <c r="N322" i="4" s="1"/>
  <c r="B322" i="4" a="1"/>
  <c r="B322" i="4" s="1"/>
  <c r="H263" i="4"/>
  <c r="N264" i="4" a="1"/>
  <c r="N264" i="4" s="1"/>
  <c r="B264" i="4" a="1"/>
  <c r="B264" i="4" s="1"/>
  <c r="D264" i="4" a="1"/>
  <c r="D264" i="4" s="1"/>
  <c r="C264" i="4" a="1"/>
  <c r="C264" i="4" s="1"/>
  <c r="J301" i="4"/>
  <c r="H301" i="4"/>
  <c r="B305" i="4" a="1"/>
  <c r="B305" i="4" s="1"/>
  <c r="N305" i="4" a="1"/>
  <c r="N305" i="4" s="1"/>
  <c r="D305" i="4" a="1"/>
  <c r="D305" i="4" s="1"/>
  <c r="C308" i="4" a="1"/>
  <c r="C308" i="4" s="1"/>
  <c r="N308" i="4" a="1"/>
  <c r="N308" i="4" s="1"/>
  <c r="B308" i="4" a="1"/>
  <c r="B308" i="4" s="1"/>
  <c r="E308" i="4" a="1"/>
  <c r="E308" i="4" s="1"/>
  <c r="N325" i="4" a="1"/>
  <c r="N325" i="4" s="1"/>
  <c r="E325" i="4" a="1"/>
  <c r="E325" i="4" s="1"/>
  <c r="C325" i="4" a="1"/>
  <c r="C325" i="4" s="1"/>
  <c r="B325" i="4" a="1"/>
  <c r="B325" i="4" s="1"/>
  <c r="N261" i="4" a="1"/>
  <c r="N261" i="4" s="1"/>
  <c r="C261" i="4" a="1"/>
  <c r="C261" i="4" s="1"/>
  <c r="C254" i="4" a="1"/>
  <c r="C254" i="4" s="1"/>
  <c r="E254" i="4" a="1"/>
  <c r="E254" i="4" s="1"/>
  <c r="E261" i="4" a="1"/>
  <c r="E261" i="4" s="1"/>
  <c r="N266" i="4" a="1"/>
  <c r="N266" i="4" s="1"/>
  <c r="M268" i="4" a="1"/>
  <c r="M268" i="4" s="1"/>
  <c r="N268" i="4" a="1"/>
  <c r="N268" i="4" s="1"/>
  <c r="B268" i="4" a="1"/>
  <c r="B268" i="4" s="1"/>
  <c r="C269" i="4" a="1"/>
  <c r="C269" i="4" s="1"/>
  <c r="N269" i="4" a="1"/>
  <c r="N269" i="4" s="1"/>
  <c r="H270" i="4"/>
  <c r="J270" i="4"/>
  <c r="E283" i="4" a="1"/>
  <c r="E283" i="4" s="1"/>
  <c r="N289" i="4" a="1"/>
  <c r="N289" i="4" s="1"/>
  <c r="H291" i="4"/>
  <c r="N293" i="4" a="1"/>
  <c r="N293" i="4" s="1"/>
  <c r="C293" i="4" a="1"/>
  <c r="C293" i="4" s="1"/>
  <c r="D298" i="4" a="1"/>
  <c r="D298" i="4" s="1"/>
  <c r="C298" i="4" a="1"/>
  <c r="C298" i="4" s="1"/>
  <c r="M298" i="4" a="1"/>
  <c r="M298" i="4" s="1"/>
  <c r="E298" i="4" a="1"/>
  <c r="E298" i="4" s="1"/>
  <c r="M300" i="4" a="1"/>
  <c r="M300" i="4" s="1"/>
  <c r="E300" i="4" a="1"/>
  <c r="E300" i="4" s="1"/>
  <c r="N300" i="4" a="1"/>
  <c r="N300" i="4" s="1"/>
  <c r="B300" i="4" a="1"/>
  <c r="B300" i="4" s="1"/>
  <c r="C305" i="4" a="1"/>
  <c r="C305" i="4" s="1"/>
  <c r="J306" i="4"/>
  <c r="D308" i="4" a="1"/>
  <c r="D308" i="4" s="1"/>
  <c r="D314" i="4" a="1"/>
  <c r="D314" i="4" s="1"/>
  <c r="N314" i="4" a="1"/>
  <c r="N314" i="4" s="1"/>
  <c r="E267" i="4" a="1"/>
  <c r="E267" i="4" s="1"/>
  <c r="M254" i="4" a="1"/>
  <c r="M254" i="4" s="1"/>
  <c r="N255" i="4" a="1"/>
  <c r="N255" i="4" s="1"/>
  <c r="H257" i="4"/>
  <c r="J257" i="4"/>
  <c r="H256" i="4"/>
  <c r="D253" i="4" a="1"/>
  <c r="D253" i="4" s="1"/>
  <c r="D259" i="4" a="1"/>
  <c r="D259" i="4" s="1"/>
  <c r="N259" i="4" a="1"/>
  <c r="N259" i="4" s="1"/>
  <c r="E259" i="4" a="1"/>
  <c r="E259" i="4" s="1"/>
  <c r="B265" i="4" a="1"/>
  <c r="B265" i="4" s="1"/>
  <c r="N265" i="4" a="1"/>
  <c r="N265" i="4" s="1"/>
  <c r="C268" i="4" a="1"/>
  <c r="C268" i="4" s="1"/>
  <c r="D269" i="4" a="1"/>
  <c r="D269" i="4" s="1"/>
  <c r="E271" i="4" a="1"/>
  <c r="E271" i="4" s="1"/>
  <c r="B271" i="4" a="1"/>
  <c r="B271" i="4" s="1"/>
  <c r="H273" i="4"/>
  <c r="J273" i="4"/>
  <c r="B274" i="4" a="1"/>
  <c r="B274" i="4" s="1"/>
  <c r="J274" i="4"/>
  <c r="E277" i="4" a="1"/>
  <c r="E277" i="4" s="1"/>
  <c r="H279" i="4"/>
  <c r="N280" i="4" a="1"/>
  <c r="N280" i="4" s="1"/>
  <c r="B280" i="4" a="1"/>
  <c r="B280" i="4" s="1"/>
  <c r="D280" i="4" a="1"/>
  <c r="D280" i="4" s="1"/>
  <c r="C280" i="4" a="1"/>
  <c r="C280" i="4" s="1"/>
  <c r="C282" i="4" a="1"/>
  <c r="C282" i="4" s="1"/>
  <c r="N283" i="4" a="1"/>
  <c r="N283" i="4" s="1"/>
  <c r="C288" i="4" a="1"/>
  <c r="C288" i="4" s="1"/>
  <c r="E289" i="4" a="1"/>
  <c r="E289" i="4" s="1"/>
  <c r="D292" i="4" a="1"/>
  <c r="D292" i="4" s="1"/>
  <c r="D293" i="4" a="1"/>
  <c r="D293" i="4" s="1"/>
  <c r="B298" i="4" a="1"/>
  <c r="B298" i="4" s="1"/>
  <c r="C300" i="4" a="1"/>
  <c r="C300" i="4" s="1"/>
  <c r="C301" i="4" a="1"/>
  <c r="C301" i="4" s="1"/>
  <c r="E301" i="4" a="1"/>
  <c r="E301" i="4" s="1"/>
  <c r="H304" i="4"/>
  <c r="M306" i="4" a="1"/>
  <c r="M306" i="4" s="1"/>
  <c r="E306" i="4" a="1"/>
  <c r="E306" i="4" s="1"/>
  <c r="C306" i="4" a="1"/>
  <c r="C306" i="4" s="1"/>
  <c r="M308" i="4" a="1"/>
  <c r="M308" i="4" s="1"/>
  <c r="N312" i="4" a="1"/>
  <c r="N312" i="4" s="1"/>
  <c r="B315" i="4" a="1"/>
  <c r="B315" i="4" s="1"/>
  <c r="J317" i="4"/>
  <c r="H317" i="4"/>
  <c r="C324" i="4" a="1"/>
  <c r="C324" i="4" s="1"/>
  <c r="N324" i="4" a="1"/>
  <c r="N324" i="4" s="1"/>
  <c r="B324" i="4" a="1"/>
  <c r="B324" i="4" s="1"/>
  <c r="M324" i="4" a="1"/>
  <c r="M324" i="4" s="1"/>
  <c r="E324" i="4" a="1"/>
  <c r="E324" i="4" s="1"/>
  <c r="D324" i="4" a="1"/>
  <c r="D324" i="4" s="1"/>
  <c r="M252" i="4" a="1"/>
  <c r="M252" i="4" s="1"/>
  <c r="N252" i="4" a="1"/>
  <c r="N252" i="4" s="1"/>
  <c r="B252" i="4" a="1"/>
  <c r="B252" i="4" s="1"/>
  <c r="N267" i="4" a="1"/>
  <c r="N267" i="4" s="1"/>
  <c r="B282" i="4" a="1"/>
  <c r="B282" i="4" s="1"/>
  <c r="C253" i="4" a="1"/>
  <c r="C253" i="4" s="1"/>
  <c r="N253" i="4" a="1"/>
  <c r="N253" i="4" s="1"/>
  <c r="M255" i="4" a="1"/>
  <c r="M255" i="4" s="1"/>
  <c r="C257" i="4" a="1"/>
  <c r="C257" i="4" s="1"/>
  <c r="D275" i="4" a="1"/>
  <c r="D275" i="4" s="1"/>
  <c r="N275" i="4" a="1"/>
  <c r="N275" i="4" s="1"/>
  <c r="E275" i="4" a="1"/>
  <c r="E275" i="4" s="1"/>
  <c r="H286" i="4"/>
  <c r="J286" i="4"/>
  <c r="M292" i="4" a="1"/>
  <c r="M292" i="4" s="1"/>
  <c r="E305" i="4" a="1"/>
  <c r="E305" i="4" s="1"/>
  <c r="E255" i="4" a="1"/>
  <c r="E255" i="4" s="1"/>
  <c r="B255" i="4" a="1"/>
  <c r="B255" i="4" s="1"/>
  <c r="D261" i="4" a="1"/>
  <c r="D261" i="4" s="1"/>
  <c r="D277" i="4" a="1"/>
  <c r="D277" i="4" s="1"/>
  <c r="B256" i="4" a="1"/>
  <c r="B256" i="4" s="1"/>
  <c r="E278" i="4" a="1"/>
  <c r="E278" i="4" s="1"/>
  <c r="N282" i="4" a="1"/>
  <c r="N282" i="4" s="1"/>
  <c r="M284" i="4" a="1"/>
  <c r="M284" i="4" s="1"/>
  <c r="N284" i="4" a="1"/>
  <c r="N284" i="4" s="1"/>
  <c r="B284" i="4" a="1"/>
  <c r="B284" i="4" s="1"/>
  <c r="E252" i="4" a="1"/>
  <c r="E252" i="4" s="1"/>
  <c r="H254" i="4"/>
  <c r="J254" i="4"/>
  <c r="C256" i="4" a="1"/>
  <c r="C256" i="4" s="1"/>
  <c r="D257" i="4" a="1"/>
  <c r="D257" i="4" s="1"/>
  <c r="E258" i="4" a="1"/>
  <c r="E258" i="4" s="1"/>
  <c r="M258" i="4" a="1"/>
  <c r="M258" i="4" s="1"/>
  <c r="C260" i="4" a="1"/>
  <c r="C260" i="4" s="1"/>
  <c r="E260" i="4" a="1"/>
  <c r="E260" i="4" s="1"/>
  <c r="M264" i="4" a="1"/>
  <c r="M264" i="4" s="1"/>
  <c r="E265" i="4" a="1"/>
  <c r="E265" i="4" s="1"/>
  <c r="H266" i="4"/>
  <c r="B270" i="4" a="1"/>
  <c r="B270" i="4" s="1"/>
  <c r="N271" i="4" a="1"/>
  <c r="N271" i="4" s="1"/>
  <c r="B281" i="4" a="1"/>
  <c r="B281" i="4" s="1"/>
  <c r="N281" i="4" a="1"/>
  <c r="N281" i="4" s="1"/>
  <c r="C284" i="4" a="1"/>
  <c r="C284" i="4" s="1"/>
  <c r="D285" i="4" a="1"/>
  <c r="D285" i="4" s="1"/>
  <c r="E287" i="4" a="1"/>
  <c r="E287" i="4" s="1"/>
  <c r="B287" i="4" a="1"/>
  <c r="B287" i="4" s="1"/>
  <c r="E288" i="4" a="1"/>
  <c r="E288" i="4" s="1"/>
  <c r="H289" i="4"/>
  <c r="J289" i="4"/>
  <c r="B290" i="4" a="1"/>
  <c r="B290" i="4" s="1"/>
  <c r="J290" i="4"/>
  <c r="E293" i="4" a="1"/>
  <c r="E293" i="4" s="1"/>
  <c r="N296" i="4" a="1"/>
  <c r="N296" i="4" s="1"/>
  <c r="B296" i="4" a="1"/>
  <c r="B296" i="4" s="1"/>
  <c r="D296" i="4" a="1"/>
  <c r="D296" i="4" s="1"/>
  <c r="C296" i="4" a="1"/>
  <c r="C296" i="4" s="1"/>
  <c r="N298" i="4" a="1"/>
  <c r="N298" i="4" s="1"/>
  <c r="M301" i="4" a="1"/>
  <c r="M301" i="4" s="1"/>
  <c r="N301" i="4" a="1"/>
  <c r="N301" i="4" s="1"/>
  <c r="D306" i="4" a="1"/>
  <c r="D306" i="4" s="1"/>
  <c r="N306" i="4" a="1"/>
  <c r="N306" i="4" s="1"/>
  <c r="N309" i="4" a="1"/>
  <c r="N309" i="4" s="1"/>
  <c r="E309" i="4" a="1"/>
  <c r="E309" i="4" s="1"/>
  <c r="C309" i="4" a="1"/>
  <c r="C309" i="4" s="1"/>
  <c r="M316" i="4" a="1"/>
  <c r="M316" i="4" s="1"/>
  <c r="E316" i="4" a="1"/>
  <c r="E316" i="4" s="1"/>
  <c r="C316" i="4" a="1"/>
  <c r="C316" i="4" s="1"/>
  <c r="N316" i="4" a="1"/>
  <c r="N316" i="4" s="1"/>
  <c r="B316" i="4" a="1"/>
  <c r="B316" i="4" s="1"/>
  <c r="C317" i="4" a="1"/>
  <c r="C317" i="4" s="1"/>
  <c r="N317" i="4" a="1"/>
  <c r="N317" i="4" s="1"/>
  <c r="E317" i="4" a="1"/>
  <c r="E317" i="4" s="1"/>
  <c r="D325" i="4" a="1"/>
  <c r="D325" i="4" s="1"/>
  <c r="J258" i="4"/>
  <c r="D252" i="4" a="1"/>
  <c r="D252" i="4" s="1"/>
  <c r="E264" i="4" a="1"/>
  <c r="E264" i="4" s="1"/>
  <c r="M267" i="4" a="1"/>
  <c r="M267" i="4" s="1"/>
  <c r="D254" i="4" a="1"/>
  <c r="D254" i="4" s="1"/>
  <c r="C255" i="4" a="1"/>
  <c r="C255" i="4" s="1"/>
  <c r="D256" i="4" a="1"/>
  <c r="D256" i="4" s="1"/>
  <c r="B261" i="4" a="1"/>
  <c r="B261" i="4" s="1"/>
  <c r="J261" i="4"/>
  <c r="N262" i="4" a="1"/>
  <c r="N262" i="4" s="1"/>
  <c r="B262" i="4" a="1"/>
  <c r="B262" i="4" s="1"/>
  <c r="D266" i="4" a="1"/>
  <c r="D266" i="4" s="1"/>
  <c r="M266" i="4" a="1"/>
  <c r="M266" i="4" s="1"/>
  <c r="E266" i="4" a="1"/>
  <c r="E266" i="4" s="1"/>
  <c r="B267" i="4" a="1"/>
  <c r="B267" i="4" s="1"/>
  <c r="C267" i="4" a="1"/>
  <c r="C267" i="4" s="1"/>
  <c r="E268" i="4" a="1"/>
  <c r="E268" i="4" s="1"/>
  <c r="C270" i="4" a="1"/>
  <c r="C270" i="4" s="1"/>
  <c r="M270" i="4" a="1"/>
  <c r="M270" i="4" s="1"/>
  <c r="M272" i="4" a="1"/>
  <c r="M272" i="4" s="1"/>
  <c r="E274" i="4" a="1"/>
  <c r="E274" i="4" s="1"/>
  <c r="M274" i="4" a="1"/>
  <c r="M274" i="4" s="1"/>
  <c r="C276" i="4" a="1"/>
  <c r="C276" i="4" s="1"/>
  <c r="E276" i="4" a="1"/>
  <c r="E276" i="4" s="1"/>
  <c r="E280" i="4" a="1"/>
  <c r="E280" i="4" s="1"/>
  <c r="D281" i="4" a="1"/>
  <c r="D281" i="4" s="1"/>
  <c r="M283" i="4" a="1"/>
  <c r="M283" i="4" s="1"/>
  <c r="D284" i="4" a="1"/>
  <c r="D284" i="4" s="1"/>
  <c r="D286" i="4" a="1"/>
  <c r="D286" i="4" s="1"/>
  <c r="D287" i="4" a="1"/>
  <c r="D287" i="4" s="1"/>
  <c r="C290" i="4" a="1"/>
  <c r="C290" i="4" s="1"/>
  <c r="D291" i="4" a="1"/>
  <c r="D291" i="4" s="1"/>
  <c r="N291" i="4" a="1"/>
  <c r="N291" i="4" s="1"/>
  <c r="E291" i="4" a="1"/>
  <c r="E291" i="4" s="1"/>
  <c r="N292" i="4" a="1"/>
  <c r="N292" i="4" s="1"/>
  <c r="E294" i="4" a="1"/>
  <c r="E294" i="4" s="1"/>
  <c r="B301" i="4" a="1"/>
  <c r="B301" i="4" s="1"/>
  <c r="D304" i="4" a="1"/>
  <c r="D304" i="4" s="1"/>
  <c r="C304" i="4" a="1"/>
  <c r="C304" i="4" s="1"/>
  <c r="B309" i="4" a="1"/>
  <c r="B309" i="4" s="1"/>
  <c r="J314" i="4"/>
  <c r="H314" i="4"/>
  <c r="D316" i="4" a="1"/>
  <c r="D316" i="4" s="1"/>
  <c r="E330" i="4" a="1"/>
  <c r="E330" i="4" s="1"/>
  <c r="D330" i="4" a="1"/>
  <c r="D330" i="4" s="1"/>
  <c r="N344" i="4" a="1"/>
  <c r="N344" i="4" s="1"/>
  <c r="E344" i="4" a="1"/>
  <c r="E344" i="4" s="1"/>
  <c r="N360" i="4" a="1"/>
  <c r="N360" i="4" s="1"/>
  <c r="E360" i="4" a="1"/>
  <c r="E360" i="4" s="1"/>
  <c r="B360" i="4" a="1"/>
  <c r="B360" i="4" s="1"/>
  <c r="C364" i="4" a="1"/>
  <c r="C364" i="4" s="1"/>
  <c r="N364" i="4" a="1"/>
  <c r="N364" i="4" s="1"/>
  <c r="E364" i="4" a="1"/>
  <c r="E364" i="4" s="1"/>
  <c r="D364" i="4" a="1"/>
  <c r="D364" i="4" s="1"/>
  <c r="B364" i="4" a="1"/>
  <c r="B364" i="4" s="1"/>
  <c r="M265" i="4" a="1"/>
  <c r="M265" i="4" s="1"/>
  <c r="M281" i="4" a="1"/>
  <c r="M281" i="4" s="1"/>
  <c r="M297" i="4" a="1"/>
  <c r="M297" i="4" s="1"/>
  <c r="N297" i="4" a="1"/>
  <c r="N297" i="4" s="1"/>
  <c r="D302" i="4" a="1"/>
  <c r="D302" i="4" s="1"/>
  <c r="J302" i="4"/>
  <c r="B303" i="4" a="1"/>
  <c r="B303" i="4" s="1"/>
  <c r="J305" i="4"/>
  <c r="C312" i="4" a="1"/>
  <c r="C312" i="4" s="1"/>
  <c r="M313" i="4" a="1"/>
  <c r="M313" i="4" s="1"/>
  <c r="N313" i="4" a="1"/>
  <c r="N313" i="4" s="1"/>
  <c r="E314" i="4" a="1"/>
  <c r="E314" i="4" s="1"/>
  <c r="C315" i="4" a="1"/>
  <c r="C315" i="4" s="1"/>
  <c r="J318" i="4"/>
  <c r="B319" i="4" a="1"/>
  <c r="B319" i="4" s="1"/>
  <c r="J321" i="4"/>
  <c r="H322" i="4"/>
  <c r="E323" i="4" a="1"/>
  <c r="E323" i="4" s="1"/>
  <c r="H325" i="4"/>
  <c r="C328" i="4" a="1"/>
  <c r="C328" i="4" s="1"/>
  <c r="D329" i="4" a="1"/>
  <c r="D329" i="4" s="1"/>
  <c r="N331" i="4" a="1"/>
  <c r="N331" i="4" s="1"/>
  <c r="B333" i="4" a="1"/>
  <c r="B333" i="4" s="1"/>
  <c r="D334" i="4" a="1"/>
  <c r="D334" i="4" s="1"/>
  <c r="B334" i="4" a="1"/>
  <c r="B334" i="4" s="1"/>
  <c r="C334" i="4" a="1"/>
  <c r="C334" i="4" s="1"/>
  <c r="E335" i="4" a="1"/>
  <c r="E335" i="4" s="1"/>
  <c r="M337" i="4" a="1"/>
  <c r="M337" i="4" s="1"/>
  <c r="D351" i="4" a="1"/>
  <c r="D351" i="4" s="1"/>
  <c r="H354" i="4"/>
  <c r="M357" i="4" a="1"/>
  <c r="M357" i="4" s="1"/>
  <c r="M275" i="4" a="1"/>
  <c r="M275" i="4" s="1"/>
  <c r="B278" i="4" a="1"/>
  <c r="B278" i="4" s="1"/>
  <c r="N278" i="4" a="1"/>
  <c r="N278" i="4" s="1"/>
  <c r="M291" i="4" a="1"/>
  <c r="M291" i="4" s="1"/>
  <c r="B294" i="4" a="1"/>
  <c r="B294" i="4" s="1"/>
  <c r="N294" i="4" a="1"/>
  <c r="N294" i="4" s="1"/>
  <c r="M307" i="4" a="1"/>
  <c r="M307" i="4" s="1"/>
  <c r="B310" i="4" a="1"/>
  <c r="B310" i="4" s="1"/>
  <c r="N310" i="4" a="1"/>
  <c r="N310" i="4" s="1"/>
  <c r="D312" i="4" a="1"/>
  <c r="D312" i="4" s="1"/>
  <c r="M314" i="4" a="1"/>
  <c r="M314" i="4" s="1"/>
  <c r="D321" i="4" a="1"/>
  <c r="D321" i="4" s="1"/>
  <c r="M323" i="4" a="1"/>
  <c r="M323" i="4" s="1"/>
  <c r="N323" i="4" a="1"/>
  <c r="N323" i="4" s="1"/>
  <c r="B326" i="4" a="1"/>
  <c r="B326" i="4" s="1"/>
  <c r="N326" i="4" a="1"/>
  <c r="N326" i="4" s="1"/>
  <c r="D328" i="4" a="1"/>
  <c r="D328" i="4" s="1"/>
  <c r="N330" i="4" a="1"/>
  <c r="N330" i="4" s="1"/>
  <c r="M335" i="4" a="1"/>
  <c r="M335" i="4" s="1"/>
  <c r="N337" i="4" a="1"/>
  <c r="N337" i="4" s="1"/>
  <c r="N339" i="4" a="1"/>
  <c r="N339" i="4" s="1"/>
  <c r="B339" i="4" a="1"/>
  <c r="B339" i="4" s="1"/>
  <c r="C339" i="4" a="1"/>
  <c r="C339" i="4" s="1"/>
  <c r="D339" i="4" a="1"/>
  <c r="D339" i="4" s="1"/>
  <c r="B342" i="4" a="1"/>
  <c r="B342" i="4" s="1"/>
  <c r="N342" i="4" a="1"/>
  <c r="N342" i="4" s="1"/>
  <c r="E342" i="4" a="1"/>
  <c r="E342" i="4" s="1"/>
  <c r="C344" i="4" a="1"/>
  <c r="C344" i="4" s="1"/>
  <c r="H350" i="4"/>
  <c r="J350" i="4"/>
  <c r="M351" i="4" a="1"/>
  <c r="M351" i="4" s="1"/>
  <c r="E357" i="4" a="1"/>
  <c r="E357" i="4" s="1"/>
  <c r="N361" i="4" a="1"/>
  <c r="N361" i="4" s="1"/>
  <c r="M317" i="4" a="1"/>
  <c r="M317" i="4" s="1"/>
  <c r="B320" i="4" a="1"/>
  <c r="B320" i="4" s="1"/>
  <c r="N320" i="4" a="1"/>
  <c r="N320" i="4" s="1"/>
  <c r="B323" i="4" a="1"/>
  <c r="B323" i="4" s="1"/>
  <c r="E329" i="4" a="1"/>
  <c r="E329" i="4" s="1"/>
  <c r="M329" i="4" a="1"/>
  <c r="M329" i="4" s="1"/>
  <c r="D333" i="4" a="1"/>
  <c r="D333" i="4" s="1"/>
  <c r="D344" i="4" a="1"/>
  <c r="D344" i="4" s="1"/>
  <c r="M345" i="4" a="1"/>
  <c r="M345" i="4" s="1"/>
  <c r="E345" i="4" a="1"/>
  <c r="E345" i="4" s="1"/>
  <c r="N345" i="4" a="1"/>
  <c r="N345" i="4" s="1"/>
  <c r="E368" i="4" a="1"/>
  <c r="E368" i="4" s="1"/>
  <c r="D368" i="4" a="1"/>
  <c r="D368" i="4" s="1"/>
  <c r="E374" i="4" a="1"/>
  <c r="E374" i="4" s="1"/>
  <c r="D374" i="4" a="1"/>
  <c r="D374" i="4" s="1"/>
  <c r="N341" i="4" a="1"/>
  <c r="N341" i="4" s="1"/>
  <c r="B341" i="4" a="1"/>
  <c r="B341" i="4" s="1"/>
  <c r="B358" i="4" a="1"/>
  <c r="B358" i="4" s="1"/>
  <c r="N358" i="4" a="1"/>
  <c r="N358" i="4" s="1"/>
  <c r="E358" i="4" a="1"/>
  <c r="E358" i="4" s="1"/>
  <c r="C358" i="4" a="1"/>
  <c r="C358" i="4" s="1"/>
  <c r="N362" i="4" a="1"/>
  <c r="N362" i="4" s="1"/>
  <c r="E362" i="4" a="1"/>
  <c r="E362" i="4" s="1"/>
  <c r="D362" i="4" a="1"/>
  <c r="D362" i="4" s="1"/>
  <c r="B362" i="4" a="1"/>
  <c r="B362" i="4" s="1"/>
  <c r="N369" i="4" a="1"/>
  <c r="N369" i="4" s="1"/>
  <c r="B369" i="4" a="1"/>
  <c r="B369" i="4" s="1"/>
  <c r="M369" i="4" a="1"/>
  <c r="M369" i="4" s="1"/>
  <c r="E369" i="4" a="1"/>
  <c r="E369" i="4" s="1"/>
  <c r="D369" i="4" a="1"/>
  <c r="D369" i="4" s="1"/>
  <c r="C369" i="4" a="1"/>
  <c r="C369" i="4" s="1"/>
  <c r="M305" i="4" a="1"/>
  <c r="M305" i="4" s="1"/>
  <c r="M312" i="4" a="1"/>
  <c r="M312" i="4" s="1"/>
  <c r="E315" i="4" a="1"/>
  <c r="E315" i="4" s="1"/>
  <c r="C320" i="4" a="1"/>
  <c r="C320" i="4" s="1"/>
  <c r="M321" i="4" a="1"/>
  <c r="M321" i="4" s="1"/>
  <c r="C323" i="4" a="1"/>
  <c r="C323" i="4" s="1"/>
  <c r="M330" i="4" a="1"/>
  <c r="M330" i="4" s="1"/>
  <c r="H330" i="4"/>
  <c r="M333" i="4" a="1"/>
  <c r="M333" i="4" s="1"/>
  <c r="B337" i="4" a="1"/>
  <c r="B337" i="4" s="1"/>
  <c r="J348" i="4"/>
  <c r="D350" i="4" a="1"/>
  <c r="D350" i="4" s="1"/>
  <c r="B350" i="4" a="1"/>
  <c r="B350" i="4" s="1"/>
  <c r="C350" i="4" a="1"/>
  <c r="C350" i="4" s="1"/>
  <c r="D358" i="4" a="1"/>
  <c r="D358" i="4" s="1"/>
  <c r="C314" i="4" a="1"/>
  <c r="C314" i="4" s="1"/>
  <c r="N315" i="4" a="1"/>
  <c r="N315" i="4" s="1"/>
  <c r="H334" i="4"/>
  <c r="J334" i="4"/>
  <c r="B335" i="4" a="1"/>
  <c r="B335" i="4" s="1"/>
  <c r="M299" i="4" a="1"/>
  <c r="M299" i="4" s="1"/>
  <c r="B302" i="4" a="1"/>
  <c r="B302" i="4" s="1"/>
  <c r="M315" i="4" a="1"/>
  <c r="M315" i="4" s="1"/>
  <c r="B330" i="4" a="1"/>
  <c r="B330" i="4" s="1"/>
  <c r="M261" i="4" a="1"/>
  <c r="M261" i="4" s="1"/>
  <c r="M277" i="4" a="1"/>
  <c r="M277" i="4" s="1"/>
  <c r="M293" i="4" a="1"/>
  <c r="M293" i="4" s="1"/>
  <c r="M309" i="4" a="1"/>
  <c r="M309" i="4" s="1"/>
  <c r="B312" i="4" a="1"/>
  <c r="B312" i="4" s="1"/>
  <c r="M325" i="4" a="1"/>
  <c r="M325" i="4" s="1"/>
  <c r="B328" i="4" a="1"/>
  <c r="B328" i="4" s="1"/>
  <c r="H328" i="4"/>
  <c r="D331" i="4" a="1"/>
  <c r="D331" i="4" s="1"/>
  <c r="C337" i="4" a="1"/>
  <c r="C337" i="4" s="1"/>
  <c r="B340" i="4" a="1"/>
  <c r="B340" i="4" s="1"/>
  <c r="C340" i="4" a="1"/>
  <c r="C340" i="4" s="1"/>
  <c r="E346" i="4" a="1"/>
  <c r="E346" i="4" s="1"/>
  <c r="N346" i="4" a="1"/>
  <c r="N346" i="4" s="1"/>
  <c r="D346" i="4" a="1"/>
  <c r="D346" i="4" s="1"/>
  <c r="H349" i="4"/>
  <c r="N350" i="4" a="1"/>
  <c r="N350" i="4" s="1"/>
  <c r="N355" i="4" a="1"/>
  <c r="N355" i="4" s="1"/>
  <c r="B355" i="4" a="1"/>
  <c r="B355" i="4" s="1"/>
  <c r="D355" i="4" a="1"/>
  <c r="D355" i="4" s="1"/>
  <c r="C355" i="4" a="1"/>
  <c r="C355" i="4" s="1"/>
  <c r="E355" i="4" a="1"/>
  <c r="E355" i="4" s="1"/>
  <c r="N359" i="4" a="1"/>
  <c r="N359" i="4" s="1"/>
  <c r="E359" i="4" a="1"/>
  <c r="E359" i="4" s="1"/>
  <c r="B359" i="4" a="1"/>
  <c r="B359" i="4" s="1"/>
  <c r="M343" i="4" a="1"/>
  <c r="M343" i="4" s="1"/>
  <c r="M360" i="4" a="1"/>
  <c r="M360" i="4" s="1"/>
  <c r="M364" i="4" a="1"/>
  <c r="M364" i="4" s="1"/>
  <c r="D371" i="4" a="1"/>
  <c r="D371" i="4" s="1"/>
  <c r="N371" i="4" a="1"/>
  <c r="N371" i="4" s="1"/>
  <c r="B371" i="4" a="1"/>
  <c r="B371" i="4" s="1"/>
  <c r="B375" i="4" a="1"/>
  <c r="B375" i="4" s="1"/>
  <c r="B378" i="4" a="1"/>
  <c r="B378" i="4" s="1"/>
  <c r="E383" i="4" a="1"/>
  <c r="E383" i="4" s="1"/>
  <c r="D383" i="4" a="1"/>
  <c r="D383" i="4" s="1"/>
  <c r="C383" i="4" a="1"/>
  <c r="C383" i="4" s="1"/>
  <c r="E389" i="4" a="1"/>
  <c r="E389" i="4" s="1"/>
  <c r="C407" i="4" a="1"/>
  <c r="C407" i="4" s="1"/>
  <c r="D407" i="4" a="1"/>
  <c r="D407" i="4" s="1"/>
  <c r="M407" i="4" a="1"/>
  <c r="M407" i="4" s="1"/>
  <c r="E407" i="4" a="1"/>
  <c r="E407" i="4" s="1"/>
  <c r="B407" i="4" a="1"/>
  <c r="B407" i="4" s="1"/>
  <c r="N407" i="4" a="1"/>
  <c r="N407" i="4" s="1"/>
  <c r="M342" i="4" a="1"/>
  <c r="M342" i="4" s="1"/>
  <c r="M362" i="4" a="1"/>
  <c r="M362" i="4" s="1"/>
  <c r="B372" i="4" a="1"/>
  <c r="B372" i="4" s="1"/>
  <c r="E372" i="4" a="1"/>
  <c r="E372" i="4" s="1"/>
  <c r="J340" i="4"/>
  <c r="B343" i="4" a="1"/>
  <c r="B343" i="4" s="1"/>
  <c r="M344" i="4" a="1"/>
  <c r="M344" i="4" s="1"/>
  <c r="M346" i="4" a="1"/>
  <c r="M346" i="4" s="1"/>
  <c r="E348" i="4" a="1"/>
  <c r="E348" i="4" s="1"/>
  <c r="N348" i="4" a="1"/>
  <c r="N348" i="4" s="1"/>
  <c r="E349" i="4" a="1"/>
  <c r="E349" i="4" s="1"/>
  <c r="J351" i="4"/>
  <c r="B352" i="4" a="1"/>
  <c r="B352" i="4" s="1"/>
  <c r="E353" i="4" a="1"/>
  <c r="E353" i="4" s="1"/>
  <c r="N353" i="4" a="1"/>
  <c r="N353" i="4" s="1"/>
  <c r="H360" i="4"/>
  <c r="B361" i="4" a="1"/>
  <c r="B361" i="4" s="1"/>
  <c r="J363" i="4"/>
  <c r="J364" i="4"/>
  <c r="J366" i="4"/>
  <c r="C368" i="4" a="1"/>
  <c r="C368" i="4" s="1"/>
  <c r="B368" i="4" a="1"/>
  <c r="B368" i="4" s="1"/>
  <c r="N368" i="4" a="1"/>
  <c r="N368" i="4" s="1"/>
  <c r="H370" i="4"/>
  <c r="C371" i="4" a="1"/>
  <c r="C371" i="4" s="1"/>
  <c r="M374" i="4" a="1"/>
  <c r="M374" i="4" s="1"/>
  <c r="C375" i="4" a="1"/>
  <c r="C375" i="4" s="1"/>
  <c r="C377" i="4" a="1"/>
  <c r="C377" i="4" s="1"/>
  <c r="J377" i="4"/>
  <c r="C378" i="4" a="1"/>
  <c r="C378" i="4" s="1"/>
  <c r="N378" i="4" a="1"/>
  <c r="N378" i="4" s="1"/>
  <c r="E378" i="4" a="1"/>
  <c r="E378" i="4" s="1"/>
  <c r="H382" i="4"/>
  <c r="B383" i="4" a="1"/>
  <c r="B383" i="4" s="1"/>
  <c r="D387" i="4" a="1"/>
  <c r="D387" i="4" s="1"/>
  <c r="N387" i="4" a="1"/>
  <c r="N387" i="4" s="1"/>
  <c r="B387" i="4" a="1"/>
  <c r="B387" i="4" s="1"/>
  <c r="B388" i="4" a="1"/>
  <c r="B388" i="4" s="1"/>
  <c r="E388" i="4" a="1"/>
  <c r="E388" i="4" s="1"/>
  <c r="C391" i="4" a="1"/>
  <c r="C391" i="4" s="1"/>
  <c r="H392" i="4"/>
  <c r="E393" i="4" a="1"/>
  <c r="E393" i="4" s="1"/>
  <c r="C384" i="4" a="1"/>
  <c r="C384" i="4" s="1"/>
  <c r="B384" i="4" a="1"/>
  <c r="B384" i="4" s="1"/>
  <c r="N384" i="4" a="1"/>
  <c r="N384" i="4" s="1"/>
  <c r="N365" i="4" a="1"/>
  <c r="N365" i="4" s="1"/>
  <c r="B365" i="4" a="1"/>
  <c r="B365" i="4" s="1"/>
  <c r="E371" i="4" a="1"/>
  <c r="E371" i="4" s="1"/>
  <c r="M373" i="4" a="1"/>
  <c r="M373" i="4" s="1"/>
  <c r="D373" i="4" a="1"/>
  <c r="D373" i="4" s="1"/>
  <c r="B374" i="4" a="1"/>
  <c r="B374" i="4" s="1"/>
  <c r="H376" i="4"/>
  <c r="M383" i="4" a="1"/>
  <c r="M383" i="4" s="1"/>
  <c r="M386" i="4" a="1"/>
  <c r="M386" i="4" s="1"/>
  <c r="H389" i="4"/>
  <c r="M392" i="4" a="1"/>
  <c r="M392" i="4" s="1"/>
  <c r="E392" i="4" a="1"/>
  <c r="E392" i="4" s="1"/>
  <c r="B399" i="4" a="1"/>
  <c r="B399" i="4" s="1"/>
  <c r="M389" i="4" a="1"/>
  <c r="M389" i="4" s="1"/>
  <c r="D389" i="4" a="1"/>
  <c r="D389" i="4" s="1"/>
  <c r="B390" i="4" a="1"/>
  <c r="B390" i="4" s="1"/>
  <c r="N390" i="4" a="1"/>
  <c r="N390" i="4" s="1"/>
  <c r="D392" i="4" a="1"/>
  <c r="D392" i="4" s="1"/>
  <c r="C392" i="4" a="1"/>
  <c r="C392" i="4" s="1"/>
  <c r="N394" i="4" a="1"/>
  <c r="N394" i="4" s="1"/>
  <c r="E394" i="4" a="1"/>
  <c r="E394" i="4" s="1"/>
  <c r="C397" i="4" a="1"/>
  <c r="C397" i="4" s="1"/>
  <c r="N397" i="4" a="1"/>
  <c r="N397" i="4" s="1"/>
  <c r="B397" i="4" a="1"/>
  <c r="B397" i="4" s="1"/>
  <c r="M397" i="4" a="1"/>
  <c r="M397" i="4" s="1"/>
  <c r="E400" i="4" a="1"/>
  <c r="E400" i="4" s="1"/>
  <c r="D400" i="4" a="1"/>
  <c r="D400" i="4" s="1"/>
  <c r="B400" i="4" a="1"/>
  <c r="B400" i="4" s="1"/>
  <c r="M400" i="4" a="1"/>
  <c r="M400" i="4" s="1"/>
  <c r="E361" i="4" a="1"/>
  <c r="E361" i="4" s="1"/>
  <c r="M361" i="4" a="1"/>
  <c r="M361" i="4" s="1"/>
  <c r="M365" i="4" a="1"/>
  <c r="M365" i="4" s="1"/>
  <c r="D370" i="4" a="1"/>
  <c r="D370" i="4" s="1"/>
  <c r="C381" i="4" a="1"/>
  <c r="C381" i="4" s="1"/>
  <c r="N381" i="4" a="1"/>
  <c r="N381" i="4" s="1"/>
  <c r="B381" i="4" a="1"/>
  <c r="B381" i="4" s="1"/>
  <c r="N383" i="4" a="1"/>
  <c r="N383" i="4" s="1"/>
  <c r="N385" i="4" a="1"/>
  <c r="N385" i="4" s="1"/>
  <c r="B385" i="4" a="1"/>
  <c r="B385" i="4" s="1"/>
  <c r="M385" i="4" a="1"/>
  <c r="M385" i="4" s="1"/>
  <c r="E385" i="4" a="1"/>
  <c r="E385" i="4" s="1"/>
  <c r="B389" i="4" a="1"/>
  <c r="B389" i="4" s="1"/>
  <c r="N392" i="4" a="1"/>
  <c r="N392" i="4" s="1"/>
  <c r="C394" i="4" a="1"/>
  <c r="C394" i="4" s="1"/>
  <c r="M340" i="4" a="1"/>
  <c r="M340" i="4" s="1"/>
  <c r="E343" i="4" a="1"/>
  <c r="E343" i="4" s="1"/>
  <c r="C349" i="4" a="1"/>
  <c r="C349" i="4" s="1"/>
  <c r="C351" i="4" a="1"/>
  <c r="C351" i="4" s="1"/>
  <c r="N351" i="4" a="1"/>
  <c r="N351" i="4" s="1"/>
  <c r="D357" i="4" a="1"/>
  <c r="D357" i="4" s="1"/>
  <c r="H367" i="4"/>
  <c r="E370" i="4" a="1"/>
  <c r="E370" i="4" s="1"/>
  <c r="N370" i="4" a="1"/>
  <c r="N370" i="4" s="1"/>
  <c r="M372" i="4" a="1"/>
  <c r="M372" i="4" s="1"/>
  <c r="C373" i="4" a="1"/>
  <c r="C373" i="4" s="1"/>
  <c r="N374" i="4" a="1"/>
  <c r="N374" i="4" s="1"/>
  <c r="E376" i="4" a="1"/>
  <c r="E376" i="4" s="1"/>
  <c r="D376" i="4" a="1"/>
  <c r="D376" i="4" s="1"/>
  <c r="E381" i="4" a="1"/>
  <c r="E381" i="4" s="1"/>
  <c r="D386" i="4" a="1"/>
  <c r="D386" i="4" s="1"/>
  <c r="E390" i="4" a="1"/>
  <c r="E390" i="4" s="1"/>
  <c r="E397" i="4" a="1"/>
  <c r="E397" i="4" s="1"/>
  <c r="E398" i="4" a="1"/>
  <c r="E398" i="4" s="1"/>
  <c r="N398" i="4" a="1"/>
  <c r="N398" i="4" s="1"/>
  <c r="B398" i="4" a="1"/>
  <c r="B398" i="4" s="1"/>
  <c r="M398" i="4" a="1"/>
  <c r="M398" i="4" s="1"/>
  <c r="C400" i="4" a="1"/>
  <c r="C400" i="4" s="1"/>
  <c r="N400" i="4" a="1"/>
  <c r="N400" i="4" s="1"/>
  <c r="C403" i="4" a="1"/>
  <c r="C403" i="4" s="1"/>
  <c r="D403" i="4" a="1"/>
  <c r="D403" i="4" s="1"/>
  <c r="M403" i="4" a="1"/>
  <c r="M403" i="4" s="1"/>
  <c r="E403" i="4" a="1"/>
  <c r="E403" i="4" s="1"/>
  <c r="C406" i="4" a="1"/>
  <c r="C406" i="4" s="1"/>
  <c r="D406" i="4" a="1"/>
  <c r="D406" i="4" s="1"/>
  <c r="H412" i="4"/>
  <c r="J412" i="4"/>
  <c r="C335" i="4" a="1"/>
  <c r="C335" i="4" s="1"/>
  <c r="N335" i="4" a="1"/>
  <c r="N335" i="4" s="1"/>
  <c r="D341" i="4" a="1"/>
  <c r="D341" i="4" s="1"/>
  <c r="N343" i="4" a="1"/>
  <c r="N343" i="4" s="1"/>
  <c r="B351" i="4" a="1"/>
  <c r="B351" i="4" s="1"/>
  <c r="E352" i="4" a="1"/>
  <c r="E352" i="4" s="1"/>
  <c r="C354" i="4" a="1"/>
  <c r="C354" i="4" s="1"/>
  <c r="B357" i="4" a="1"/>
  <c r="B357" i="4" s="1"/>
  <c r="H357" i="4"/>
  <c r="M358" i="4" a="1"/>
  <c r="M358" i="4" s="1"/>
  <c r="M359" i="4" a="1"/>
  <c r="M359" i="4" s="1"/>
  <c r="E367" i="4" a="1"/>
  <c r="E367" i="4" s="1"/>
  <c r="D367" i="4" a="1"/>
  <c r="D367" i="4" s="1"/>
  <c r="C367" i="4" a="1"/>
  <c r="C367" i="4" s="1"/>
  <c r="E373" i="4" a="1"/>
  <c r="E373" i="4" s="1"/>
  <c r="N373" i="4" a="1"/>
  <c r="N373" i="4" s="1"/>
  <c r="M375" i="4" a="1"/>
  <c r="M375" i="4" s="1"/>
  <c r="C376" i="4" a="1"/>
  <c r="C376" i="4" s="1"/>
  <c r="N376" i="4" a="1"/>
  <c r="N376" i="4" s="1"/>
  <c r="M381" i="4" a="1"/>
  <c r="M381" i="4" s="1"/>
  <c r="H383" i="4"/>
  <c r="C385" i="4" a="1"/>
  <c r="C385" i="4" s="1"/>
  <c r="E386" i="4" a="1"/>
  <c r="E386" i="4" s="1"/>
  <c r="N386" i="4" a="1"/>
  <c r="N386" i="4" s="1"/>
  <c r="C389" i="4" a="1"/>
  <c r="C389" i="4" s="1"/>
  <c r="M391" i="4" a="1"/>
  <c r="M391" i="4" s="1"/>
  <c r="J391" i="4"/>
  <c r="C393" i="4" a="1"/>
  <c r="C393" i="4" s="1"/>
  <c r="N393" i="4" a="1"/>
  <c r="N393" i="4" s="1"/>
  <c r="B393" i="4" a="1"/>
  <c r="B393" i="4" s="1"/>
  <c r="D394" i="4" a="1"/>
  <c r="D394" i="4" s="1"/>
  <c r="H395" i="4"/>
  <c r="D396" i="4" a="1"/>
  <c r="D396" i="4" s="1"/>
  <c r="C396" i="4" a="1"/>
  <c r="C396" i="4" s="1"/>
  <c r="B396" i="4" a="1"/>
  <c r="B396" i="4" s="1"/>
  <c r="C398" i="4" a="1"/>
  <c r="C398" i="4" s="1"/>
  <c r="B403" i="4" a="1"/>
  <c r="B403" i="4" s="1"/>
  <c r="N403" i="4" a="1"/>
  <c r="N403" i="4" s="1"/>
  <c r="J404" i="4"/>
  <c r="D401" i="4" a="1"/>
  <c r="D401" i="4" s="1"/>
  <c r="B411" i="4" a="1"/>
  <c r="B411" i="4" s="1"/>
  <c r="D412" i="4" a="1"/>
  <c r="D412" i="4" s="1"/>
  <c r="M412" i="4" a="1"/>
  <c r="M412" i="4" s="1"/>
  <c r="B414" i="4" a="1"/>
  <c r="B414" i="4" s="1"/>
  <c r="E414" i="4" a="1"/>
  <c r="E414" i="4" s="1"/>
  <c r="C415" i="4" a="1"/>
  <c r="C415" i="4" s="1"/>
  <c r="E416" i="4" a="1"/>
  <c r="E416" i="4" s="1"/>
  <c r="M416" i="4" a="1"/>
  <c r="M416" i="4" s="1"/>
  <c r="J419" i="4"/>
  <c r="H419" i="4"/>
  <c r="M421" i="4" a="1"/>
  <c r="M421" i="4" s="1"/>
  <c r="E421" i="4" a="1"/>
  <c r="E421" i="4" s="1"/>
  <c r="B426" i="4" a="1"/>
  <c r="B426" i="4" s="1"/>
  <c r="E426" i="4" a="1"/>
  <c r="E426" i="4" s="1"/>
  <c r="C426" i="4" a="1"/>
  <c r="C426" i="4" s="1"/>
  <c r="M426" i="4" a="1"/>
  <c r="M426" i="4" s="1"/>
  <c r="D426" i="4" a="1"/>
  <c r="D426" i="4" s="1"/>
  <c r="M336" i="4" a="1"/>
  <c r="M336" i="4" s="1"/>
  <c r="M352" i="4" a="1"/>
  <c r="M352" i="4" s="1"/>
  <c r="M368" i="4" a="1"/>
  <c r="M368" i="4" s="1"/>
  <c r="D382" i="4" a="1"/>
  <c r="D382" i="4" s="1"/>
  <c r="M384" i="4" a="1"/>
  <c r="M384" i="4" s="1"/>
  <c r="E408" i="4" a="1"/>
  <c r="E408" i="4" s="1"/>
  <c r="C408" i="4" a="1"/>
  <c r="C408" i="4" s="1"/>
  <c r="D408" i="4" a="1"/>
  <c r="D408" i="4" s="1"/>
  <c r="E410" i="4" a="1"/>
  <c r="E410" i="4" s="1"/>
  <c r="M410" i="4" a="1"/>
  <c r="M410" i="4" s="1"/>
  <c r="B410" i="4" a="1"/>
  <c r="B410" i="4" s="1"/>
  <c r="E415" i="4" a="1"/>
  <c r="E415" i="4" s="1"/>
  <c r="M415" i="4" a="1"/>
  <c r="M415" i="4" s="1"/>
  <c r="D419" i="4" a="1"/>
  <c r="D419" i="4" s="1"/>
  <c r="N419" i="4" a="1"/>
  <c r="N419" i="4" s="1"/>
  <c r="B419" i="4" a="1"/>
  <c r="B419" i="4" s="1"/>
  <c r="E429" i="4" a="1"/>
  <c r="E429" i="4" s="1"/>
  <c r="N434" i="4" a="1"/>
  <c r="N434" i="4" s="1"/>
  <c r="M434" i="4" a="1"/>
  <c r="M434" i="4" s="1"/>
  <c r="C434" i="4" a="1"/>
  <c r="C434" i="4" s="1"/>
  <c r="B434" i="4" a="1"/>
  <c r="B434" i="4" s="1"/>
  <c r="B439" i="4" a="1"/>
  <c r="B439" i="4" s="1"/>
  <c r="C439" i="4" a="1"/>
  <c r="C439" i="4" s="1"/>
  <c r="D439" i="4" a="1"/>
  <c r="D439" i="4" s="1"/>
  <c r="N439" i="4" a="1"/>
  <c r="N439" i="4" s="1"/>
  <c r="M439" i="4" a="1"/>
  <c r="M439" i="4" s="1"/>
  <c r="M378" i="4" a="1"/>
  <c r="M378" i="4" s="1"/>
  <c r="M394" i="4" a="1"/>
  <c r="M394" i="4" s="1"/>
  <c r="E401" i="4" a="1"/>
  <c r="E401" i="4" s="1"/>
  <c r="M401" i="4" a="1"/>
  <c r="M401" i="4" s="1"/>
  <c r="E405" i="4" a="1"/>
  <c r="E405" i="4" s="1"/>
  <c r="C414" i="4" a="1"/>
  <c r="C414" i="4" s="1"/>
  <c r="C418" i="4" a="1"/>
  <c r="C418" i="4" s="1"/>
  <c r="J427" i="4"/>
  <c r="H427" i="4"/>
  <c r="B430" i="4" a="1"/>
  <c r="B430" i="4" s="1"/>
  <c r="E430" i="4" a="1"/>
  <c r="E430" i="4" s="1"/>
  <c r="N430" i="4" a="1"/>
  <c r="N430" i="4" s="1"/>
  <c r="C430" i="4" a="1"/>
  <c r="C430" i="4" s="1"/>
  <c r="H433" i="4"/>
  <c r="J433" i="4"/>
  <c r="B422" i="4" a="1"/>
  <c r="B422" i="4" s="1"/>
  <c r="E422" i="4" a="1"/>
  <c r="E422" i="4" s="1"/>
  <c r="N422" i="4" a="1"/>
  <c r="N422" i="4" s="1"/>
  <c r="B435" i="4" a="1"/>
  <c r="B435" i="4" s="1"/>
  <c r="C435" i="4" a="1"/>
  <c r="C435" i="4" s="1"/>
  <c r="M435" i="4" a="1"/>
  <c r="M435" i="4" s="1"/>
  <c r="E435" i="4" a="1"/>
  <c r="E435" i="4" s="1"/>
  <c r="D435" i="4" a="1"/>
  <c r="D435" i="4" s="1"/>
  <c r="N435" i="4" a="1"/>
  <c r="N435" i="4" s="1"/>
  <c r="E439" i="4" a="1"/>
  <c r="E439" i="4" s="1"/>
  <c r="C399" i="4" a="1"/>
  <c r="C399" i="4" s="1"/>
  <c r="M399" i="4" a="1"/>
  <c r="M399" i="4" s="1"/>
  <c r="E399" i="4" a="1"/>
  <c r="E399" i="4" s="1"/>
  <c r="N401" i="4" a="1"/>
  <c r="N401" i="4" s="1"/>
  <c r="E404" i="4" a="1"/>
  <c r="E404" i="4" s="1"/>
  <c r="C404" i="4" a="1"/>
  <c r="C404" i="4" s="1"/>
  <c r="D404" i="4" a="1"/>
  <c r="D404" i="4" s="1"/>
  <c r="E406" i="4" a="1"/>
  <c r="E406" i="4" s="1"/>
  <c r="M406" i="4" a="1"/>
  <c r="M406" i="4" s="1"/>
  <c r="N406" i="4" a="1"/>
  <c r="N406" i="4" s="1"/>
  <c r="B406" i="4" a="1"/>
  <c r="B406" i="4" s="1"/>
  <c r="M413" i="4" a="1"/>
  <c r="M413" i="4" s="1"/>
  <c r="N414" i="4" a="1"/>
  <c r="N414" i="4" s="1"/>
  <c r="M419" i="4" a="1"/>
  <c r="M419" i="4" s="1"/>
  <c r="E428" i="4" a="1"/>
  <c r="E428" i="4" s="1"/>
  <c r="J429" i="4"/>
  <c r="H429" i="4"/>
  <c r="E402" i="4" a="1"/>
  <c r="E402" i="4" s="1"/>
  <c r="N402" i="4" a="1"/>
  <c r="N402" i="4" s="1"/>
  <c r="B402" i="4" a="1"/>
  <c r="B402" i="4" s="1"/>
  <c r="B412" i="4" a="1"/>
  <c r="B412" i="4" s="1"/>
  <c r="C412" i="4" a="1"/>
  <c r="C412" i="4" s="1"/>
  <c r="N412" i="4" a="1"/>
  <c r="N412" i="4" s="1"/>
  <c r="B416" i="4" a="1"/>
  <c r="B416" i="4" s="1"/>
  <c r="C416" i="4" a="1"/>
  <c r="C416" i="4" s="1"/>
  <c r="D416" i="4" a="1"/>
  <c r="D416" i="4" s="1"/>
  <c r="J416" i="4"/>
  <c r="B417" i="4" a="1"/>
  <c r="B417" i="4" s="1"/>
  <c r="C417" i="4" a="1"/>
  <c r="C417" i="4" s="1"/>
  <c r="C422" i="4" a="1"/>
  <c r="C422" i="4" s="1"/>
  <c r="D427" i="4" a="1"/>
  <c r="D427" i="4" s="1"/>
  <c r="B427" i="4" a="1"/>
  <c r="B427" i="4" s="1"/>
  <c r="M427" i="4" a="1"/>
  <c r="M427" i="4" s="1"/>
  <c r="E427" i="4" a="1"/>
  <c r="E427" i="4" s="1"/>
  <c r="C427" i="4" a="1"/>
  <c r="C427" i="4" s="1"/>
  <c r="J438" i="4"/>
  <c r="H438" i="4"/>
  <c r="D411" i="4" a="1"/>
  <c r="D411" i="4" s="1"/>
  <c r="M411" i="4" a="1"/>
  <c r="M411" i="4" s="1"/>
  <c r="E411" i="4" a="1"/>
  <c r="E411" i="4" s="1"/>
  <c r="N411" i="4" a="1"/>
  <c r="N411" i="4" s="1"/>
  <c r="D422" i="4" a="1"/>
  <c r="D422" i="4" s="1"/>
  <c r="B424" i="4" a="1"/>
  <c r="B424" i="4" s="1"/>
  <c r="C424" i="4" a="1"/>
  <c r="C424" i="4" s="1"/>
  <c r="D424" i="4" a="1"/>
  <c r="D424" i="4" s="1"/>
  <c r="M424" i="4" a="1"/>
  <c r="M424" i="4" s="1"/>
  <c r="E424" i="4" a="1"/>
  <c r="E424" i="4" s="1"/>
  <c r="J430" i="4"/>
  <c r="H430" i="4"/>
  <c r="H435" i="4"/>
  <c r="J435" i="4"/>
  <c r="B437" i="4" a="1"/>
  <c r="B437" i="4" s="1"/>
  <c r="E437" i="4" a="1"/>
  <c r="E437" i="4" s="1"/>
  <c r="M437" i="4" a="1"/>
  <c r="M437" i="4" s="1"/>
  <c r="N437" i="4" a="1"/>
  <c r="N437" i="4" s="1"/>
  <c r="D437" i="4" a="1"/>
  <c r="D437" i="4" s="1"/>
  <c r="J448" i="4"/>
  <c r="E413" i="4" a="1"/>
  <c r="E413" i="4" s="1"/>
  <c r="B420" i="4" a="1"/>
  <c r="B420" i="4" s="1"/>
  <c r="C420" i="4" a="1"/>
  <c r="C420" i="4" s="1"/>
  <c r="J428" i="4"/>
  <c r="D431" i="4" a="1"/>
  <c r="D431" i="4" s="1"/>
  <c r="B433" i="4" a="1"/>
  <c r="B433" i="4" s="1"/>
  <c r="E433" i="4" a="1"/>
  <c r="E433" i="4" s="1"/>
  <c r="J446" i="4"/>
  <c r="H449" i="4"/>
  <c r="J449" i="4"/>
  <c r="N432" i="4" a="1"/>
  <c r="N432" i="4" s="1"/>
  <c r="B432" i="4" a="1"/>
  <c r="B432" i="4" s="1"/>
  <c r="C432" i="4" a="1"/>
  <c r="C432" i="4" s="1"/>
  <c r="J432" i="4"/>
  <c r="H432" i="4"/>
  <c r="D442" i="4" a="1"/>
  <c r="D442" i="4" s="1"/>
  <c r="B443" i="4" a="1"/>
  <c r="B443" i="4" s="1"/>
  <c r="C443" i="4" a="1"/>
  <c r="C443" i="4" s="1"/>
  <c r="B441" i="4" a="1"/>
  <c r="B441" i="4" s="1"/>
  <c r="E441" i="4" a="1"/>
  <c r="E441" i="4" s="1"/>
  <c r="C444" i="4" a="1"/>
  <c r="C444" i="4" s="1"/>
  <c r="J447" i="4"/>
  <c r="H447" i="4"/>
  <c r="B449" i="4" a="1"/>
  <c r="B449" i="4" s="1"/>
  <c r="E449" i="4" a="1"/>
  <c r="E449" i="4" s="1"/>
  <c r="E452" i="4" a="1"/>
  <c r="E452" i="4" s="1"/>
  <c r="N452" i="4" a="1"/>
  <c r="N452" i="4" s="1"/>
  <c r="B452" i="4" a="1"/>
  <c r="B452" i="4" s="1"/>
  <c r="C452" i="4" a="1"/>
  <c r="C452" i="4" s="1"/>
  <c r="D438" i="4" a="1"/>
  <c r="D438" i="4" s="1"/>
  <c r="M438" i="4" a="1"/>
  <c r="M438" i="4" s="1"/>
  <c r="E438" i="4" a="1"/>
  <c r="E438" i="4" s="1"/>
  <c r="J439" i="4"/>
  <c r="C441" i="4" a="1"/>
  <c r="C441" i="4" s="1"/>
  <c r="H454" i="4"/>
  <c r="J454" i="4"/>
  <c r="C405" i="4" a="1"/>
  <c r="C405" i="4" s="1"/>
  <c r="N405" i="4" a="1"/>
  <c r="N405" i="4" s="1"/>
  <c r="C409" i="4" a="1"/>
  <c r="C409" i="4" s="1"/>
  <c r="N409" i="4" a="1"/>
  <c r="N409" i="4" s="1"/>
  <c r="B418" i="4" a="1"/>
  <c r="B418" i="4" s="1"/>
  <c r="E418" i="4" a="1"/>
  <c r="E418" i="4" s="1"/>
  <c r="B428" i="4" a="1"/>
  <c r="B428" i="4" s="1"/>
  <c r="C428" i="4" a="1"/>
  <c r="C428" i="4" s="1"/>
  <c r="E432" i="4" a="1"/>
  <c r="E432" i="4" s="1"/>
  <c r="M441" i="4" a="1"/>
  <c r="M441" i="4" s="1"/>
  <c r="N443" i="4" a="1"/>
  <c r="N443" i="4" s="1"/>
  <c r="M447" i="4" a="1"/>
  <c r="M447" i="4" s="1"/>
  <c r="D447" i="4" a="1"/>
  <c r="D447" i="4" s="1"/>
  <c r="B447" i="4" a="1"/>
  <c r="B447" i="4" s="1"/>
  <c r="N447" i="4" a="1"/>
  <c r="N447" i="4" s="1"/>
  <c r="E447" i="4" a="1"/>
  <c r="E447" i="4" s="1"/>
  <c r="N456" i="4" a="1"/>
  <c r="N456" i="4" s="1"/>
  <c r="J463" i="4"/>
  <c r="H463" i="4"/>
  <c r="D454" i="4" a="1"/>
  <c r="D454" i="4" s="1"/>
  <c r="N454" i="4" a="1"/>
  <c r="N454" i="4" s="1"/>
  <c r="C454" i="4" a="1"/>
  <c r="C454" i="4" s="1"/>
  <c r="E454" i="4" a="1"/>
  <c r="E454" i="4" s="1"/>
  <c r="B457" i="4" a="1"/>
  <c r="B457" i="4" s="1"/>
  <c r="D457" i="4" a="1"/>
  <c r="D457" i="4" s="1"/>
  <c r="D413" i="4" a="1"/>
  <c r="D413" i="4" s="1"/>
  <c r="N413" i="4" a="1"/>
  <c r="N413" i="4" s="1"/>
  <c r="D417" i="4" a="1"/>
  <c r="D417" i="4" s="1"/>
  <c r="N417" i="4" a="1"/>
  <c r="N417" i="4" s="1"/>
  <c r="D421" i="4" a="1"/>
  <c r="D421" i="4" s="1"/>
  <c r="N421" i="4" a="1"/>
  <c r="N421" i="4" s="1"/>
  <c r="D425" i="4" a="1"/>
  <c r="D425" i="4" s="1"/>
  <c r="N425" i="4" a="1"/>
  <c r="N425" i="4" s="1"/>
  <c r="D429" i="4" a="1"/>
  <c r="D429" i="4" s="1"/>
  <c r="N429" i="4" a="1"/>
  <c r="N429" i="4" s="1"/>
  <c r="D434" i="4" a="1"/>
  <c r="D434" i="4" s="1"/>
  <c r="N445" i="4" a="1"/>
  <c r="N445" i="4" s="1"/>
  <c r="B445" i="4" a="1"/>
  <c r="B445" i="4" s="1"/>
  <c r="M445" i="4" a="1"/>
  <c r="M445" i="4" s="1"/>
  <c r="B446" i="4" a="1"/>
  <c r="B446" i="4" s="1"/>
  <c r="N448" i="4" a="1"/>
  <c r="N448" i="4" s="1"/>
  <c r="D450" i="4" a="1"/>
  <c r="D450" i="4" s="1"/>
  <c r="M457" i="4" a="1"/>
  <c r="M457" i="4" s="1"/>
  <c r="M449" i="4" a="1"/>
  <c r="M449" i="4" s="1"/>
  <c r="E456" i="4" a="1"/>
  <c r="E456" i="4" s="1"/>
  <c r="D461" i="4" a="1"/>
  <c r="D461" i="4" s="1"/>
  <c r="N461" i="4" a="1"/>
  <c r="N461" i="4" s="1"/>
  <c r="D464" i="4" a="1"/>
  <c r="D464" i="4" s="1"/>
  <c r="C464" i="4" a="1"/>
  <c r="C464" i="4" s="1"/>
  <c r="E466" i="4" a="1"/>
  <c r="E466" i="4" s="1"/>
  <c r="H468" i="4"/>
  <c r="N460" i="4" a="1"/>
  <c r="N460" i="4" s="1"/>
  <c r="E460" i="4" a="1"/>
  <c r="E460" i="4" s="1"/>
  <c r="N466" i="4" a="1"/>
  <c r="N466" i="4" s="1"/>
  <c r="M468" i="4" a="1"/>
  <c r="M468" i="4" s="1"/>
  <c r="N459" i="4" a="1"/>
  <c r="N459" i="4" s="1"/>
  <c r="H461" i="4"/>
  <c r="E464" i="4" a="1"/>
  <c r="E464" i="4" s="1"/>
  <c r="D436" i="4" a="1"/>
  <c r="D436" i="4" s="1"/>
  <c r="N436" i="4" a="1"/>
  <c r="N436" i="4" s="1"/>
  <c r="D440" i="4" a="1"/>
  <c r="D440" i="4" s="1"/>
  <c r="N440" i="4" a="1"/>
  <c r="N440" i="4" s="1"/>
  <c r="D444" i="4" a="1"/>
  <c r="D444" i="4" s="1"/>
  <c r="N444" i="4" a="1"/>
  <c r="N444" i="4" s="1"/>
  <c r="M456" i="4" a="1"/>
  <c r="M456" i="4" s="1"/>
  <c r="M461" i="4" a="1"/>
  <c r="M461" i="4" s="1"/>
  <c r="C468" i="4" a="1"/>
  <c r="C468" i="4" s="1"/>
  <c r="N468" i="4" a="1"/>
  <c r="N468" i="4" s="1"/>
  <c r="E468" i="4" a="1"/>
  <c r="E468" i="4" s="1"/>
  <c r="C456" i="4" a="1"/>
  <c r="C456" i="4" s="1"/>
  <c r="B461" i="4" a="1"/>
  <c r="B461" i="4" s="1"/>
  <c r="D468" i="4" a="1"/>
  <c r="D468" i="4" s="1"/>
  <c r="C466" i="4" a="1"/>
  <c r="C466" i="4" s="1"/>
  <c r="J470" i="4"/>
  <c r="M450" i="4" a="1"/>
  <c r="M450" i="4" s="1"/>
  <c r="M458" i="4" a="1"/>
  <c r="M458" i="4" s="1"/>
  <c r="M466" i="4" a="1"/>
  <c r="M466" i="4" s="1"/>
  <c r="M474" i="4" a="1"/>
  <c r="M474" i="4" s="1"/>
  <c r="E476" i="4" a="1"/>
  <c r="E476" i="4" s="1"/>
  <c r="M482" i="4" a="1"/>
  <c r="M482" i="4" s="1"/>
  <c r="M459" i="4" a="1"/>
  <c r="M459" i="4" s="1"/>
  <c r="M467" i="4" a="1"/>
  <c r="M467" i="4" s="1"/>
  <c r="M475" i="4" a="1"/>
  <c r="M475" i="4" s="1"/>
  <c r="N476" i="4" a="1"/>
  <c r="N476" i="4" s="1"/>
  <c r="J500" i="4"/>
  <c r="H500" i="4"/>
  <c r="J501" i="4"/>
  <c r="E501" i="4" a="1"/>
  <c r="E501" i="4" s="1"/>
  <c r="M501" i="4" a="1"/>
  <c r="M501" i="4" s="1"/>
  <c r="B501" i="4" a="1"/>
  <c r="B501" i="4" s="1"/>
  <c r="N501" i="4" a="1"/>
  <c r="N501" i="4" s="1"/>
  <c r="N127" i="4" a="1"/>
  <c r="N127" i="4" s="1"/>
  <c r="M131" i="4" a="1"/>
  <c r="M131" i="4" s="1"/>
  <c r="J132" i="4"/>
  <c r="H133" i="4"/>
  <c r="J130" i="4"/>
  <c r="E132" i="4" a="1"/>
  <c r="E132" i="4" s="1"/>
  <c r="M138" i="4" a="1"/>
  <c r="M138" i="4" s="1"/>
  <c r="N138" i="4" a="1"/>
  <c r="N138" i="4" s="1"/>
  <c r="E139" i="4" a="1"/>
  <c r="E139" i="4" s="1"/>
  <c r="C140" i="4" a="1"/>
  <c r="C140" i="4" s="1"/>
  <c r="B141" i="4" a="1"/>
  <c r="B141" i="4" s="1"/>
  <c r="N141" i="4" a="1"/>
  <c r="N141" i="4" s="1"/>
  <c r="D143" i="4" a="1"/>
  <c r="D143" i="4" s="1"/>
  <c r="J143" i="4"/>
  <c r="B144" i="4" a="1"/>
  <c r="B144" i="4" s="1"/>
  <c r="D130" i="4" a="1"/>
  <c r="D130" i="4" s="1"/>
  <c r="C131" i="4" a="1"/>
  <c r="C131" i="4" s="1"/>
  <c r="M132" i="4" a="1"/>
  <c r="M132" i="4" s="1"/>
  <c r="N132" i="4" a="1"/>
  <c r="N132" i="4" s="1"/>
  <c r="E133" i="4" a="1"/>
  <c r="E133" i="4" s="1"/>
  <c r="C134" i="4" a="1"/>
  <c r="C134" i="4" s="1"/>
  <c r="B135" i="4" a="1"/>
  <c r="B135" i="4" s="1"/>
  <c r="N135" i="4" a="1"/>
  <c r="N135" i="4" s="1"/>
  <c r="D137" i="4" a="1"/>
  <c r="D137" i="4" s="1"/>
  <c r="B138" i="4" a="1"/>
  <c r="B138" i="4" s="1"/>
  <c r="M139" i="4" a="1"/>
  <c r="M139" i="4" s="1"/>
  <c r="D146" i="4" a="1"/>
  <c r="D146" i="4" s="1"/>
  <c r="M148" i="4" a="1"/>
  <c r="M148" i="4" s="1"/>
  <c r="E149" i="4" a="1"/>
  <c r="E149" i="4" s="1"/>
  <c r="C150" i="4" a="1"/>
  <c r="C150" i="4" s="1"/>
  <c r="B151" i="4" a="1"/>
  <c r="B151" i="4" s="1"/>
  <c r="N152" i="4" a="1"/>
  <c r="N152" i="4" s="1"/>
  <c r="M157" i="4" a="1"/>
  <c r="M157" i="4" s="1"/>
  <c r="H157" i="4"/>
  <c r="B158" i="4" a="1"/>
  <c r="B158" i="4" s="1"/>
  <c r="J164" i="4"/>
  <c r="B175" i="4" a="1"/>
  <c r="B175" i="4" s="1"/>
  <c r="N175" i="4" a="1"/>
  <c r="N175" i="4" s="1"/>
  <c r="E175" i="4" a="1"/>
  <c r="E175" i="4" s="1"/>
  <c r="C175" i="4" a="1"/>
  <c r="C175" i="4" s="1"/>
  <c r="E143" i="4" a="1"/>
  <c r="E143" i="4" s="1"/>
  <c r="C144" i="4" a="1"/>
  <c r="C144" i="4" s="1"/>
  <c r="D147" i="4" a="1"/>
  <c r="D147" i="4" s="1"/>
  <c r="M149" i="4" a="1"/>
  <c r="M149" i="4" s="1"/>
  <c r="D150" i="4" a="1"/>
  <c r="D150" i="4" s="1"/>
  <c r="B152" i="4" a="1"/>
  <c r="B152" i="4" s="1"/>
  <c r="B157" i="4" a="1"/>
  <c r="B157" i="4" s="1"/>
  <c r="C160" i="4" a="1"/>
  <c r="C160" i="4" s="1"/>
  <c r="N166" i="4" a="1"/>
  <c r="N166" i="4" s="1"/>
  <c r="B166" i="4" a="1"/>
  <c r="B166" i="4" s="1"/>
  <c r="M166" i="4" a="1"/>
  <c r="M166" i="4" s="1"/>
  <c r="B169" i="4" a="1"/>
  <c r="B169" i="4" s="1"/>
  <c r="N169" i="4" a="1"/>
  <c r="N169" i="4" s="1"/>
  <c r="E169" i="4" a="1"/>
  <c r="E169" i="4" s="1"/>
  <c r="M127" i="4" a="1"/>
  <c r="M127" i="4" s="1"/>
  <c r="H129" i="4"/>
  <c r="E137" i="4" a="1"/>
  <c r="E137" i="4" s="1"/>
  <c r="B139" i="4" a="1"/>
  <c r="B139" i="4" s="1"/>
  <c r="N139" i="4" a="1"/>
  <c r="N139" i="4" s="1"/>
  <c r="D141" i="4" a="1"/>
  <c r="D141" i="4" s="1"/>
  <c r="M143" i="4" a="1"/>
  <c r="M143" i="4" s="1"/>
  <c r="D159" i="4" a="1"/>
  <c r="D159" i="4" s="1"/>
  <c r="B159" i="4" a="1"/>
  <c r="B159" i="4" s="1"/>
  <c r="D160" i="4" a="1"/>
  <c r="D160" i="4" s="1"/>
  <c r="B127" i="4" a="1"/>
  <c r="B127" i="4" s="1"/>
  <c r="E140" i="4" a="1"/>
  <c r="E140" i="4" s="1"/>
  <c r="C139" i="4" a="1"/>
  <c r="C139" i="4" s="1"/>
  <c r="N140" i="4" a="1"/>
  <c r="N140" i="4" s="1"/>
  <c r="H149" i="4"/>
  <c r="N156" i="4" a="1"/>
  <c r="N156" i="4" s="1"/>
  <c r="B156" i="4" a="1"/>
  <c r="B156" i="4" s="1"/>
  <c r="E160" i="4" a="1"/>
  <c r="E160" i="4" s="1"/>
  <c r="N160" i="4" a="1"/>
  <c r="N160" i="4" s="1"/>
  <c r="N130" i="4" a="1"/>
  <c r="N130" i="4" s="1"/>
  <c r="B130" i="4" a="1"/>
  <c r="B130" i="4" s="1"/>
  <c r="M140" i="4" a="1"/>
  <c r="M140" i="4" s="1"/>
  <c r="B143" i="4" a="1"/>
  <c r="B143" i="4" s="1"/>
  <c r="N143" i="4" a="1"/>
  <c r="N143" i="4" s="1"/>
  <c r="M150" i="4" a="1"/>
  <c r="M150" i="4" s="1"/>
  <c r="M154" i="4" a="1"/>
  <c r="M154" i="4" s="1"/>
  <c r="E154" i="4" a="1"/>
  <c r="E154" i="4" s="1"/>
  <c r="C127" i="4" a="1"/>
  <c r="C127" i="4" s="1"/>
  <c r="H127" i="4"/>
  <c r="C133" i="4" a="1"/>
  <c r="C133" i="4" s="1"/>
  <c r="M134" i="4" a="1"/>
  <c r="M134" i="4" s="1"/>
  <c r="N134" i="4" a="1"/>
  <c r="N134" i="4" s="1"/>
  <c r="B137" i="4" a="1"/>
  <c r="B137" i="4" s="1"/>
  <c r="N137" i="4" a="1"/>
  <c r="N137" i="4" s="1"/>
  <c r="E144" i="4" a="1"/>
  <c r="E144" i="4" s="1"/>
  <c r="H146" i="4"/>
  <c r="C149" i="4" a="1"/>
  <c r="C149" i="4" s="1"/>
  <c r="N150" i="4" a="1"/>
  <c r="N150" i="4" s="1"/>
  <c r="E151" i="4" a="1"/>
  <c r="E151" i="4" s="1"/>
  <c r="E152" i="4" a="1"/>
  <c r="E152" i="4" s="1"/>
  <c r="D154" i="4" a="1"/>
  <c r="D154" i="4" s="1"/>
  <c r="E156" i="4" a="1"/>
  <c r="E156" i="4" s="1"/>
  <c r="D157" i="4" a="1"/>
  <c r="D157" i="4" s="1"/>
  <c r="N157" i="4" a="1"/>
  <c r="N157" i="4" s="1"/>
  <c r="N159" i="4" a="1"/>
  <c r="N159" i="4" s="1"/>
  <c r="N133" i="4" a="1"/>
  <c r="N133" i="4" s="1"/>
  <c r="E134" i="4" a="1"/>
  <c r="E134" i="4" s="1"/>
  <c r="H136" i="4"/>
  <c r="M128" i="4" a="1"/>
  <c r="M128" i="4" s="1"/>
  <c r="N128" i="4" a="1"/>
  <c r="N128" i="4" s="1"/>
  <c r="C130" i="4" a="1"/>
  <c r="C130" i="4" s="1"/>
  <c r="N131" i="4" a="1"/>
  <c r="N131" i="4" s="1"/>
  <c r="D133" i="4" a="1"/>
  <c r="D133" i="4" s="1"/>
  <c r="M144" i="4" a="1"/>
  <c r="M144" i="4" s="1"/>
  <c r="B147" i="4" a="1"/>
  <c r="B147" i="4" s="1"/>
  <c r="N151" i="4" a="1"/>
  <c r="N151" i="4" s="1"/>
  <c r="M152" i="4" a="1"/>
  <c r="M152" i="4" s="1"/>
  <c r="B153" i="4" a="1"/>
  <c r="B153" i="4" s="1"/>
  <c r="N153" i="4" a="1"/>
  <c r="N153" i="4" s="1"/>
  <c r="E155" i="4" a="1"/>
  <c r="E155" i="4" s="1"/>
  <c r="M156" i="4" a="1"/>
  <c r="M156" i="4" s="1"/>
  <c r="J162" i="4"/>
  <c r="N172" i="4" a="1"/>
  <c r="N172" i="4" s="1"/>
  <c r="B172" i="4" a="1"/>
  <c r="B172" i="4" s="1"/>
  <c r="M172" i="4" a="1"/>
  <c r="M172" i="4" s="1"/>
  <c r="E172" i="4" a="1"/>
  <c r="E172" i="4" s="1"/>
  <c r="C172" i="4" a="1"/>
  <c r="C172" i="4" s="1"/>
  <c r="M130" i="4" a="1"/>
  <c r="M130" i="4" s="1"/>
  <c r="E131" i="4" a="1"/>
  <c r="E131" i="4" s="1"/>
  <c r="B128" i="4" a="1"/>
  <c r="B128" i="4" s="1"/>
  <c r="M151" i="4" a="1"/>
  <c r="M151" i="4" s="1"/>
  <c r="N154" i="4" a="1"/>
  <c r="N154" i="4" s="1"/>
  <c r="M159" i="4" a="1"/>
  <c r="M159" i="4" s="1"/>
  <c r="B160" i="4" a="1"/>
  <c r="B160" i="4" s="1"/>
  <c r="H165" i="4"/>
  <c r="J165" i="4"/>
  <c r="D178" i="4" a="1"/>
  <c r="D178" i="4" s="1"/>
  <c r="C188" i="4" a="1"/>
  <c r="C188" i="4" s="1"/>
  <c r="C191" i="4" a="1"/>
  <c r="C191" i="4" s="1"/>
  <c r="M178" i="4" a="1"/>
  <c r="M178" i="4" s="1"/>
  <c r="H180" i="4"/>
  <c r="E188" i="4" a="1"/>
  <c r="E188" i="4" s="1"/>
  <c r="D170" i="4" a="1"/>
  <c r="D170" i="4" s="1"/>
  <c r="M188" i="4" a="1"/>
  <c r="M188" i="4" s="1"/>
  <c r="E191" i="4" a="1"/>
  <c r="E191" i="4" s="1"/>
  <c r="M175" i="4" a="1"/>
  <c r="M175" i="4" s="1"/>
  <c r="B178" i="4" a="1"/>
  <c r="B178" i="4" s="1"/>
  <c r="N178" i="4" a="1"/>
  <c r="N178" i="4" s="1"/>
  <c r="M153" i="4" a="1"/>
  <c r="M153" i="4" s="1"/>
  <c r="C168" i="4" a="1"/>
  <c r="C168" i="4" s="1"/>
  <c r="M169" i="4" a="1"/>
  <c r="M169" i="4" s="1"/>
  <c r="E170" i="4" a="1"/>
  <c r="E170" i="4" s="1"/>
  <c r="B188" i="4" a="1"/>
  <c r="B188" i="4" s="1"/>
  <c r="N196" i="4" a="1"/>
  <c r="N196" i="4" s="1"/>
  <c r="M196" i="4" a="1"/>
  <c r="M196" i="4" s="1"/>
  <c r="N201" i="4" a="1"/>
  <c r="N201" i="4" s="1"/>
  <c r="C201" i="4" a="1"/>
  <c r="C201" i="4" s="1"/>
  <c r="D201" i="4" a="1"/>
  <c r="D201" i="4" s="1"/>
  <c r="N195" i="4" a="1"/>
  <c r="N195" i="4" s="1"/>
  <c r="N200" i="4" a="1"/>
  <c r="N200" i="4" s="1"/>
  <c r="M200" i="4" a="1"/>
  <c r="M200" i="4" s="1"/>
  <c r="N215" i="4" a="1"/>
  <c r="N215" i="4" s="1"/>
  <c r="M215" i="4" a="1"/>
  <c r="M215" i="4" s="1"/>
  <c r="M202" i="4" a="1"/>
  <c r="M202" i="4" s="1"/>
  <c r="M204" i="4" a="1"/>
  <c r="M204" i="4" s="1"/>
  <c r="M206" i="4" a="1"/>
  <c r="M206" i="4" s="1"/>
  <c r="M208" i="4" a="1"/>
  <c r="M208" i="4" s="1"/>
  <c r="M210" i="4" a="1"/>
  <c r="M210" i="4" s="1"/>
  <c r="M212" i="4" a="1"/>
  <c r="M212" i="4" s="1"/>
  <c r="M214" i="4" a="1"/>
  <c r="M214" i="4" s="1"/>
  <c r="M216" i="4" a="1"/>
  <c r="M216" i="4" s="1"/>
  <c r="M218" i="4" a="1"/>
  <c r="M218" i="4" s="1"/>
  <c r="M220" i="4" a="1"/>
  <c r="M220" i="4" s="1"/>
  <c r="M222" i="4" a="1"/>
  <c r="M222" i="4" s="1"/>
  <c r="M224" i="4" a="1"/>
  <c r="M224" i="4" s="1"/>
  <c r="M226" i="4" a="1"/>
  <c r="M226" i="4" s="1"/>
  <c r="M228" i="4" a="1"/>
  <c r="M228" i="4" s="1"/>
  <c r="M230" i="4" a="1"/>
  <c r="M230" i="4" s="1"/>
  <c r="M232" i="4" a="1"/>
  <c r="M232" i="4" s="1"/>
  <c r="M234" i="4" a="1"/>
  <c r="M234" i="4" s="1"/>
  <c r="M236" i="4" a="1"/>
  <c r="M236" i="4" s="1"/>
  <c r="M238" i="4" a="1"/>
  <c r="M238" i="4" s="1"/>
  <c r="M240" i="4" a="1"/>
  <c r="M240" i="4" s="1"/>
  <c r="M242" i="4" a="1"/>
  <c r="M242" i="4" s="1"/>
  <c r="M244" i="4" a="1"/>
  <c r="M244" i="4" s="1"/>
  <c r="M246" i="4" a="1"/>
  <c r="M246" i="4" s="1"/>
  <c r="M248" i="4" a="1"/>
  <c r="M248" i="4" s="1"/>
  <c r="M250" i="4" a="1"/>
  <c r="M250" i="4" s="1"/>
  <c r="D251" i="4" a="1"/>
  <c r="D251" i="4" s="1"/>
  <c r="J251" i="4"/>
  <c r="N244" i="4" a="1"/>
  <c r="N244" i="4" s="1"/>
  <c r="N246" i="4" a="1"/>
  <c r="N246" i="4" s="1"/>
  <c r="N248" i="4" a="1"/>
  <c r="N248" i="4" s="1"/>
  <c r="N250" i="4" a="1"/>
  <c r="N250" i="4" s="1"/>
  <c r="E251" i="4" a="1"/>
  <c r="E251" i="4" s="1"/>
  <c r="M217" i="4" a="1"/>
  <c r="M217" i="4" s="1"/>
  <c r="M219" i="4" a="1"/>
  <c r="M219" i="4" s="1"/>
  <c r="M221" i="4" a="1"/>
  <c r="M221" i="4" s="1"/>
  <c r="M223" i="4" a="1"/>
  <c r="M223" i="4" s="1"/>
  <c r="M225" i="4" a="1"/>
  <c r="M225" i="4" s="1"/>
  <c r="M227" i="4" a="1"/>
  <c r="M227" i="4" s="1"/>
  <c r="M229" i="4" a="1"/>
  <c r="M229" i="4" s="1"/>
  <c r="M231" i="4" a="1"/>
  <c r="M231" i="4" s="1"/>
  <c r="M233" i="4" a="1"/>
  <c r="M233" i="4" s="1"/>
  <c r="M235" i="4" a="1"/>
  <c r="M235" i="4" s="1"/>
  <c r="M237" i="4" a="1"/>
  <c r="M237" i="4" s="1"/>
  <c r="M239" i="4" a="1"/>
  <c r="M239" i="4" s="1"/>
  <c r="M241" i="4" a="1"/>
  <c r="M241" i="4" s="1"/>
  <c r="M243" i="4" a="1"/>
  <c r="M243" i="4" s="1"/>
  <c r="M245" i="4" a="1"/>
  <c r="M245" i="4" s="1"/>
  <c r="M247" i="4" a="1"/>
  <c r="M247" i="4" s="1"/>
  <c r="M249" i="4" a="1"/>
  <c r="M249" i="4" s="1"/>
  <c r="M251" i="4" a="1"/>
  <c r="M251" i="4" s="1"/>
  <c r="B243" i="4" a="1"/>
  <c r="B243" i="4" s="1"/>
  <c r="B245" i="4" a="1"/>
  <c r="B245" i="4" s="1"/>
  <c r="D246" i="4" a="1"/>
  <c r="D246" i="4" s="1"/>
  <c r="B247" i="4" a="1"/>
  <c r="B247" i="4" s="1"/>
  <c r="D248" i="4" a="1"/>
  <c r="D248" i="4" s="1"/>
  <c r="B249" i="4" a="1"/>
  <c r="B249" i="4" s="1"/>
  <c r="D250" i="4" a="1"/>
  <c r="D250" i="4" s="1"/>
  <c r="B251" i="4" a="1"/>
  <c r="B251" i="4" s="1"/>
  <c r="N245" i="4" a="1"/>
  <c r="N245" i="4" s="1"/>
  <c r="N247" i="4" a="1"/>
  <c r="N247" i="4" s="1"/>
  <c r="N249" i="4" a="1"/>
  <c r="N249" i="4" s="1"/>
  <c r="N251" i="4" a="1"/>
  <c r="N251" i="4" s="1"/>
  <c r="D118" i="4" a="1"/>
  <c r="D118" i="4" s="1"/>
  <c r="C118" i="4" a="1"/>
  <c r="C118" i="4" s="1"/>
  <c r="C126" i="4" a="1"/>
  <c r="C126" i="4" s="1"/>
  <c r="D126" i="4" a="1"/>
  <c r="D126" i="4" s="1"/>
  <c r="N124" i="4" a="1"/>
  <c r="N124" i="4" s="1"/>
  <c r="D124" i="4" a="1"/>
  <c r="D124" i="4" s="1"/>
  <c r="B124" i="4" a="1"/>
  <c r="B124" i="4" s="1"/>
  <c r="E124" i="4" a="1"/>
  <c r="E124" i="4" s="1"/>
  <c r="C122" i="4" a="1"/>
  <c r="C122" i="4" s="1"/>
  <c r="E122" i="4" a="1"/>
  <c r="E122" i="4" s="1"/>
  <c r="M122" i="4" a="1"/>
  <c r="M122" i="4" s="1"/>
  <c r="E121" i="4" a="1"/>
  <c r="E121" i="4" s="1"/>
  <c r="B121" i="4" a="1"/>
  <c r="B121" i="4" s="1"/>
  <c r="N121" i="4" a="1"/>
  <c r="N121" i="4" s="1"/>
  <c r="B120" i="4" a="1"/>
  <c r="B120" i="4" s="1"/>
  <c r="D120" i="4" a="1"/>
  <c r="D120" i="4" s="1"/>
  <c r="M120" i="4" a="1"/>
  <c r="M120" i="4" s="1"/>
  <c r="N118" i="4" a="1"/>
  <c r="N118" i="4" s="1"/>
  <c r="M118" i="4" a="1"/>
  <c r="M118" i="4" s="1"/>
  <c r="B118" i="4" a="1"/>
  <c r="B118" i="4" s="1"/>
  <c r="N117" i="4" a="1"/>
  <c r="N117" i="4" s="1"/>
  <c r="M117" i="4" a="1"/>
  <c r="M117" i="4" s="1"/>
  <c r="H117" i="4"/>
  <c r="J117" i="4"/>
  <c r="D116" i="4" a="1"/>
  <c r="D116" i="4" s="1"/>
  <c r="E116" i="4" a="1"/>
  <c r="E116" i="4" s="1"/>
  <c r="E115" i="4" a="1"/>
  <c r="E115" i="4" s="1"/>
  <c r="M115" i="4" a="1"/>
  <c r="M115" i="4" s="1"/>
  <c r="N114" i="4" a="1"/>
  <c r="N114" i="4" s="1"/>
  <c r="M114" i="4" a="1"/>
  <c r="M114" i="4" s="1"/>
  <c r="B114" i="4" a="1"/>
  <c r="B114" i="4" s="1"/>
  <c r="D114" i="4" a="1"/>
  <c r="D114" i="4" s="1"/>
  <c r="H111" i="4"/>
  <c r="J111" i="4"/>
  <c r="N110" i="4" a="1"/>
  <c r="N110" i="4" s="1"/>
  <c r="B110" i="4" a="1"/>
  <c r="B110" i="4" s="1"/>
  <c r="E110" i="4" a="1"/>
  <c r="E110" i="4" s="1"/>
  <c r="C110" i="4" a="1"/>
  <c r="C110" i="4" s="1"/>
  <c r="M110" i="4" a="1"/>
  <c r="M110" i="4" s="1"/>
  <c r="J109" i="4"/>
  <c r="H109" i="4"/>
  <c r="M107" i="4" a="1"/>
  <c r="M107" i="4" s="1"/>
  <c r="D107" i="4" a="1"/>
  <c r="D107" i="4" s="1"/>
  <c r="J105" i="4"/>
  <c r="H105" i="4"/>
  <c r="E104" i="4" a="1"/>
  <c r="E104" i="4" s="1"/>
  <c r="M104" i="4" a="1"/>
  <c r="M104" i="4" s="1"/>
  <c r="D99" i="4" a="1"/>
  <c r="D99" i="4" s="1"/>
  <c r="N99" i="4" a="1"/>
  <c r="N99" i="4" s="1"/>
  <c r="B99" i="4" a="1"/>
  <c r="B99" i="4" s="1"/>
  <c r="C99" i="4" a="1"/>
  <c r="C99" i="4" s="1"/>
  <c r="E99" i="4" a="1"/>
  <c r="E99" i="4" s="1"/>
  <c r="M99" i="4" a="1"/>
  <c r="M99" i="4" s="1"/>
  <c r="C94" i="4" a="1"/>
  <c r="C94" i="4" s="1"/>
  <c r="E94" i="4" a="1"/>
  <c r="E94" i="4" s="1"/>
  <c r="E123" i="4" a="1"/>
  <c r="E123" i="4" s="1"/>
  <c r="C119" i="4" a="1"/>
  <c r="C119" i="4" s="1"/>
  <c r="E119" i="4" a="1"/>
  <c r="E119" i="4" s="1"/>
  <c r="N116" i="4" a="1"/>
  <c r="N116" i="4" s="1"/>
  <c r="C116" i="4" a="1"/>
  <c r="C116" i="4" s="1"/>
  <c r="B116" i="4" a="1"/>
  <c r="B116" i="4" s="1"/>
  <c r="D115" i="4" a="1"/>
  <c r="D115" i="4" s="1"/>
  <c r="C115" i="4" a="1"/>
  <c r="C115" i="4" s="1"/>
  <c r="N113" i="4" a="1"/>
  <c r="N113" i="4" s="1"/>
  <c r="N111" i="4" a="1"/>
  <c r="N111" i="4" s="1"/>
  <c r="M109" i="4" a="1"/>
  <c r="M109" i="4" s="1"/>
  <c r="D109" i="4" a="1"/>
  <c r="D109" i="4" s="1"/>
  <c r="M105" i="4" a="1"/>
  <c r="M105" i="4" s="1"/>
  <c r="D104" i="4" a="1"/>
  <c r="D104" i="4" s="1"/>
  <c r="D101" i="4" a="1"/>
  <c r="D101" i="4" s="1"/>
  <c r="J95" i="4"/>
  <c r="N94" i="4" a="1"/>
  <c r="N94" i="4" s="1"/>
  <c r="B94" i="4" a="1"/>
  <c r="B94" i="4" s="1"/>
  <c r="M94" i="4" a="1"/>
  <c r="M94" i="4" s="1"/>
  <c r="N93" i="4" a="1"/>
  <c r="N93" i="4" s="1"/>
  <c r="B91" i="4" a="1"/>
  <c r="B91" i="4" s="1"/>
  <c r="N91" i="4" a="1"/>
  <c r="N91" i="4" s="1"/>
  <c r="N90" i="4" a="1"/>
  <c r="N90" i="4" s="1"/>
  <c r="C90" i="4" a="1"/>
  <c r="C90" i="4" s="1"/>
  <c r="D82" i="4" a="1"/>
  <c r="D82" i="4" s="1"/>
  <c r="D123" i="4" a="1"/>
  <c r="D123" i="4" s="1"/>
  <c r="N119" i="4" a="1"/>
  <c r="N119" i="4" s="1"/>
  <c r="M112" i="4" a="1"/>
  <c r="M112" i="4" s="1"/>
  <c r="C97" i="4" a="1"/>
  <c r="C97" i="4" s="1"/>
  <c r="C96" i="4" a="1"/>
  <c r="C96" i="4" s="1"/>
  <c r="H89" i="4"/>
  <c r="M86" i="4" a="1"/>
  <c r="M86" i="4" s="1"/>
  <c r="B97" i="4" a="1"/>
  <c r="B97" i="4" s="1"/>
  <c r="M95" i="4" a="1"/>
  <c r="M95" i="4" s="1"/>
  <c r="E95" i="4" a="1"/>
  <c r="E95" i="4" s="1"/>
  <c r="E86" i="4" a="1"/>
  <c r="E86" i="4" s="1"/>
  <c r="N84" i="4" a="1"/>
  <c r="N84" i="4" s="1"/>
  <c r="C84" i="4" a="1"/>
  <c r="C84" i="4" s="1"/>
  <c r="M84" i="4" a="1"/>
  <c r="M84" i="4" s="1"/>
  <c r="D84" i="4" a="1"/>
  <c r="D84" i="4" s="1"/>
  <c r="C82" i="4" a="1"/>
  <c r="C82" i="4" s="1"/>
  <c r="N96" i="4" a="1"/>
  <c r="N96" i="4" s="1"/>
  <c r="D96" i="4" a="1"/>
  <c r="D96" i="4" s="1"/>
  <c r="E96" i="4" a="1"/>
  <c r="E96" i="4" s="1"/>
  <c r="M90" i="4" a="1"/>
  <c r="M90" i="4" s="1"/>
  <c r="B82" i="4" a="1"/>
  <c r="B82" i="4" s="1"/>
  <c r="N126" i="4" a="1"/>
  <c r="N126" i="4" s="1"/>
  <c r="M126" i="4" a="1"/>
  <c r="M126" i="4" s="1"/>
  <c r="N108" i="4" a="1"/>
  <c r="N108" i="4" s="1"/>
  <c r="E108" i="4" a="1"/>
  <c r="E108" i="4" s="1"/>
  <c r="N106" i="4" a="1"/>
  <c r="N106" i="4" s="1"/>
  <c r="B106" i="4" a="1"/>
  <c r="B106" i="4" s="1"/>
  <c r="E105" i="4" a="1"/>
  <c r="E105" i="4" s="1"/>
  <c r="C105" i="4" a="1"/>
  <c r="C105" i="4" s="1"/>
  <c r="C103" i="4" a="1"/>
  <c r="C103" i="4" s="1"/>
  <c r="M103" i="4" a="1"/>
  <c r="M103" i="4" s="1"/>
  <c r="N102" i="4" a="1"/>
  <c r="N102" i="4" s="1"/>
  <c r="N100" i="4" a="1"/>
  <c r="N100" i="4" s="1"/>
  <c r="C100" i="4" a="1"/>
  <c r="C100" i="4" s="1"/>
  <c r="N98" i="4" a="1"/>
  <c r="N98" i="4" s="1"/>
  <c r="M98" i="4" a="1"/>
  <c r="M98" i="4" s="1"/>
  <c r="D98" i="4" a="1"/>
  <c r="D98" i="4" s="1"/>
  <c r="D93" i="4" a="1"/>
  <c r="D93" i="4" s="1"/>
  <c r="D92" i="4" a="1"/>
  <c r="D92" i="4" s="1"/>
  <c r="E91" i="4" a="1"/>
  <c r="E91" i="4" s="1"/>
  <c r="E90" i="4" a="1"/>
  <c r="E90" i="4" s="1"/>
  <c r="E88" i="4" a="1"/>
  <c r="E88" i="4" s="1"/>
  <c r="D87" i="4" a="1"/>
  <c r="D87" i="4" s="1"/>
  <c r="C86" i="4" a="1"/>
  <c r="C86" i="4" s="1"/>
  <c r="J85" i="4"/>
  <c r="N81" i="4" a="1"/>
  <c r="N81" i="4" s="1"/>
  <c r="C81" i="4" a="1"/>
  <c r="C81" i="4" s="1"/>
  <c r="D81" i="4" a="1"/>
  <c r="D81" i="4" s="1"/>
  <c r="B80" i="4" a="1"/>
  <c r="B80" i="4" s="1"/>
  <c r="B79" i="4" a="1"/>
  <c r="B79" i="4" s="1"/>
  <c r="E79" i="4" a="1"/>
  <c r="E79" i="4" s="1"/>
  <c r="E126" i="4" a="1"/>
  <c r="E126" i="4" s="1"/>
  <c r="N112" i="4" a="1"/>
  <c r="N112" i="4" s="1"/>
  <c r="D112" i="4" a="1"/>
  <c r="D112" i="4" s="1"/>
  <c r="M111" i="4" a="1"/>
  <c r="M111" i="4" s="1"/>
  <c r="D111" i="4" a="1"/>
  <c r="D111" i="4" s="1"/>
  <c r="N105" i="4" a="1"/>
  <c r="N105" i="4" s="1"/>
  <c r="N103" i="4" a="1"/>
  <c r="N103" i="4" s="1"/>
  <c r="M102" i="4" a="1"/>
  <c r="M102" i="4" s="1"/>
  <c r="M101" i="4" a="1"/>
  <c r="M101" i="4" s="1"/>
  <c r="M96" i="4" a="1"/>
  <c r="M96" i="4" s="1"/>
  <c r="C92" i="4" a="1"/>
  <c r="C92" i="4" s="1"/>
  <c r="D90" i="4" a="1"/>
  <c r="D90" i="4" s="1"/>
  <c r="E84" i="4" a="1"/>
  <c r="E84" i="4" s="1"/>
  <c r="C78" i="4" a="1"/>
  <c r="C78" i="4" s="1"/>
  <c r="E101" i="4" a="1"/>
  <c r="E101" i="4" s="1"/>
  <c r="M100" i="4" a="1"/>
  <c r="M100" i="4" s="1"/>
  <c r="E98" i="4" a="1"/>
  <c r="E98" i="4" s="1"/>
  <c r="M97" i="4" a="1"/>
  <c r="M97" i="4" s="1"/>
  <c r="E97" i="4" a="1"/>
  <c r="E97" i="4" s="1"/>
  <c r="C95" i="4" a="1"/>
  <c r="C95" i="4" s="1"/>
  <c r="M79" i="4" a="1"/>
  <c r="M79" i="4" s="1"/>
  <c r="N73" i="4" a="1"/>
  <c r="N73" i="4" s="1"/>
  <c r="N122" i="4" a="1"/>
  <c r="N122" i="4" s="1"/>
  <c r="B107" i="4" a="1"/>
  <c r="B107" i="4" s="1"/>
  <c r="N107" i="4" a="1"/>
  <c r="N107" i="4" s="1"/>
  <c r="N92" i="4" a="1"/>
  <c r="N92" i="4" s="1"/>
  <c r="E92" i="4" a="1"/>
  <c r="E92" i="4" s="1"/>
  <c r="N86" i="4" a="1"/>
  <c r="N86" i="4" s="1"/>
  <c r="E83" i="4" a="1"/>
  <c r="E83" i="4" s="1"/>
  <c r="M81" i="4" a="1"/>
  <c r="M81" i="4" s="1"/>
  <c r="E81" i="4" a="1"/>
  <c r="E81" i="4" s="1"/>
  <c r="M80" i="4" a="1"/>
  <c r="M80" i="4" s="1"/>
  <c r="N79" i="4" a="1"/>
  <c r="N79" i="4" s="1"/>
  <c r="N77" i="4" a="1"/>
  <c r="N77" i="4" s="1"/>
  <c r="C71" i="4" a="1"/>
  <c r="C71" i="4" s="1"/>
  <c r="E71" i="4" a="1"/>
  <c r="E71" i="4" s="1"/>
  <c r="M71" i="4" a="1"/>
  <c r="M71" i="4" s="1"/>
  <c r="B71" i="4" a="1"/>
  <c r="B71" i="4" s="1"/>
  <c r="D71" i="4" a="1"/>
  <c r="D71" i="4" s="1"/>
  <c r="E68" i="4" a="1"/>
  <c r="E68" i="4" s="1"/>
  <c r="E63" i="4" a="1"/>
  <c r="E63" i="4" s="1"/>
  <c r="N63" i="4" a="1"/>
  <c r="N63" i="4" s="1"/>
  <c r="H61" i="4"/>
  <c r="J61" i="4"/>
  <c r="M78" i="4" a="1"/>
  <c r="M78" i="4" s="1"/>
  <c r="N75" i="4" a="1"/>
  <c r="N75" i="4" s="1"/>
  <c r="M74" i="4" a="1"/>
  <c r="M74" i="4" s="1"/>
  <c r="M73" i="4" a="1"/>
  <c r="M73" i="4" s="1"/>
  <c r="N68" i="4" a="1"/>
  <c r="N68" i="4" s="1"/>
  <c r="H66" i="4"/>
  <c r="J66" i="4"/>
  <c r="J65" i="4"/>
  <c r="H65" i="4"/>
  <c r="D78" i="4" a="1"/>
  <c r="D78" i="4" s="1"/>
  <c r="D74" i="4" a="1"/>
  <c r="D74" i="4" s="1"/>
  <c r="H69" i="4"/>
  <c r="J69" i="4"/>
  <c r="C68" i="4" a="1"/>
  <c r="C68" i="4" s="1"/>
  <c r="M68" i="4" a="1"/>
  <c r="M68" i="4" s="1"/>
  <c r="B83" i="4" a="1"/>
  <c r="B83" i="4" s="1"/>
  <c r="C80" i="4" a="1"/>
  <c r="C80" i="4" s="1"/>
  <c r="C79" i="4" a="1"/>
  <c r="C79" i="4" s="1"/>
  <c r="C73" i="4" a="1"/>
  <c r="C73" i="4" s="1"/>
  <c r="E73" i="4" a="1"/>
  <c r="E73" i="4" s="1"/>
  <c r="N82" i="4" a="1"/>
  <c r="N82" i="4" s="1"/>
  <c r="M82" i="4" a="1"/>
  <c r="M82" i="4" s="1"/>
  <c r="E70" i="4" a="1"/>
  <c r="E70" i="4" s="1"/>
  <c r="B70" i="4" a="1"/>
  <c r="B70" i="4" s="1"/>
  <c r="N70" i="4" a="1"/>
  <c r="N70" i="4" s="1"/>
  <c r="C70" i="4" a="1"/>
  <c r="C70" i="4" s="1"/>
  <c r="D70" i="4" a="1"/>
  <c r="D70" i="4" s="1"/>
  <c r="M67" i="4" a="1"/>
  <c r="M67" i="4" s="1"/>
  <c r="E67" i="4" a="1"/>
  <c r="E67" i="4" s="1"/>
  <c r="C67" i="4" a="1"/>
  <c r="C67" i="4" s="1"/>
  <c r="N67" i="4" a="1"/>
  <c r="N67" i="4" s="1"/>
  <c r="C66" i="4" a="1"/>
  <c r="C66" i="4" s="1"/>
  <c r="D66" i="4" a="1"/>
  <c r="D66" i="4" s="1"/>
  <c r="M66" i="4" a="1"/>
  <c r="M66" i="4" s="1"/>
  <c r="N80" i="4" a="1"/>
  <c r="N80" i="4" s="1"/>
  <c r="D80" i="4" a="1"/>
  <c r="D80" i="4" s="1"/>
  <c r="D63" i="4" a="1"/>
  <c r="D63" i="4" s="1"/>
  <c r="B47" i="4" a="1"/>
  <c r="B47" i="4" s="1"/>
  <c r="N47" i="4" a="1"/>
  <c r="N47" i="4" s="1"/>
  <c r="D47" i="4" a="1"/>
  <c r="D47" i="4" s="1"/>
  <c r="M47" i="4" a="1"/>
  <c r="M47" i="4" s="1"/>
  <c r="C47" i="4" a="1"/>
  <c r="C47" i="4" s="1"/>
  <c r="E47" i="4" a="1"/>
  <c r="E47" i="4" s="1"/>
  <c r="N120" i="4" a="1"/>
  <c r="N120" i="4" s="1"/>
  <c r="N104" i="4" a="1"/>
  <c r="N104" i="4" s="1"/>
  <c r="N88" i="4" a="1"/>
  <c r="N88" i="4" s="1"/>
  <c r="E78" i="4" a="1"/>
  <c r="E78" i="4" s="1"/>
  <c r="B78" i="4" a="1"/>
  <c r="B78" i="4" s="1"/>
  <c r="N78" i="4" a="1"/>
  <c r="N78" i="4" s="1"/>
  <c r="C77" i="4" a="1"/>
  <c r="C77" i="4" s="1"/>
  <c r="C75" i="4" a="1"/>
  <c r="C75" i="4" s="1"/>
  <c r="E75" i="4" a="1"/>
  <c r="E75" i="4" s="1"/>
  <c r="M75" i="4" a="1"/>
  <c r="M75" i="4" s="1"/>
  <c r="B75" i="4" a="1"/>
  <c r="B75" i="4" s="1"/>
  <c r="E74" i="4" a="1"/>
  <c r="E74" i="4" s="1"/>
  <c r="B74" i="4" a="1"/>
  <c r="B74" i="4" s="1"/>
  <c r="N74" i="4" a="1"/>
  <c r="N74" i="4" s="1"/>
  <c r="N55" i="4" a="1"/>
  <c r="N55" i="4" s="1"/>
  <c r="C50" i="4" a="1"/>
  <c r="C50" i="4" s="1"/>
  <c r="D50" i="4" a="1"/>
  <c r="D50" i="4" s="1"/>
  <c r="M50" i="4" a="1"/>
  <c r="M50" i="4" s="1"/>
  <c r="J57" i="4"/>
  <c r="H57" i="4"/>
  <c r="E55" i="4" a="1"/>
  <c r="E55" i="4" s="1"/>
  <c r="E45" i="4" a="1"/>
  <c r="E45" i="4" s="1"/>
  <c r="M45" i="4" a="1"/>
  <c r="M45" i="4" s="1"/>
  <c r="B45" i="4" a="1"/>
  <c r="B45" i="4" s="1"/>
  <c r="D45" i="4" a="1"/>
  <c r="D45" i="4" s="1"/>
  <c r="C45" i="4" a="1"/>
  <c r="C45" i="4" s="1"/>
  <c r="N45" i="4" a="1"/>
  <c r="N45" i="4" s="1"/>
  <c r="N58" i="4" a="1"/>
  <c r="N58" i="4" s="1"/>
  <c r="B58" i="4" a="1"/>
  <c r="B58" i="4" s="1"/>
  <c r="C58" i="4" a="1"/>
  <c r="C58" i="4" s="1"/>
  <c r="D58" i="4" a="1"/>
  <c r="D58" i="4" s="1"/>
  <c r="B69" i="4" a="1"/>
  <c r="B69" i="4" s="1"/>
  <c r="D69" i="4" a="1"/>
  <c r="D69" i="4" s="1"/>
  <c r="C69" i="4" a="1"/>
  <c r="C69" i="4" s="1"/>
  <c r="H68" i="4"/>
  <c r="J64" i="4"/>
  <c r="M62" i="4" a="1"/>
  <c r="M62" i="4" s="1"/>
  <c r="E62" i="4" a="1"/>
  <c r="E62" i="4" s="1"/>
  <c r="C53" i="4" a="1"/>
  <c r="C53" i="4" s="1"/>
  <c r="C65" i="4" a="1"/>
  <c r="C65" i="4" s="1"/>
  <c r="D62" i="4" a="1"/>
  <c r="D62" i="4" s="1"/>
  <c r="B62" i="4" a="1"/>
  <c r="B62" i="4" s="1"/>
  <c r="N56" i="4" a="1"/>
  <c r="N56" i="4" s="1"/>
  <c r="C56" i="4" a="1"/>
  <c r="C56" i="4" s="1"/>
  <c r="E56" i="4" a="1"/>
  <c r="E56" i="4" s="1"/>
  <c r="N54" i="4" a="1"/>
  <c r="N54" i="4" s="1"/>
  <c r="M54" i="4" a="1"/>
  <c r="M54" i="4" s="1"/>
  <c r="E54" i="4" a="1"/>
  <c r="E54" i="4" s="1"/>
  <c r="B54" i="4" a="1"/>
  <c r="B54" i="4" s="1"/>
  <c r="E53" i="4" a="1"/>
  <c r="E53" i="4" s="1"/>
  <c r="N38" i="4" a="1"/>
  <c r="N38" i="4" s="1"/>
  <c r="M38" i="4" a="1"/>
  <c r="M38" i="4" s="1"/>
  <c r="B38" i="4" a="1"/>
  <c r="B38" i="4" s="1"/>
  <c r="D38" i="4" a="1"/>
  <c r="D38" i="4" s="1"/>
  <c r="B40" i="4" a="1"/>
  <c r="B40" i="4" s="1"/>
  <c r="D35" i="4" a="1"/>
  <c r="D35" i="4" s="1"/>
  <c r="M64" i="4" a="1"/>
  <c r="M64" i="4" s="1"/>
  <c r="D64" i="4" a="1"/>
  <c r="D64" i="4" s="1"/>
  <c r="M63" i="4" a="1"/>
  <c r="M63" i="4" s="1"/>
  <c r="B63" i="4" a="1"/>
  <c r="B63" i="4" s="1"/>
  <c r="N59" i="4" a="1"/>
  <c r="N59" i="4" s="1"/>
  <c r="B59" i="4" a="1"/>
  <c r="B59" i="4" s="1"/>
  <c r="E59" i="4" a="1"/>
  <c r="E59" i="4" s="1"/>
  <c r="C44" i="4" a="1"/>
  <c r="C44" i="4" s="1"/>
  <c r="M44" i="4" a="1"/>
  <c r="M44" i="4" s="1"/>
  <c r="B44" i="4" a="1"/>
  <c r="B44" i="4" s="1"/>
  <c r="E44" i="4" a="1"/>
  <c r="E44" i="4" s="1"/>
  <c r="J27" i="4"/>
  <c r="H27" i="4"/>
  <c r="D55" i="4" a="1"/>
  <c r="D55" i="4" s="1"/>
  <c r="M55" i="4" a="1"/>
  <c r="M55" i="4" s="1"/>
  <c r="B55" i="4" a="1"/>
  <c r="B55" i="4" s="1"/>
  <c r="N53" i="4" a="1"/>
  <c r="N53" i="4" s="1"/>
  <c r="B53" i="4" a="1"/>
  <c r="B53" i="4" s="1"/>
  <c r="B51" i="4" a="1"/>
  <c r="B51" i="4" s="1"/>
  <c r="C51" i="4" a="1"/>
  <c r="C51" i="4" s="1"/>
  <c r="N51" i="4" a="1"/>
  <c r="N51" i="4" s="1"/>
  <c r="D51" i="4" a="1"/>
  <c r="D51" i="4" s="1"/>
  <c r="N42" i="4" a="1"/>
  <c r="N42" i="4" s="1"/>
  <c r="M42" i="4" a="1"/>
  <c r="M42" i="4" s="1"/>
  <c r="B42" i="4" a="1"/>
  <c r="B42" i="4" s="1"/>
  <c r="E42" i="4" a="1"/>
  <c r="E42" i="4" s="1"/>
  <c r="N48" i="4" a="1"/>
  <c r="N48" i="4" s="1"/>
  <c r="E48" i="4" a="1"/>
  <c r="E48" i="4" s="1"/>
  <c r="C48" i="4" a="1"/>
  <c r="C48" i="4" s="1"/>
  <c r="B48" i="4" a="1"/>
  <c r="B48" i="4" s="1"/>
  <c r="M34" i="4" a="1"/>
  <c r="M34" i="4" s="1"/>
  <c r="D76" i="4" a="1"/>
  <c r="D76" i="4" s="1"/>
  <c r="D72" i="4" a="1"/>
  <c r="D72" i="4" s="1"/>
  <c r="B64" i="4" a="1"/>
  <c r="B64" i="4" s="1"/>
  <c r="E60" i="4" a="1"/>
  <c r="E60" i="4" s="1"/>
  <c r="M60" i="4" a="1"/>
  <c r="M60" i="4" s="1"/>
  <c r="B60" i="4" a="1"/>
  <c r="B60" i="4" s="1"/>
  <c r="E52" i="4" a="1"/>
  <c r="E52" i="4" s="1"/>
  <c r="N46" i="4" a="1"/>
  <c r="N46" i="4" s="1"/>
  <c r="E46" i="4" a="1"/>
  <c r="E46" i="4" s="1"/>
  <c r="D46" i="4" a="1"/>
  <c r="D46" i="4" s="1"/>
  <c r="J39" i="4"/>
  <c r="E38" i="4" a="1"/>
  <c r="E38" i="4" s="1"/>
  <c r="H37" i="4"/>
  <c r="J37" i="4"/>
  <c r="E34" i="4" a="1"/>
  <c r="E34" i="4" s="1"/>
  <c r="D41" i="4" a="1"/>
  <c r="D41" i="4" s="1"/>
  <c r="N36" i="4" a="1"/>
  <c r="N36" i="4" s="1"/>
  <c r="D36" i="4" a="1"/>
  <c r="D36" i="4" s="1"/>
  <c r="E36" i="4" a="1"/>
  <c r="E36" i="4" s="1"/>
  <c r="M32" i="4" a="1"/>
  <c r="M32" i="4" s="1"/>
  <c r="C27" i="4" a="1"/>
  <c r="C27" i="4" s="1"/>
  <c r="D27" i="4" a="1"/>
  <c r="D27" i="4" s="1"/>
  <c r="N25" i="4" a="1"/>
  <c r="N25" i="4" s="1"/>
  <c r="C21" i="4" a="1"/>
  <c r="C21" i="4" s="1"/>
  <c r="D22" i="4" a="1"/>
  <c r="D22" i="4" s="1"/>
  <c r="N19" i="4" a="1"/>
  <c r="N19" i="4" s="1"/>
  <c r="E19" i="4" a="1"/>
  <c r="E19" i="4" s="1"/>
  <c r="D32" i="4" a="1"/>
  <c r="D32" i="4" s="1"/>
  <c r="E30" i="4" a="1"/>
  <c r="E30" i="4" s="1"/>
  <c r="E28" i="4" a="1"/>
  <c r="E28" i="4" s="1"/>
  <c r="E26" i="4" a="1"/>
  <c r="E26" i="4" s="1"/>
  <c r="D25" i="4" a="1"/>
  <c r="D25" i="4" s="1"/>
  <c r="N20" i="4" a="1"/>
  <c r="N20" i="4" s="1"/>
  <c r="D20" i="4" a="1"/>
  <c r="D20" i="4" s="1"/>
  <c r="E20" i="4" a="1"/>
  <c r="E20" i="4" s="1"/>
  <c r="N15" i="4" a="1"/>
  <c r="N15" i="4" s="1"/>
  <c r="B15" i="4" a="1"/>
  <c r="B15" i="4" s="1"/>
  <c r="C15" i="4" a="1"/>
  <c r="C15" i="4" s="1"/>
  <c r="M15" i="4" a="1"/>
  <c r="M15" i="4" s="1"/>
  <c r="H21" i="4"/>
  <c r="J21" i="4"/>
  <c r="E14" i="4" a="1"/>
  <c r="E14" i="4" s="1"/>
  <c r="M14" i="4" a="1"/>
  <c r="M14" i="4" s="1"/>
  <c r="E57" i="4" a="1"/>
  <c r="E57" i="4" s="1"/>
  <c r="D49" i="4" a="1"/>
  <c r="D49" i="4" s="1"/>
  <c r="N40" i="4" a="1"/>
  <c r="N40" i="4" s="1"/>
  <c r="C40" i="4" a="1"/>
  <c r="C40" i="4" s="1"/>
  <c r="D40" i="4" a="1"/>
  <c r="D40" i="4" s="1"/>
  <c r="D39" i="4" a="1"/>
  <c r="D39" i="4" s="1"/>
  <c r="M39" i="4" a="1"/>
  <c r="M39" i="4" s="1"/>
  <c r="E37" i="4" a="1"/>
  <c r="E37" i="4" s="1"/>
  <c r="D28" i="4" a="1"/>
  <c r="D28" i="4" s="1"/>
  <c r="E27" i="4" a="1"/>
  <c r="E27" i="4" s="1"/>
  <c r="N22" i="4" a="1"/>
  <c r="N22" i="4" s="1"/>
  <c r="M22" i="4" a="1"/>
  <c r="M22" i="4" s="1"/>
  <c r="B22" i="4" a="1"/>
  <c r="B22" i="4" s="1"/>
  <c r="M19" i="4" a="1"/>
  <c r="M19" i="4" s="1"/>
  <c r="C18" i="4" a="1"/>
  <c r="C18" i="4" s="1"/>
  <c r="D19" i="4" a="1"/>
  <c r="D19" i="4" s="1"/>
  <c r="M65" i="4" a="1"/>
  <c r="M65" i="4" s="1"/>
  <c r="D65" i="4" a="1"/>
  <c r="D65" i="4" s="1"/>
  <c r="M61" i="4" a="1"/>
  <c r="M61" i="4" s="1"/>
  <c r="N52" i="4" a="1"/>
  <c r="N52" i="4" s="1"/>
  <c r="D52" i="4" a="1"/>
  <c r="D52" i="4" s="1"/>
  <c r="C43" i="4" a="1"/>
  <c r="C43" i="4" s="1"/>
  <c r="D43" i="4" a="1"/>
  <c r="D43" i="4" s="1"/>
  <c r="N41" i="4" a="1"/>
  <c r="N41" i="4" s="1"/>
  <c r="N39" i="4" a="1"/>
  <c r="N39" i="4" s="1"/>
  <c r="C37" i="4" a="1"/>
  <c r="C37" i="4" s="1"/>
  <c r="C36" i="4" a="1"/>
  <c r="C36" i="4" s="1"/>
  <c r="N34" i="4" a="1"/>
  <c r="N34" i="4" s="1"/>
  <c r="B34" i="4" a="1"/>
  <c r="B34" i="4" s="1"/>
  <c r="B31" i="4" a="1"/>
  <c r="B31" i="4" s="1"/>
  <c r="N31" i="4" a="1"/>
  <c r="N31" i="4" s="1"/>
  <c r="C31" i="4" a="1"/>
  <c r="C31" i="4" s="1"/>
  <c r="N30" i="4" a="1"/>
  <c r="N30" i="4" s="1"/>
  <c r="B28" i="4" a="1"/>
  <c r="B28" i="4" s="1"/>
  <c r="N24" i="4" a="1"/>
  <c r="N24" i="4" s="1"/>
  <c r="C24" i="4" a="1"/>
  <c r="C24" i="4" s="1"/>
  <c r="D24" i="4" a="1"/>
  <c r="D24" i="4" s="1"/>
  <c r="D23" i="4" a="1"/>
  <c r="D23" i="4" s="1"/>
  <c r="M23" i="4" a="1"/>
  <c r="M23" i="4" s="1"/>
  <c r="E21" i="4" a="1"/>
  <c r="E21" i="4" s="1"/>
  <c r="B16" i="4" a="1"/>
  <c r="B16" i="4" s="1"/>
  <c r="C16" i="4" a="1"/>
  <c r="C16" i="4" s="1"/>
  <c r="E16" i="4" a="1"/>
  <c r="E16" i="4" s="1"/>
  <c r="M16" i="4" a="1"/>
  <c r="M16" i="4" s="1"/>
  <c r="D61" i="4" a="1"/>
  <c r="D61" i="4" s="1"/>
  <c r="C59" i="4" a="1"/>
  <c r="C59" i="4" s="1"/>
  <c r="M51" i="4" a="1"/>
  <c r="M51" i="4" s="1"/>
  <c r="N50" i="4" a="1"/>
  <c r="N50" i="4" s="1"/>
  <c r="B50" i="4" a="1"/>
  <c r="B50" i="4" s="1"/>
  <c r="H49" i="4"/>
  <c r="N43" i="4" a="1"/>
  <c r="N43" i="4" s="1"/>
  <c r="M41" i="4" a="1"/>
  <c r="M41" i="4" s="1"/>
  <c r="M40" i="4" a="1"/>
  <c r="M40" i="4" s="1"/>
  <c r="E39" i="4" a="1"/>
  <c r="E39" i="4" s="1"/>
  <c r="B36" i="4" a="1"/>
  <c r="B36" i="4" s="1"/>
  <c r="M35" i="4" a="1"/>
  <c r="M35" i="4" s="1"/>
  <c r="B35" i="4" a="1"/>
  <c r="B35" i="4" s="1"/>
  <c r="N35" i="4" a="1"/>
  <c r="N35" i="4" s="1"/>
  <c r="B27" i="4" a="1"/>
  <c r="B27" i="4" s="1"/>
  <c r="N26" i="4" a="1"/>
  <c r="N26" i="4" s="1"/>
  <c r="M26" i="4" a="1"/>
  <c r="M26" i="4" s="1"/>
  <c r="E22" i="4" a="1"/>
  <c r="E22" i="4" s="1"/>
  <c r="M21" i="4" a="1"/>
  <c r="M21" i="4" s="1"/>
  <c r="C19" i="4" a="1"/>
  <c r="C19" i="4" s="1"/>
  <c r="E17" i="4" a="1"/>
  <c r="E17" i="4" s="1"/>
  <c r="N14" i="4" a="1"/>
  <c r="N14" i="4" s="1"/>
  <c r="D8" i="4" a="1"/>
  <c r="D8" i="4" s="1"/>
  <c r="D9" i="4" a="1"/>
  <c r="D9" i="4" s="1"/>
  <c r="M12" i="4" a="1"/>
  <c r="M12" i="4" s="1"/>
  <c r="M11" i="4" a="1"/>
  <c r="M11" i="4" s="1"/>
  <c r="N11" i="4" a="1"/>
  <c r="N11" i="4" s="1"/>
  <c r="D11" i="4" a="1"/>
  <c r="D11" i="4" s="1"/>
  <c r="E10" i="4" a="1"/>
  <c r="E10" i="4" s="1"/>
  <c r="M9" i="4" a="1"/>
  <c r="M9" i="4" s="1"/>
  <c r="D13" i="4" a="1"/>
  <c r="D13" i="4" s="1"/>
  <c r="E12" i="4" a="1"/>
  <c r="E12" i="4" s="1"/>
  <c r="D10" i="4" a="1"/>
  <c r="D10" i="4" s="1"/>
  <c r="C9" i="4" a="1"/>
  <c r="C9" i="4" s="1"/>
  <c r="N8" i="4" a="1"/>
  <c r="N8" i="4" s="1"/>
  <c r="N32" i="4" a="1"/>
  <c r="N32" i="4" s="1"/>
  <c r="N18" i="4" a="1"/>
  <c r="N18" i="4" s="1"/>
  <c r="B17" i="4" a="1"/>
  <c r="B17" i="4" s="1"/>
  <c r="D14" i="4" a="1"/>
  <c r="D14" i="4" s="1"/>
  <c r="D12" i="4" a="1"/>
  <c r="D12" i="4" s="1"/>
  <c r="C11" i="4" a="1"/>
  <c r="C11" i="4" s="1"/>
  <c r="C10" i="4" a="1"/>
  <c r="C10" i="4" s="1"/>
  <c r="C12" i="4" a="1"/>
  <c r="C12" i="4" s="1"/>
  <c r="B11" i="4" a="1"/>
  <c r="B11" i="4" s="1"/>
  <c r="N60" i="4" a="1"/>
  <c r="N60" i="4" s="1"/>
  <c r="N44" i="4" a="1"/>
  <c r="N44" i="4" s="1"/>
  <c r="E32" i="4" a="1"/>
  <c r="E32" i="4" s="1"/>
  <c r="N28" i="4" a="1"/>
  <c r="N28" i="4" s="1"/>
  <c r="M18" i="4" a="1"/>
  <c r="M18" i="4" s="1"/>
  <c r="N16" i="4" a="1"/>
  <c r="N16" i="4" s="1"/>
  <c r="C14" i="4" a="1"/>
  <c r="C14" i="4" s="1"/>
  <c r="B13" i="4" a="1"/>
  <c r="B13" i="4" s="1"/>
  <c r="B12" i="4" a="1"/>
  <c r="B12" i="4" s="1"/>
  <c r="N10" i="4" a="1"/>
  <c r="N10" i="4" s="1"/>
  <c r="D7" i="4" a="1"/>
  <c r="D7" i="4" s="1"/>
  <c r="E7" i="4" a="1"/>
  <c r="E7" i="4" s="1"/>
  <c r="C7" i="4" a="1"/>
  <c r="C7" i="4" s="1"/>
  <c r="E6" i="4" a="1"/>
  <c r="E6" i="4" s="1"/>
  <c r="N9" i="4" a="1"/>
  <c r="N9" i="4" s="1"/>
  <c r="N7" i="4" a="1"/>
  <c r="N7" i="4" s="1"/>
  <c r="C6" i="4" a="1"/>
  <c r="C6" i="4" s="1"/>
  <c r="N6" i="4" a="1"/>
  <c r="N6" i="4" s="1"/>
  <c r="B6" i="4" a="1"/>
  <c r="B6" i="4" s="1"/>
  <c r="J4" i="4"/>
  <c r="J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<sst xmlns="http://schemas.openxmlformats.org/spreadsheetml/2006/main" count="4129" uniqueCount="323">
  <si>
    <t>X</t>
    <phoneticPr fontId="1" type="noConversion"/>
  </si>
  <si>
    <t>Y</t>
    <phoneticPr fontId="1" type="noConversion"/>
  </si>
  <si>
    <t>Reads</t>
    <phoneticPr fontId="1" type="noConversion"/>
  </si>
  <si>
    <t>생물상 조사</t>
    <phoneticPr fontId="1" type="noConversion"/>
  </si>
  <si>
    <t>MiFish</t>
    <phoneticPr fontId="1" type="noConversion"/>
  </si>
  <si>
    <t>포유류</t>
  </si>
  <si>
    <t>어류</t>
  </si>
  <si>
    <t>미꾸라지</t>
  </si>
  <si>
    <t>황아귀</t>
  </si>
  <si>
    <t>참붕어</t>
  </si>
  <si>
    <t>명태</t>
  </si>
  <si>
    <t>모래무지</t>
  </si>
  <si>
    <t>멧돼지</t>
  </si>
  <si>
    <t>사람</t>
  </si>
  <si>
    <t>기벨리오 붕어</t>
  </si>
  <si>
    <t>Sebastes zacentrus</t>
  </si>
  <si>
    <t>버들치</t>
  </si>
  <si>
    <t>피라미</t>
  </si>
  <si>
    <t>남해산 넙치</t>
  </si>
  <si>
    <t>얼록동사리</t>
  </si>
  <si>
    <t>미꾸리</t>
  </si>
  <si>
    <t>붕어</t>
  </si>
  <si>
    <t>Gnathopogon polytaenia</t>
  </si>
  <si>
    <t>중국미꾸라지</t>
  </si>
  <si>
    <t>참돔</t>
  </si>
  <si>
    <t>중국자라</t>
  </si>
  <si>
    <t>양서파충류</t>
  </si>
  <si>
    <t>붕어 속</t>
  </si>
  <si>
    <t>줄몰개</t>
  </si>
  <si>
    <t>혹부리오리</t>
  </si>
  <si>
    <t>조류</t>
  </si>
  <si>
    <t>잉어</t>
  </si>
  <si>
    <t>가물치</t>
  </si>
  <si>
    <t>누치 속</t>
  </si>
  <si>
    <t>Culter dabryi</t>
  </si>
  <si>
    <t>Misgurnus bipartitus</t>
  </si>
  <si>
    <t>대륙송사리</t>
  </si>
  <si>
    <t>떡붕어</t>
  </si>
  <si>
    <t>큰입배스</t>
  </si>
  <si>
    <t>common_name</t>
  </si>
  <si>
    <t>scientific_name</t>
  </si>
  <si>
    <t>Chanodichthys mongolicus</t>
  </si>
  <si>
    <t>Chelon melinopterus</t>
  </si>
  <si>
    <t>Cyprinus megalophthalmus</t>
  </si>
  <si>
    <t>Konosirus punctatus</t>
  </si>
  <si>
    <t>Hapalogenys nigripinnis</t>
  </si>
  <si>
    <t>Hemibarbus umbrifer</t>
  </si>
  <si>
    <t>Seriola quinqueradiata</t>
  </si>
  <si>
    <t>Larimichthy crocea</t>
  </si>
  <si>
    <t>Lefua pleskei</t>
  </si>
  <si>
    <t>Trachurus mediterraneus</t>
  </si>
  <si>
    <t>Sebastes viviparus</t>
  </si>
  <si>
    <t>Plagiognathops microlepis</t>
  </si>
  <si>
    <t>Platycephalus sp</t>
  </si>
  <si>
    <t>Sciaenops ocellatus</t>
  </si>
  <si>
    <t>Sebastes babcocki</t>
  </si>
  <si>
    <t>Rhinogobius sp.</t>
  </si>
  <si>
    <t>Macropodus ocellatus</t>
  </si>
  <si>
    <t>Silurus meridionalis</t>
  </si>
  <si>
    <t>Lepidopus caudatus</t>
  </si>
  <si>
    <t>Hemibarbus maculatus</t>
  </si>
  <si>
    <t>Oplegnathus fasciatus</t>
  </si>
  <si>
    <t>Tachysurus nudiceps</t>
  </si>
  <si>
    <t>Odontamblyopus lacepedii</t>
  </si>
  <si>
    <t>Silurus soldatovi</t>
  </si>
  <si>
    <t>Larimichthys crocea</t>
  </si>
  <si>
    <t>Takifugu xanthopterus</t>
  </si>
  <si>
    <t>Decapterus maruadsi</t>
  </si>
  <si>
    <t>Channa argus</t>
  </si>
  <si>
    <t>가숭어</t>
  </si>
  <si>
    <t>Planiliza haematocheila</t>
  </si>
  <si>
    <t>가시납지리</t>
  </si>
  <si>
    <t>Acanthorhodeus chankaensis</t>
  </si>
  <si>
    <t>갈겨니</t>
  </si>
  <si>
    <t>Nipponocypris temminckii</t>
  </si>
  <si>
    <t>갈문망둑</t>
  </si>
  <si>
    <t>Rhinogobius giurinus</t>
  </si>
  <si>
    <t>개</t>
  </si>
  <si>
    <t>Canis lupus familiaris</t>
  </si>
  <si>
    <t>갯장어</t>
  </si>
  <si>
    <t>Muraenesox cinereus</t>
  </si>
  <si>
    <t>검은이마직박구리</t>
  </si>
  <si>
    <t>Hypsipetes leucocephalus</t>
  </si>
  <si>
    <t>검정망둑</t>
  </si>
  <si>
    <t>Tridentiger obscurus</t>
  </si>
  <si>
    <t>고양이</t>
  </si>
  <si>
    <t>Felis catus</t>
  </si>
  <si>
    <t>Carassius gibelio</t>
  </si>
  <si>
    <t>긴몰개</t>
  </si>
  <si>
    <t>Squalidus gracilis majimae</t>
  </si>
  <si>
    <t>까치</t>
  </si>
  <si>
    <t>Pica serica</t>
  </si>
  <si>
    <t>꺽정이</t>
  </si>
  <si>
    <t>Trachidermus fasciatus</t>
  </si>
  <si>
    <t>꾹저구</t>
  </si>
  <si>
    <t>Gymnogobius urotaenia</t>
  </si>
  <si>
    <t>꿩</t>
  </si>
  <si>
    <t>Phasianus colchicus</t>
  </si>
  <si>
    <t>날망둑</t>
  </si>
  <si>
    <t>Gymnogobius breunigii</t>
  </si>
  <si>
    <t>Paralichthys olivaceus</t>
  </si>
  <si>
    <t>납자루</t>
  </si>
  <si>
    <t>Acheilognathus lanceolata</t>
  </si>
  <si>
    <t>납지리</t>
  </si>
  <si>
    <t>Acheilognathus rhombeus</t>
  </si>
  <si>
    <t>너구리</t>
  </si>
  <si>
    <t>Nyctereutes procyonoides</t>
  </si>
  <si>
    <t>농어목 바닷물고기</t>
  </si>
  <si>
    <t>Perciformes sp.</t>
  </si>
  <si>
    <t>Hemibarbus sp.</t>
  </si>
  <si>
    <t>닭</t>
  </si>
  <si>
    <t>Gallus gallus domesticus</t>
  </si>
  <si>
    <t>대구</t>
  </si>
  <si>
    <t>Gadus macrocephalus</t>
  </si>
  <si>
    <t>Oryzias sinensis</t>
  </si>
  <si>
    <t>돌고기</t>
  </si>
  <si>
    <t>Pungtungia herzi</t>
  </si>
  <si>
    <t>동갈치</t>
  </si>
  <si>
    <t>Trichiurus lepturus</t>
  </si>
  <si>
    <t>동사리</t>
  </si>
  <si>
    <t>Odontobutis platycephala</t>
  </si>
  <si>
    <t>동자개</t>
  </si>
  <si>
    <t>Tachysurus fulvidraco</t>
  </si>
  <si>
    <t>두더지</t>
  </si>
  <si>
    <t>Mogera robusta</t>
  </si>
  <si>
    <t>두줄망둑</t>
  </si>
  <si>
    <t>Tridentiger trigonocephalus</t>
  </si>
  <si>
    <t>딱새</t>
  </si>
  <si>
    <t>Phoenicurus auroreus</t>
  </si>
  <si>
    <t>Carassius cuvieri</t>
  </si>
  <si>
    <t>Sus scrofa</t>
  </si>
  <si>
    <t>멸치</t>
  </si>
  <si>
    <t>Engraulis japonicus</t>
  </si>
  <si>
    <t>Theragra chalcogramma</t>
  </si>
  <si>
    <t>Pseudogobio esocinus</t>
  </si>
  <si>
    <t>무늬꾹저구</t>
  </si>
  <si>
    <t>Gymnogobius opperiens</t>
  </si>
  <si>
    <t>Misgurnus mizolepis</t>
  </si>
  <si>
    <t>Misgurnus anguillicaudatus</t>
  </si>
  <si>
    <t>미유기</t>
  </si>
  <si>
    <t>Silurus microdorsalis</t>
  </si>
  <si>
    <t>백다랑어</t>
  </si>
  <si>
    <t>Thunnus tonggol</t>
  </si>
  <si>
    <t>뱀장어</t>
  </si>
  <si>
    <t>Anguilla japonica</t>
  </si>
  <si>
    <t>버들매치</t>
  </si>
  <si>
    <t>Abbottina rivularis</t>
  </si>
  <si>
    <t>Rhynchocypris oxycephalus</t>
  </si>
  <si>
    <t>보구치(남부)</t>
  </si>
  <si>
    <t>Argyrosomus argentatus</t>
  </si>
  <si>
    <t>Carassius auratus</t>
  </si>
  <si>
    <t>Carassius sp.</t>
  </si>
  <si>
    <t>붕장어</t>
  </si>
  <si>
    <t>Conger myriaster</t>
  </si>
  <si>
    <t>블루길</t>
  </si>
  <si>
    <t>Lepomis macrochirus</t>
  </si>
  <si>
    <t>비둘기</t>
  </si>
  <si>
    <t>Columba livia</t>
  </si>
  <si>
    <t>Homo sapiens</t>
  </si>
  <si>
    <t>살치</t>
  </si>
  <si>
    <t>Hemiculter leucisculus</t>
  </si>
  <si>
    <t>삼치</t>
  </si>
  <si>
    <t>Scomberomorus niphonius</t>
  </si>
  <si>
    <t>생쥐</t>
  </si>
  <si>
    <t>Mus musculus</t>
  </si>
  <si>
    <t>소</t>
  </si>
  <si>
    <t>Bos taurus</t>
  </si>
  <si>
    <t>쇠오리</t>
  </si>
  <si>
    <t>Anas crecca</t>
  </si>
  <si>
    <t>숭어</t>
  </si>
  <si>
    <t>Mugil cephalus</t>
  </si>
  <si>
    <t>시궁쥐</t>
  </si>
  <si>
    <t>Rattus norvegicus</t>
  </si>
  <si>
    <t>쌀미꾸리</t>
  </si>
  <si>
    <t>Lefua costata</t>
  </si>
  <si>
    <t>Odontobutis interrupta</t>
  </si>
  <si>
    <t>연못거북</t>
  </si>
  <si>
    <t>Trachemys scripta</t>
  </si>
  <si>
    <t>연어</t>
  </si>
  <si>
    <t>Oncorhynchus keta</t>
  </si>
  <si>
    <t>염소</t>
  </si>
  <si>
    <t>Capra hircus</t>
  </si>
  <si>
    <t>옥돔</t>
  </si>
  <si>
    <t>Branchiostegus japonicus</t>
  </si>
  <si>
    <t>은어</t>
  </si>
  <si>
    <t>Plecoglossus altivelis</t>
  </si>
  <si>
    <t>Cyprinus carpio</t>
  </si>
  <si>
    <t>작은괴도라치</t>
  </si>
  <si>
    <t>Chirolophis saitone</t>
  </si>
  <si>
    <t>점농어</t>
  </si>
  <si>
    <t>Lateolabrax maculatus</t>
  </si>
  <si>
    <t>좀구굴치</t>
  </si>
  <si>
    <t>Micropercops swinhonis</t>
  </si>
  <si>
    <t>주둥치(남부)</t>
  </si>
  <si>
    <t>Nuchequula nuchalis</t>
  </si>
  <si>
    <t>Gnathopogon strigatus</t>
  </si>
  <si>
    <t>중고기</t>
  </si>
  <si>
    <t>Sarcocheilichthys nigripinnis</t>
  </si>
  <si>
    <t>Paramisgurnus dabryanus</t>
  </si>
  <si>
    <t>Pelodiscus sinensis</t>
  </si>
  <si>
    <t>집박쥐</t>
  </si>
  <si>
    <t>Pipistrellus abramus</t>
  </si>
  <si>
    <t>짱뚱어</t>
  </si>
  <si>
    <t>Periophthalmus modestus</t>
  </si>
  <si>
    <t>참고등어</t>
  </si>
  <si>
    <t>Scomber japonicus</t>
  </si>
  <si>
    <t>Pagrus major</t>
  </si>
  <si>
    <t>Pseudorasbora parva</t>
  </si>
  <si>
    <t>청머리오리</t>
  </si>
  <si>
    <t>Mareca falcata</t>
  </si>
  <si>
    <t>청멸</t>
  </si>
  <si>
    <t>Thryssa kammalensis</t>
  </si>
  <si>
    <t>코요테</t>
  </si>
  <si>
    <t>Canis latrans</t>
  </si>
  <si>
    <t>큰납지리</t>
  </si>
  <si>
    <t>Acheilognathus macropterus</t>
  </si>
  <si>
    <t>Micropterus salmoides</t>
  </si>
  <si>
    <t>풀망둑</t>
  </si>
  <si>
    <t>Synechogobius hasta</t>
  </si>
  <si>
    <t>Zacco platypus</t>
  </si>
  <si>
    <t>Tadorna tadorna</t>
  </si>
  <si>
    <t>Lophius litulon</t>
  </si>
  <si>
    <t>황어</t>
  </si>
  <si>
    <t>Tribolodon hakonensis</t>
  </si>
  <si>
    <t>황해볼락</t>
  </si>
  <si>
    <t>Sebastes koreanus</t>
  </si>
  <si>
    <t>common_name</t>
    <phoneticPr fontId="1" type="noConversion"/>
  </si>
  <si>
    <t>taxa</t>
  </si>
  <si>
    <t>몽골붕어</t>
  </si>
  <si>
    <t>검정꼬리숭어</t>
  </si>
  <si>
    <t>다브리날카로운입치</t>
  </si>
  <si>
    <t>큰눈잉어</t>
  </si>
  <si>
    <t>흑기흑조기</t>
  </si>
  <si>
    <t>대황조기</t>
  </si>
  <si>
    <t>참종개</t>
  </si>
  <si>
    <t>쌍무늬미꾸리</t>
  </si>
  <si>
    <t>왜몰개</t>
  </si>
  <si>
    <t>쏨뱅이</t>
  </si>
  <si>
    <t>남방메기</t>
  </si>
  <si>
    <t>눈동자동자개</t>
  </si>
  <si>
    <t>전어</t>
    <phoneticPr fontId="1" type="noConversion"/>
  </si>
  <si>
    <t>폴리테니아 줄몰개</t>
    <phoneticPr fontId="1" type="noConversion"/>
  </si>
  <si>
    <t>누치</t>
    <phoneticPr fontId="1" type="noConversion"/>
  </si>
  <si>
    <t>낫잿방어</t>
    <phoneticPr fontId="1" type="noConversion"/>
  </si>
  <si>
    <t>지중해전갱이</t>
    <phoneticPr fontId="1" type="noConversion"/>
  </si>
  <si>
    <t>흑점뺨볼락</t>
    <phoneticPr fontId="1" type="noConversion"/>
  </si>
  <si>
    <t>양태속</t>
    <phoneticPr fontId="1" type="noConversion"/>
  </si>
  <si>
    <t>애기망둑</t>
    <phoneticPr fontId="1" type="noConversion"/>
  </si>
  <si>
    <t>Pseudogobius masago</t>
  </si>
  <si>
    <t>Pseudogobius masago</t>
    <phoneticPr fontId="1" type="noConversion"/>
  </si>
  <si>
    <t>밀어</t>
    <phoneticPr fontId="1" type="noConversion"/>
  </si>
  <si>
    <t>점성어</t>
    <phoneticPr fontId="1" type="noConversion"/>
  </si>
  <si>
    <t>버들붕어</t>
    <phoneticPr fontId="1" type="noConversion"/>
  </si>
  <si>
    <t>은빛갈치꼬치</t>
    <phoneticPr fontId="1" type="noConversion"/>
  </si>
  <si>
    <t>알락누치</t>
    <phoneticPr fontId="1" type="noConversion"/>
  </si>
  <si>
    <t>돌돔</t>
    <phoneticPr fontId="1" type="noConversion"/>
  </si>
  <si>
    <t>개소갱</t>
    <phoneticPr fontId="1" type="noConversion"/>
  </si>
  <si>
    <t>솔다토비 메기</t>
    <phoneticPr fontId="1" type="noConversion"/>
  </si>
  <si>
    <t>부세</t>
    <phoneticPr fontId="1" type="noConversion"/>
  </si>
  <si>
    <t>까치복</t>
    <phoneticPr fontId="1" type="noConversion"/>
  </si>
  <si>
    <t>가라지</t>
    <phoneticPr fontId="1" type="noConversion"/>
  </si>
  <si>
    <t>가자미</t>
    <phoneticPr fontId="1" type="noConversion"/>
  </si>
  <si>
    <t>Pleuronectes yokohamae</t>
  </si>
  <si>
    <t>개소겡</t>
    <phoneticPr fontId="1" type="noConversion"/>
  </si>
  <si>
    <t>오록스(소)</t>
    <phoneticPr fontId="1" type="noConversion"/>
  </si>
  <si>
    <t>Redbanded 뽈락</t>
    <phoneticPr fontId="1" type="noConversion"/>
  </si>
  <si>
    <t>Cyprinus megalophthalmus</t>
    <phoneticPr fontId="1" type="noConversion"/>
  </si>
  <si>
    <t>Hemibarbus maculatus</t>
    <phoneticPr fontId="1" type="noConversion"/>
  </si>
  <si>
    <t>Larimichthys polyactis</t>
  </si>
  <si>
    <t>참조기</t>
    <phoneticPr fontId="1" type="noConversion"/>
  </si>
  <si>
    <t>takifugu xanthopterus</t>
    <phoneticPr fontId="1" type="noConversion"/>
  </si>
  <si>
    <t>=XLOOKUP(D2,'Common name (master file)'!$B:$B,'Common name (master file)'!$A:$A,"-------------")</t>
    <phoneticPr fontId="1" type="noConversion"/>
  </si>
  <si>
    <t>Date</t>
    <phoneticPr fontId="1" type="noConversion"/>
  </si>
  <si>
    <t>Marker</t>
    <phoneticPr fontId="1" type="noConversion"/>
  </si>
  <si>
    <t>안양천-1</t>
  </si>
  <si>
    <t>안양천-2</t>
  </si>
  <si>
    <t>안양천-3</t>
  </si>
  <si>
    <t>안양천-4</t>
  </si>
  <si>
    <t>안양천-5</t>
  </si>
  <si>
    <t>안양천-6</t>
  </si>
  <si>
    <t>안양천-7</t>
  </si>
  <si>
    <t>안양천-8</t>
  </si>
  <si>
    <t>안양천-9</t>
  </si>
  <si>
    <t>안양천-10</t>
  </si>
  <si>
    <t>안양천-11</t>
  </si>
  <si>
    <t>안양천-12</t>
  </si>
  <si>
    <t>안양천-13</t>
  </si>
  <si>
    <t>안양천-15</t>
  </si>
  <si>
    <t>안양천-16</t>
  </si>
  <si>
    <t>안양천-19</t>
  </si>
  <si>
    <t>안양천-22</t>
  </si>
  <si>
    <t>안양천-29</t>
  </si>
  <si>
    <t>안양천-30</t>
  </si>
  <si>
    <t>안양천-31</t>
  </si>
  <si>
    <t>=IFERROR(XLOOKUP(1,(G:G=B2)*(H:H=C2),I:I,""),"")</t>
    <phoneticPr fontId="1" type="noConversion"/>
  </si>
  <si>
    <t>DO(mg/L)</t>
  </si>
  <si>
    <t>SPC(uS/cm)</t>
  </si>
  <si>
    <t>pH</t>
  </si>
  <si>
    <t>Object</t>
    <phoneticPr fontId="1" type="noConversion"/>
  </si>
  <si>
    <t>Primer</t>
    <phoneticPr fontId="1" type="noConversion"/>
  </si>
  <si>
    <t>primer</t>
    <phoneticPr fontId="1" type="noConversion"/>
  </si>
  <si>
    <t>scientific_name</t>
    <phoneticPr fontId="1" type="noConversion"/>
  </si>
  <si>
    <t>read</t>
    <phoneticPr fontId="1" type="noConversion"/>
  </si>
  <si>
    <t>Taxa</t>
    <phoneticPr fontId="1" type="noConversion"/>
  </si>
  <si>
    <t>Manager</t>
    <phoneticPr fontId="1" type="noConversion"/>
  </si>
  <si>
    <t>YR</t>
    <phoneticPr fontId="1" type="noConversion"/>
  </si>
  <si>
    <t>manager</t>
    <phoneticPr fontId="1" type="noConversion"/>
  </si>
  <si>
    <t>옥길천</t>
    <phoneticPr fontId="1" type="noConversion"/>
  </si>
  <si>
    <t>옥길천-2</t>
  </si>
  <si>
    <t>목감천-1</t>
  </si>
  <si>
    <t>목감천-2</t>
  </si>
  <si>
    <t>목감천-3</t>
  </si>
  <si>
    <t>목감천-4</t>
  </si>
  <si>
    <t>삼성천-1</t>
  </si>
  <si>
    <t>삼성천-2</t>
  </si>
  <si>
    <t>삼막천</t>
  </si>
  <si>
    <t>수암천</t>
  </si>
  <si>
    <t>목감천-5</t>
  </si>
  <si>
    <t>Dummy</t>
    <phoneticPr fontId="1" type="noConversion"/>
  </si>
  <si>
    <t>test-mammal</t>
    <phoneticPr fontId="1" type="noConversion"/>
  </si>
  <si>
    <t>test-reptile</t>
    <phoneticPr fontId="1" type="noConversion"/>
  </si>
  <si>
    <t>test-bird</t>
    <phoneticPr fontId="1" type="noConversion"/>
  </si>
  <si>
    <t>Scientific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</si>
</sst>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Helvetica Neue"/>
      <family val="2"/>
    </font>
    <font>
      <b/>
      <sz val="11"/>
      <name val="맑은 고딕"/>
      <family val="2"/>
      <charset val="129"/>
    </font>
    <font>
      <u/>
      <sz val="12"/>
      <color theme="10"/>
      <name val="맑은 고딕"/>
      <family val="2"/>
      <charset val="129"/>
      <scheme val="minor"/>
    </font>
    <font>
      <u/>
      <sz val="12"/>
      <color theme="1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6" fillId="0" borderId="0" xfId="0" applyFont="1" applyAlignment="1"/>
    <xf numFmtId="0" fontId="0" fillId="0" borderId="0" xfId="0" quotePrefix="1">
      <alignment vertical="center"/>
    </xf>
    <xf numFmtId="0" fontId="0" fillId="0" borderId="0" xfId="0" quotePrefix="1" applyAlignment="1"/>
    <xf numFmtId="0" fontId="6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F072-AFF1-734C-B615-AB873EA03F10}">
  <dimension ref="A1:H1725"/>
  <sheetViews>
    <sheetView tabSelected="1" workbookViewId="0">
      <selection activeCell="D2" sqref="D2"/>
    </sheetView>
  </sheetViews>
  <sheetFormatPr baseColWidth="10" defaultRowHeight="18"/>
  <cols>
    <col min="1" max="1" width="12.85546875" bestFit="1" customWidth="1"/>
    <col min="4" max="4" width="14" bestFit="1" customWidth="1"/>
    <col min="5" max="5" width="11.7109375" bestFit="1" customWidth="1"/>
  </cols>
  <sheetData>
    <row r="1" spans="1:8">
      <c r="A1" t="s">
        <v>272</v>
      </c>
      <c r="B1" t="s">
        <v>0</v>
      </c>
      <c r="C1" t="s">
        <v>1</v>
      </c>
      <c r="D1" t="s">
        <v>322</v>
      </c>
      <c r="E1" t="s">
        <v>2</v>
      </c>
      <c r="F1" t="s">
        <v>299</v>
      </c>
    </row>
    <row r="2" spans="1:8">
      <c r="A2">
        <v>20200716</v>
      </c>
      <c r="B2">
        <v>126.9724018</v>
      </c>
      <c r="C2">
        <v>37.348161500000003</v>
      </c>
      <c r="D2" t="s">
        <v>166</v>
      </c>
      <c r="E2">
        <v>24</v>
      </c>
      <c r="F2" t="s">
        <v>4</v>
      </c>
      <c r="G2" s="2"/>
      <c r="H2" s="2"/>
    </row>
    <row r="3" spans="1:8">
      <c r="A3">
        <v>20200716</v>
      </c>
      <c r="B3">
        <v>126.9724018</v>
      </c>
      <c r="C3">
        <v>37.348161500000003</v>
      </c>
      <c r="D3" t="s">
        <v>55</v>
      </c>
      <c r="E3">
        <v>73</v>
      </c>
      <c r="F3" t="s">
        <v>4</v>
      </c>
    </row>
    <row r="4" spans="1:8">
      <c r="A4">
        <v>20200716</v>
      </c>
      <c r="B4">
        <v>126.9724018</v>
      </c>
      <c r="C4">
        <v>37.348161500000003</v>
      </c>
      <c r="D4" t="s">
        <v>137</v>
      </c>
      <c r="E4">
        <v>156</v>
      </c>
      <c r="F4" t="s">
        <v>4</v>
      </c>
    </row>
    <row r="5" spans="1:8">
      <c r="A5">
        <v>20200716</v>
      </c>
      <c r="B5">
        <v>126.9724018</v>
      </c>
      <c r="C5">
        <v>37.348161500000003</v>
      </c>
      <c r="D5" t="s">
        <v>221</v>
      </c>
      <c r="E5">
        <v>70</v>
      </c>
      <c r="F5" t="s">
        <v>4</v>
      </c>
    </row>
    <row r="6" spans="1:8">
      <c r="A6">
        <v>20200716</v>
      </c>
      <c r="B6">
        <v>126.9724018</v>
      </c>
      <c r="C6">
        <v>37.348161500000003</v>
      </c>
      <c r="D6" t="s">
        <v>207</v>
      </c>
      <c r="E6">
        <v>77</v>
      </c>
      <c r="F6" t="s">
        <v>4</v>
      </c>
    </row>
    <row r="7" spans="1:8">
      <c r="A7">
        <v>20200716</v>
      </c>
      <c r="B7">
        <v>126.9724018</v>
      </c>
      <c r="C7">
        <v>37.348161500000003</v>
      </c>
      <c r="D7" t="s">
        <v>133</v>
      </c>
      <c r="E7">
        <v>80</v>
      </c>
      <c r="F7" t="s">
        <v>4</v>
      </c>
    </row>
    <row r="8" spans="1:8">
      <c r="A8">
        <v>20200716</v>
      </c>
      <c r="B8">
        <v>126.9724018</v>
      </c>
      <c r="C8">
        <v>37.348161500000003</v>
      </c>
      <c r="D8" t="s">
        <v>134</v>
      </c>
      <c r="E8">
        <v>200</v>
      </c>
      <c r="F8" t="s">
        <v>4</v>
      </c>
    </row>
    <row r="9" spans="1:8">
      <c r="A9">
        <v>20200716</v>
      </c>
      <c r="B9">
        <v>126.9724018</v>
      </c>
      <c r="C9">
        <v>37.348161500000003</v>
      </c>
      <c r="D9" t="s">
        <v>130</v>
      </c>
      <c r="E9">
        <v>234</v>
      </c>
      <c r="F9" t="s">
        <v>4</v>
      </c>
    </row>
    <row r="10" spans="1:8">
      <c r="A10">
        <v>20200716</v>
      </c>
      <c r="B10">
        <v>126.9724018</v>
      </c>
      <c r="C10">
        <v>37.348161500000003</v>
      </c>
      <c r="D10" t="s">
        <v>158</v>
      </c>
      <c r="E10">
        <v>280</v>
      </c>
      <c r="F10" t="s">
        <v>4</v>
      </c>
    </row>
    <row r="11" spans="1:8">
      <c r="A11">
        <v>20200716</v>
      </c>
      <c r="B11">
        <v>126.9724018</v>
      </c>
      <c r="C11">
        <v>37.348161500000003</v>
      </c>
      <c r="D11" t="s">
        <v>87</v>
      </c>
      <c r="E11">
        <v>1009</v>
      </c>
      <c r="F11" t="s">
        <v>4</v>
      </c>
    </row>
    <row r="12" spans="1:8">
      <c r="A12">
        <v>20200716</v>
      </c>
      <c r="B12">
        <v>126.9724018</v>
      </c>
      <c r="C12">
        <v>37.348161500000003</v>
      </c>
      <c r="D12" t="s">
        <v>64</v>
      </c>
      <c r="E12">
        <v>1623</v>
      </c>
      <c r="F12" t="s">
        <v>4</v>
      </c>
    </row>
    <row r="13" spans="1:8">
      <c r="A13">
        <v>20200716</v>
      </c>
      <c r="B13">
        <v>126.9724018</v>
      </c>
      <c r="C13">
        <v>37.348161500000003</v>
      </c>
      <c r="D13" t="s">
        <v>15</v>
      </c>
      <c r="E13">
        <v>4703</v>
      </c>
      <c r="F13" t="s">
        <v>4</v>
      </c>
    </row>
    <row r="14" spans="1:8">
      <c r="A14">
        <v>20200716</v>
      </c>
      <c r="B14">
        <v>126.9724018</v>
      </c>
      <c r="C14">
        <v>37.348161500000003</v>
      </c>
      <c r="D14" t="s">
        <v>147</v>
      </c>
      <c r="E14">
        <v>8233</v>
      </c>
      <c r="F14" t="s">
        <v>4</v>
      </c>
    </row>
    <row r="15" spans="1:8">
      <c r="A15">
        <v>20200716</v>
      </c>
      <c r="B15">
        <v>126.9724018</v>
      </c>
      <c r="C15">
        <v>37.348161500000003</v>
      </c>
      <c r="D15" t="s">
        <v>219</v>
      </c>
      <c r="E15">
        <v>15999</v>
      </c>
      <c r="F15" t="s">
        <v>4</v>
      </c>
    </row>
    <row r="16" spans="1:8">
      <c r="A16">
        <v>20200716</v>
      </c>
      <c r="B16">
        <v>126.9724018</v>
      </c>
      <c r="C16">
        <v>37.348161500000003</v>
      </c>
      <c r="D16" t="s">
        <v>100</v>
      </c>
      <c r="E16">
        <v>12025</v>
      </c>
      <c r="F16" t="s">
        <v>4</v>
      </c>
    </row>
    <row r="17" spans="1:6">
      <c r="A17">
        <v>20200716</v>
      </c>
      <c r="B17">
        <v>126.9724018</v>
      </c>
      <c r="C17">
        <v>37.348161500000003</v>
      </c>
      <c r="D17" t="s">
        <v>175</v>
      </c>
      <c r="E17">
        <v>31241</v>
      </c>
      <c r="F17" t="s">
        <v>4</v>
      </c>
    </row>
    <row r="18" spans="1:6">
      <c r="A18">
        <v>20200716</v>
      </c>
      <c r="B18">
        <v>126.95619790000001</v>
      </c>
      <c r="C18">
        <v>37.363509200000003</v>
      </c>
      <c r="D18" t="s">
        <v>138</v>
      </c>
      <c r="E18">
        <v>25</v>
      </c>
      <c r="F18" t="s">
        <v>4</v>
      </c>
    </row>
    <row r="19" spans="1:6">
      <c r="A19">
        <v>20200716</v>
      </c>
      <c r="B19">
        <v>126.95619790000001</v>
      </c>
      <c r="C19">
        <v>37.363509200000003</v>
      </c>
      <c r="D19" t="s">
        <v>150</v>
      </c>
      <c r="E19">
        <v>29</v>
      </c>
      <c r="F19" t="s">
        <v>4</v>
      </c>
    </row>
    <row r="20" spans="1:6">
      <c r="A20">
        <v>20200716</v>
      </c>
      <c r="B20">
        <v>126.95619790000001</v>
      </c>
      <c r="C20">
        <v>37.363509200000003</v>
      </c>
      <c r="D20" t="s">
        <v>22</v>
      </c>
      <c r="E20">
        <v>31</v>
      </c>
      <c r="F20" t="s">
        <v>4</v>
      </c>
    </row>
    <row r="21" spans="1:6">
      <c r="A21">
        <v>20200716</v>
      </c>
      <c r="B21">
        <v>126.95619790000001</v>
      </c>
      <c r="C21">
        <v>37.363509200000003</v>
      </c>
      <c r="D21" t="s">
        <v>147</v>
      </c>
      <c r="E21">
        <v>44</v>
      </c>
      <c r="F21" t="s">
        <v>4</v>
      </c>
    </row>
    <row r="22" spans="1:6">
      <c r="A22">
        <v>20200716</v>
      </c>
      <c r="B22">
        <v>126.95619790000001</v>
      </c>
      <c r="C22">
        <v>37.363509200000003</v>
      </c>
      <c r="D22" t="s">
        <v>130</v>
      </c>
      <c r="E22">
        <v>46</v>
      </c>
      <c r="F22" t="s">
        <v>4</v>
      </c>
    </row>
    <row r="23" spans="1:6">
      <c r="A23">
        <v>20200716</v>
      </c>
      <c r="B23">
        <v>126.95619790000001</v>
      </c>
      <c r="C23">
        <v>37.363509200000003</v>
      </c>
      <c r="D23" t="s">
        <v>198</v>
      </c>
      <c r="E23">
        <v>47</v>
      </c>
      <c r="F23" t="s">
        <v>4</v>
      </c>
    </row>
    <row r="24" spans="1:6">
      <c r="A24">
        <v>20200716</v>
      </c>
      <c r="B24">
        <v>126.95619790000001</v>
      </c>
      <c r="C24">
        <v>37.363509200000003</v>
      </c>
      <c r="D24" t="s">
        <v>206</v>
      </c>
      <c r="E24">
        <v>47</v>
      </c>
      <c r="F24" t="s">
        <v>4</v>
      </c>
    </row>
    <row r="25" spans="1:6">
      <c r="A25">
        <v>20200716</v>
      </c>
      <c r="B25">
        <v>126.95619790000001</v>
      </c>
      <c r="C25">
        <v>37.363509200000003</v>
      </c>
      <c r="D25" t="s">
        <v>199</v>
      </c>
      <c r="E25">
        <v>92</v>
      </c>
      <c r="F25" t="s">
        <v>4</v>
      </c>
    </row>
    <row r="26" spans="1:6">
      <c r="A26">
        <v>20200716</v>
      </c>
      <c r="B26">
        <v>126.95619790000001</v>
      </c>
      <c r="C26">
        <v>37.363509200000003</v>
      </c>
      <c r="D26" t="s">
        <v>134</v>
      </c>
      <c r="E26">
        <v>366</v>
      </c>
      <c r="F26" t="s">
        <v>4</v>
      </c>
    </row>
    <row r="27" spans="1:6">
      <c r="A27">
        <v>20200716</v>
      </c>
      <c r="B27">
        <v>126.95619790000001</v>
      </c>
      <c r="C27">
        <v>37.363509200000003</v>
      </c>
      <c r="D27" t="s">
        <v>151</v>
      </c>
      <c r="E27">
        <v>423</v>
      </c>
      <c r="F27" t="s">
        <v>4</v>
      </c>
    </row>
    <row r="28" spans="1:6">
      <c r="A28">
        <v>20200716</v>
      </c>
      <c r="B28">
        <v>126.95619790000001</v>
      </c>
      <c r="C28">
        <v>37.363509200000003</v>
      </c>
      <c r="D28" t="s">
        <v>195</v>
      </c>
      <c r="E28">
        <v>618</v>
      </c>
      <c r="F28" t="s">
        <v>4</v>
      </c>
    </row>
    <row r="29" spans="1:6">
      <c r="A29">
        <v>20200716</v>
      </c>
      <c r="B29">
        <v>126.95619790000001</v>
      </c>
      <c r="C29">
        <v>37.363509200000003</v>
      </c>
      <c r="D29" t="s">
        <v>64</v>
      </c>
      <c r="E29">
        <v>4729</v>
      </c>
      <c r="F29" t="s">
        <v>4</v>
      </c>
    </row>
    <row r="30" spans="1:6">
      <c r="A30">
        <v>20200716</v>
      </c>
      <c r="B30">
        <v>126.95619790000001</v>
      </c>
      <c r="C30">
        <v>37.363509200000003</v>
      </c>
      <c r="D30" t="s">
        <v>137</v>
      </c>
      <c r="E30">
        <v>6227</v>
      </c>
      <c r="F30" t="s">
        <v>4</v>
      </c>
    </row>
    <row r="31" spans="1:6">
      <c r="A31">
        <v>20200716</v>
      </c>
      <c r="B31">
        <v>126.95619790000001</v>
      </c>
      <c r="C31">
        <v>37.363509200000003</v>
      </c>
      <c r="D31" t="s">
        <v>207</v>
      </c>
      <c r="E31">
        <v>9140</v>
      </c>
      <c r="F31" t="s">
        <v>4</v>
      </c>
    </row>
    <row r="32" spans="1:6">
      <c r="A32">
        <v>20200716</v>
      </c>
      <c r="B32">
        <v>126.95619790000001</v>
      </c>
      <c r="C32">
        <v>37.363509200000003</v>
      </c>
      <c r="D32" t="s">
        <v>87</v>
      </c>
      <c r="E32">
        <v>11055</v>
      </c>
      <c r="F32" t="s">
        <v>4</v>
      </c>
    </row>
    <row r="33" spans="1:6">
      <c r="A33">
        <v>20200716</v>
      </c>
      <c r="B33">
        <v>126.95619790000001</v>
      </c>
      <c r="C33">
        <v>37.363509200000003</v>
      </c>
      <c r="D33" t="s">
        <v>219</v>
      </c>
      <c r="E33">
        <v>31202</v>
      </c>
      <c r="F33" t="s">
        <v>4</v>
      </c>
    </row>
    <row r="34" spans="1:6">
      <c r="A34">
        <v>20200716</v>
      </c>
      <c r="B34">
        <v>126.95619790000001</v>
      </c>
      <c r="C34">
        <v>37.363509200000003</v>
      </c>
      <c r="D34" t="s">
        <v>175</v>
      </c>
      <c r="E34">
        <v>20664</v>
      </c>
      <c r="F34" t="s">
        <v>4</v>
      </c>
    </row>
    <row r="35" spans="1:6">
      <c r="A35">
        <v>20200716</v>
      </c>
      <c r="B35">
        <v>126.94555939999999</v>
      </c>
      <c r="C35">
        <v>37.373177800000001</v>
      </c>
      <c r="D35" t="s">
        <v>130</v>
      </c>
      <c r="E35">
        <v>15</v>
      </c>
      <c r="F35" t="s">
        <v>4</v>
      </c>
    </row>
    <row r="36" spans="1:6">
      <c r="A36">
        <v>20200716</v>
      </c>
      <c r="B36">
        <v>126.94555939999999</v>
      </c>
      <c r="C36">
        <v>37.373177800000001</v>
      </c>
      <c r="D36" t="s">
        <v>158</v>
      </c>
      <c r="E36">
        <v>44</v>
      </c>
      <c r="F36" t="s">
        <v>4</v>
      </c>
    </row>
    <row r="37" spans="1:6">
      <c r="A37">
        <v>20200716</v>
      </c>
      <c r="B37">
        <v>126.94555939999999</v>
      </c>
      <c r="C37">
        <v>37.373177800000001</v>
      </c>
      <c r="D37" t="s">
        <v>150</v>
      </c>
      <c r="E37">
        <v>52</v>
      </c>
      <c r="F37" t="s">
        <v>4</v>
      </c>
    </row>
    <row r="38" spans="1:6">
      <c r="A38">
        <v>20200716</v>
      </c>
      <c r="B38">
        <v>126.94555939999999</v>
      </c>
      <c r="C38">
        <v>37.373177800000001</v>
      </c>
      <c r="D38" t="s">
        <v>220</v>
      </c>
      <c r="E38">
        <v>74</v>
      </c>
      <c r="F38" t="s">
        <v>4</v>
      </c>
    </row>
    <row r="39" spans="1:6">
      <c r="A39">
        <v>20200716</v>
      </c>
      <c r="B39">
        <v>126.94555939999999</v>
      </c>
      <c r="C39">
        <v>37.373177800000001</v>
      </c>
      <c r="D39" t="s">
        <v>186</v>
      </c>
      <c r="E39">
        <v>115</v>
      </c>
      <c r="F39" t="s">
        <v>4</v>
      </c>
    </row>
    <row r="40" spans="1:6">
      <c r="A40">
        <v>20200716</v>
      </c>
      <c r="B40">
        <v>126.94555939999999</v>
      </c>
      <c r="C40">
        <v>37.373177800000001</v>
      </c>
      <c r="D40" t="s">
        <v>137</v>
      </c>
      <c r="E40">
        <v>344</v>
      </c>
      <c r="F40" t="s">
        <v>4</v>
      </c>
    </row>
    <row r="41" spans="1:6">
      <c r="A41">
        <v>20200716</v>
      </c>
      <c r="B41">
        <v>126.94555939999999</v>
      </c>
      <c r="C41">
        <v>37.373177800000001</v>
      </c>
      <c r="D41" t="s">
        <v>134</v>
      </c>
      <c r="E41">
        <v>317</v>
      </c>
      <c r="F41" t="s">
        <v>4</v>
      </c>
    </row>
    <row r="42" spans="1:6">
      <c r="A42">
        <v>20200716</v>
      </c>
      <c r="B42">
        <v>126.94555939999999</v>
      </c>
      <c r="C42">
        <v>37.373177800000001</v>
      </c>
      <c r="D42" t="s">
        <v>195</v>
      </c>
      <c r="E42">
        <v>263</v>
      </c>
      <c r="F42" t="s">
        <v>4</v>
      </c>
    </row>
    <row r="43" spans="1:6">
      <c r="A43">
        <v>20200716</v>
      </c>
      <c r="B43">
        <v>126.94555939999999</v>
      </c>
      <c r="C43">
        <v>37.373177800000001</v>
      </c>
      <c r="D43" t="s">
        <v>151</v>
      </c>
      <c r="E43">
        <v>508</v>
      </c>
      <c r="F43" t="s">
        <v>4</v>
      </c>
    </row>
    <row r="44" spans="1:6">
      <c r="A44">
        <v>20200716</v>
      </c>
      <c r="B44">
        <v>126.94555939999999</v>
      </c>
      <c r="C44">
        <v>37.373177800000001</v>
      </c>
      <c r="D44" t="s">
        <v>64</v>
      </c>
      <c r="E44">
        <v>1289</v>
      </c>
      <c r="F44" t="s">
        <v>4</v>
      </c>
    </row>
    <row r="45" spans="1:6">
      <c r="A45">
        <v>20200716</v>
      </c>
      <c r="B45">
        <v>126.94555939999999</v>
      </c>
      <c r="C45">
        <v>37.373177800000001</v>
      </c>
      <c r="D45" t="s">
        <v>199</v>
      </c>
      <c r="E45">
        <v>1554</v>
      </c>
      <c r="F45" t="s">
        <v>4</v>
      </c>
    </row>
    <row r="46" spans="1:6">
      <c r="A46">
        <v>20200716</v>
      </c>
      <c r="B46">
        <v>126.94555939999999</v>
      </c>
      <c r="C46">
        <v>37.373177800000001</v>
      </c>
      <c r="D46" t="s">
        <v>68</v>
      </c>
      <c r="E46">
        <v>4007</v>
      </c>
      <c r="F46" t="s">
        <v>4</v>
      </c>
    </row>
    <row r="47" spans="1:6">
      <c r="A47">
        <v>20200716</v>
      </c>
      <c r="B47">
        <v>126.94555939999999</v>
      </c>
      <c r="C47">
        <v>37.373177800000001</v>
      </c>
      <c r="D47" t="s">
        <v>219</v>
      </c>
      <c r="E47">
        <v>9161</v>
      </c>
      <c r="F47" t="s">
        <v>4</v>
      </c>
    </row>
    <row r="48" spans="1:6">
      <c r="A48">
        <v>20200716</v>
      </c>
      <c r="B48">
        <v>126.94555939999999</v>
      </c>
      <c r="C48">
        <v>37.373177800000001</v>
      </c>
      <c r="D48" t="s">
        <v>87</v>
      </c>
      <c r="E48">
        <v>7975</v>
      </c>
      <c r="F48" t="s">
        <v>4</v>
      </c>
    </row>
    <row r="49" spans="1:6">
      <c r="A49">
        <v>20200716</v>
      </c>
      <c r="B49">
        <v>126.94555939999999</v>
      </c>
      <c r="C49">
        <v>37.373177800000001</v>
      </c>
      <c r="D49" t="s">
        <v>175</v>
      </c>
      <c r="E49">
        <v>15050</v>
      </c>
      <c r="F49" t="s">
        <v>4</v>
      </c>
    </row>
    <row r="50" spans="1:6">
      <c r="A50">
        <v>20200716</v>
      </c>
      <c r="B50">
        <v>126.94555939999999</v>
      </c>
      <c r="C50">
        <v>37.373177800000001</v>
      </c>
      <c r="D50" t="s">
        <v>207</v>
      </c>
      <c r="E50">
        <v>33972</v>
      </c>
      <c r="F50" t="s">
        <v>4</v>
      </c>
    </row>
    <row r="51" spans="1:6">
      <c r="A51">
        <v>20200716</v>
      </c>
      <c r="B51">
        <v>126.93147879999999</v>
      </c>
      <c r="C51">
        <v>37.397387999999999</v>
      </c>
      <c r="D51" t="s">
        <v>22</v>
      </c>
      <c r="E51">
        <v>15</v>
      </c>
      <c r="F51" t="s">
        <v>4</v>
      </c>
    </row>
    <row r="52" spans="1:6">
      <c r="A52">
        <v>20200716</v>
      </c>
      <c r="B52">
        <v>126.93147879999999</v>
      </c>
      <c r="C52">
        <v>37.397387999999999</v>
      </c>
      <c r="D52" t="s">
        <v>109</v>
      </c>
      <c r="E52">
        <v>19</v>
      </c>
      <c r="F52" t="s">
        <v>4</v>
      </c>
    </row>
    <row r="53" spans="1:6">
      <c r="A53">
        <v>20200716</v>
      </c>
      <c r="B53">
        <v>126.93147879999999</v>
      </c>
      <c r="C53">
        <v>37.397387999999999</v>
      </c>
      <c r="D53" t="s">
        <v>138</v>
      </c>
      <c r="E53">
        <v>47</v>
      </c>
      <c r="F53" t="s">
        <v>4</v>
      </c>
    </row>
    <row r="54" spans="1:6">
      <c r="A54">
        <v>20200716</v>
      </c>
      <c r="B54">
        <v>126.93147879999999</v>
      </c>
      <c r="C54">
        <v>37.397387999999999</v>
      </c>
      <c r="D54" t="s">
        <v>34</v>
      </c>
      <c r="E54">
        <v>40</v>
      </c>
      <c r="F54" t="s">
        <v>4</v>
      </c>
    </row>
    <row r="55" spans="1:6">
      <c r="A55">
        <v>20200716</v>
      </c>
      <c r="B55">
        <v>126.93147879999999</v>
      </c>
      <c r="C55">
        <v>37.397387999999999</v>
      </c>
      <c r="D55" t="s">
        <v>150</v>
      </c>
      <c r="E55">
        <v>44</v>
      </c>
      <c r="F55" t="s">
        <v>4</v>
      </c>
    </row>
    <row r="56" spans="1:6">
      <c r="A56">
        <v>20200716</v>
      </c>
      <c r="B56">
        <v>126.93147879999999</v>
      </c>
      <c r="C56">
        <v>37.397387999999999</v>
      </c>
      <c r="D56" t="s">
        <v>220</v>
      </c>
      <c r="E56">
        <v>65</v>
      </c>
      <c r="F56" t="s">
        <v>4</v>
      </c>
    </row>
    <row r="57" spans="1:6">
      <c r="A57">
        <v>20200716</v>
      </c>
      <c r="B57">
        <v>126.93147879999999</v>
      </c>
      <c r="C57">
        <v>37.397387999999999</v>
      </c>
      <c r="D57" t="s">
        <v>56</v>
      </c>
      <c r="E57">
        <v>55</v>
      </c>
      <c r="F57" t="s">
        <v>4</v>
      </c>
    </row>
    <row r="58" spans="1:6">
      <c r="A58">
        <v>20200716</v>
      </c>
      <c r="B58">
        <v>126.93147879999999</v>
      </c>
      <c r="C58">
        <v>37.397387999999999</v>
      </c>
      <c r="D58" t="s">
        <v>35</v>
      </c>
      <c r="E58">
        <v>106</v>
      </c>
      <c r="F58" t="s">
        <v>4</v>
      </c>
    </row>
    <row r="59" spans="1:6">
      <c r="A59">
        <v>20200716</v>
      </c>
      <c r="B59">
        <v>126.93147879999999</v>
      </c>
      <c r="C59">
        <v>37.397387999999999</v>
      </c>
      <c r="D59" t="s">
        <v>199</v>
      </c>
      <c r="E59">
        <v>169</v>
      </c>
      <c r="F59" t="s">
        <v>4</v>
      </c>
    </row>
    <row r="60" spans="1:6">
      <c r="A60">
        <v>20200716</v>
      </c>
      <c r="B60">
        <v>126.93147879999999</v>
      </c>
      <c r="C60">
        <v>37.397387999999999</v>
      </c>
      <c r="D60" t="s">
        <v>114</v>
      </c>
      <c r="E60">
        <v>144</v>
      </c>
      <c r="F60" t="s">
        <v>4</v>
      </c>
    </row>
    <row r="61" spans="1:6">
      <c r="A61">
        <v>20200716</v>
      </c>
      <c r="B61">
        <v>126.93147879999999</v>
      </c>
      <c r="C61">
        <v>37.397387999999999</v>
      </c>
      <c r="D61" t="s">
        <v>198</v>
      </c>
      <c r="E61">
        <v>183</v>
      </c>
      <c r="F61" t="s">
        <v>4</v>
      </c>
    </row>
    <row r="62" spans="1:6">
      <c r="A62">
        <v>20200716</v>
      </c>
      <c r="B62">
        <v>126.93147879999999</v>
      </c>
      <c r="C62">
        <v>37.397387999999999</v>
      </c>
      <c r="D62" t="s">
        <v>129</v>
      </c>
      <c r="E62">
        <v>185</v>
      </c>
      <c r="F62" t="s">
        <v>4</v>
      </c>
    </row>
    <row r="63" spans="1:6">
      <c r="A63">
        <v>20200716</v>
      </c>
      <c r="B63">
        <v>126.93147879999999</v>
      </c>
      <c r="C63">
        <v>37.397387999999999</v>
      </c>
      <c r="D63" t="s">
        <v>195</v>
      </c>
      <c r="E63">
        <v>420</v>
      </c>
      <c r="F63" t="s">
        <v>4</v>
      </c>
    </row>
    <row r="64" spans="1:6">
      <c r="A64">
        <v>20200716</v>
      </c>
      <c r="B64">
        <v>126.93147879999999</v>
      </c>
      <c r="C64">
        <v>37.397387999999999</v>
      </c>
      <c r="D64" t="s">
        <v>151</v>
      </c>
      <c r="E64">
        <v>407</v>
      </c>
      <c r="F64" t="s">
        <v>4</v>
      </c>
    </row>
    <row r="65" spans="1:6">
      <c r="A65">
        <v>20200716</v>
      </c>
      <c r="B65">
        <v>126.93147879999999</v>
      </c>
      <c r="C65">
        <v>37.397387999999999</v>
      </c>
      <c r="D65" t="s">
        <v>186</v>
      </c>
      <c r="E65">
        <v>351</v>
      </c>
      <c r="F65" t="s">
        <v>4</v>
      </c>
    </row>
    <row r="66" spans="1:6">
      <c r="A66">
        <v>20200716</v>
      </c>
      <c r="B66">
        <v>126.93147879999999</v>
      </c>
      <c r="C66">
        <v>37.397387999999999</v>
      </c>
      <c r="D66" t="s">
        <v>216</v>
      </c>
      <c r="E66">
        <v>1181</v>
      </c>
      <c r="F66" t="s">
        <v>4</v>
      </c>
    </row>
    <row r="67" spans="1:6">
      <c r="A67">
        <v>20200716</v>
      </c>
      <c r="B67">
        <v>126.93147879999999</v>
      </c>
      <c r="C67">
        <v>37.397387999999999</v>
      </c>
      <c r="D67" t="s">
        <v>134</v>
      </c>
      <c r="E67">
        <v>1569</v>
      </c>
      <c r="F67" t="s">
        <v>4</v>
      </c>
    </row>
    <row r="68" spans="1:6">
      <c r="A68">
        <v>20200716</v>
      </c>
      <c r="B68">
        <v>126.93147879999999</v>
      </c>
      <c r="C68">
        <v>37.397387999999999</v>
      </c>
      <c r="D68" t="s">
        <v>64</v>
      </c>
      <c r="E68">
        <v>1488</v>
      </c>
      <c r="F68" t="s">
        <v>4</v>
      </c>
    </row>
    <row r="69" spans="1:6">
      <c r="A69">
        <v>20200716</v>
      </c>
      <c r="B69">
        <v>126.93147879999999</v>
      </c>
      <c r="C69">
        <v>37.397387999999999</v>
      </c>
      <c r="D69" t="s">
        <v>137</v>
      </c>
      <c r="E69">
        <v>2005</v>
      </c>
      <c r="F69" t="s">
        <v>4</v>
      </c>
    </row>
    <row r="70" spans="1:6">
      <c r="A70">
        <v>20200716</v>
      </c>
      <c r="B70">
        <v>126.93147879999999</v>
      </c>
      <c r="C70">
        <v>37.397387999999999</v>
      </c>
      <c r="D70" t="s">
        <v>87</v>
      </c>
      <c r="E70">
        <v>5715</v>
      </c>
      <c r="F70" t="s">
        <v>4</v>
      </c>
    </row>
    <row r="71" spans="1:6">
      <c r="A71">
        <v>20200716</v>
      </c>
      <c r="B71">
        <v>126.93147879999999</v>
      </c>
      <c r="C71">
        <v>37.397387999999999</v>
      </c>
      <c r="D71" t="s">
        <v>68</v>
      </c>
      <c r="E71">
        <v>6050</v>
      </c>
      <c r="F71" t="s">
        <v>4</v>
      </c>
    </row>
    <row r="72" spans="1:6">
      <c r="A72">
        <v>20200716</v>
      </c>
      <c r="B72">
        <v>126.93147879999999</v>
      </c>
      <c r="C72">
        <v>37.397387999999999</v>
      </c>
      <c r="D72" t="s">
        <v>175</v>
      </c>
      <c r="E72">
        <v>12026</v>
      </c>
      <c r="F72" t="s">
        <v>4</v>
      </c>
    </row>
    <row r="73" spans="1:6">
      <c r="A73">
        <v>20200716</v>
      </c>
      <c r="B73">
        <v>126.93147879999999</v>
      </c>
      <c r="C73">
        <v>37.397387999999999</v>
      </c>
      <c r="D73" t="s">
        <v>219</v>
      </c>
      <c r="E73">
        <v>14244</v>
      </c>
      <c r="F73" t="s">
        <v>4</v>
      </c>
    </row>
    <row r="74" spans="1:6">
      <c r="A74">
        <v>20200716</v>
      </c>
      <c r="B74">
        <v>126.93147879999999</v>
      </c>
      <c r="C74">
        <v>37.397387999999999</v>
      </c>
      <c r="D74" t="s">
        <v>207</v>
      </c>
      <c r="E74">
        <v>27228</v>
      </c>
      <c r="F74" t="s">
        <v>4</v>
      </c>
    </row>
    <row r="75" spans="1:6">
      <c r="A75">
        <v>20200716</v>
      </c>
      <c r="B75">
        <v>126.91482120000001</v>
      </c>
      <c r="C75">
        <v>37.409803799999999</v>
      </c>
      <c r="D75" t="s">
        <v>22</v>
      </c>
      <c r="E75">
        <v>42</v>
      </c>
      <c r="F75" t="s">
        <v>4</v>
      </c>
    </row>
    <row r="76" spans="1:6">
      <c r="A76">
        <v>20200716</v>
      </c>
      <c r="B76">
        <v>126.91482120000001</v>
      </c>
      <c r="C76">
        <v>37.409803799999999</v>
      </c>
      <c r="D76" t="s">
        <v>109</v>
      </c>
      <c r="E76">
        <v>47</v>
      </c>
      <c r="F76" t="s">
        <v>4</v>
      </c>
    </row>
    <row r="77" spans="1:6">
      <c r="A77">
        <v>20200716</v>
      </c>
      <c r="B77">
        <v>126.91482120000001</v>
      </c>
      <c r="C77">
        <v>37.409803799999999</v>
      </c>
      <c r="D77" t="s">
        <v>150</v>
      </c>
      <c r="E77">
        <v>48</v>
      </c>
      <c r="F77" t="s">
        <v>4</v>
      </c>
    </row>
    <row r="78" spans="1:6">
      <c r="A78">
        <v>20200716</v>
      </c>
      <c r="B78">
        <v>126.91482120000001</v>
      </c>
      <c r="C78">
        <v>37.409803799999999</v>
      </c>
      <c r="D78" t="s">
        <v>137</v>
      </c>
      <c r="E78">
        <v>104</v>
      </c>
      <c r="F78" t="s">
        <v>4</v>
      </c>
    </row>
    <row r="79" spans="1:6">
      <c r="A79">
        <v>20200716</v>
      </c>
      <c r="B79">
        <v>126.91482120000001</v>
      </c>
      <c r="C79">
        <v>37.409803799999999</v>
      </c>
      <c r="D79" t="s">
        <v>199</v>
      </c>
      <c r="E79">
        <v>127</v>
      </c>
      <c r="F79" t="s">
        <v>4</v>
      </c>
    </row>
    <row r="80" spans="1:6">
      <c r="A80">
        <v>20200716</v>
      </c>
      <c r="B80">
        <v>126.91482120000001</v>
      </c>
      <c r="C80">
        <v>37.409803799999999</v>
      </c>
      <c r="D80" t="s">
        <v>216</v>
      </c>
      <c r="E80">
        <v>546</v>
      </c>
      <c r="F80" t="s">
        <v>4</v>
      </c>
    </row>
    <row r="81" spans="1:6">
      <c r="A81">
        <v>20200716</v>
      </c>
      <c r="B81">
        <v>126.91482120000001</v>
      </c>
      <c r="C81">
        <v>37.409803799999999</v>
      </c>
      <c r="D81" t="s">
        <v>144</v>
      </c>
      <c r="E81">
        <v>329</v>
      </c>
      <c r="F81" t="s">
        <v>4</v>
      </c>
    </row>
    <row r="82" spans="1:6">
      <c r="A82">
        <v>20200716</v>
      </c>
      <c r="B82">
        <v>126.91482120000001</v>
      </c>
      <c r="C82">
        <v>37.409803799999999</v>
      </c>
      <c r="D82" t="s">
        <v>151</v>
      </c>
      <c r="E82">
        <v>436</v>
      </c>
      <c r="F82" t="s">
        <v>4</v>
      </c>
    </row>
    <row r="83" spans="1:6">
      <c r="A83">
        <v>20200716</v>
      </c>
      <c r="B83">
        <v>126.91482120000001</v>
      </c>
      <c r="C83">
        <v>37.409803799999999</v>
      </c>
      <c r="D83" t="s">
        <v>186</v>
      </c>
      <c r="E83">
        <v>626</v>
      </c>
      <c r="F83" t="s">
        <v>4</v>
      </c>
    </row>
    <row r="84" spans="1:6">
      <c r="A84">
        <v>20200716</v>
      </c>
      <c r="B84">
        <v>126.91482120000001</v>
      </c>
      <c r="C84">
        <v>37.409803799999999</v>
      </c>
      <c r="D84" t="s">
        <v>68</v>
      </c>
      <c r="E84">
        <v>970</v>
      </c>
      <c r="F84" t="s">
        <v>4</v>
      </c>
    </row>
    <row r="85" spans="1:6">
      <c r="A85">
        <v>20200716</v>
      </c>
      <c r="B85">
        <v>126.91482120000001</v>
      </c>
      <c r="C85">
        <v>37.409803799999999</v>
      </c>
      <c r="D85" t="s">
        <v>195</v>
      </c>
      <c r="E85">
        <v>1259</v>
      </c>
      <c r="F85" t="s">
        <v>4</v>
      </c>
    </row>
    <row r="86" spans="1:6">
      <c r="A86">
        <v>20200716</v>
      </c>
      <c r="B86">
        <v>126.91482120000001</v>
      </c>
      <c r="C86">
        <v>37.409803799999999</v>
      </c>
      <c r="D86" t="s">
        <v>134</v>
      </c>
      <c r="E86">
        <v>2034</v>
      </c>
      <c r="F86" t="s">
        <v>4</v>
      </c>
    </row>
    <row r="87" spans="1:6">
      <c r="A87">
        <v>20200716</v>
      </c>
      <c r="B87">
        <v>126.91482120000001</v>
      </c>
      <c r="C87">
        <v>37.409803799999999</v>
      </c>
      <c r="D87" t="s">
        <v>64</v>
      </c>
      <c r="E87">
        <v>3494</v>
      </c>
      <c r="F87" t="s">
        <v>4</v>
      </c>
    </row>
    <row r="88" spans="1:6">
      <c r="A88">
        <v>20200716</v>
      </c>
      <c r="B88">
        <v>126.91482120000001</v>
      </c>
      <c r="C88">
        <v>37.409803799999999</v>
      </c>
      <c r="D88" t="s">
        <v>175</v>
      </c>
      <c r="E88">
        <v>5041</v>
      </c>
      <c r="F88" t="s">
        <v>4</v>
      </c>
    </row>
    <row r="89" spans="1:6">
      <c r="A89">
        <v>20200716</v>
      </c>
      <c r="B89">
        <v>126.91482120000001</v>
      </c>
      <c r="C89">
        <v>37.409803799999999</v>
      </c>
      <c r="D89" t="s">
        <v>175</v>
      </c>
      <c r="E89">
        <v>5041</v>
      </c>
      <c r="F89" t="s">
        <v>4</v>
      </c>
    </row>
    <row r="90" spans="1:6">
      <c r="A90">
        <v>20200716</v>
      </c>
      <c r="B90">
        <v>126.91482120000001</v>
      </c>
      <c r="C90">
        <v>37.409803799999999</v>
      </c>
      <c r="D90" t="s">
        <v>87</v>
      </c>
      <c r="E90">
        <v>5449</v>
      </c>
      <c r="F90" t="s">
        <v>4</v>
      </c>
    </row>
    <row r="91" spans="1:6">
      <c r="A91">
        <v>20200716</v>
      </c>
      <c r="B91">
        <v>126.91482120000001</v>
      </c>
      <c r="C91">
        <v>37.409803799999999</v>
      </c>
      <c r="D91" t="s">
        <v>219</v>
      </c>
      <c r="E91">
        <v>21557</v>
      </c>
      <c r="F91" t="s">
        <v>4</v>
      </c>
    </row>
    <row r="92" spans="1:6">
      <c r="A92">
        <v>20200716</v>
      </c>
      <c r="B92">
        <v>126.91482120000001</v>
      </c>
      <c r="C92">
        <v>37.409803799999999</v>
      </c>
      <c r="D92" t="s">
        <v>207</v>
      </c>
      <c r="E92">
        <v>48217</v>
      </c>
      <c r="F92" t="s">
        <v>4</v>
      </c>
    </row>
    <row r="93" spans="1:6">
      <c r="A93">
        <v>20200716</v>
      </c>
      <c r="B93">
        <v>126.8960105</v>
      </c>
      <c r="C93">
        <v>37.403669399999998</v>
      </c>
      <c r="D93" t="s">
        <v>74</v>
      </c>
      <c r="E93">
        <v>16</v>
      </c>
      <c r="F93" t="s">
        <v>4</v>
      </c>
    </row>
    <row r="94" spans="1:6">
      <c r="A94">
        <v>20200716</v>
      </c>
      <c r="B94">
        <v>126.8960105</v>
      </c>
      <c r="C94">
        <v>37.403669399999998</v>
      </c>
      <c r="D94" t="s">
        <v>60</v>
      </c>
      <c r="E94">
        <v>20</v>
      </c>
      <c r="F94" t="s">
        <v>4</v>
      </c>
    </row>
    <row r="95" spans="1:6">
      <c r="A95">
        <v>20200716</v>
      </c>
      <c r="B95">
        <v>126.8960105</v>
      </c>
      <c r="C95">
        <v>37.403669399999998</v>
      </c>
      <c r="D95" t="s">
        <v>150</v>
      </c>
      <c r="E95">
        <v>33</v>
      </c>
      <c r="F95" t="s">
        <v>4</v>
      </c>
    </row>
    <row r="96" spans="1:6">
      <c r="A96">
        <v>20200716</v>
      </c>
      <c r="B96">
        <v>126.8960105</v>
      </c>
      <c r="C96">
        <v>37.403669399999998</v>
      </c>
      <c r="D96" t="s">
        <v>34</v>
      </c>
      <c r="E96">
        <v>43</v>
      </c>
      <c r="F96" t="s">
        <v>4</v>
      </c>
    </row>
    <row r="97" spans="1:6">
      <c r="A97">
        <v>20200716</v>
      </c>
      <c r="B97">
        <v>126.8960105</v>
      </c>
      <c r="C97">
        <v>37.403669399999998</v>
      </c>
      <c r="D97" t="s">
        <v>22</v>
      </c>
      <c r="E97">
        <v>43</v>
      </c>
      <c r="F97" t="s">
        <v>4</v>
      </c>
    </row>
    <row r="98" spans="1:6">
      <c r="A98">
        <v>20200716</v>
      </c>
      <c r="B98">
        <v>126.8960105</v>
      </c>
      <c r="C98">
        <v>37.403669399999998</v>
      </c>
      <c r="D98" t="s">
        <v>138</v>
      </c>
      <c r="E98">
        <v>54</v>
      </c>
      <c r="F98" t="s">
        <v>4</v>
      </c>
    </row>
    <row r="99" spans="1:6">
      <c r="A99">
        <v>20200716</v>
      </c>
      <c r="B99">
        <v>126.8960105</v>
      </c>
      <c r="C99">
        <v>37.403669399999998</v>
      </c>
      <c r="D99" t="s">
        <v>199</v>
      </c>
      <c r="E99">
        <v>66</v>
      </c>
      <c r="F99" t="s">
        <v>4</v>
      </c>
    </row>
    <row r="100" spans="1:6">
      <c r="A100">
        <v>20200716</v>
      </c>
      <c r="B100">
        <v>126.8960105</v>
      </c>
      <c r="C100">
        <v>37.403669399999998</v>
      </c>
      <c r="D100" t="s">
        <v>147</v>
      </c>
      <c r="E100">
        <v>67</v>
      </c>
      <c r="F100" t="s">
        <v>4</v>
      </c>
    </row>
    <row r="101" spans="1:6">
      <c r="A101">
        <v>20200716</v>
      </c>
      <c r="B101">
        <v>126.8960105</v>
      </c>
      <c r="C101">
        <v>37.403669399999998</v>
      </c>
      <c r="D101" t="s">
        <v>130</v>
      </c>
      <c r="E101">
        <v>99</v>
      </c>
      <c r="F101" t="s">
        <v>4</v>
      </c>
    </row>
    <row r="102" spans="1:6">
      <c r="A102">
        <v>20200716</v>
      </c>
      <c r="B102">
        <v>126.8960105</v>
      </c>
      <c r="C102">
        <v>37.403669399999998</v>
      </c>
      <c r="D102" t="s">
        <v>89</v>
      </c>
      <c r="E102">
        <v>143</v>
      </c>
      <c r="F102" t="s">
        <v>4</v>
      </c>
    </row>
    <row r="103" spans="1:6">
      <c r="A103">
        <v>20200716</v>
      </c>
      <c r="B103">
        <v>126.8960105</v>
      </c>
      <c r="C103">
        <v>37.403669399999998</v>
      </c>
      <c r="D103" t="s">
        <v>68</v>
      </c>
      <c r="E103">
        <v>213</v>
      </c>
      <c r="F103" t="s">
        <v>4</v>
      </c>
    </row>
    <row r="104" spans="1:6">
      <c r="A104">
        <v>20200716</v>
      </c>
      <c r="B104">
        <v>126.8960105</v>
      </c>
      <c r="C104">
        <v>37.403669399999998</v>
      </c>
      <c r="D104" t="s">
        <v>151</v>
      </c>
      <c r="E104">
        <v>318</v>
      </c>
      <c r="F104" t="s">
        <v>4</v>
      </c>
    </row>
    <row r="105" spans="1:6">
      <c r="A105">
        <v>20200716</v>
      </c>
      <c r="B105">
        <v>126.8960105</v>
      </c>
      <c r="C105">
        <v>37.403669399999998</v>
      </c>
      <c r="D105" t="s">
        <v>186</v>
      </c>
      <c r="E105">
        <v>273</v>
      </c>
      <c r="F105" t="s">
        <v>4</v>
      </c>
    </row>
    <row r="106" spans="1:6">
      <c r="A106">
        <v>20200716</v>
      </c>
      <c r="B106">
        <v>126.8960105</v>
      </c>
      <c r="C106">
        <v>37.403669399999998</v>
      </c>
      <c r="D106" t="s">
        <v>195</v>
      </c>
      <c r="E106">
        <v>625</v>
      </c>
      <c r="F106" t="s">
        <v>4</v>
      </c>
    </row>
    <row r="107" spans="1:6">
      <c r="A107">
        <v>20200716</v>
      </c>
      <c r="B107">
        <v>126.8960105</v>
      </c>
      <c r="C107">
        <v>37.403669399999998</v>
      </c>
      <c r="D107" t="s">
        <v>95</v>
      </c>
      <c r="E107">
        <v>318</v>
      </c>
      <c r="F107" t="s">
        <v>4</v>
      </c>
    </row>
    <row r="108" spans="1:6">
      <c r="A108">
        <v>20200716</v>
      </c>
      <c r="B108">
        <v>126.8960105</v>
      </c>
      <c r="C108">
        <v>37.403669399999998</v>
      </c>
      <c r="D108" t="s">
        <v>109</v>
      </c>
      <c r="E108">
        <v>442</v>
      </c>
      <c r="F108" t="s">
        <v>4</v>
      </c>
    </row>
    <row r="109" spans="1:6">
      <c r="A109">
        <v>20200716</v>
      </c>
      <c r="B109">
        <v>126.8960105</v>
      </c>
      <c r="C109">
        <v>37.403669399999998</v>
      </c>
      <c r="D109" t="s">
        <v>137</v>
      </c>
      <c r="E109">
        <v>519</v>
      </c>
      <c r="F109" t="s">
        <v>4</v>
      </c>
    </row>
    <row r="110" spans="1:6">
      <c r="A110">
        <v>20200716</v>
      </c>
      <c r="B110">
        <v>126.8960105</v>
      </c>
      <c r="C110">
        <v>37.403669399999998</v>
      </c>
      <c r="D110" t="s">
        <v>84</v>
      </c>
      <c r="E110">
        <v>677</v>
      </c>
      <c r="F110" t="s">
        <v>4</v>
      </c>
    </row>
    <row r="111" spans="1:6">
      <c r="A111">
        <v>20200716</v>
      </c>
      <c r="B111">
        <v>126.8960105</v>
      </c>
      <c r="C111">
        <v>37.403669399999998</v>
      </c>
      <c r="D111" t="s">
        <v>134</v>
      </c>
      <c r="E111">
        <v>2205</v>
      </c>
      <c r="F111" t="s">
        <v>4</v>
      </c>
    </row>
    <row r="112" spans="1:6">
      <c r="A112">
        <v>20200716</v>
      </c>
      <c r="B112">
        <v>126.8960105</v>
      </c>
      <c r="C112">
        <v>37.403669399999998</v>
      </c>
      <c r="D112" t="s">
        <v>64</v>
      </c>
      <c r="E112">
        <v>2145</v>
      </c>
      <c r="F112" t="s">
        <v>4</v>
      </c>
    </row>
    <row r="113" spans="1:6">
      <c r="A113">
        <v>20200716</v>
      </c>
      <c r="B113">
        <v>126.8960105</v>
      </c>
      <c r="C113">
        <v>37.403669399999998</v>
      </c>
      <c r="D113" t="s">
        <v>87</v>
      </c>
      <c r="E113">
        <v>5641</v>
      </c>
      <c r="F113" t="s">
        <v>4</v>
      </c>
    </row>
    <row r="114" spans="1:6">
      <c r="A114">
        <v>20200716</v>
      </c>
      <c r="B114">
        <v>126.8960105</v>
      </c>
      <c r="C114">
        <v>37.403669399999998</v>
      </c>
      <c r="D114" t="s">
        <v>175</v>
      </c>
      <c r="E114">
        <v>7754</v>
      </c>
      <c r="F114" t="s">
        <v>4</v>
      </c>
    </row>
    <row r="115" spans="1:6">
      <c r="A115">
        <v>20200716</v>
      </c>
      <c r="B115">
        <v>126.8960105</v>
      </c>
      <c r="C115">
        <v>37.403669399999998</v>
      </c>
      <c r="D115" t="s">
        <v>207</v>
      </c>
      <c r="E115">
        <v>20543</v>
      </c>
      <c r="F115" t="s">
        <v>4</v>
      </c>
    </row>
    <row r="116" spans="1:6">
      <c r="A116">
        <v>20200716</v>
      </c>
      <c r="B116">
        <v>126.8960105</v>
      </c>
      <c r="C116">
        <v>37.403669399999998</v>
      </c>
      <c r="D116" t="s">
        <v>219</v>
      </c>
      <c r="E116">
        <v>28041</v>
      </c>
      <c r="F116" t="s">
        <v>4</v>
      </c>
    </row>
    <row r="117" spans="1:6">
      <c r="A117">
        <v>20200716</v>
      </c>
      <c r="B117">
        <v>126.89556140000001</v>
      </c>
      <c r="C117">
        <v>37.418411599999999</v>
      </c>
      <c r="D117" t="s">
        <v>129</v>
      </c>
      <c r="E117">
        <v>88</v>
      </c>
      <c r="F117" t="s">
        <v>4</v>
      </c>
    </row>
    <row r="118" spans="1:6">
      <c r="A118">
        <v>20200716</v>
      </c>
      <c r="B118">
        <v>126.89556140000001</v>
      </c>
      <c r="C118">
        <v>37.418411599999999</v>
      </c>
      <c r="D118" t="s">
        <v>150</v>
      </c>
      <c r="E118">
        <v>36</v>
      </c>
      <c r="F118" t="s">
        <v>4</v>
      </c>
    </row>
    <row r="119" spans="1:6">
      <c r="A119">
        <v>20200716</v>
      </c>
      <c r="B119">
        <v>126.89556140000001</v>
      </c>
      <c r="C119">
        <v>37.418411599999999</v>
      </c>
      <c r="D119" t="s">
        <v>195</v>
      </c>
      <c r="E119">
        <v>76</v>
      </c>
      <c r="F119" t="s">
        <v>4</v>
      </c>
    </row>
    <row r="120" spans="1:6">
      <c r="A120">
        <v>20200716</v>
      </c>
      <c r="B120">
        <v>126.89556140000001</v>
      </c>
      <c r="C120">
        <v>37.418411599999999</v>
      </c>
      <c r="D120" t="s">
        <v>198</v>
      </c>
      <c r="E120">
        <v>93</v>
      </c>
      <c r="F120" t="s">
        <v>4</v>
      </c>
    </row>
    <row r="121" spans="1:6">
      <c r="A121">
        <v>20200716</v>
      </c>
      <c r="B121">
        <v>126.89556140000001</v>
      </c>
      <c r="C121">
        <v>37.418411599999999</v>
      </c>
      <c r="D121" t="s">
        <v>138</v>
      </c>
      <c r="E121">
        <v>110</v>
      </c>
      <c r="F121" t="s">
        <v>4</v>
      </c>
    </row>
    <row r="122" spans="1:6">
      <c r="A122">
        <v>20200716</v>
      </c>
      <c r="B122">
        <v>126.89556140000001</v>
      </c>
      <c r="C122">
        <v>37.418411599999999</v>
      </c>
      <c r="D122" t="s">
        <v>199</v>
      </c>
      <c r="E122">
        <v>130</v>
      </c>
      <c r="F122" t="s">
        <v>4</v>
      </c>
    </row>
    <row r="123" spans="1:6">
      <c r="A123">
        <v>20200716</v>
      </c>
      <c r="B123">
        <v>126.89556140000001</v>
      </c>
      <c r="C123">
        <v>37.418411599999999</v>
      </c>
      <c r="D123" t="s">
        <v>134</v>
      </c>
      <c r="E123">
        <v>186</v>
      </c>
      <c r="F123" t="s">
        <v>4</v>
      </c>
    </row>
    <row r="124" spans="1:6">
      <c r="A124">
        <v>20200716</v>
      </c>
      <c r="B124">
        <v>126.89556140000001</v>
      </c>
      <c r="C124">
        <v>37.418411599999999</v>
      </c>
      <c r="D124" t="s">
        <v>216</v>
      </c>
      <c r="E124">
        <v>280</v>
      </c>
      <c r="F124" t="s">
        <v>4</v>
      </c>
    </row>
    <row r="125" spans="1:6">
      <c r="A125">
        <v>20200716</v>
      </c>
      <c r="B125">
        <v>126.89556140000001</v>
      </c>
      <c r="C125">
        <v>37.418411599999999</v>
      </c>
      <c r="D125" t="s">
        <v>219</v>
      </c>
      <c r="E125">
        <v>1485</v>
      </c>
      <c r="F125" t="s">
        <v>4</v>
      </c>
    </row>
    <row r="126" spans="1:6">
      <c r="A126">
        <v>20200716</v>
      </c>
      <c r="B126">
        <v>126.89556140000001</v>
      </c>
      <c r="C126">
        <v>37.418411599999999</v>
      </c>
      <c r="D126" t="s">
        <v>151</v>
      </c>
      <c r="E126">
        <v>1188</v>
      </c>
      <c r="F126" t="s">
        <v>4</v>
      </c>
    </row>
    <row r="127" spans="1:6">
      <c r="A127">
        <v>20200716</v>
      </c>
      <c r="B127">
        <v>126.89556140000001</v>
      </c>
      <c r="C127">
        <v>37.418411599999999</v>
      </c>
      <c r="D127" t="s">
        <v>68</v>
      </c>
      <c r="E127">
        <v>2233</v>
      </c>
      <c r="F127" t="s">
        <v>4</v>
      </c>
    </row>
    <row r="128" spans="1:6">
      <c r="A128">
        <v>20200716</v>
      </c>
      <c r="B128">
        <v>126.89556140000001</v>
      </c>
      <c r="C128">
        <v>37.418411599999999</v>
      </c>
      <c r="D128" t="s">
        <v>137</v>
      </c>
      <c r="E128">
        <v>1899</v>
      </c>
      <c r="F128" t="s">
        <v>4</v>
      </c>
    </row>
    <row r="129" spans="1:6">
      <c r="A129">
        <v>20200716</v>
      </c>
      <c r="B129">
        <v>126.89556140000001</v>
      </c>
      <c r="C129">
        <v>37.418411599999999</v>
      </c>
      <c r="D129" t="s">
        <v>34</v>
      </c>
      <c r="E129">
        <v>2648</v>
      </c>
      <c r="F129" t="s">
        <v>4</v>
      </c>
    </row>
    <row r="130" spans="1:6">
      <c r="A130">
        <v>20200716</v>
      </c>
      <c r="B130">
        <v>126.89556140000001</v>
      </c>
      <c r="C130">
        <v>37.418411599999999</v>
      </c>
      <c r="D130" t="s">
        <v>64</v>
      </c>
      <c r="E130">
        <v>2852</v>
      </c>
      <c r="F130" t="s">
        <v>4</v>
      </c>
    </row>
    <row r="131" spans="1:6">
      <c r="A131">
        <v>20200716</v>
      </c>
      <c r="B131">
        <v>126.89556140000001</v>
      </c>
      <c r="C131">
        <v>37.418411599999999</v>
      </c>
      <c r="D131" t="s">
        <v>207</v>
      </c>
      <c r="E131">
        <v>20184</v>
      </c>
      <c r="F131" t="s">
        <v>4</v>
      </c>
    </row>
    <row r="132" spans="1:6">
      <c r="A132">
        <v>20200716</v>
      </c>
      <c r="B132">
        <v>126.89556140000001</v>
      </c>
      <c r="C132">
        <v>37.418411599999999</v>
      </c>
      <c r="D132" t="s">
        <v>175</v>
      </c>
      <c r="E132">
        <v>29195</v>
      </c>
      <c r="F132" t="s">
        <v>4</v>
      </c>
    </row>
    <row r="133" spans="1:6">
      <c r="A133">
        <v>20200716</v>
      </c>
      <c r="B133">
        <v>126.89556140000001</v>
      </c>
      <c r="C133">
        <v>37.418411599999999</v>
      </c>
      <c r="D133" t="s">
        <v>87</v>
      </c>
      <c r="E133">
        <v>31368</v>
      </c>
      <c r="F133" t="s">
        <v>4</v>
      </c>
    </row>
    <row r="134" spans="1:6">
      <c r="A134">
        <v>20200716</v>
      </c>
      <c r="B134">
        <v>126.9007862</v>
      </c>
      <c r="C134">
        <v>37.438687899999998</v>
      </c>
      <c r="D134" t="s">
        <v>129</v>
      </c>
      <c r="E134">
        <v>39</v>
      </c>
      <c r="F134" t="s">
        <v>4</v>
      </c>
    </row>
    <row r="135" spans="1:6">
      <c r="A135">
        <v>20200716</v>
      </c>
      <c r="B135">
        <v>126.9007862</v>
      </c>
      <c r="C135">
        <v>37.438687899999998</v>
      </c>
      <c r="D135" t="s">
        <v>60</v>
      </c>
      <c r="E135">
        <v>54</v>
      </c>
      <c r="F135" t="s">
        <v>4</v>
      </c>
    </row>
    <row r="136" spans="1:6">
      <c r="A136">
        <v>20200717</v>
      </c>
      <c r="B136">
        <v>126.9007862</v>
      </c>
      <c r="C136">
        <v>37.438687899999998</v>
      </c>
      <c r="D136" t="s">
        <v>177</v>
      </c>
      <c r="E136">
        <v>79</v>
      </c>
      <c r="F136" t="s">
        <v>4</v>
      </c>
    </row>
    <row r="137" spans="1:6">
      <c r="A137">
        <v>20200717</v>
      </c>
      <c r="B137">
        <v>126.9007862</v>
      </c>
      <c r="C137">
        <v>37.438687899999998</v>
      </c>
      <c r="D137" t="s">
        <v>150</v>
      </c>
      <c r="E137">
        <v>81</v>
      </c>
      <c r="F137" t="s">
        <v>4</v>
      </c>
    </row>
    <row r="138" spans="1:6">
      <c r="A138">
        <v>20200717</v>
      </c>
      <c r="B138">
        <v>126.9007862</v>
      </c>
      <c r="C138">
        <v>37.438687899999998</v>
      </c>
      <c r="D138" t="s">
        <v>195</v>
      </c>
      <c r="E138">
        <v>91</v>
      </c>
      <c r="F138" t="s">
        <v>4</v>
      </c>
    </row>
    <row r="139" spans="1:6">
      <c r="A139">
        <v>20200717</v>
      </c>
      <c r="B139">
        <v>126.9007862</v>
      </c>
      <c r="C139">
        <v>37.438687899999998</v>
      </c>
      <c r="D139" t="s">
        <v>84</v>
      </c>
      <c r="E139">
        <v>165</v>
      </c>
      <c r="F139" t="s">
        <v>4</v>
      </c>
    </row>
    <row r="140" spans="1:6">
      <c r="A140">
        <v>20200717</v>
      </c>
      <c r="B140">
        <v>126.9007862</v>
      </c>
      <c r="C140">
        <v>37.438687899999998</v>
      </c>
      <c r="D140" t="s">
        <v>198</v>
      </c>
      <c r="E140">
        <v>195</v>
      </c>
      <c r="F140" t="s">
        <v>4</v>
      </c>
    </row>
    <row r="141" spans="1:6">
      <c r="A141">
        <v>20200717</v>
      </c>
      <c r="B141">
        <v>126.9007862</v>
      </c>
      <c r="C141">
        <v>37.438687899999998</v>
      </c>
      <c r="D141" t="s">
        <v>166</v>
      </c>
      <c r="E141">
        <v>219</v>
      </c>
      <c r="F141" t="s">
        <v>4</v>
      </c>
    </row>
    <row r="142" spans="1:6">
      <c r="A142">
        <v>20200717</v>
      </c>
      <c r="B142">
        <v>126.9007862</v>
      </c>
      <c r="C142">
        <v>37.438687899999998</v>
      </c>
      <c r="D142" t="s">
        <v>134</v>
      </c>
      <c r="E142">
        <v>323</v>
      </c>
      <c r="F142" t="s">
        <v>4</v>
      </c>
    </row>
    <row r="143" spans="1:6">
      <c r="A143">
        <v>20200717</v>
      </c>
      <c r="B143">
        <v>126.9007862</v>
      </c>
      <c r="C143">
        <v>37.438687899999998</v>
      </c>
      <c r="D143" t="s">
        <v>137</v>
      </c>
      <c r="E143">
        <v>327</v>
      </c>
      <c r="F143" t="s">
        <v>4</v>
      </c>
    </row>
    <row r="144" spans="1:6">
      <c r="A144">
        <v>20200717</v>
      </c>
      <c r="B144">
        <v>126.9007862</v>
      </c>
      <c r="C144">
        <v>37.438687899999998</v>
      </c>
      <c r="D144" t="s">
        <v>158</v>
      </c>
      <c r="E144">
        <v>363</v>
      </c>
      <c r="F144" t="s">
        <v>4</v>
      </c>
    </row>
    <row r="145" spans="1:6">
      <c r="A145">
        <v>20200717</v>
      </c>
      <c r="B145">
        <v>126.9007862</v>
      </c>
      <c r="C145">
        <v>37.438687899999998</v>
      </c>
      <c r="D145" t="s">
        <v>68</v>
      </c>
      <c r="E145">
        <v>348</v>
      </c>
      <c r="F145" t="s">
        <v>4</v>
      </c>
    </row>
    <row r="146" spans="1:6">
      <c r="A146">
        <v>20200717</v>
      </c>
      <c r="B146">
        <v>126.9007862</v>
      </c>
      <c r="C146">
        <v>37.438687899999998</v>
      </c>
      <c r="D146" t="s">
        <v>109</v>
      </c>
      <c r="E146">
        <v>815</v>
      </c>
      <c r="F146" t="s">
        <v>4</v>
      </c>
    </row>
    <row r="147" spans="1:6">
      <c r="A147">
        <v>20200717</v>
      </c>
      <c r="B147">
        <v>126.9007862</v>
      </c>
      <c r="C147">
        <v>37.438687899999998</v>
      </c>
      <c r="D147" t="s">
        <v>186</v>
      </c>
      <c r="E147">
        <v>858</v>
      </c>
      <c r="F147" t="s">
        <v>4</v>
      </c>
    </row>
    <row r="148" spans="1:6">
      <c r="A148">
        <v>20200717</v>
      </c>
      <c r="B148">
        <v>126.9007862</v>
      </c>
      <c r="C148">
        <v>37.438687899999998</v>
      </c>
      <c r="D148" t="s">
        <v>219</v>
      </c>
      <c r="E148">
        <v>2084</v>
      </c>
      <c r="F148" t="s">
        <v>4</v>
      </c>
    </row>
    <row r="149" spans="1:6">
      <c r="A149">
        <v>20200717</v>
      </c>
      <c r="B149">
        <v>126.9007862</v>
      </c>
      <c r="C149">
        <v>37.438687899999998</v>
      </c>
      <c r="D149" t="s">
        <v>151</v>
      </c>
      <c r="E149">
        <v>1479</v>
      </c>
      <c r="F149" t="s">
        <v>4</v>
      </c>
    </row>
    <row r="150" spans="1:6">
      <c r="A150">
        <v>20200717</v>
      </c>
      <c r="B150">
        <v>126.9007862</v>
      </c>
      <c r="C150">
        <v>37.438687899999998</v>
      </c>
      <c r="D150" t="s">
        <v>64</v>
      </c>
      <c r="E150">
        <v>1723</v>
      </c>
      <c r="F150" t="s">
        <v>4</v>
      </c>
    </row>
    <row r="151" spans="1:6">
      <c r="A151">
        <v>20200717</v>
      </c>
      <c r="B151">
        <v>126.9007862</v>
      </c>
      <c r="C151">
        <v>37.438687899999998</v>
      </c>
      <c r="D151" t="s">
        <v>175</v>
      </c>
      <c r="E151">
        <v>18460</v>
      </c>
      <c r="F151" t="s">
        <v>4</v>
      </c>
    </row>
    <row r="152" spans="1:6">
      <c r="A152">
        <v>20200717</v>
      </c>
      <c r="B152">
        <v>126.9007862</v>
      </c>
      <c r="C152">
        <v>37.438687899999998</v>
      </c>
      <c r="D152" t="s">
        <v>207</v>
      </c>
      <c r="E152">
        <v>22078</v>
      </c>
      <c r="F152" t="s">
        <v>4</v>
      </c>
    </row>
    <row r="153" spans="1:6">
      <c r="A153">
        <v>20200717</v>
      </c>
      <c r="B153">
        <v>126.9007862</v>
      </c>
      <c r="C153">
        <v>37.438687899999998</v>
      </c>
      <c r="D153" t="s">
        <v>87</v>
      </c>
      <c r="E153">
        <v>33935</v>
      </c>
      <c r="F153" t="s">
        <v>4</v>
      </c>
    </row>
    <row r="154" spans="1:6">
      <c r="A154">
        <v>20200717</v>
      </c>
      <c r="B154">
        <v>126.8910417</v>
      </c>
      <c r="C154">
        <v>37.458163800000001</v>
      </c>
      <c r="D154" t="s">
        <v>46</v>
      </c>
      <c r="E154">
        <v>22</v>
      </c>
      <c r="F154" t="s">
        <v>4</v>
      </c>
    </row>
    <row r="155" spans="1:6">
      <c r="A155">
        <v>20200717</v>
      </c>
      <c r="B155">
        <v>126.8910417</v>
      </c>
      <c r="C155">
        <v>37.458163800000001</v>
      </c>
      <c r="D155" t="s">
        <v>34</v>
      </c>
      <c r="E155">
        <v>26</v>
      </c>
      <c r="F155" t="s">
        <v>4</v>
      </c>
    </row>
    <row r="156" spans="1:6">
      <c r="A156">
        <v>20200717</v>
      </c>
      <c r="B156">
        <v>126.8910417</v>
      </c>
      <c r="C156">
        <v>37.458163800000001</v>
      </c>
      <c r="D156" t="s">
        <v>172</v>
      </c>
      <c r="E156">
        <v>31</v>
      </c>
      <c r="F156" t="s">
        <v>4</v>
      </c>
    </row>
    <row r="157" spans="1:6">
      <c r="A157">
        <v>20200717</v>
      </c>
      <c r="B157">
        <v>126.8910417</v>
      </c>
      <c r="C157">
        <v>37.458163800000001</v>
      </c>
      <c r="D157" t="s">
        <v>199</v>
      </c>
      <c r="E157">
        <v>32</v>
      </c>
      <c r="F157" t="s">
        <v>4</v>
      </c>
    </row>
    <row r="158" spans="1:6">
      <c r="A158">
        <v>20200717</v>
      </c>
      <c r="B158">
        <v>126.8910417</v>
      </c>
      <c r="C158">
        <v>37.458163800000001</v>
      </c>
      <c r="D158" t="s">
        <v>109</v>
      </c>
      <c r="E158">
        <v>33</v>
      </c>
      <c r="F158" t="s">
        <v>4</v>
      </c>
    </row>
    <row r="159" spans="1:6">
      <c r="A159">
        <v>20200717</v>
      </c>
      <c r="B159">
        <v>126.8910417</v>
      </c>
      <c r="C159">
        <v>37.458163800000001</v>
      </c>
      <c r="D159" t="s">
        <v>166</v>
      </c>
      <c r="E159">
        <v>37</v>
      </c>
      <c r="F159" t="s">
        <v>4</v>
      </c>
    </row>
    <row r="160" spans="1:6">
      <c r="A160">
        <v>20200717</v>
      </c>
      <c r="B160">
        <v>126.8910417</v>
      </c>
      <c r="C160">
        <v>37.458163800000001</v>
      </c>
      <c r="D160" t="s">
        <v>134</v>
      </c>
      <c r="E160">
        <v>45</v>
      </c>
      <c r="F160" t="s">
        <v>4</v>
      </c>
    </row>
    <row r="161" spans="1:6">
      <c r="A161">
        <v>20200717</v>
      </c>
      <c r="B161">
        <v>126.8910417</v>
      </c>
      <c r="C161">
        <v>37.458163800000001</v>
      </c>
      <c r="D161" t="s">
        <v>266</v>
      </c>
      <c r="E161">
        <v>63</v>
      </c>
      <c r="F161" t="s">
        <v>4</v>
      </c>
    </row>
    <row r="162" spans="1:6">
      <c r="A162">
        <v>20200717</v>
      </c>
      <c r="B162">
        <v>126.8910417</v>
      </c>
      <c r="C162">
        <v>37.458163800000001</v>
      </c>
      <c r="D162" t="s">
        <v>56</v>
      </c>
      <c r="E162">
        <v>67</v>
      </c>
      <c r="F162" t="s">
        <v>4</v>
      </c>
    </row>
    <row r="163" spans="1:6">
      <c r="A163">
        <v>20200717</v>
      </c>
      <c r="B163">
        <v>126.8910417</v>
      </c>
      <c r="C163">
        <v>37.458163800000001</v>
      </c>
      <c r="D163" t="s">
        <v>114</v>
      </c>
      <c r="E163">
        <v>72</v>
      </c>
      <c r="F163" t="s">
        <v>4</v>
      </c>
    </row>
    <row r="164" spans="1:6">
      <c r="A164">
        <v>20200717</v>
      </c>
      <c r="B164">
        <v>126.8910417</v>
      </c>
      <c r="C164">
        <v>37.458163800000001</v>
      </c>
      <c r="D164" t="s">
        <v>195</v>
      </c>
      <c r="E164">
        <v>158</v>
      </c>
      <c r="F164" t="s">
        <v>4</v>
      </c>
    </row>
    <row r="165" spans="1:6">
      <c r="A165">
        <v>20200717</v>
      </c>
      <c r="B165">
        <v>126.8910417</v>
      </c>
      <c r="C165">
        <v>37.458163800000001</v>
      </c>
      <c r="D165" t="s">
        <v>150</v>
      </c>
      <c r="E165">
        <v>112</v>
      </c>
      <c r="F165" t="s">
        <v>4</v>
      </c>
    </row>
    <row r="166" spans="1:6">
      <c r="A166">
        <v>20200717</v>
      </c>
      <c r="B166">
        <v>126.8910417</v>
      </c>
      <c r="C166">
        <v>37.458163800000001</v>
      </c>
      <c r="D166" t="s">
        <v>190</v>
      </c>
      <c r="E166">
        <v>117</v>
      </c>
      <c r="F166" t="s">
        <v>4</v>
      </c>
    </row>
    <row r="167" spans="1:6">
      <c r="A167">
        <v>20200717</v>
      </c>
      <c r="B167">
        <v>126.8910417</v>
      </c>
      <c r="C167">
        <v>37.458163800000001</v>
      </c>
      <c r="D167" t="s">
        <v>130</v>
      </c>
      <c r="E167">
        <v>357</v>
      </c>
      <c r="F167" t="s">
        <v>4</v>
      </c>
    </row>
    <row r="168" spans="1:6">
      <c r="A168">
        <v>20200717</v>
      </c>
      <c r="B168">
        <v>126.8910417</v>
      </c>
      <c r="C168">
        <v>37.458163800000001</v>
      </c>
      <c r="D168" t="s">
        <v>137</v>
      </c>
      <c r="E168">
        <v>157</v>
      </c>
      <c r="F168" t="s">
        <v>4</v>
      </c>
    </row>
    <row r="169" spans="1:6">
      <c r="A169">
        <v>20200717</v>
      </c>
      <c r="B169">
        <v>126.8910417</v>
      </c>
      <c r="C169">
        <v>37.458163800000001</v>
      </c>
      <c r="D169" t="s">
        <v>219</v>
      </c>
      <c r="E169">
        <v>355</v>
      </c>
      <c r="F169" t="s">
        <v>4</v>
      </c>
    </row>
    <row r="170" spans="1:6">
      <c r="A170">
        <v>20200717</v>
      </c>
      <c r="B170">
        <v>126.8910417</v>
      </c>
      <c r="C170">
        <v>37.458163800000001</v>
      </c>
      <c r="D170" t="s">
        <v>186</v>
      </c>
      <c r="E170">
        <v>355</v>
      </c>
      <c r="F170" t="s">
        <v>4</v>
      </c>
    </row>
    <row r="171" spans="1:6">
      <c r="A171">
        <v>20200717</v>
      </c>
      <c r="B171">
        <v>126.8910417</v>
      </c>
      <c r="C171">
        <v>37.458163800000001</v>
      </c>
      <c r="D171" t="s">
        <v>158</v>
      </c>
      <c r="E171">
        <v>434</v>
      </c>
      <c r="F171" t="s">
        <v>4</v>
      </c>
    </row>
    <row r="172" spans="1:6">
      <c r="A172">
        <v>20200717</v>
      </c>
      <c r="B172">
        <v>126.8910417</v>
      </c>
      <c r="C172">
        <v>37.458163800000001</v>
      </c>
      <c r="D172" t="s">
        <v>151</v>
      </c>
      <c r="E172">
        <v>1668</v>
      </c>
      <c r="F172" t="s">
        <v>4</v>
      </c>
    </row>
    <row r="173" spans="1:6">
      <c r="A173">
        <v>20200717</v>
      </c>
      <c r="B173">
        <v>126.8910417</v>
      </c>
      <c r="C173">
        <v>37.458163800000001</v>
      </c>
      <c r="D173" t="s">
        <v>64</v>
      </c>
      <c r="E173">
        <v>1694</v>
      </c>
      <c r="F173" t="s">
        <v>4</v>
      </c>
    </row>
    <row r="174" spans="1:6">
      <c r="A174">
        <v>20200717</v>
      </c>
      <c r="B174">
        <v>126.8910417</v>
      </c>
      <c r="C174">
        <v>37.458163800000001</v>
      </c>
      <c r="D174" t="s">
        <v>68</v>
      </c>
      <c r="E174">
        <v>3439</v>
      </c>
      <c r="F174" t="s">
        <v>4</v>
      </c>
    </row>
    <row r="175" spans="1:6">
      <c r="A175">
        <v>20200717</v>
      </c>
      <c r="B175">
        <v>126.8910417</v>
      </c>
      <c r="C175">
        <v>37.458163800000001</v>
      </c>
      <c r="D175" t="s">
        <v>175</v>
      </c>
      <c r="E175">
        <v>10686</v>
      </c>
      <c r="F175" t="s">
        <v>4</v>
      </c>
    </row>
    <row r="176" spans="1:6">
      <c r="A176">
        <v>20200717</v>
      </c>
      <c r="B176">
        <v>126.8910417</v>
      </c>
      <c r="C176">
        <v>37.458163800000001</v>
      </c>
      <c r="D176" t="s">
        <v>207</v>
      </c>
      <c r="E176">
        <v>26191</v>
      </c>
      <c r="F176" t="s">
        <v>4</v>
      </c>
    </row>
    <row r="177" spans="1:6">
      <c r="A177">
        <v>20200717</v>
      </c>
      <c r="B177">
        <v>126.8910417</v>
      </c>
      <c r="C177">
        <v>37.458163800000001</v>
      </c>
      <c r="D177" t="s">
        <v>87</v>
      </c>
      <c r="E177">
        <v>30449</v>
      </c>
      <c r="F177" t="s">
        <v>4</v>
      </c>
    </row>
    <row r="178" spans="1:6">
      <c r="A178">
        <v>20200717</v>
      </c>
      <c r="B178">
        <v>126.8772417</v>
      </c>
      <c r="C178">
        <v>37.474826299999997</v>
      </c>
      <c r="D178" t="s">
        <v>34</v>
      </c>
      <c r="E178">
        <v>13</v>
      </c>
      <c r="F178" t="s">
        <v>4</v>
      </c>
    </row>
    <row r="179" spans="1:6">
      <c r="A179">
        <v>20200717</v>
      </c>
      <c r="B179">
        <v>126.8772417</v>
      </c>
      <c r="C179">
        <v>37.474826299999997</v>
      </c>
      <c r="D179" t="s">
        <v>198</v>
      </c>
      <c r="E179">
        <v>14</v>
      </c>
      <c r="F179" t="s">
        <v>4</v>
      </c>
    </row>
    <row r="180" spans="1:6">
      <c r="A180">
        <v>20200717</v>
      </c>
      <c r="B180">
        <v>126.8772417</v>
      </c>
      <c r="C180">
        <v>37.474826299999997</v>
      </c>
      <c r="D180" t="s">
        <v>166</v>
      </c>
      <c r="E180">
        <v>15</v>
      </c>
      <c r="F180" t="s">
        <v>4</v>
      </c>
    </row>
    <row r="181" spans="1:6">
      <c r="A181">
        <v>20200717</v>
      </c>
      <c r="B181">
        <v>126.8772417</v>
      </c>
      <c r="C181">
        <v>37.474826299999997</v>
      </c>
      <c r="D181" t="s">
        <v>205</v>
      </c>
      <c r="E181">
        <v>20</v>
      </c>
      <c r="F181" t="s">
        <v>4</v>
      </c>
    </row>
    <row r="182" spans="1:6">
      <c r="A182">
        <v>20200717</v>
      </c>
      <c r="B182">
        <v>126.8772417</v>
      </c>
      <c r="C182">
        <v>37.474826299999997</v>
      </c>
      <c r="D182" t="s">
        <v>129</v>
      </c>
      <c r="E182">
        <v>25</v>
      </c>
      <c r="F182" t="s">
        <v>4</v>
      </c>
    </row>
    <row r="183" spans="1:6">
      <c r="A183">
        <v>20200717</v>
      </c>
      <c r="B183">
        <v>126.8772417</v>
      </c>
      <c r="C183">
        <v>37.474826299999997</v>
      </c>
      <c r="D183" t="s">
        <v>134</v>
      </c>
      <c r="E183">
        <v>26</v>
      </c>
      <c r="F183" t="s">
        <v>4</v>
      </c>
    </row>
    <row r="184" spans="1:6">
      <c r="A184">
        <v>20200717</v>
      </c>
      <c r="B184">
        <v>126.8772417</v>
      </c>
      <c r="C184">
        <v>37.474826299999997</v>
      </c>
      <c r="D184" t="s">
        <v>199</v>
      </c>
      <c r="E184">
        <v>27</v>
      </c>
      <c r="F184" t="s">
        <v>4</v>
      </c>
    </row>
    <row r="185" spans="1:6">
      <c r="A185">
        <v>20200717</v>
      </c>
      <c r="B185">
        <v>126.8772417</v>
      </c>
      <c r="C185">
        <v>37.474826299999997</v>
      </c>
      <c r="D185" t="s">
        <v>172</v>
      </c>
      <c r="E185">
        <v>32</v>
      </c>
      <c r="F185" t="s">
        <v>4</v>
      </c>
    </row>
    <row r="186" spans="1:6">
      <c r="A186">
        <v>20200717</v>
      </c>
      <c r="B186">
        <v>126.8771357</v>
      </c>
      <c r="C186">
        <v>37.553306900000003</v>
      </c>
      <c r="D186" t="s">
        <v>42</v>
      </c>
      <c r="E186">
        <v>43</v>
      </c>
      <c r="F186" t="s">
        <v>4</v>
      </c>
    </row>
    <row r="187" spans="1:6">
      <c r="A187">
        <v>20200717</v>
      </c>
      <c r="B187">
        <v>126.8772417</v>
      </c>
      <c r="C187">
        <v>37.474826299999997</v>
      </c>
      <c r="D187" t="s">
        <v>133</v>
      </c>
      <c r="E187">
        <v>36</v>
      </c>
      <c r="F187" t="s">
        <v>4</v>
      </c>
    </row>
    <row r="188" spans="1:6">
      <c r="A188">
        <v>20200717</v>
      </c>
      <c r="B188">
        <v>126.8772417</v>
      </c>
      <c r="C188">
        <v>37.474826299999997</v>
      </c>
      <c r="D188" t="s">
        <v>195</v>
      </c>
      <c r="E188">
        <v>39</v>
      </c>
      <c r="F188" t="s">
        <v>4</v>
      </c>
    </row>
    <row r="189" spans="1:6">
      <c r="A189">
        <v>20200717</v>
      </c>
      <c r="B189">
        <v>126.8772417</v>
      </c>
      <c r="C189">
        <v>37.474826299999997</v>
      </c>
      <c r="D189" t="s">
        <v>221</v>
      </c>
      <c r="E189">
        <v>43</v>
      </c>
      <c r="F189" t="s">
        <v>4</v>
      </c>
    </row>
    <row r="190" spans="1:6">
      <c r="A190">
        <v>20200717</v>
      </c>
      <c r="B190">
        <v>126.8772417</v>
      </c>
      <c r="C190">
        <v>37.474826299999997</v>
      </c>
      <c r="D190" t="s">
        <v>130</v>
      </c>
      <c r="E190">
        <v>79</v>
      </c>
      <c r="F190" t="s">
        <v>4</v>
      </c>
    </row>
    <row r="191" spans="1:6">
      <c r="A191">
        <v>20200717</v>
      </c>
      <c r="B191">
        <v>126.8772417</v>
      </c>
      <c r="C191">
        <v>37.474826299999997</v>
      </c>
      <c r="D191" t="s">
        <v>35</v>
      </c>
      <c r="E191">
        <v>57</v>
      </c>
      <c r="F191" t="s">
        <v>4</v>
      </c>
    </row>
    <row r="192" spans="1:6">
      <c r="A192">
        <v>20200717</v>
      </c>
      <c r="B192">
        <v>126.8772417</v>
      </c>
      <c r="C192">
        <v>37.474826299999997</v>
      </c>
      <c r="D192" t="s">
        <v>150</v>
      </c>
      <c r="E192">
        <v>60</v>
      </c>
      <c r="F192" t="s">
        <v>4</v>
      </c>
    </row>
    <row r="193" spans="1:6">
      <c r="A193">
        <v>20200717</v>
      </c>
      <c r="B193">
        <v>126.8772417</v>
      </c>
      <c r="C193">
        <v>37.474826299999997</v>
      </c>
      <c r="D193" t="s">
        <v>144</v>
      </c>
      <c r="E193">
        <v>90</v>
      </c>
      <c r="F193" t="s">
        <v>4</v>
      </c>
    </row>
    <row r="194" spans="1:6">
      <c r="A194">
        <v>20200717</v>
      </c>
      <c r="B194">
        <v>126.8772417</v>
      </c>
      <c r="C194">
        <v>37.474826299999997</v>
      </c>
      <c r="D194" t="s">
        <v>219</v>
      </c>
      <c r="E194">
        <v>235</v>
      </c>
      <c r="F194" t="s">
        <v>4</v>
      </c>
    </row>
    <row r="195" spans="1:6">
      <c r="A195">
        <v>20200717</v>
      </c>
      <c r="B195">
        <v>126.8772417</v>
      </c>
      <c r="C195">
        <v>37.474826299999997</v>
      </c>
      <c r="D195" t="s">
        <v>137</v>
      </c>
      <c r="E195">
        <v>259</v>
      </c>
      <c r="F195" t="s">
        <v>4</v>
      </c>
    </row>
    <row r="196" spans="1:6">
      <c r="A196">
        <v>20200717</v>
      </c>
      <c r="B196">
        <v>126.8772417</v>
      </c>
      <c r="C196">
        <v>37.474826299999997</v>
      </c>
      <c r="D196" t="s">
        <v>166</v>
      </c>
      <c r="E196">
        <v>280</v>
      </c>
      <c r="F196" t="s">
        <v>4</v>
      </c>
    </row>
    <row r="197" spans="1:6">
      <c r="A197">
        <v>20200717</v>
      </c>
      <c r="B197">
        <v>126.8772417</v>
      </c>
      <c r="C197">
        <v>37.474826299999997</v>
      </c>
      <c r="D197" t="s">
        <v>158</v>
      </c>
      <c r="E197">
        <v>444</v>
      </c>
      <c r="F197" t="s">
        <v>4</v>
      </c>
    </row>
    <row r="198" spans="1:6">
      <c r="A198">
        <v>20200717</v>
      </c>
      <c r="B198">
        <v>126.8772417</v>
      </c>
      <c r="C198">
        <v>37.474826299999997</v>
      </c>
      <c r="D198" t="s">
        <v>186</v>
      </c>
      <c r="E198">
        <v>493</v>
      </c>
      <c r="F198" t="s">
        <v>4</v>
      </c>
    </row>
    <row r="199" spans="1:6">
      <c r="A199">
        <v>20200717</v>
      </c>
      <c r="B199">
        <v>126.8772417</v>
      </c>
      <c r="C199">
        <v>37.474826299999997</v>
      </c>
      <c r="D199" t="s">
        <v>68</v>
      </c>
      <c r="E199">
        <v>930</v>
      </c>
      <c r="F199" t="s">
        <v>4</v>
      </c>
    </row>
    <row r="200" spans="1:6">
      <c r="A200">
        <v>20200717</v>
      </c>
      <c r="B200">
        <v>126.8772417</v>
      </c>
      <c r="C200">
        <v>37.474826299999997</v>
      </c>
      <c r="D200" t="s">
        <v>151</v>
      </c>
      <c r="E200">
        <v>1604</v>
      </c>
      <c r="F200" t="s">
        <v>4</v>
      </c>
    </row>
    <row r="201" spans="1:6">
      <c r="A201">
        <v>20200717</v>
      </c>
      <c r="B201">
        <v>126.8772417</v>
      </c>
      <c r="C201">
        <v>37.474826299999997</v>
      </c>
      <c r="D201" t="s">
        <v>64</v>
      </c>
      <c r="E201">
        <v>2521</v>
      </c>
      <c r="F201" t="s">
        <v>4</v>
      </c>
    </row>
    <row r="202" spans="1:6">
      <c r="A202">
        <v>20200717</v>
      </c>
      <c r="B202">
        <v>126.8772417</v>
      </c>
      <c r="C202">
        <v>37.474826299999997</v>
      </c>
      <c r="D202" t="s">
        <v>114</v>
      </c>
      <c r="E202">
        <v>4191</v>
      </c>
      <c r="F202" t="s">
        <v>4</v>
      </c>
    </row>
    <row r="203" spans="1:6">
      <c r="A203">
        <v>20200717</v>
      </c>
      <c r="B203">
        <v>126.8772417</v>
      </c>
      <c r="C203">
        <v>37.474826299999997</v>
      </c>
      <c r="D203" t="s">
        <v>175</v>
      </c>
      <c r="E203">
        <v>6555</v>
      </c>
      <c r="F203" t="s">
        <v>4</v>
      </c>
    </row>
    <row r="204" spans="1:6">
      <c r="A204">
        <v>20200717</v>
      </c>
      <c r="B204">
        <v>126.8772417</v>
      </c>
      <c r="C204">
        <v>37.474826299999997</v>
      </c>
      <c r="D204" t="s">
        <v>207</v>
      </c>
      <c r="E204">
        <v>15709</v>
      </c>
      <c r="F204" t="s">
        <v>4</v>
      </c>
    </row>
    <row r="205" spans="1:6">
      <c r="A205">
        <v>20200717</v>
      </c>
      <c r="B205">
        <v>126.8772417</v>
      </c>
      <c r="C205">
        <v>37.474826299999997</v>
      </c>
      <c r="D205" t="s">
        <v>87</v>
      </c>
      <c r="E205">
        <v>30544</v>
      </c>
      <c r="F205" t="s">
        <v>4</v>
      </c>
    </row>
    <row r="206" spans="1:6">
      <c r="A206">
        <v>20200717</v>
      </c>
      <c r="B206">
        <v>126.87060049999999</v>
      </c>
      <c r="C206">
        <v>37.492184199999997</v>
      </c>
      <c r="D206" t="s">
        <v>89</v>
      </c>
      <c r="E206">
        <v>16</v>
      </c>
      <c r="F206" t="s">
        <v>4</v>
      </c>
    </row>
    <row r="207" spans="1:6">
      <c r="A207">
        <v>20200717</v>
      </c>
      <c r="B207">
        <v>126.87060049999999</v>
      </c>
      <c r="C207">
        <v>37.492184199999997</v>
      </c>
      <c r="D207" t="s">
        <v>172</v>
      </c>
      <c r="E207">
        <v>22</v>
      </c>
      <c r="F207" t="s">
        <v>4</v>
      </c>
    </row>
    <row r="208" spans="1:6">
      <c r="A208">
        <v>20200717</v>
      </c>
      <c r="B208">
        <v>126.87060049999999</v>
      </c>
      <c r="C208">
        <v>37.492184199999997</v>
      </c>
      <c r="D208" t="s">
        <v>199</v>
      </c>
      <c r="E208">
        <v>22</v>
      </c>
      <c r="F208" t="s">
        <v>4</v>
      </c>
    </row>
    <row r="209" spans="1:6">
      <c r="A209">
        <v>20200717</v>
      </c>
      <c r="B209">
        <v>126.87060049999999</v>
      </c>
      <c r="C209">
        <v>37.492184199999997</v>
      </c>
      <c r="D209" t="s">
        <v>215</v>
      </c>
      <c r="E209">
        <v>25</v>
      </c>
      <c r="F209" t="s">
        <v>4</v>
      </c>
    </row>
    <row r="210" spans="1:6">
      <c r="A210">
        <v>20200717</v>
      </c>
      <c r="B210">
        <v>126.87060049999999</v>
      </c>
      <c r="C210">
        <v>37.492184199999997</v>
      </c>
      <c r="D210" t="s">
        <v>129</v>
      </c>
      <c r="E210">
        <v>44</v>
      </c>
      <c r="F210" t="s">
        <v>4</v>
      </c>
    </row>
    <row r="211" spans="1:6">
      <c r="A211">
        <v>20200717</v>
      </c>
      <c r="B211">
        <v>126.87060049999999</v>
      </c>
      <c r="C211">
        <v>37.492184199999997</v>
      </c>
      <c r="D211" t="s">
        <v>166</v>
      </c>
      <c r="E211">
        <v>26</v>
      </c>
      <c r="F211" t="s">
        <v>4</v>
      </c>
    </row>
    <row r="212" spans="1:6">
      <c r="A212">
        <v>20200717</v>
      </c>
      <c r="B212">
        <v>126.87060049999999</v>
      </c>
      <c r="C212">
        <v>37.492184199999997</v>
      </c>
      <c r="D212" t="s">
        <v>220</v>
      </c>
      <c r="E212">
        <v>27</v>
      </c>
      <c r="F212" t="s">
        <v>4</v>
      </c>
    </row>
    <row r="213" spans="1:6">
      <c r="A213">
        <v>20200717</v>
      </c>
      <c r="B213">
        <v>126.87060049999999</v>
      </c>
      <c r="C213">
        <v>37.492184199999997</v>
      </c>
      <c r="D213" t="s">
        <v>138</v>
      </c>
      <c r="E213">
        <v>34</v>
      </c>
      <c r="F213" t="s">
        <v>4</v>
      </c>
    </row>
    <row r="214" spans="1:6">
      <c r="A214">
        <v>20200717</v>
      </c>
      <c r="B214">
        <v>126.87060049999999</v>
      </c>
      <c r="C214">
        <v>37.492184199999997</v>
      </c>
      <c r="D214" t="s">
        <v>130</v>
      </c>
      <c r="E214">
        <v>133</v>
      </c>
      <c r="F214" t="s">
        <v>4</v>
      </c>
    </row>
    <row r="215" spans="1:6">
      <c r="A215">
        <v>20200717</v>
      </c>
      <c r="B215">
        <v>126.87060049999999</v>
      </c>
      <c r="C215">
        <v>37.492184199999997</v>
      </c>
      <c r="D215" t="s">
        <v>134</v>
      </c>
      <c r="E215">
        <v>42</v>
      </c>
      <c r="F215" t="s">
        <v>4</v>
      </c>
    </row>
    <row r="216" spans="1:6">
      <c r="A216">
        <v>20200717</v>
      </c>
      <c r="B216">
        <v>126.87060049999999</v>
      </c>
      <c r="C216">
        <v>37.492184199999997</v>
      </c>
      <c r="D216" t="s">
        <v>109</v>
      </c>
      <c r="E216">
        <v>66</v>
      </c>
      <c r="F216" t="s">
        <v>4</v>
      </c>
    </row>
    <row r="217" spans="1:6">
      <c r="A217">
        <v>20200717</v>
      </c>
      <c r="B217">
        <v>126.87060049999999</v>
      </c>
      <c r="C217">
        <v>37.492184199999997</v>
      </c>
      <c r="D217" t="s">
        <v>216</v>
      </c>
      <c r="E217">
        <v>93</v>
      </c>
      <c r="F217" t="s">
        <v>4</v>
      </c>
    </row>
    <row r="218" spans="1:6">
      <c r="A218">
        <v>20200717</v>
      </c>
      <c r="B218">
        <v>126.87060049999999</v>
      </c>
      <c r="C218">
        <v>37.492184199999997</v>
      </c>
      <c r="D218" t="s">
        <v>52</v>
      </c>
      <c r="E218">
        <v>94</v>
      </c>
      <c r="F218" t="s">
        <v>4</v>
      </c>
    </row>
    <row r="219" spans="1:6">
      <c r="A219">
        <v>20200717</v>
      </c>
      <c r="B219">
        <v>126.87060049999999</v>
      </c>
      <c r="C219">
        <v>37.492184199999997</v>
      </c>
      <c r="D219" t="s">
        <v>218</v>
      </c>
      <c r="E219">
        <v>119</v>
      </c>
      <c r="F219" t="s">
        <v>4</v>
      </c>
    </row>
    <row r="220" spans="1:6">
      <c r="A220">
        <v>20200717</v>
      </c>
      <c r="B220">
        <v>126.87060049999999</v>
      </c>
      <c r="C220">
        <v>37.492184199999997</v>
      </c>
      <c r="D220" t="s">
        <v>150</v>
      </c>
      <c r="E220">
        <v>124</v>
      </c>
      <c r="F220" t="s">
        <v>4</v>
      </c>
    </row>
    <row r="221" spans="1:6">
      <c r="A221">
        <v>20200717</v>
      </c>
      <c r="B221">
        <v>126.8772417</v>
      </c>
      <c r="C221">
        <v>37.474826299999997</v>
      </c>
      <c r="D221" t="s">
        <v>63</v>
      </c>
      <c r="E221">
        <v>83</v>
      </c>
      <c r="F221" t="s">
        <v>4</v>
      </c>
    </row>
    <row r="222" spans="1:6">
      <c r="A222">
        <v>20200717</v>
      </c>
      <c r="B222">
        <v>126.87060049999999</v>
      </c>
      <c r="C222">
        <v>37.492184199999997</v>
      </c>
      <c r="D222" t="s">
        <v>84</v>
      </c>
      <c r="E222">
        <v>161</v>
      </c>
      <c r="F222" t="s">
        <v>4</v>
      </c>
    </row>
    <row r="223" spans="1:6">
      <c r="A223">
        <v>20200717</v>
      </c>
      <c r="B223">
        <v>126.87060049999999</v>
      </c>
      <c r="C223">
        <v>37.492184199999997</v>
      </c>
      <c r="D223" t="s">
        <v>195</v>
      </c>
      <c r="E223">
        <v>192</v>
      </c>
      <c r="F223" t="s">
        <v>4</v>
      </c>
    </row>
    <row r="224" spans="1:6">
      <c r="A224">
        <v>20200717</v>
      </c>
      <c r="B224">
        <v>126.87060049999999</v>
      </c>
      <c r="C224">
        <v>37.492184199999997</v>
      </c>
      <c r="D224" t="s">
        <v>114</v>
      </c>
      <c r="E224">
        <v>502</v>
      </c>
      <c r="F224" t="s">
        <v>4</v>
      </c>
    </row>
    <row r="225" spans="1:6">
      <c r="A225">
        <v>20200717</v>
      </c>
      <c r="B225">
        <v>126.87060049999999</v>
      </c>
      <c r="C225">
        <v>37.492184199999997</v>
      </c>
      <c r="D225" t="s">
        <v>166</v>
      </c>
      <c r="E225">
        <v>209</v>
      </c>
      <c r="F225" t="s">
        <v>4</v>
      </c>
    </row>
    <row r="226" spans="1:6">
      <c r="A226">
        <v>20200717</v>
      </c>
      <c r="B226">
        <v>126.87060049999999</v>
      </c>
      <c r="C226">
        <v>37.492184199999997</v>
      </c>
      <c r="D226" t="s">
        <v>219</v>
      </c>
      <c r="E226">
        <v>321</v>
      </c>
      <c r="F226" t="s">
        <v>4</v>
      </c>
    </row>
    <row r="227" spans="1:6">
      <c r="A227">
        <v>20200717</v>
      </c>
      <c r="B227">
        <v>126.87060049999999</v>
      </c>
      <c r="C227">
        <v>37.492184199999997</v>
      </c>
      <c r="D227" t="s">
        <v>137</v>
      </c>
      <c r="E227">
        <v>320</v>
      </c>
      <c r="F227" t="s">
        <v>4</v>
      </c>
    </row>
    <row r="228" spans="1:6">
      <c r="A228">
        <v>20200717</v>
      </c>
      <c r="B228">
        <v>126.87060049999999</v>
      </c>
      <c r="C228">
        <v>37.492184199999997</v>
      </c>
      <c r="D228" t="s">
        <v>34</v>
      </c>
      <c r="E228">
        <v>600</v>
      </c>
      <c r="F228" t="s">
        <v>4</v>
      </c>
    </row>
    <row r="229" spans="1:6">
      <c r="A229">
        <v>20200717</v>
      </c>
      <c r="B229">
        <v>126.87060049999999</v>
      </c>
      <c r="C229">
        <v>37.492184199999997</v>
      </c>
      <c r="D229" t="s">
        <v>186</v>
      </c>
      <c r="E229">
        <v>519</v>
      </c>
      <c r="F229" t="s">
        <v>4</v>
      </c>
    </row>
    <row r="230" spans="1:6">
      <c r="A230">
        <v>20200717</v>
      </c>
      <c r="B230">
        <v>126.87060049999999</v>
      </c>
      <c r="C230">
        <v>37.492184199999997</v>
      </c>
      <c r="D230" t="s">
        <v>158</v>
      </c>
      <c r="E230">
        <v>494</v>
      </c>
      <c r="F230" t="s">
        <v>4</v>
      </c>
    </row>
    <row r="231" spans="1:6">
      <c r="A231">
        <v>20200717</v>
      </c>
      <c r="B231">
        <v>126.87060049999999</v>
      </c>
      <c r="C231">
        <v>37.492184199999997</v>
      </c>
      <c r="D231" t="s">
        <v>68</v>
      </c>
      <c r="E231">
        <v>863</v>
      </c>
      <c r="F231" t="s">
        <v>4</v>
      </c>
    </row>
    <row r="232" spans="1:6">
      <c r="A232">
        <v>20200717</v>
      </c>
      <c r="B232">
        <v>126.87060049999999</v>
      </c>
      <c r="C232">
        <v>37.492184199999997</v>
      </c>
      <c r="D232" t="s">
        <v>151</v>
      </c>
      <c r="E232">
        <v>1457</v>
      </c>
      <c r="F232" t="s">
        <v>4</v>
      </c>
    </row>
    <row r="233" spans="1:6">
      <c r="A233">
        <v>20200717</v>
      </c>
      <c r="B233">
        <v>126.87060049999999</v>
      </c>
      <c r="C233">
        <v>37.492184199999997</v>
      </c>
      <c r="D233" t="s">
        <v>64</v>
      </c>
      <c r="E233">
        <v>1900</v>
      </c>
      <c r="F233" t="s">
        <v>4</v>
      </c>
    </row>
    <row r="234" spans="1:6">
      <c r="A234">
        <v>20200717</v>
      </c>
      <c r="B234">
        <v>126.87060049999999</v>
      </c>
      <c r="C234">
        <v>37.492184199999997</v>
      </c>
      <c r="D234" t="s">
        <v>175</v>
      </c>
      <c r="E234">
        <v>4056</v>
      </c>
      <c r="F234" t="s">
        <v>4</v>
      </c>
    </row>
    <row r="235" spans="1:6">
      <c r="A235">
        <v>20200717</v>
      </c>
      <c r="B235">
        <v>126.87060049999999</v>
      </c>
      <c r="C235">
        <v>37.492184199999997</v>
      </c>
      <c r="D235" t="s">
        <v>87</v>
      </c>
      <c r="E235">
        <v>19648</v>
      </c>
      <c r="F235" t="s">
        <v>4</v>
      </c>
    </row>
    <row r="236" spans="1:6">
      <c r="A236">
        <v>20200717</v>
      </c>
      <c r="B236">
        <v>126.87060049999999</v>
      </c>
      <c r="C236">
        <v>37.492184199999997</v>
      </c>
      <c r="D236" t="s">
        <v>207</v>
      </c>
      <c r="E236">
        <v>27000</v>
      </c>
      <c r="F236" t="s">
        <v>4</v>
      </c>
    </row>
    <row r="237" spans="1:6">
      <c r="A237">
        <v>20200717</v>
      </c>
      <c r="B237">
        <v>126.87358690000001</v>
      </c>
      <c r="C237">
        <v>37.508467699999997</v>
      </c>
      <c r="D237" t="s">
        <v>111</v>
      </c>
      <c r="E237">
        <v>12</v>
      </c>
      <c r="F237" t="s">
        <v>4</v>
      </c>
    </row>
    <row r="238" spans="1:6">
      <c r="A238">
        <v>20200717</v>
      </c>
      <c r="B238">
        <v>126.87358690000001</v>
      </c>
      <c r="C238">
        <v>37.508467699999997</v>
      </c>
      <c r="D238" t="s">
        <v>109</v>
      </c>
      <c r="E238">
        <v>12</v>
      </c>
      <c r="F238" t="s">
        <v>4</v>
      </c>
    </row>
    <row r="239" spans="1:6">
      <c r="A239">
        <v>20200717</v>
      </c>
      <c r="B239">
        <v>126.8446659</v>
      </c>
      <c r="C239">
        <v>37.420618699999999</v>
      </c>
      <c r="D239" t="s">
        <v>45</v>
      </c>
      <c r="E239">
        <v>587</v>
      </c>
      <c r="F239" t="s">
        <v>4</v>
      </c>
    </row>
    <row r="240" spans="1:6">
      <c r="A240">
        <v>20200717</v>
      </c>
      <c r="B240">
        <v>126.87358690000001</v>
      </c>
      <c r="C240">
        <v>37.508467699999997</v>
      </c>
      <c r="D240" t="s">
        <v>99</v>
      </c>
      <c r="E240">
        <v>20</v>
      </c>
      <c r="F240" t="s">
        <v>4</v>
      </c>
    </row>
    <row r="241" spans="1:6">
      <c r="A241">
        <v>20200717</v>
      </c>
      <c r="B241">
        <v>126.87358690000001</v>
      </c>
      <c r="C241">
        <v>37.508467699999997</v>
      </c>
      <c r="D241" t="s">
        <v>134</v>
      </c>
      <c r="E241">
        <v>21</v>
      </c>
      <c r="F241" t="s">
        <v>4</v>
      </c>
    </row>
    <row r="242" spans="1:6">
      <c r="A242">
        <v>20200717</v>
      </c>
      <c r="B242">
        <v>126.87358690000001</v>
      </c>
      <c r="C242">
        <v>37.508467699999997</v>
      </c>
      <c r="D242" t="s">
        <v>129</v>
      </c>
      <c r="E242">
        <v>59</v>
      </c>
      <c r="F242" t="s">
        <v>4</v>
      </c>
    </row>
    <row r="243" spans="1:6">
      <c r="A243">
        <v>20200717</v>
      </c>
      <c r="B243">
        <v>126.87358690000001</v>
      </c>
      <c r="C243">
        <v>37.508467699999997</v>
      </c>
      <c r="D243" t="s">
        <v>221</v>
      </c>
      <c r="E243">
        <v>37</v>
      </c>
      <c r="F243" t="s">
        <v>4</v>
      </c>
    </row>
    <row r="244" spans="1:6">
      <c r="A244">
        <v>20200717</v>
      </c>
      <c r="B244">
        <v>126.87358690000001</v>
      </c>
      <c r="C244">
        <v>37.508467699999997</v>
      </c>
      <c r="D244" t="s">
        <v>219</v>
      </c>
      <c r="E244">
        <v>46</v>
      </c>
      <c r="F244" t="s">
        <v>4</v>
      </c>
    </row>
    <row r="245" spans="1:6">
      <c r="A245">
        <v>20200717</v>
      </c>
      <c r="B245">
        <v>126.87358690000001</v>
      </c>
      <c r="C245">
        <v>37.508467699999997</v>
      </c>
      <c r="D245" t="s">
        <v>52</v>
      </c>
      <c r="E245">
        <v>48</v>
      </c>
      <c r="F245" t="s">
        <v>4</v>
      </c>
    </row>
    <row r="246" spans="1:6">
      <c r="A246">
        <v>20200717</v>
      </c>
      <c r="B246">
        <v>126.87358690000001</v>
      </c>
      <c r="C246">
        <v>37.508467699999997</v>
      </c>
      <c r="D246" t="s">
        <v>199</v>
      </c>
      <c r="E246">
        <v>50</v>
      </c>
      <c r="F246" t="s">
        <v>4</v>
      </c>
    </row>
    <row r="247" spans="1:6">
      <c r="A247">
        <v>20200717</v>
      </c>
      <c r="B247">
        <v>126.87358690000001</v>
      </c>
      <c r="C247">
        <v>37.508467699999997</v>
      </c>
      <c r="D247" t="s">
        <v>150</v>
      </c>
      <c r="E247">
        <v>66</v>
      </c>
      <c r="F247" t="s">
        <v>4</v>
      </c>
    </row>
    <row r="248" spans="1:6">
      <c r="A248">
        <v>20200717</v>
      </c>
      <c r="B248">
        <v>126.87358690000001</v>
      </c>
      <c r="C248">
        <v>37.508467699999997</v>
      </c>
      <c r="D248" t="s">
        <v>130</v>
      </c>
      <c r="E248">
        <v>190</v>
      </c>
      <c r="F248" t="s">
        <v>4</v>
      </c>
    </row>
    <row r="249" spans="1:6">
      <c r="A249">
        <v>20200717</v>
      </c>
      <c r="B249">
        <v>126.87358690000001</v>
      </c>
      <c r="C249">
        <v>37.508467699999997</v>
      </c>
      <c r="D249" t="s">
        <v>84</v>
      </c>
      <c r="E249">
        <v>77</v>
      </c>
      <c r="F249" t="s">
        <v>4</v>
      </c>
    </row>
    <row r="250" spans="1:6">
      <c r="A250">
        <v>20200717</v>
      </c>
      <c r="B250">
        <v>126.87358690000001</v>
      </c>
      <c r="C250">
        <v>37.508467699999997</v>
      </c>
      <c r="D250" t="s">
        <v>216</v>
      </c>
      <c r="E250">
        <v>119</v>
      </c>
      <c r="F250" t="s">
        <v>4</v>
      </c>
    </row>
    <row r="251" spans="1:6">
      <c r="A251">
        <v>20200717</v>
      </c>
      <c r="B251">
        <v>126.87358690000001</v>
      </c>
      <c r="C251">
        <v>37.508467699999997</v>
      </c>
      <c r="D251" t="s">
        <v>144</v>
      </c>
      <c r="E251">
        <v>86</v>
      </c>
      <c r="F251" t="s">
        <v>4</v>
      </c>
    </row>
    <row r="252" spans="1:6">
      <c r="A252">
        <v>20200717</v>
      </c>
      <c r="B252">
        <v>126.87358690000001</v>
      </c>
      <c r="C252">
        <v>37.508467699999997</v>
      </c>
      <c r="D252" t="s">
        <v>195</v>
      </c>
      <c r="E252">
        <v>98</v>
      </c>
      <c r="F252" t="s">
        <v>4</v>
      </c>
    </row>
    <row r="253" spans="1:6">
      <c r="A253">
        <v>20200717</v>
      </c>
      <c r="B253">
        <v>126.87358690000001</v>
      </c>
      <c r="C253">
        <v>37.508467699999997</v>
      </c>
      <c r="D253" t="s">
        <v>137</v>
      </c>
      <c r="E253">
        <v>117</v>
      </c>
      <c r="F253" t="s">
        <v>4</v>
      </c>
    </row>
    <row r="254" spans="1:6">
      <c r="A254">
        <v>20200717</v>
      </c>
      <c r="B254">
        <v>126.87358690000001</v>
      </c>
      <c r="C254">
        <v>37.508467699999997</v>
      </c>
      <c r="D254" t="s">
        <v>166</v>
      </c>
      <c r="E254">
        <v>120</v>
      </c>
      <c r="F254" t="s">
        <v>4</v>
      </c>
    </row>
    <row r="255" spans="1:6">
      <c r="A255">
        <v>20200717</v>
      </c>
      <c r="B255">
        <v>126.87358690000001</v>
      </c>
      <c r="C255">
        <v>37.508467699999997</v>
      </c>
      <c r="D255" t="s">
        <v>186</v>
      </c>
      <c r="E255">
        <v>146</v>
      </c>
      <c r="F255" t="s">
        <v>4</v>
      </c>
    </row>
    <row r="256" spans="1:6">
      <c r="A256">
        <v>20200717</v>
      </c>
      <c r="B256">
        <v>126.87358690000001</v>
      </c>
      <c r="C256">
        <v>37.508467699999997</v>
      </c>
      <c r="D256" t="s">
        <v>72</v>
      </c>
      <c r="E256">
        <v>203</v>
      </c>
      <c r="F256" t="s">
        <v>4</v>
      </c>
    </row>
    <row r="257" spans="1:6">
      <c r="A257">
        <v>20200717</v>
      </c>
      <c r="B257">
        <v>126.87358690000001</v>
      </c>
      <c r="C257">
        <v>37.508467699999997</v>
      </c>
      <c r="D257" t="s">
        <v>114</v>
      </c>
      <c r="E257">
        <v>269</v>
      </c>
      <c r="F257" t="s">
        <v>4</v>
      </c>
    </row>
    <row r="258" spans="1:6">
      <c r="A258">
        <v>20200717</v>
      </c>
      <c r="B258">
        <v>126.87358690000001</v>
      </c>
      <c r="C258">
        <v>37.508467699999997</v>
      </c>
      <c r="D258" t="s">
        <v>158</v>
      </c>
      <c r="E258">
        <v>270</v>
      </c>
      <c r="F258" t="s">
        <v>4</v>
      </c>
    </row>
    <row r="259" spans="1:6">
      <c r="A259">
        <v>20200717</v>
      </c>
      <c r="B259">
        <v>126.87358690000001</v>
      </c>
      <c r="C259">
        <v>37.508467699999997</v>
      </c>
      <c r="D259" t="s">
        <v>70</v>
      </c>
      <c r="E259">
        <v>344</v>
      </c>
      <c r="F259" t="s">
        <v>4</v>
      </c>
    </row>
    <row r="260" spans="1:6">
      <c r="A260">
        <v>20200717</v>
      </c>
      <c r="B260">
        <v>126.87358690000001</v>
      </c>
      <c r="C260">
        <v>37.508467699999997</v>
      </c>
      <c r="D260" t="s">
        <v>34</v>
      </c>
      <c r="E260">
        <v>578</v>
      </c>
      <c r="F260" t="s">
        <v>4</v>
      </c>
    </row>
    <row r="261" spans="1:6">
      <c r="A261">
        <v>20200717</v>
      </c>
      <c r="B261">
        <v>126.87358690000001</v>
      </c>
      <c r="C261">
        <v>37.508467699999997</v>
      </c>
      <c r="D261" t="s">
        <v>68</v>
      </c>
      <c r="E261">
        <v>606</v>
      </c>
      <c r="F261" t="s">
        <v>4</v>
      </c>
    </row>
    <row r="262" spans="1:6">
      <c r="A262">
        <v>20200717</v>
      </c>
      <c r="B262">
        <v>126.87358690000001</v>
      </c>
      <c r="C262">
        <v>37.508467699999997</v>
      </c>
      <c r="D262" t="s">
        <v>151</v>
      </c>
      <c r="E262">
        <v>1065</v>
      </c>
      <c r="F262" t="s">
        <v>4</v>
      </c>
    </row>
    <row r="263" spans="1:6">
      <c r="A263">
        <v>20200717</v>
      </c>
      <c r="B263">
        <v>126.87358690000001</v>
      </c>
      <c r="C263">
        <v>37.508467699999997</v>
      </c>
      <c r="D263" t="s">
        <v>64</v>
      </c>
      <c r="E263">
        <v>1115</v>
      </c>
      <c r="F263" t="s">
        <v>4</v>
      </c>
    </row>
    <row r="264" spans="1:6">
      <c r="A264">
        <v>20200717</v>
      </c>
      <c r="B264">
        <v>126.87358690000001</v>
      </c>
      <c r="C264">
        <v>37.508467699999997</v>
      </c>
      <c r="D264" t="s">
        <v>215</v>
      </c>
      <c r="E264">
        <v>1455</v>
      </c>
      <c r="F264" t="s">
        <v>4</v>
      </c>
    </row>
    <row r="265" spans="1:6">
      <c r="A265">
        <v>20200717</v>
      </c>
      <c r="B265">
        <v>126.87358690000001</v>
      </c>
      <c r="C265">
        <v>37.508467699999997</v>
      </c>
      <c r="D265" t="s">
        <v>175</v>
      </c>
      <c r="E265">
        <v>2573</v>
      </c>
      <c r="F265" t="s">
        <v>4</v>
      </c>
    </row>
    <row r="266" spans="1:6">
      <c r="A266">
        <v>20200717</v>
      </c>
      <c r="B266">
        <v>126.87358690000001</v>
      </c>
      <c r="C266">
        <v>37.508467699999997</v>
      </c>
      <c r="D266" t="s">
        <v>218</v>
      </c>
      <c r="E266">
        <v>3050</v>
      </c>
      <c r="F266" t="s">
        <v>4</v>
      </c>
    </row>
    <row r="267" spans="1:6">
      <c r="A267">
        <v>20200717</v>
      </c>
      <c r="B267">
        <v>126.87358690000001</v>
      </c>
      <c r="C267">
        <v>37.508467699999997</v>
      </c>
      <c r="D267" t="s">
        <v>207</v>
      </c>
      <c r="E267">
        <v>9935</v>
      </c>
      <c r="F267" t="s">
        <v>4</v>
      </c>
    </row>
    <row r="268" spans="1:6">
      <c r="A268">
        <v>20200717</v>
      </c>
      <c r="B268">
        <v>126.87358690000001</v>
      </c>
      <c r="C268">
        <v>37.508467699999997</v>
      </c>
      <c r="D268" t="s">
        <v>87</v>
      </c>
      <c r="E268">
        <v>22831</v>
      </c>
      <c r="F268" t="s">
        <v>4</v>
      </c>
    </row>
    <row r="269" spans="1:6">
      <c r="A269">
        <v>20200717</v>
      </c>
      <c r="B269">
        <v>126.8797805</v>
      </c>
      <c r="C269">
        <v>37.523914499999997</v>
      </c>
      <c r="D269" t="s">
        <v>221</v>
      </c>
      <c r="E269">
        <v>13</v>
      </c>
      <c r="F269" t="s">
        <v>4</v>
      </c>
    </row>
    <row r="270" spans="1:6">
      <c r="A270">
        <v>20200717</v>
      </c>
      <c r="B270">
        <v>126.8797805</v>
      </c>
      <c r="C270">
        <v>37.523914499999997</v>
      </c>
      <c r="D270" t="s">
        <v>41</v>
      </c>
      <c r="E270">
        <v>34</v>
      </c>
      <c r="F270" t="s">
        <v>4</v>
      </c>
    </row>
    <row r="271" spans="1:6">
      <c r="A271">
        <v>20200717</v>
      </c>
      <c r="B271">
        <v>126.8797805</v>
      </c>
      <c r="C271">
        <v>37.523914499999997</v>
      </c>
      <c r="D271" t="s">
        <v>190</v>
      </c>
      <c r="E271">
        <v>20</v>
      </c>
      <c r="F271" t="s">
        <v>4</v>
      </c>
    </row>
    <row r="272" spans="1:6">
      <c r="A272">
        <v>20200717</v>
      </c>
      <c r="B272">
        <v>126.8797805</v>
      </c>
      <c r="C272">
        <v>37.523914499999997</v>
      </c>
      <c r="D272" t="s">
        <v>220</v>
      </c>
      <c r="E272">
        <v>21</v>
      </c>
      <c r="F272" t="s">
        <v>4</v>
      </c>
    </row>
    <row r="273" spans="1:6">
      <c r="A273">
        <v>20200717</v>
      </c>
      <c r="B273">
        <v>126.8797805</v>
      </c>
      <c r="C273">
        <v>37.523914499999997</v>
      </c>
      <c r="D273" t="s">
        <v>146</v>
      </c>
      <c r="E273">
        <v>28</v>
      </c>
      <c r="F273" t="s">
        <v>4</v>
      </c>
    </row>
    <row r="274" spans="1:6">
      <c r="A274">
        <v>20200717</v>
      </c>
      <c r="B274">
        <v>126.8797805</v>
      </c>
      <c r="C274">
        <v>37.523914499999997</v>
      </c>
      <c r="D274" t="s">
        <v>198</v>
      </c>
      <c r="E274">
        <v>47</v>
      </c>
      <c r="F274" t="s">
        <v>4</v>
      </c>
    </row>
    <row r="275" spans="1:6">
      <c r="A275">
        <v>20200717</v>
      </c>
      <c r="B275">
        <v>126.8797805</v>
      </c>
      <c r="C275">
        <v>37.523914499999997</v>
      </c>
      <c r="D275" t="s">
        <v>122</v>
      </c>
      <c r="E275">
        <v>32</v>
      </c>
      <c r="F275" t="s">
        <v>4</v>
      </c>
    </row>
    <row r="276" spans="1:6">
      <c r="A276">
        <v>20200717</v>
      </c>
      <c r="B276">
        <v>126.8797805</v>
      </c>
      <c r="C276">
        <v>37.523914499999997</v>
      </c>
      <c r="D276" t="s">
        <v>166</v>
      </c>
      <c r="E276">
        <v>34</v>
      </c>
      <c r="F276" t="s">
        <v>4</v>
      </c>
    </row>
    <row r="277" spans="1:6">
      <c r="A277">
        <v>20200717</v>
      </c>
      <c r="B277">
        <v>126.8797805</v>
      </c>
      <c r="C277">
        <v>37.523914499999997</v>
      </c>
      <c r="D277" t="s">
        <v>109</v>
      </c>
      <c r="E277">
        <v>34</v>
      </c>
      <c r="F277" t="s">
        <v>4</v>
      </c>
    </row>
    <row r="278" spans="1:6">
      <c r="A278">
        <v>20200717</v>
      </c>
      <c r="B278">
        <v>126.8797805</v>
      </c>
      <c r="C278">
        <v>37.523914499999997</v>
      </c>
      <c r="D278" t="s">
        <v>129</v>
      </c>
      <c r="E278">
        <v>157</v>
      </c>
      <c r="F278" t="s">
        <v>4</v>
      </c>
    </row>
    <row r="279" spans="1:6">
      <c r="A279">
        <v>20200717</v>
      </c>
      <c r="B279">
        <v>126.8797805</v>
      </c>
      <c r="C279">
        <v>37.523914499999997</v>
      </c>
      <c r="D279" t="s">
        <v>130</v>
      </c>
      <c r="E279">
        <v>94</v>
      </c>
      <c r="F279" t="s">
        <v>4</v>
      </c>
    </row>
    <row r="280" spans="1:6">
      <c r="A280">
        <v>20200717</v>
      </c>
      <c r="B280">
        <v>126.8797805</v>
      </c>
      <c r="C280">
        <v>37.523914499999997</v>
      </c>
      <c r="D280" t="s">
        <v>199</v>
      </c>
      <c r="E280">
        <v>43</v>
      </c>
      <c r="F280" t="s">
        <v>4</v>
      </c>
    </row>
    <row r="281" spans="1:6">
      <c r="A281">
        <v>20200717</v>
      </c>
      <c r="B281">
        <v>126.8797805</v>
      </c>
      <c r="C281">
        <v>37.523914499999997</v>
      </c>
      <c r="D281" t="s">
        <v>134</v>
      </c>
      <c r="E281">
        <v>47</v>
      </c>
      <c r="F281" t="s">
        <v>4</v>
      </c>
    </row>
    <row r="282" spans="1:6">
      <c r="A282">
        <v>20200717</v>
      </c>
      <c r="B282">
        <v>126.8797805</v>
      </c>
      <c r="C282">
        <v>37.523914499999997</v>
      </c>
      <c r="D282" t="s">
        <v>150</v>
      </c>
      <c r="E282">
        <v>79</v>
      </c>
      <c r="F282" t="s">
        <v>4</v>
      </c>
    </row>
    <row r="283" spans="1:6">
      <c r="A283">
        <v>20200717</v>
      </c>
      <c r="B283">
        <v>126.8446659</v>
      </c>
      <c r="C283">
        <v>37.420618699999999</v>
      </c>
      <c r="D283" s="2" t="s">
        <v>47</v>
      </c>
      <c r="E283">
        <v>1841</v>
      </c>
      <c r="F283" t="s">
        <v>4</v>
      </c>
    </row>
    <row r="284" spans="1:6">
      <c r="A284">
        <v>20200717</v>
      </c>
      <c r="B284">
        <v>126.8797805</v>
      </c>
      <c r="C284">
        <v>37.523914499999997</v>
      </c>
      <c r="D284" t="s">
        <v>126</v>
      </c>
      <c r="E284">
        <v>72</v>
      </c>
      <c r="F284" t="s">
        <v>4</v>
      </c>
    </row>
    <row r="285" spans="1:6">
      <c r="A285">
        <v>20200717</v>
      </c>
      <c r="B285">
        <v>126.8797805</v>
      </c>
      <c r="C285">
        <v>37.523914499999997</v>
      </c>
      <c r="D285" t="s">
        <v>136</v>
      </c>
      <c r="E285">
        <v>85</v>
      </c>
      <c r="F285" t="s">
        <v>4</v>
      </c>
    </row>
    <row r="286" spans="1:6">
      <c r="A286">
        <v>20200717</v>
      </c>
      <c r="B286">
        <v>126.8797805</v>
      </c>
      <c r="C286">
        <v>37.523914499999997</v>
      </c>
      <c r="D286" t="s">
        <v>219</v>
      </c>
      <c r="E286">
        <v>90</v>
      </c>
      <c r="F286" t="s">
        <v>4</v>
      </c>
    </row>
    <row r="287" spans="1:6">
      <c r="A287">
        <v>20200717</v>
      </c>
      <c r="B287">
        <v>126.8797805</v>
      </c>
      <c r="C287">
        <v>37.523914499999997</v>
      </c>
      <c r="D287" t="s">
        <v>216</v>
      </c>
      <c r="E287">
        <v>119</v>
      </c>
      <c r="F287" t="s">
        <v>4</v>
      </c>
    </row>
    <row r="288" spans="1:6">
      <c r="A288">
        <v>20200717</v>
      </c>
      <c r="B288">
        <v>126.8797805</v>
      </c>
      <c r="C288">
        <v>37.523914499999997</v>
      </c>
      <c r="D288" t="s">
        <v>99</v>
      </c>
      <c r="E288">
        <v>97</v>
      </c>
      <c r="F288" t="s">
        <v>4</v>
      </c>
    </row>
    <row r="289" spans="1:6">
      <c r="A289">
        <v>20200717</v>
      </c>
      <c r="B289">
        <v>126.8797805</v>
      </c>
      <c r="C289">
        <v>37.523914499999997</v>
      </c>
      <c r="D289" t="s">
        <v>205</v>
      </c>
      <c r="E289">
        <v>104</v>
      </c>
      <c r="F289" t="s">
        <v>4</v>
      </c>
    </row>
    <row r="290" spans="1:6">
      <c r="A290">
        <v>20200717</v>
      </c>
      <c r="B290">
        <v>126.8797805</v>
      </c>
      <c r="C290">
        <v>37.523914499999997</v>
      </c>
      <c r="D290" t="s">
        <v>102</v>
      </c>
      <c r="E290">
        <v>105</v>
      </c>
      <c r="F290" t="s">
        <v>4</v>
      </c>
    </row>
    <row r="291" spans="1:6">
      <c r="A291">
        <v>20200717</v>
      </c>
      <c r="B291">
        <v>126.8797805</v>
      </c>
      <c r="C291">
        <v>37.523914499999997</v>
      </c>
      <c r="D291" t="s">
        <v>158</v>
      </c>
      <c r="E291">
        <v>113</v>
      </c>
      <c r="F291" t="s">
        <v>4</v>
      </c>
    </row>
    <row r="292" spans="1:6">
      <c r="A292">
        <v>20200717</v>
      </c>
      <c r="B292">
        <v>126.8797805</v>
      </c>
      <c r="C292">
        <v>37.523914499999997</v>
      </c>
      <c r="D292" t="s">
        <v>195</v>
      </c>
      <c r="E292">
        <v>190</v>
      </c>
      <c r="F292" t="s">
        <v>4</v>
      </c>
    </row>
    <row r="293" spans="1:6">
      <c r="A293">
        <v>20200717</v>
      </c>
      <c r="B293">
        <v>126.8797805</v>
      </c>
      <c r="C293">
        <v>37.523914499999997</v>
      </c>
      <c r="D293" t="s">
        <v>52</v>
      </c>
      <c r="E293">
        <v>271</v>
      </c>
      <c r="F293" t="s">
        <v>4</v>
      </c>
    </row>
    <row r="294" spans="1:6">
      <c r="A294">
        <v>20200717</v>
      </c>
      <c r="B294">
        <v>126.8797805</v>
      </c>
      <c r="C294">
        <v>37.523914499999997</v>
      </c>
      <c r="D294" t="s">
        <v>84</v>
      </c>
      <c r="E294">
        <v>306</v>
      </c>
      <c r="F294" t="s">
        <v>4</v>
      </c>
    </row>
    <row r="295" spans="1:6">
      <c r="A295">
        <v>20200717</v>
      </c>
      <c r="B295">
        <v>126.8797805</v>
      </c>
      <c r="C295">
        <v>37.523914499999997</v>
      </c>
      <c r="D295" t="s">
        <v>144</v>
      </c>
      <c r="E295">
        <v>259</v>
      </c>
      <c r="F295" t="s">
        <v>4</v>
      </c>
    </row>
    <row r="296" spans="1:6">
      <c r="A296">
        <v>20200717</v>
      </c>
      <c r="B296">
        <v>126.8797805</v>
      </c>
      <c r="C296">
        <v>37.523914499999997</v>
      </c>
      <c r="D296" t="s">
        <v>186</v>
      </c>
      <c r="E296">
        <v>318</v>
      </c>
      <c r="F296" t="s">
        <v>4</v>
      </c>
    </row>
    <row r="297" spans="1:6">
      <c r="A297">
        <v>20200717</v>
      </c>
      <c r="B297">
        <v>126.8797805</v>
      </c>
      <c r="C297">
        <v>37.523914499999997</v>
      </c>
      <c r="D297" t="s">
        <v>137</v>
      </c>
      <c r="E297">
        <v>526</v>
      </c>
      <c r="F297" t="s">
        <v>4</v>
      </c>
    </row>
    <row r="298" spans="1:6">
      <c r="A298">
        <v>20200717</v>
      </c>
      <c r="B298">
        <v>126.8797805</v>
      </c>
      <c r="C298">
        <v>37.523914499999997</v>
      </c>
      <c r="D298" t="s">
        <v>137</v>
      </c>
      <c r="E298">
        <v>526</v>
      </c>
      <c r="F298" t="s">
        <v>4</v>
      </c>
    </row>
    <row r="299" spans="1:6">
      <c r="A299">
        <v>20200717</v>
      </c>
      <c r="B299">
        <v>126.8797805</v>
      </c>
      <c r="C299">
        <v>37.523914499999997</v>
      </c>
      <c r="D299" t="s">
        <v>114</v>
      </c>
      <c r="E299">
        <v>1171</v>
      </c>
      <c r="F299" t="s">
        <v>4</v>
      </c>
    </row>
    <row r="300" spans="1:6">
      <c r="A300">
        <v>20200717</v>
      </c>
      <c r="B300">
        <v>126.8797805</v>
      </c>
      <c r="C300">
        <v>37.523914499999997</v>
      </c>
      <c r="D300" t="s">
        <v>64</v>
      </c>
      <c r="E300">
        <v>933</v>
      </c>
      <c r="F300" t="s">
        <v>4</v>
      </c>
    </row>
    <row r="301" spans="1:6">
      <c r="A301">
        <v>20200717</v>
      </c>
      <c r="B301">
        <v>126.8797805</v>
      </c>
      <c r="C301">
        <v>37.523914499999997</v>
      </c>
      <c r="D301" t="s">
        <v>72</v>
      </c>
      <c r="E301">
        <v>1197</v>
      </c>
      <c r="F301" t="s">
        <v>4</v>
      </c>
    </row>
    <row r="302" spans="1:6">
      <c r="A302">
        <v>20200717</v>
      </c>
      <c r="B302">
        <v>126.8797805</v>
      </c>
      <c r="C302">
        <v>37.523914499999997</v>
      </c>
      <c r="D302" t="s">
        <v>68</v>
      </c>
      <c r="E302">
        <v>2048</v>
      </c>
      <c r="F302" t="s">
        <v>4</v>
      </c>
    </row>
    <row r="303" spans="1:6">
      <c r="A303">
        <v>20200717</v>
      </c>
      <c r="B303">
        <v>126.8797805</v>
      </c>
      <c r="C303">
        <v>37.523914499999997</v>
      </c>
      <c r="D303" t="s">
        <v>34</v>
      </c>
      <c r="E303">
        <v>1761</v>
      </c>
      <c r="F303" t="s">
        <v>4</v>
      </c>
    </row>
    <row r="304" spans="1:6">
      <c r="A304">
        <v>20200717</v>
      </c>
      <c r="B304">
        <v>126.8797805</v>
      </c>
      <c r="C304">
        <v>37.523914499999997</v>
      </c>
      <c r="D304" t="s">
        <v>151</v>
      </c>
      <c r="E304">
        <v>1460</v>
      </c>
      <c r="F304" t="s">
        <v>4</v>
      </c>
    </row>
    <row r="305" spans="1:6">
      <c r="A305">
        <v>20200717</v>
      </c>
      <c r="B305">
        <v>126.8797805</v>
      </c>
      <c r="C305">
        <v>37.523914499999997</v>
      </c>
      <c r="D305" t="s">
        <v>175</v>
      </c>
      <c r="E305">
        <v>3355</v>
      </c>
      <c r="F305" t="s">
        <v>4</v>
      </c>
    </row>
    <row r="306" spans="1:6">
      <c r="A306">
        <v>20200717</v>
      </c>
      <c r="B306">
        <v>126.8797805</v>
      </c>
      <c r="C306">
        <v>37.523914499999997</v>
      </c>
      <c r="D306" t="s">
        <v>215</v>
      </c>
      <c r="E306">
        <v>4486</v>
      </c>
      <c r="F306" t="s">
        <v>4</v>
      </c>
    </row>
    <row r="307" spans="1:6">
      <c r="A307">
        <v>20200717</v>
      </c>
      <c r="B307">
        <v>126.8797805</v>
      </c>
      <c r="C307">
        <v>37.523914499999997</v>
      </c>
      <c r="D307" t="s">
        <v>218</v>
      </c>
      <c r="E307">
        <v>5691</v>
      </c>
      <c r="F307" t="s">
        <v>4</v>
      </c>
    </row>
    <row r="308" spans="1:6">
      <c r="A308">
        <v>20200717</v>
      </c>
      <c r="B308">
        <v>126.8797805</v>
      </c>
      <c r="C308">
        <v>37.523914499999997</v>
      </c>
      <c r="D308" t="s">
        <v>70</v>
      </c>
      <c r="E308">
        <v>9188</v>
      </c>
      <c r="F308" t="s">
        <v>4</v>
      </c>
    </row>
    <row r="309" spans="1:6">
      <c r="A309">
        <v>20200717</v>
      </c>
      <c r="B309">
        <v>126.8797805</v>
      </c>
      <c r="C309">
        <v>37.523914499999997</v>
      </c>
      <c r="D309" t="s">
        <v>207</v>
      </c>
      <c r="E309">
        <v>15029</v>
      </c>
      <c r="F309" t="s">
        <v>4</v>
      </c>
    </row>
    <row r="310" spans="1:6">
      <c r="A310">
        <v>20200717</v>
      </c>
      <c r="B310">
        <v>126.8797805</v>
      </c>
      <c r="C310">
        <v>37.523914499999997</v>
      </c>
      <c r="D310" t="s">
        <v>87</v>
      </c>
      <c r="E310">
        <v>31715</v>
      </c>
      <c r="F310" t="s">
        <v>4</v>
      </c>
    </row>
    <row r="311" spans="1:6">
      <c r="A311">
        <v>20200717</v>
      </c>
      <c r="B311">
        <v>126.887135</v>
      </c>
      <c r="C311">
        <v>37.539645499999999</v>
      </c>
      <c r="D311" t="s">
        <v>206</v>
      </c>
      <c r="E311">
        <v>13</v>
      </c>
      <c r="F311" t="s">
        <v>4</v>
      </c>
    </row>
    <row r="312" spans="1:6">
      <c r="A312">
        <v>20200717</v>
      </c>
      <c r="B312">
        <v>126.887135</v>
      </c>
      <c r="C312">
        <v>37.539645499999999</v>
      </c>
      <c r="D312" t="s">
        <v>130</v>
      </c>
      <c r="E312">
        <v>51</v>
      </c>
      <c r="F312" t="s">
        <v>4</v>
      </c>
    </row>
    <row r="313" spans="1:6">
      <c r="A313">
        <v>20200717</v>
      </c>
      <c r="B313">
        <v>126.887135</v>
      </c>
      <c r="C313">
        <v>37.539645499999999</v>
      </c>
      <c r="D313" t="s">
        <v>172</v>
      </c>
      <c r="E313">
        <v>24</v>
      </c>
      <c r="F313" t="s">
        <v>4</v>
      </c>
    </row>
    <row r="314" spans="1:6">
      <c r="A314">
        <v>20200717</v>
      </c>
      <c r="B314">
        <v>126.887135</v>
      </c>
      <c r="C314">
        <v>37.539645499999999</v>
      </c>
      <c r="D314" t="s">
        <v>160</v>
      </c>
      <c r="E314">
        <v>24</v>
      </c>
      <c r="F314" t="s">
        <v>4</v>
      </c>
    </row>
    <row r="315" spans="1:6">
      <c r="A315">
        <v>20200717</v>
      </c>
      <c r="B315">
        <v>126.887135</v>
      </c>
      <c r="C315">
        <v>37.539645499999999</v>
      </c>
      <c r="D315" t="s">
        <v>216</v>
      </c>
      <c r="E315">
        <v>28</v>
      </c>
      <c r="F315" t="s">
        <v>4</v>
      </c>
    </row>
    <row r="316" spans="1:6">
      <c r="A316">
        <v>20200717</v>
      </c>
      <c r="B316">
        <v>126.887135</v>
      </c>
      <c r="C316">
        <v>37.539645499999999</v>
      </c>
      <c r="D316" t="s">
        <v>146</v>
      </c>
      <c r="E316">
        <v>28</v>
      </c>
      <c r="F316" t="s">
        <v>4</v>
      </c>
    </row>
    <row r="317" spans="1:6">
      <c r="A317">
        <v>20200717</v>
      </c>
      <c r="B317">
        <v>126.887135</v>
      </c>
      <c r="C317">
        <v>37.539645499999999</v>
      </c>
      <c r="D317" t="s">
        <v>150</v>
      </c>
      <c r="E317">
        <v>54</v>
      </c>
      <c r="F317" t="s">
        <v>4</v>
      </c>
    </row>
    <row r="318" spans="1:6">
      <c r="A318">
        <v>20200717</v>
      </c>
      <c r="B318">
        <v>126.887135</v>
      </c>
      <c r="C318">
        <v>37.539645499999999</v>
      </c>
      <c r="D318" t="s">
        <v>129</v>
      </c>
      <c r="E318">
        <v>71</v>
      </c>
      <c r="F318" t="s">
        <v>4</v>
      </c>
    </row>
    <row r="319" spans="1:6">
      <c r="A319">
        <v>20200717</v>
      </c>
      <c r="B319">
        <v>126.887135</v>
      </c>
      <c r="C319">
        <v>37.539645499999999</v>
      </c>
      <c r="D319" t="s">
        <v>100</v>
      </c>
      <c r="E319">
        <v>33</v>
      </c>
      <c r="F319" t="s">
        <v>4</v>
      </c>
    </row>
    <row r="320" spans="1:6">
      <c r="A320">
        <v>20200717</v>
      </c>
      <c r="B320">
        <v>126.887135</v>
      </c>
      <c r="C320">
        <v>37.539645499999999</v>
      </c>
      <c r="D320" t="s">
        <v>41</v>
      </c>
      <c r="E320">
        <v>33</v>
      </c>
      <c r="F320" t="s">
        <v>4</v>
      </c>
    </row>
    <row r="321" spans="1:6">
      <c r="A321">
        <v>20200717</v>
      </c>
      <c r="B321">
        <v>126.887135</v>
      </c>
      <c r="C321">
        <v>37.539645499999999</v>
      </c>
      <c r="D321" t="s">
        <v>166</v>
      </c>
      <c r="E321">
        <v>36</v>
      </c>
      <c r="F321" t="s">
        <v>4</v>
      </c>
    </row>
    <row r="322" spans="1:6">
      <c r="A322">
        <v>20200717</v>
      </c>
      <c r="B322">
        <v>126.887135</v>
      </c>
      <c r="C322">
        <v>37.539645499999999</v>
      </c>
      <c r="D322" t="s">
        <v>114</v>
      </c>
      <c r="E322">
        <v>72</v>
      </c>
      <c r="F322" t="s">
        <v>4</v>
      </c>
    </row>
    <row r="323" spans="1:6">
      <c r="A323">
        <v>20200717</v>
      </c>
      <c r="B323">
        <v>126.887135</v>
      </c>
      <c r="C323">
        <v>37.539645499999999</v>
      </c>
      <c r="D323" t="s">
        <v>68</v>
      </c>
      <c r="E323">
        <v>70</v>
      </c>
      <c r="F323" t="s">
        <v>4</v>
      </c>
    </row>
    <row r="324" spans="1:6">
      <c r="A324">
        <v>20200717</v>
      </c>
      <c r="B324">
        <v>126.887135</v>
      </c>
      <c r="C324">
        <v>37.539645499999999</v>
      </c>
      <c r="D324" t="s">
        <v>219</v>
      </c>
      <c r="E324">
        <v>51</v>
      </c>
      <c r="F324" t="s">
        <v>4</v>
      </c>
    </row>
    <row r="325" spans="1:6">
      <c r="A325">
        <v>20200717</v>
      </c>
      <c r="B325">
        <v>126.887135</v>
      </c>
      <c r="C325">
        <v>37.539645499999999</v>
      </c>
      <c r="D325" t="s">
        <v>158</v>
      </c>
      <c r="E325">
        <v>68</v>
      </c>
      <c r="F325" t="s">
        <v>4</v>
      </c>
    </row>
    <row r="326" spans="1:6">
      <c r="A326">
        <v>20200717</v>
      </c>
      <c r="B326">
        <v>126.887135</v>
      </c>
      <c r="C326">
        <v>37.539645499999999</v>
      </c>
      <c r="D326" t="s">
        <v>144</v>
      </c>
      <c r="E326">
        <v>85</v>
      </c>
      <c r="F326" t="s">
        <v>4</v>
      </c>
    </row>
    <row r="327" spans="1:6">
      <c r="A327">
        <v>20200717</v>
      </c>
      <c r="B327">
        <v>126.887135</v>
      </c>
      <c r="C327">
        <v>37.539645499999999</v>
      </c>
      <c r="D327" t="s">
        <v>99</v>
      </c>
      <c r="E327">
        <v>86</v>
      </c>
      <c r="F327" t="s">
        <v>4</v>
      </c>
    </row>
    <row r="328" spans="1:6">
      <c r="A328">
        <v>20200717</v>
      </c>
      <c r="B328">
        <v>126.887135</v>
      </c>
      <c r="C328">
        <v>37.539645499999999</v>
      </c>
      <c r="D328" t="s">
        <v>102</v>
      </c>
      <c r="E328">
        <v>92</v>
      </c>
      <c r="F328" t="s">
        <v>4</v>
      </c>
    </row>
    <row r="329" spans="1:6">
      <c r="A329">
        <v>20200717</v>
      </c>
      <c r="B329">
        <v>126.887135</v>
      </c>
      <c r="C329">
        <v>37.539645499999999</v>
      </c>
      <c r="D329" t="s">
        <v>64</v>
      </c>
      <c r="E329">
        <v>199</v>
      </c>
      <c r="F329" t="s">
        <v>4</v>
      </c>
    </row>
    <row r="330" spans="1:6">
      <c r="A330">
        <v>20200717</v>
      </c>
      <c r="B330">
        <v>126.887135</v>
      </c>
      <c r="C330">
        <v>37.539645499999999</v>
      </c>
      <c r="D330" t="s">
        <v>109</v>
      </c>
      <c r="E330">
        <v>238</v>
      </c>
      <c r="F330" t="s">
        <v>4</v>
      </c>
    </row>
    <row r="331" spans="1:6">
      <c r="A331">
        <v>20200717</v>
      </c>
      <c r="B331">
        <v>126.887135</v>
      </c>
      <c r="C331">
        <v>37.539645499999999</v>
      </c>
      <c r="D331" t="s">
        <v>137</v>
      </c>
      <c r="E331">
        <v>241</v>
      </c>
      <c r="F331" t="s">
        <v>4</v>
      </c>
    </row>
    <row r="332" spans="1:6">
      <c r="A332">
        <v>20200717</v>
      </c>
      <c r="B332">
        <v>126.887135</v>
      </c>
      <c r="C332">
        <v>37.539645499999999</v>
      </c>
      <c r="D332" t="s">
        <v>186</v>
      </c>
      <c r="E332">
        <v>265</v>
      </c>
      <c r="F332" t="s">
        <v>4</v>
      </c>
    </row>
    <row r="333" spans="1:6">
      <c r="A333">
        <v>20200717</v>
      </c>
      <c r="B333">
        <v>126.887135</v>
      </c>
      <c r="C333">
        <v>37.539645499999999</v>
      </c>
      <c r="D333" t="s">
        <v>190</v>
      </c>
      <c r="E333">
        <v>270</v>
      </c>
      <c r="F333" t="s">
        <v>4</v>
      </c>
    </row>
    <row r="334" spans="1:6">
      <c r="A334">
        <v>20200717</v>
      </c>
      <c r="B334">
        <v>126.887135</v>
      </c>
      <c r="C334">
        <v>37.539645499999999</v>
      </c>
      <c r="D334" t="s">
        <v>84</v>
      </c>
      <c r="E334">
        <v>294</v>
      </c>
      <c r="F334" t="s">
        <v>4</v>
      </c>
    </row>
    <row r="335" spans="1:6">
      <c r="A335">
        <v>20200717</v>
      </c>
      <c r="B335">
        <v>126.887135</v>
      </c>
      <c r="C335">
        <v>37.539645499999999</v>
      </c>
      <c r="D335" t="s">
        <v>175</v>
      </c>
      <c r="E335">
        <v>449</v>
      </c>
      <c r="F335" t="s">
        <v>4</v>
      </c>
    </row>
    <row r="336" spans="1:6">
      <c r="A336">
        <v>20200717</v>
      </c>
      <c r="B336">
        <v>126.887135</v>
      </c>
      <c r="C336">
        <v>37.539645499999999</v>
      </c>
      <c r="D336" t="s">
        <v>72</v>
      </c>
      <c r="E336">
        <v>473</v>
      </c>
      <c r="F336" t="s">
        <v>4</v>
      </c>
    </row>
    <row r="337" spans="1:6">
      <c r="A337">
        <v>20200717</v>
      </c>
      <c r="B337">
        <v>126.887135</v>
      </c>
      <c r="C337">
        <v>37.539645499999999</v>
      </c>
      <c r="D337" t="s">
        <v>151</v>
      </c>
      <c r="E337">
        <v>673</v>
      </c>
      <c r="F337" t="s">
        <v>4</v>
      </c>
    </row>
    <row r="338" spans="1:6">
      <c r="A338">
        <v>20200717</v>
      </c>
      <c r="B338">
        <v>126.887135</v>
      </c>
      <c r="C338">
        <v>37.539645499999999</v>
      </c>
      <c r="D338" t="s">
        <v>52</v>
      </c>
      <c r="E338">
        <v>934</v>
      </c>
      <c r="F338" t="s">
        <v>4</v>
      </c>
    </row>
    <row r="339" spans="1:6">
      <c r="A339">
        <v>20200717</v>
      </c>
      <c r="B339">
        <v>126.887135</v>
      </c>
      <c r="C339">
        <v>37.539645499999999</v>
      </c>
      <c r="D339" t="s">
        <v>215</v>
      </c>
      <c r="E339">
        <v>1118</v>
      </c>
      <c r="F339" t="s">
        <v>4</v>
      </c>
    </row>
    <row r="340" spans="1:6">
      <c r="A340">
        <v>20200717</v>
      </c>
      <c r="B340">
        <v>126.887135</v>
      </c>
      <c r="C340">
        <v>37.539645499999999</v>
      </c>
      <c r="D340" t="s">
        <v>34</v>
      </c>
      <c r="E340">
        <v>2376</v>
      </c>
      <c r="F340" t="s">
        <v>4</v>
      </c>
    </row>
    <row r="341" spans="1:6">
      <c r="A341">
        <v>20200717</v>
      </c>
      <c r="B341">
        <v>126.887135</v>
      </c>
      <c r="C341">
        <v>37.539645499999999</v>
      </c>
      <c r="D341" t="s">
        <v>218</v>
      </c>
      <c r="E341">
        <v>3134</v>
      </c>
      <c r="F341" t="s">
        <v>4</v>
      </c>
    </row>
    <row r="342" spans="1:6">
      <c r="A342">
        <v>20200717</v>
      </c>
      <c r="B342">
        <v>126.887135</v>
      </c>
      <c r="C342">
        <v>37.539645499999999</v>
      </c>
      <c r="D342" t="s">
        <v>207</v>
      </c>
      <c r="E342">
        <v>10098</v>
      </c>
      <c r="F342" t="s">
        <v>4</v>
      </c>
    </row>
    <row r="343" spans="1:6">
      <c r="A343">
        <v>20200717</v>
      </c>
      <c r="B343">
        <v>126.887135</v>
      </c>
      <c r="C343">
        <v>37.539645499999999</v>
      </c>
      <c r="D343" t="s">
        <v>87</v>
      </c>
      <c r="E343">
        <v>11335</v>
      </c>
      <c r="F343" t="s">
        <v>4</v>
      </c>
    </row>
    <row r="344" spans="1:6">
      <c r="A344">
        <v>20200717</v>
      </c>
      <c r="B344">
        <v>126.887135</v>
      </c>
      <c r="C344">
        <v>37.539645499999999</v>
      </c>
      <c r="D344" t="s">
        <v>70</v>
      </c>
      <c r="E344">
        <v>20591</v>
      </c>
      <c r="F344" t="s">
        <v>4</v>
      </c>
    </row>
    <row r="345" spans="1:6">
      <c r="A345">
        <v>20200717</v>
      </c>
      <c r="B345">
        <v>126.8771357</v>
      </c>
      <c r="C345">
        <v>37.553306900000003</v>
      </c>
      <c r="D345" t="s">
        <v>164</v>
      </c>
      <c r="E345">
        <v>16</v>
      </c>
      <c r="F345" t="s">
        <v>4</v>
      </c>
    </row>
    <row r="346" spans="1:6">
      <c r="A346">
        <v>20200717</v>
      </c>
      <c r="B346">
        <v>126.8771357</v>
      </c>
      <c r="C346">
        <v>37.553306900000003</v>
      </c>
      <c r="D346" t="s">
        <v>267</v>
      </c>
      <c r="E346">
        <v>36</v>
      </c>
      <c r="F346" t="s">
        <v>4</v>
      </c>
    </row>
    <row r="347" spans="1:6">
      <c r="A347">
        <v>20200717</v>
      </c>
      <c r="B347">
        <v>126.8771357</v>
      </c>
      <c r="C347">
        <v>37.553306900000003</v>
      </c>
      <c r="D347" t="s">
        <v>129</v>
      </c>
      <c r="E347">
        <v>39</v>
      </c>
      <c r="F347" t="s">
        <v>4</v>
      </c>
    </row>
    <row r="348" spans="1:6">
      <c r="A348">
        <v>20200717</v>
      </c>
      <c r="B348">
        <v>126.83793110000001</v>
      </c>
      <c r="C348">
        <v>37.441797600000001</v>
      </c>
      <c r="D348" s="2" t="s">
        <v>47</v>
      </c>
      <c r="E348">
        <v>209</v>
      </c>
      <c r="F348" t="s">
        <v>4</v>
      </c>
    </row>
    <row r="349" spans="1:6">
      <c r="A349">
        <v>20200717</v>
      </c>
      <c r="B349">
        <v>126.8771357</v>
      </c>
      <c r="C349">
        <v>37.553306900000003</v>
      </c>
      <c r="D349" t="s">
        <v>150</v>
      </c>
      <c r="E349">
        <v>49</v>
      </c>
      <c r="F349" t="s">
        <v>4</v>
      </c>
    </row>
    <row r="350" spans="1:6">
      <c r="A350">
        <v>20200717</v>
      </c>
      <c r="B350">
        <v>126.8771357</v>
      </c>
      <c r="C350">
        <v>37.553306900000003</v>
      </c>
      <c r="D350" t="s">
        <v>166</v>
      </c>
      <c r="E350">
        <v>50</v>
      </c>
      <c r="F350" t="s">
        <v>4</v>
      </c>
    </row>
    <row r="351" spans="1:6">
      <c r="A351">
        <v>20200717</v>
      </c>
      <c r="B351">
        <v>126.8771357</v>
      </c>
      <c r="C351">
        <v>37.553306900000003</v>
      </c>
      <c r="D351" t="s">
        <v>132</v>
      </c>
      <c r="E351">
        <v>59</v>
      </c>
      <c r="F351" t="s">
        <v>4</v>
      </c>
    </row>
    <row r="352" spans="1:6">
      <c r="A352">
        <v>20200717</v>
      </c>
      <c r="B352">
        <v>126.8771357</v>
      </c>
      <c r="C352">
        <v>37.553306900000003</v>
      </c>
      <c r="D352" t="s">
        <v>41</v>
      </c>
      <c r="E352">
        <v>60</v>
      </c>
      <c r="F352" t="s">
        <v>4</v>
      </c>
    </row>
    <row r="353" spans="1:6">
      <c r="A353">
        <v>20200717</v>
      </c>
      <c r="B353">
        <v>126.8771357</v>
      </c>
      <c r="C353">
        <v>37.553306900000003</v>
      </c>
      <c r="D353" t="s">
        <v>172</v>
      </c>
      <c r="E353">
        <v>63</v>
      </c>
      <c r="F353" t="s">
        <v>4</v>
      </c>
    </row>
    <row r="354" spans="1:6">
      <c r="A354">
        <v>20200717</v>
      </c>
      <c r="B354">
        <v>126.8771357</v>
      </c>
      <c r="C354">
        <v>37.553306900000003</v>
      </c>
      <c r="D354" t="s">
        <v>46</v>
      </c>
      <c r="E354">
        <v>65</v>
      </c>
      <c r="F354" t="s">
        <v>4</v>
      </c>
    </row>
    <row r="355" spans="1:6">
      <c r="A355">
        <v>20200717</v>
      </c>
      <c r="B355">
        <v>126.8771357</v>
      </c>
      <c r="C355">
        <v>37.553306900000003</v>
      </c>
      <c r="D355" t="s">
        <v>144</v>
      </c>
      <c r="E355">
        <v>83</v>
      </c>
      <c r="F355" t="s">
        <v>4</v>
      </c>
    </row>
    <row r="356" spans="1:6">
      <c r="A356">
        <v>20200717</v>
      </c>
      <c r="B356">
        <v>126.8771357</v>
      </c>
      <c r="C356">
        <v>37.553306900000003</v>
      </c>
      <c r="D356" t="s">
        <v>48</v>
      </c>
      <c r="E356">
        <v>84</v>
      </c>
      <c r="F356" t="s">
        <v>4</v>
      </c>
    </row>
    <row r="357" spans="1:6">
      <c r="A357">
        <v>20200717</v>
      </c>
      <c r="B357">
        <v>126.9724018</v>
      </c>
      <c r="C357">
        <v>37.348161500000003</v>
      </c>
      <c r="D357" t="s">
        <v>49</v>
      </c>
      <c r="E357">
        <v>37</v>
      </c>
      <c r="F357" t="s">
        <v>4</v>
      </c>
    </row>
    <row r="358" spans="1:6">
      <c r="A358">
        <v>20200717</v>
      </c>
      <c r="B358">
        <v>126.8771357</v>
      </c>
      <c r="C358">
        <v>37.553306900000003</v>
      </c>
      <c r="D358" t="s">
        <v>205</v>
      </c>
      <c r="E358">
        <v>87</v>
      </c>
      <c r="F358" t="s">
        <v>4</v>
      </c>
    </row>
    <row r="359" spans="1:6">
      <c r="A359">
        <v>20200717</v>
      </c>
      <c r="B359">
        <v>126.8771357</v>
      </c>
      <c r="C359">
        <v>37.553306900000003</v>
      </c>
      <c r="D359" t="s">
        <v>186</v>
      </c>
      <c r="E359">
        <v>88</v>
      </c>
      <c r="F359" t="s">
        <v>4</v>
      </c>
    </row>
    <row r="360" spans="1:6">
      <c r="A360">
        <v>20200717</v>
      </c>
      <c r="B360">
        <v>126.8771357</v>
      </c>
      <c r="C360">
        <v>37.553306900000003</v>
      </c>
      <c r="D360" t="s">
        <v>170</v>
      </c>
      <c r="E360">
        <v>166</v>
      </c>
      <c r="F360" t="s">
        <v>4</v>
      </c>
    </row>
    <row r="361" spans="1:6">
      <c r="A361">
        <v>20200717</v>
      </c>
      <c r="B361">
        <v>126.8771357</v>
      </c>
      <c r="C361">
        <v>37.553306900000003</v>
      </c>
      <c r="D361" t="s">
        <v>195</v>
      </c>
      <c r="E361">
        <v>104</v>
      </c>
      <c r="F361" t="s">
        <v>4</v>
      </c>
    </row>
    <row r="362" spans="1:6">
      <c r="A362">
        <v>20200717</v>
      </c>
      <c r="B362">
        <v>126.8771357</v>
      </c>
      <c r="C362">
        <v>37.553306900000003</v>
      </c>
      <c r="D362" t="s">
        <v>262</v>
      </c>
      <c r="E362">
        <v>104</v>
      </c>
      <c r="F362" t="s">
        <v>4</v>
      </c>
    </row>
    <row r="363" spans="1:6">
      <c r="A363">
        <v>20200717</v>
      </c>
      <c r="B363">
        <v>126.8771357</v>
      </c>
      <c r="C363">
        <v>37.553306900000003</v>
      </c>
      <c r="D363" t="s">
        <v>216</v>
      </c>
      <c r="E363">
        <v>108</v>
      </c>
      <c r="F363" t="s">
        <v>4</v>
      </c>
    </row>
    <row r="364" spans="1:6">
      <c r="A364">
        <v>20200717</v>
      </c>
      <c r="B364">
        <v>126.8771357</v>
      </c>
      <c r="C364">
        <v>37.553306900000003</v>
      </c>
      <c r="D364" t="s">
        <v>100</v>
      </c>
      <c r="E364">
        <v>196</v>
      </c>
      <c r="F364" t="s">
        <v>4</v>
      </c>
    </row>
    <row r="365" spans="1:6">
      <c r="A365">
        <v>20200717</v>
      </c>
      <c r="B365">
        <v>126.8771357</v>
      </c>
      <c r="C365">
        <v>37.553306900000003</v>
      </c>
      <c r="D365" t="s">
        <v>130</v>
      </c>
      <c r="E365">
        <v>658</v>
      </c>
      <c r="F365" t="s">
        <v>4</v>
      </c>
    </row>
    <row r="366" spans="1:6">
      <c r="A366">
        <v>20200717</v>
      </c>
      <c r="B366">
        <v>126.8771357</v>
      </c>
      <c r="C366">
        <v>37.553306900000003</v>
      </c>
      <c r="D366" t="s">
        <v>76</v>
      </c>
      <c r="E366">
        <v>316</v>
      </c>
      <c r="F366" t="s">
        <v>4</v>
      </c>
    </row>
    <row r="367" spans="1:6">
      <c r="A367">
        <v>20200717</v>
      </c>
      <c r="B367">
        <v>126.8771357</v>
      </c>
      <c r="C367">
        <v>37.553306900000003</v>
      </c>
      <c r="D367" t="s">
        <v>68</v>
      </c>
      <c r="E367">
        <v>409</v>
      </c>
      <c r="F367" t="s">
        <v>4</v>
      </c>
    </row>
    <row r="368" spans="1:6">
      <c r="A368">
        <v>20200717</v>
      </c>
      <c r="B368">
        <v>126.8771357</v>
      </c>
      <c r="C368">
        <v>37.553306900000003</v>
      </c>
      <c r="D368" t="s">
        <v>215</v>
      </c>
      <c r="E368">
        <v>389</v>
      </c>
      <c r="F368" t="s">
        <v>4</v>
      </c>
    </row>
    <row r="369" spans="1:6">
      <c r="A369">
        <v>20200717</v>
      </c>
      <c r="B369">
        <v>126.8771357</v>
      </c>
      <c r="C369">
        <v>37.553306900000003</v>
      </c>
      <c r="D369" t="s">
        <v>166</v>
      </c>
      <c r="E369">
        <v>356</v>
      </c>
      <c r="F369" t="s">
        <v>4</v>
      </c>
    </row>
    <row r="370" spans="1:6">
      <c r="A370">
        <v>20200717</v>
      </c>
      <c r="B370">
        <v>126.8771357</v>
      </c>
      <c r="C370">
        <v>37.553306900000003</v>
      </c>
      <c r="D370" t="s">
        <v>175</v>
      </c>
      <c r="E370">
        <v>457</v>
      </c>
      <c r="F370" t="s">
        <v>4</v>
      </c>
    </row>
    <row r="371" spans="1:6">
      <c r="A371">
        <v>20200717</v>
      </c>
      <c r="B371">
        <v>126.8771357</v>
      </c>
      <c r="C371">
        <v>37.553306900000003</v>
      </c>
      <c r="D371" t="s">
        <v>52</v>
      </c>
      <c r="E371">
        <v>511</v>
      </c>
      <c r="F371" t="s">
        <v>4</v>
      </c>
    </row>
    <row r="372" spans="1:6">
      <c r="A372">
        <v>20200717</v>
      </c>
      <c r="B372">
        <v>126.8771357</v>
      </c>
      <c r="C372">
        <v>37.553306900000003</v>
      </c>
      <c r="D372" t="s">
        <v>158</v>
      </c>
      <c r="E372">
        <v>483</v>
      </c>
      <c r="F372" t="s">
        <v>4</v>
      </c>
    </row>
    <row r="373" spans="1:6">
      <c r="A373">
        <v>20200717</v>
      </c>
      <c r="B373">
        <v>126.8771357</v>
      </c>
      <c r="C373">
        <v>37.553306900000003</v>
      </c>
      <c r="D373" t="s">
        <v>190</v>
      </c>
      <c r="E373">
        <v>434</v>
      </c>
      <c r="F373" t="s">
        <v>4</v>
      </c>
    </row>
    <row r="374" spans="1:6">
      <c r="A374">
        <v>20200717</v>
      </c>
      <c r="B374">
        <v>126.8771357</v>
      </c>
      <c r="C374">
        <v>37.553306900000003</v>
      </c>
      <c r="D374" t="s">
        <v>126</v>
      </c>
      <c r="E374">
        <v>438</v>
      </c>
      <c r="F374" t="s">
        <v>4</v>
      </c>
    </row>
    <row r="375" spans="1:6">
      <c r="A375">
        <v>20200717</v>
      </c>
      <c r="B375">
        <v>126.8771357</v>
      </c>
      <c r="C375">
        <v>37.553306900000003</v>
      </c>
      <c r="D375" t="s">
        <v>109</v>
      </c>
      <c r="E375">
        <v>671</v>
      </c>
      <c r="F375" t="s">
        <v>4</v>
      </c>
    </row>
    <row r="376" spans="1:6">
      <c r="A376">
        <v>20200717</v>
      </c>
      <c r="B376">
        <v>126.8771357</v>
      </c>
      <c r="C376">
        <v>37.553306900000003</v>
      </c>
      <c r="D376" t="s">
        <v>56</v>
      </c>
      <c r="E376">
        <v>951</v>
      </c>
      <c r="F376" t="s">
        <v>4</v>
      </c>
    </row>
    <row r="377" spans="1:6">
      <c r="A377">
        <v>20200717</v>
      </c>
      <c r="B377">
        <v>126.8771357</v>
      </c>
      <c r="C377">
        <v>37.553306900000003</v>
      </c>
      <c r="D377" t="s">
        <v>151</v>
      </c>
      <c r="E377">
        <v>914</v>
      </c>
      <c r="F377" t="s">
        <v>4</v>
      </c>
    </row>
    <row r="378" spans="1:6">
      <c r="A378">
        <v>20200717</v>
      </c>
      <c r="B378">
        <v>126.8771357</v>
      </c>
      <c r="C378">
        <v>37.553306900000003</v>
      </c>
      <c r="D378" t="s">
        <v>64</v>
      </c>
      <c r="E378">
        <v>1315</v>
      </c>
      <c r="F378" t="s">
        <v>4</v>
      </c>
    </row>
    <row r="379" spans="1:6">
      <c r="A379">
        <v>20200717</v>
      </c>
      <c r="B379">
        <v>126.8771357</v>
      </c>
      <c r="C379">
        <v>37.553306900000003</v>
      </c>
      <c r="D379" t="s">
        <v>72</v>
      </c>
      <c r="E379">
        <v>1655</v>
      </c>
      <c r="F379" t="s">
        <v>4</v>
      </c>
    </row>
    <row r="380" spans="1:6">
      <c r="A380">
        <v>20200717</v>
      </c>
      <c r="B380">
        <v>126.8771357</v>
      </c>
      <c r="C380">
        <v>37.553306900000003</v>
      </c>
      <c r="D380" t="s">
        <v>218</v>
      </c>
      <c r="E380">
        <v>3062</v>
      </c>
      <c r="F380" t="s">
        <v>4</v>
      </c>
    </row>
    <row r="381" spans="1:6">
      <c r="A381">
        <v>20200717</v>
      </c>
      <c r="B381">
        <v>126.8771357</v>
      </c>
      <c r="C381">
        <v>37.553306900000003</v>
      </c>
      <c r="D381" t="s">
        <v>34</v>
      </c>
      <c r="E381">
        <v>4766</v>
      </c>
      <c r="F381" t="s">
        <v>4</v>
      </c>
    </row>
    <row r="382" spans="1:6">
      <c r="A382">
        <v>20200717</v>
      </c>
      <c r="B382">
        <v>126.8771357</v>
      </c>
      <c r="C382">
        <v>37.553306900000003</v>
      </c>
      <c r="D382" t="s">
        <v>84</v>
      </c>
      <c r="E382">
        <v>9456</v>
      </c>
      <c r="F382" t="s">
        <v>4</v>
      </c>
    </row>
    <row r="383" spans="1:6">
      <c r="A383">
        <v>20200717</v>
      </c>
      <c r="B383">
        <v>126.8771357</v>
      </c>
      <c r="C383">
        <v>37.553306900000003</v>
      </c>
      <c r="D383" t="s">
        <v>87</v>
      </c>
      <c r="E383">
        <v>14777</v>
      </c>
      <c r="F383" t="s">
        <v>4</v>
      </c>
    </row>
    <row r="384" spans="1:6">
      <c r="A384">
        <v>20200717</v>
      </c>
      <c r="B384">
        <v>126.8771357</v>
      </c>
      <c r="C384">
        <v>37.553306900000003</v>
      </c>
      <c r="D384" t="s">
        <v>70</v>
      </c>
      <c r="E384">
        <v>14935</v>
      </c>
      <c r="F384" t="s">
        <v>4</v>
      </c>
    </row>
    <row r="385" spans="1:6">
      <c r="A385">
        <v>20200717</v>
      </c>
      <c r="B385">
        <v>126.8771357</v>
      </c>
      <c r="C385">
        <v>37.553306900000003</v>
      </c>
      <c r="D385" t="s">
        <v>207</v>
      </c>
      <c r="E385">
        <v>17413</v>
      </c>
      <c r="F385" t="s">
        <v>4</v>
      </c>
    </row>
    <row r="386" spans="1:6">
      <c r="A386">
        <v>20200717</v>
      </c>
      <c r="B386">
        <v>126.85185540000001</v>
      </c>
      <c r="C386">
        <v>37.406578799999998</v>
      </c>
      <c r="D386" t="s">
        <v>166</v>
      </c>
      <c r="E386">
        <v>14</v>
      </c>
      <c r="F386" t="s">
        <v>4</v>
      </c>
    </row>
    <row r="387" spans="1:6">
      <c r="A387">
        <v>20200717</v>
      </c>
      <c r="B387">
        <v>126.85185540000001</v>
      </c>
      <c r="C387">
        <v>37.406578799999998</v>
      </c>
      <c r="D387" t="s">
        <v>266</v>
      </c>
      <c r="E387">
        <v>26</v>
      </c>
      <c r="F387" t="s">
        <v>4</v>
      </c>
    </row>
    <row r="388" spans="1:6">
      <c r="A388">
        <v>20200717</v>
      </c>
      <c r="B388">
        <v>126.85185540000001</v>
      </c>
      <c r="C388">
        <v>37.406578799999998</v>
      </c>
      <c r="D388" t="s">
        <v>220</v>
      </c>
      <c r="E388">
        <v>30</v>
      </c>
      <c r="F388" t="s">
        <v>4</v>
      </c>
    </row>
    <row r="389" spans="1:6">
      <c r="A389">
        <v>20200717</v>
      </c>
      <c r="B389">
        <v>126.85185540000001</v>
      </c>
      <c r="C389">
        <v>37.406578799999998</v>
      </c>
      <c r="D389" t="s">
        <v>198</v>
      </c>
      <c r="E389">
        <v>38</v>
      </c>
      <c r="F389" t="s">
        <v>4</v>
      </c>
    </row>
    <row r="390" spans="1:6">
      <c r="A390">
        <v>20200717</v>
      </c>
      <c r="B390">
        <v>126.85185540000001</v>
      </c>
      <c r="C390">
        <v>37.406578799999998</v>
      </c>
      <c r="D390" t="s">
        <v>181</v>
      </c>
      <c r="E390">
        <v>47</v>
      </c>
      <c r="F390" t="s">
        <v>4</v>
      </c>
    </row>
    <row r="391" spans="1:6">
      <c r="A391">
        <v>20200717</v>
      </c>
      <c r="B391">
        <v>126.85185540000001</v>
      </c>
      <c r="C391">
        <v>37.406578799999998</v>
      </c>
      <c r="D391" t="s">
        <v>76</v>
      </c>
      <c r="E391">
        <v>73</v>
      </c>
      <c r="F391" t="s">
        <v>4</v>
      </c>
    </row>
    <row r="392" spans="1:6">
      <c r="A392">
        <v>20200717</v>
      </c>
      <c r="B392">
        <v>126.85185540000001</v>
      </c>
      <c r="C392">
        <v>37.406578799999998</v>
      </c>
      <c r="D392" t="s">
        <v>199</v>
      </c>
      <c r="E392">
        <v>123</v>
      </c>
      <c r="F392" t="s">
        <v>4</v>
      </c>
    </row>
    <row r="393" spans="1:6">
      <c r="A393">
        <v>20200717</v>
      </c>
      <c r="B393">
        <v>126.85185540000001</v>
      </c>
      <c r="C393">
        <v>37.406578799999998</v>
      </c>
      <c r="D393" t="s">
        <v>138</v>
      </c>
      <c r="E393">
        <v>139</v>
      </c>
      <c r="F393" t="s">
        <v>4</v>
      </c>
    </row>
    <row r="394" spans="1:6">
      <c r="A394">
        <v>20200717</v>
      </c>
      <c r="B394">
        <v>126.85185540000001</v>
      </c>
      <c r="C394">
        <v>37.406578799999998</v>
      </c>
      <c r="D394" t="s">
        <v>35</v>
      </c>
      <c r="E394">
        <v>263</v>
      </c>
      <c r="F394" t="s">
        <v>4</v>
      </c>
    </row>
    <row r="395" spans="1:6">
      <c r="A395">
        <v>20200717</v>
      </c>
      <c r="B395">
        <v>126.85185540000001</v>
      </c>
      <c r="C395">
        <v>37.406578799999998</v>
      </c>
      <c r="D395" t="s">
        <v>78</v>
      </c>
      <c r="E395">
        <v>613</v>
      </c>
      <c r="F395" t="s">
        <v>4</v>
      </c>
    </row>
    <row r="396" spans="1:6">
      <c r="A396">
        <v>20200717</v>
      </c>
      <c r="B396">
        <v>126.85185540000001</v>
      </c>
      <c r="C396">
        <v>37.406578799999998</v>
      </c>
      <c r="D396" t="s">
        <v>151</v>
      </c>
      <c r="E396">
        <v>549</v>
      </c>
      <c r="F396" t="s">
        <v>4</v>
      </c>
    </row>
    <row r="397" spans="1:6">
      <c r="A397">
        <v>20200717</v>
      </c>
      <c r="B397">
        <v>126.85185540000001</v>
      </c>
      <c r="C397">
        <v>37.406578799999998</v>
      </c>
      <c r="D397" t="s">
        <v>207</v>
      </c>
      <c r="E397">
        <v>5052</v>
      </c>
      <c r="F397" t="s">
        <v>4</v>
      </c>
    </row>
    <row r="398" spans="1:6">
      <c r="A398">
        <v>20200717</v>
      </c>
      <c r="B398">
        <v>126.85185540000001</v>
      </c>
      <c r="C398">
        <v>37.406578799999998</v>
      </c>
      <c r="D398" t="s">
        <v>114</v>
      </c>
      <c r="E398">
        <v>10054</v>
      </c>
      <c r="F398" t="s">
        <v>4</v>
      </c>
    </row>
    <row r="399" spans="1:6">
      <c r="A399">
        <v>20200717</v>
      </c>
      <c r="B399">
        <v>126.85185540000001</v>
      </c>
      <c r="C399">
        <v>37.406578799999998</v>
      </c>
      <c r="D399" t="s">
        <v>64</v>
      </c>
      <c r="E399">
        <v>12937</v>
      </c>
      <c r="F399" t="s">
        <v>4</v>
      </c>
    </row>
    <row r="400" spans="1:6">
      <c r="A400">
        <v>20200717</v>
      </c>
      <c r="B400">
        <v>126.85185540000001</v>
      </c>
      <c r="C400">
        <v>37.406578799999998</v>
      </c>
      <c r="D400" t="s">
        <v>137</v>
      </c>
      <c r="E400">
        <v>23254</v>
      </c>
      <c r="F400" t="s">
        <v>4</v>
      </c>
    </row>
    <row r="401" spans="1:6">
      <c r="A401">
        <v>20200717</v>
      </c>
      <c r="B401">
        <v>126.85185540000001</v>
      </c>
      <c r="C401">
        <v>37.406578799999998</v>
      </c>
      <c r="D401" t="s">
        <v>87</v>
      </c>
      <c r="E401">
        <v>54085</v>
      </c>
      <c r="F401" t="s">
        <v>4</v>
      </c>
    </row>
    <row r="402" spans="1:6">
      <c r="A402">
        <v>20200717</v>
      </c>
      <c r="B402">
        <v>126.99657019999999</v>
      </c>
      <c r="C402">
        <v>37.389118600000003</v>
      </c>
      <c r="D402" t="s">
        <v>49</v>
      </c>
      <c r="E402">
        <v>115</v>
      </c>
      <c r="F402" t="s">
        <v>4</v>
      </c>
    </row>
    <row r="403" spans="1:6">
      <c r="A403">
        <v>20200717</v>
      </c>
      <c r="B403">
        <v>126.8446659</v>
      </c>
      <c r="C403">
        <v>37.420618699999999</v>
      </c>
      <c r="D403" t="s">
        <v>220</v>
      </c>
      <c r="E403">
        <v>12</v>
      </c>
      <c r="F403" t="s">
        <v>4</v>
      </c>
    </row>
    <row r="404" spans="1:6">
      <c r="A404">
        <v>20200717</v>
      </c>
      <c r="B404">
        <v>126.8446659</v>
      </c>
      <c r="C404">
        <v>37.420618699999999</v>
      </c>
      <c r="D404" t="s">
        <v>150</v>
      </c>
      <c r="E404">
        <v>21</v>
      </c>
      <c r="F404" t="s">
        <v>4</v>
      </c>
    </row>
    <row r="405" spans="1:6">
      <c r="A405">
        <v>20200717</v>
      </c>
      <c r="B405">
        <v>126.8446659</v>
      </c>
      <c r="C405">
        <v>37.420618699999999</v>
      </c>
      <c r="D405" t="s">
        <v>129</v>
      </c>
      <c r="E405">
        <v>41</v>
      </c>
      <c r="F405" t="s">
        <v>4</v>
      </c>
    </row>
    <row r="406" spans="1:6">
      <c r="A406">
        <v>20200717</v>
      </c>
      <c r="B406">
        <v>126.8446659</v>
      </c>
      <c r="C406">
        <v>37.420618699999999</v>
      </c>
      <c r="D406" t="s">
        <v>138</v>
      </c>
      <c r="E406">
        <v>38</v>
      </c>
      <c r="F406" t="s">
        <v>4</v>
      </c>
    </row>
    <row r="407" spans="1:6">
      <c r="A407">
        <v>20200717</v>
      </c>
      <c r="B407">
        <v>126.8446659</v>
      </c>
      <c r="C407">
        <v>37.420618699999999</v>
      </c>
      <c r="D407" t="s">
        <v>35</v>
      </c>
      <c r="E407">
        <v>51</v>
      </c>
      <c r="F407" t="s">
        <v>4</v>
      </c>
    </row>
    <row r="408" spans="1:6">
      <c r="A408">
        <v>20200717</v>
      </c>
      <c r="B408">
        <v>126.8446659</v>
      </c>
      <c r="C408">
        <v>37.420618699999999</v>
      </c>
      <c r="D408" t="s">
        <v>262</v>
      </c>
      <c r="E408">
        <v>52</v>
      </c>
      <c r="F408" t="s">
        <v>4</v>
      </c>
    </row>
    <row r="409" spans="1:6">
      <c r="A409">
        <v>20200717</v>
      </c>
      <c r="B409">
        <v>126.8446659</v>
      </c>
      <c r="C409">
        <v>37.420618699999999</v>
      </c>
      <c r="D409" t="s">
        <v>190</v>
      </c>
      <c r="E409">
        <v>54</v>
      </c>
      <c r="F409" t="s">
        <v>4</v>
      </c>
    </row>
    <row r="410" spans="1:6">
      <c r="A410">
        <v>20200717</v>
      </c>
      <c r="B410">
        <v>126.8446659</v>
      </c>
      <c r="C410">
        <v>37.420618699999999</v>
      </c>
      <c r="D410" t="s">
        <v>166</v>
      </c>
      <c r="E410">
        <v>84</v>
      </c>
      <c r="F410" t="s">
        <v>4</v>
      </c>
    </row>
    <row r="411" spans="1:6">
      <c r="A411">
        <v>20200717</v>
      </c>
      <c r="B411">
        <v>126.8446659</v>
      </c>
      <c r="C411">
        <v>37.420618699999999</v>
      </c>
      <c r="D411" t="s">
        <v>68</v>
      </c>
      <c r="E411">
        <v>89</v>
      </c>
      <c r="F411" t="s">
        <v>4</v>
      </c>
    </row>
    <row r="412" spans="1:6">
      <c r="A412">
        <v>20200717</v>
      </c>
      <c r="B412">
        <v>126.8446659</v>
      </c>
      <c r="C412">
        <v>37.420618699999999</v>
      </c>
      <c r="D412" t="s">
        <v>15</v>
      </c>
      <c r="E412">
        <v>116</v>
      </c>
      <c r="F412" t="s">
        <v>4</v>
      </c>
    </row>
    <row r="413" spans="1:6">
      <c r="A413">
        <v>20200717</v>
      </c>
      <c r="B413">
        <v>126.8446659</v>
      </c>
      <c r="C413">
        <v>37.420618699999999</v>
      </c>
      <c r="D413" t="s">
        <v>175</v>
      </c>
      <c r="E413">
        <v>118</v>
      </c>
      <c r="F413" t="s">
        <v>4</v>
      </c>
    </row>
    <row r="414" spans="1:6">
      <c r="A414">
        <v>20200717</v>
      </c>
      <c r="B414">
        <v>126.8446659</v>
      </c>
      <c r="C414">
        <v>37.420618699999999</v>
      </c>
      <c r="D414" t="s">
        <v>158</v>
      </c>
      <c r="E414">
        <v>204</v>
      </c>
      <c r="F414" t="s">
        <v>4</v>
      </c>
    </row>
    <row r="415" spans="1:6">
      <c r="A415">
        <v>20200717</v>
      </c>
      <c r="B415">
        <v>126.8446659</v>
      </c>
      <c r="C415">
        <v>37.420618699999999</v>
      </c>
      <c r="D415" t="s">
        <v>199</v>
      </c>
      <c r="E415">
        <v>314</v>
      </c>
      <c r="F415" t="s">
        <v>4</v>
      </c>
    </row>
    <row r="416" spans="1:6">
      <c r="A416">
        <v>20200717</v>
      </c>
      <c r="B416">
        <v>126.8446659</v>
      </c>
      <c r="C416">
        <v>37.420618699999999</v>
      </c>
      <c r="D416" t="s">
        <v>130</v>
      </c>
      <c r="E416">
        <v>382</v>
      </c>
      <c r="F416" t="s">
        <v>4</v>
      </c>
    </row>
    <row r="417" spans="1:6">
      <c r="A417">
        <v>20200717</v>
      </c>
      <c r="B417">
        <v>126.8446659</v>
      </c>
      <c r="C417">
        <v>37.420618699999999</v>
      </c>
      <c r="D417" t="s">
        <v>78</v>
      </c>
      <c r="E417">
        <v>529</v>
      </c>
      <c r="F417" t="s">
        <v>4</v>
      </c>
    </row>
    <row r="418" spans="1:6">
      <c r="A418">
        <v>20200717</v>
      </c>
      <c r="B418">
        <v>126.8446659</v>
      </c>
      <c r="C418">
        <v>37.420618699999999</v>
      </c>
      <c r="D418" t="s">
        <v>151</v>
      </c>
      <c r="E418">
        <v>759</v>
      </c>
      <c r="F418" t="s">
        <v>4</v>
      </c>
    </row>
    <row r="419" spans="1:6">
      <c r="A419">
        <v>20200717</v>
      </c>
      <c r="B419">
        <v>126.8446659</v>
      </c>
      <c r="C419">
        <v>37.420618699999999</v>
      </c>
      <c r="D419" t="s">
        <v>114</v>
      </c>
      <c r="E419">
        <v>3076</v>
      </c>
      <c r="F419" t="s">
        <v>4</v>
      </c>
    </row>
    <row r="420" spans="1:6">
      <c r="A420">
        <v>20200717</v>
      </c>
      <c r="B420">
        <v>126.8446659</v>
      </c>
      <c r="C420">
        <v>37.420618699999999</v>
      </c>
      <c r="D420" t="s">
        <v>137</v>
      </c>
      <c r="E420">
        <v>5587</v>
      </c>
      <c r="F420" t="s">
        <v>4</v>
      </c>
    </row>
    <row r="421" spans="1:6">
      <c r="A421">
        <v>20200717</v>
      </c>
      <c r="B421">
        <v>126.8446659</v>
      </c>
      <c r="C421">
        <v>37.420618699999999</v>
      </c>
      <c r="D421" t="s">
        <v>207</v>
      </c>
      <c r="E421">
        <v>6157</v>
      </c>
      <c r="F421" t="s">
        <v>4</v>
      </c>
    </row>
    <row r="422" spans="1:6">
      <c r="A422">
        <v>20200717</v>
      </c>
      <c r="B422">
        <v>126.8446659</v>
      </c>
      <c r="C422">
        <v>37.420618699999999</v>
      </c>
      <c r="D422" t="s">
        <v>64</v>
      </c>
      <c r="E422">
        <v>7246</v>
      </c>
      <c r="F422" t="s">
        <v>4</v>
      </c>
    </row>
    <row r="423" spans="1:6">
      <c r="A423">
        <v>20200717</v>
      </c>
      <c r="B423">
        <v>126.8446659</v>
      </c>
      <c r="C423">
        <v>37.420618699999999</v>
      </c>
      <c r="D423" t="s">
        <v>87</v>
      </c>
      <c r="E423">
        <v>52191</v>
      </c>
      <c r="F423" t="s">
        <v>4</v>
      </c>
    </row>
    <row r="424" spans="1:6">
      <c r="A424">
        <v>20200717</v>
      </c>
      <c r="B424">
        <v>126.83793110000001</v>
      </c>
      <c r="C424">
        <v>37.441797600000001</v>
      </c>
      <c r="D424" t="s">
        <v>172</v>
      </c>
      <c r="E424">
        <v>10</v>
      </c>
      <c r="F424" t="s">
        <v>4</v>
      </c>
    </row>
    <row r="425" spans="1:6">
      <c r="A425">
        <v>20200717</v>
      </c>
      <c r="B425">
        <v>126.83793110000001</v>
      </c>
      <c r="C425">
        <v>37.441797600000001</v>
      </c>
      <c r="D425" t="s">
        <v>78</v>
      </c>
      <c r="E425">
        <v>14</v>
      </c>
      <c r="F425" t="s">
        <v>4</v>
      </c>
    </row>
    <row r="426" spans="1:6">
      <c r="A426">
        <v>20200717</v>
      </c>
      <c r="B426">
        <v>126.83793110000001</v>
      </c>
      <c r="C426">
        <v>37.441797600000001</v>
      </c>
      <c r="D426" t="s">
        <v>266</v>
      </c>
      <c r="E426">
        <v>22</v>
      </c>
      <c r="F426" t="s">
        <v>4</v>
      </c>
    </row>
    <row r="427" spans="1:6">
      <c r="A427">
        <v>20200717</v>
      </c>
      <c r="B427">
        <v>126.83793110000001</v>
      </c>
      <c r="C427">
        <v>37.441797600000001</v>
      </c>
      <c r="D427" t="s">
        <v>150</v>
      </c>
      <c r="E427">
        <v>44</v>
      </c>
      <c r="F427" t="s">
        <v>4</v>
      </c>
    </row>
    <row r="428" spans="1:6">
      <c r="A428">
        <v>20200717</v>
      </c>
      <c r="B428">
        <v>126.83793110000001</v>
      </c>
      <c r="C428">
        <v>37.441797600000001</v>
      </c>
      <c r="D428" t="s">
        <v>138</v>
      </c>
      <c r="E428">
        <v>215</v>
      </c>
      <c r="F428" t="s">
        <v>4</v>
      </c>
    </row>
    <row r="429" spans="1:6">
      <c r="A429">
        <v>20200717</v>
      </c>
      <c r="B429">
        <v>126.83793110000001</v>
      </c>
      <c r="C429">
        <v>37.441797600000001</v>
      </c>
      <c r="D429" t="s">
        <v>129</v>
      </c>
      <c r="E429">
        <v>198</v>
      </c>
      <c r="F429" t="s">
        <v>4</v>
      </c>
    </row>
    <row r="430" spans="1:6">
      <c r="A430">
        <v>20200717</v>
      </c>
      <c r="B430">
        <v>126.83793110000001</v>
      </c>
      <c r="C430">
        <v>37.441797600000001</v>
      </c>
      <c r="D430" t="s">
        <v>114</v>
      </c>
      <c r="E430">
        <v>322</v>
      </c>
      <c r="F430" t="s">
        <v>4</v>
      </c>
    </row>
    <row r="431" spans="1:6">
      <c r="A431">
        <v>20200717</v>
      </c>
      <c r="B431">
        <v>126.83793110000001</v>
      </c>
      <c r="C431">
        <v>37.441797600000001</v>
      </c>
      <c r="D431" t="s">
        <v>199</v>
      </c>
      <c r="E431">
        <v>386</v>
      </c>
      <c r="F431" t="s">
        <v>4</v>
      </c>
    </row>
    <row r="432" spans="1:6">
      <c r="A432">
        <v>20200717</v>
      </c>
      <c r="B432">
        <v>126.83793110000001</v>
      </c>
      <c r="C432">
        <v>37.441797600000001</v>
      </c>
      <c r="D432" t="s">
        <v>155</v>
      </c>
      <c r="E432">
        <v>422</v>
      </c>
      <c r="F432" t="s">
        <v>4</v>
      </c>
    </row>
    <row r="433" spans="1:6">
      <c r="A433">
        <v>20200717</v>
      </c>
      <c r="B433">
        <v>126.83793110000001</v>
      </c>
      <c r="C433">
        <v>37.441797600000001</v>
      </c>
      <c r="D433" t="s">
        <v>68</v>
      </c>
      <c r="E433">
        <v>444</v>
      </c>
      <c r="F433" t="s">
        <v>4</v>
      </c>
    </row>
    <row r="434" spans="1:6">
      <c r="A434">
        <v>20200717</v>
      </c>
      <c r="B434">
        <v>126.83793110000001</v>
      </c>
      <c r="C434">
        <v>37.441797600000001</v>
      </c>
      <c r="D434" t="s">
        <v>151</v>
      </c>
      <c r="E434">
        <v>986</v>
      </c>
      <c r="F434" t="s">
        <v>4</v>
      </c>
    </row>
    <row r="435" spans="1:6">
      <c r="A435">
        <v>20200717</v>
      </c>
      <c r="B435">
        <v>126.83793110000001</v>
      </c>
      <c r="C435">
        <v>37.441797600000001</v>
      </c>
      <c r="D435" t="s">
        <v>186</v>
      </c>
      <c r="E435">
        <v>1329</v>
      </c>
      <c r="F435" t="s">
        <v>4</v>
      </c>
    </row>
    <row r="436" spans="1:6">
      <c r="A436">
        <v>20200717</v>
      </c>
      <c r="B436">
        <v>126.83793110000001</v>
      </c>
      <c r="C436">
        <v>37.441797600000001</v>
      </c>
      <c r="D436" t="s">
        <v>175</v>
      </c>
      <c r="E436">
        <v>1319</v>
      </c>
      <c r="F436" t="s">
        <v>4</v>
      </c>
    </row>
    <row r="437" spans="1:6">
      <c r="A437">
        <v>20200717</v>
      </c>
      <c r="B437">
        <v>126.83793110000001</v>
      </c>
      <c r="C437">
        <v>37.441797600000001</v>
      </c>
      <c r="D437" t="s">
        <v>64</v>
      </c>
      <c r="E437">
        <v>1810</v>
      </c>
      <c r="F437" t="s">
        <v>4</v>
      </c>
    </row>
    <row r="438" spans="1:6">
      <c r="A438">
        <v>20200717</v>
      </c>
      <c r="B438">
        <v>126.83793110000001</v>
      </c>
      <c r="C438">
        <v>37.441797600000001</v>
      </c>
      <c r="D438" t="s">
        <v>137</v>
      </c>
      <c r="E438">
        <v>2129</v>
      </c>
      <c r="F438" t="s">
        <v>4</v>
      </c>
    </row>
    <row r="439" spans="1:6">
      <c r="A439">
        <v>20200717</v>
      </c>
      <c r="B439">
        <v>126.83793110000001</v>
      </c>
      <c r="C439">
        <v>37.441797600000001</v>
      </c>
      <c r="D439" t="s">
        <v>198</v>
      </c>
      <c r="E439">
        <v>5004</v>
      </c>
      <c r="F439" t="s">
        <v>4</v>
      </c>
    </row>
    <row r="440" spans="1:6">
      <c r="A440">
        <v>20200717</v>
      </c>
      <c r="B440">
        <v>126.83793110000001</v>
      </c>
      <c r="C440">
        <v>37.441797600000001</v>
      </c>
      <c r="D440" t="s">
        <v>130</v>
      </c>
      <c r="E440">
        <v>7159</v>
      </c>
      <c r="F440" t="s">
        <v>4</v>
      </c>
    </row>
    <row r="441" spans="1:6">
      <c r="A441">
        <v>20200717</v>
      </c>
      <c r="B441">
        <v>126.83793110000001</v>
      </c>
      <c r="C441">
        <v>37.441797600000001</v>
      </c>
      <c r="D441" t="s">
        <v>207</v>
      </c>
      <c r="E441">
        <v>10888</v>
      </c>
      <c r="F441" t="s">
        <v>4</v>
      </c>
    </row>
    <row r="442" spans="1:6">
      <c r="A442">
        <v>20200717</v>
      </c>
      <c r="B442">
        <v>126.83793110000001</v>
      </c>
      <c r="C442">
        <v>37.441797600000001</v>
      </c>
      <c r="D442" t="s">
        <v>87</v>
      </c>
      <c r="E442">
        <v>22493</v>
      </c>
      <c r="F442" t="s">
        <v>4</v>
      </c>
    </row>
    <row r="443" spans="1:6">
      <c r="A443">
        <v>20200717</v>
      </c>
      <c r="B443">
        <v>126.8499561</v>
      </c>
      <c r="C443">
        <v>37.481606900000003</v>
      </c>
      <c r="D443" t="s">
        <v>220</v>
      </c>
      <c r="E443">
        <v>30</v>
      </c>
      <c r="F443" t="s">
        <v>4</v>
      </c>
    </row>
    <row r="444" spans="1:6">
      <c r="A444">
        <v>20200717</v>
      </c>
      <c r="B444">
        <v>126.8499561</v>
      </c>
      <c r="C444">
        <v>37.481606900000003</v>
      </c>
      <c r="D444" t="s">
        <v>158</v>
      </c>
      <c r="E444">
        <v>30</v>
      </c>
      <c r="F444" t="s">
        <v>4</v>
      </c>
    </row>
    <row r="445" spans="1:6">
      <c r="A445">
        <v>20200717</v>
      </c>
      <c r="B445">
        <v>126.8499561</v>
      </c>
      <c r="C445">
        <v>37.481606900000003</v>
      </c>
      <c r="D445" t="s">
        <v>138</v>
      </c>
      <c r="E445">
        <v>35</v>
      </c>
      <c r="F445" t="s">
        <v>4</v>
      </c>
    </row>
    <row r="446" spans="1:6">
      <c r="A446">
        <v>20200717</v>
      </c>
      <c r="B446">
        <v>126.8499561</v>
      </c>
      <c r="C446">
        <v>37.481606900000003</v>
      </c>
      <c r="D446" t="s">
        <v>181</v>
      </c>
      <c r="E446">
        <v>46</v>
      </c>
      <c r="F446" t="s">
        <v>4</v>
      </c>
    </row>
    <row r="447" spans="1:6">
      <c r="A447">
        <v>20200717</v>
      </c>
      <c r="B447">
        <v>126.8499561</v>
      </c>
      <c r="C447">
        <v>37.481606900000003</v>
      </c>
      <c r="D447" t="s">
        <v>150</v>
      </c>
      <c r="E447">
        <v>72</v>
      </c>
      <c r="F447" t="s">
        <v>4</v>
      </c>
    </row>
    <row r="448" spans="1:6">
      <c r="A448">
        <v>20200717</v>
      </c>
      <c r="B448">
        <v>126.8499561</v>
      </c>
      <c r="C448">
        <v>37.481606900000003</v>
      </c>
      <c r="D448" t="s">
        <v>197</v>
      </c>
      <c r="E448">
        <v>81</v>
      </c>
      <c r="F448" t="s">
        <v>4</v>
      </c>
    </row>
    <row r="449" spans="1:6">
      <c r="A449">
        <v>20200717</v>
      </c>
      <c r="B449">
        <v>126.8499561</v>
      </c>
      <c r="C449">
        <v>37.481606900000003</v>
      </c>
      <c r="D449" t="s">
        <v>155</v>
      </c>
      <c r="E449">
        <v>104</v>
      </c>
      <c r="F449" t="s">
        <v>4</v>
      </c>
    </row>
    <row r="450" spans="1:6">
      <c r="A450">
        <v>20200717</v>
      </c>
      <c r="B450">
        <v>126.8499561</v>
      </c>
      <c r="C450">
        <v>37.481606900000003</v>
      </c>
      <c r="D450" t="s">
        <v>166</v>
      </c>
      <c r="E450">
        <v>109</v>
      </c>
      <c r="F450" t="s">
        <v>4</v>
      </c>
    </row>
    <row r="451" spans="1:6">
      <c r="A451">
        <v>20200717</v>
      </c>
      <c r="B451">
        <v>126.8499561</v>
      </c>
      <c r="C451">
        <v>37.481606900000003</v>
      </c>
      <c r="D451" t="s">
        <v>130</v>
      </c>
      <c r="E451">
        <v>319</v>
      </c>
      <c r="F451" t="s">
        <v>4</v>
      </c>
    </row>
    <row r="452" spans="1:6">
      <c r="A452">
        <v>20200717</v>
      </c>
      <c r="B452">
        <v>126.8499561</v>
      </c>
      <c r="C452">
        <v>37.481606900000003</v>
      </c>
      <c r="D452" t="s">
        <v>109</v>
      </c>
      <c r="E452">
        <v>144</v>
      </c>
      <c r="F452" t="s">
        <v>4</v>
      </c>
    </row>
    <row r="453" spans="1:6">
      <c r="A453">
        <v>20200717</v>
      </c>
      <c r="B453">
        <v>126.8499561</v>
      </c>
      <c r="C453">
        <v>37.481606900000003</v>
      </c>
      <c r="D453" t="s">
        <v>199</v>
      </c>
      <c r="E453">
        <v>144</v>
      </c>
      <c r="F453" t="s">
        <v>4</v>
      </c>
    </row>
    <row r="454" spans="1:6">
      <c r="A454">
        <v>20200717</v>
      </c>
      <c r="B454">
        <v>126.8499561</v>
      </c>
      <c r="C454">
        <v>37.481606900000003</v>
      </c>
      <c r="D454" t="s">
        <v>70</v>
      </c>
      <c r="E454">
        <v>145</v>
      </c>
      <c r="F454" t="s">
        <v>4</v>
      </c>
    </row>
    <row r="455" spans="1:6">
      <c r="A455">
        <v>20200717</v>
      </c>
      <c r="B455">
        <v>126.8499561</v>
      </c>
      <c r="C455">
        <v>37.481606900000003</v>
      </c>
      <c r="D455" t="s">
        <v>219</v>
      </c>
      <c r="E455">
        <v>466</v>
      </c>
      <c r="F455" t="s">
        <v>4</v>
      </c>
    </row>
    <row r="456" spans="1:6">
      <c r="A456">
        <v>20200717</v>
      </c>
      <c r="B456">
        <v>126.8499561</v>
      </c>
      <c r="C456">
        <v>37.481606900000003</v>
      </c>
      <c r="D456" t="s">
        <v>56</v>
      </c>
      <c r="E456">
        <v>615</v>
      </c>
      <c r="F456" t="s">
        <v>4</v>
      </c>
    </row>
    <row r="457" spans="1:6">
      <c r="A457">
        <v>20200717</v>
      </c>
      <c r="B457">
        <v>126.8499561</v>
      </c>
      <c r="C457">
        <v>37.481606900000003</v>
      </c>
      <c r="D457" t="s">
        <v>34</v>
      </c>
      <c r="E457">
        <v>455</v>
      </c>
      <c r="F457" t="s">
        <v>4</v>
      </c>
    </row>
    <row r="458" spans="1:6">
      <c r="A458">
        <v>20200717</v>
      </c>
      <c r="B458">
        <v>126.8499561</v>
      </c>
      <c r="C458">
        <v>37.481606900000003</v>
      </c>
      <c r="D458" t="s">
        <v>186</v>
      </c>
      <c r="E458">
        <v>423</v>
      </c>
      <c r="F458" t="s">
        <v>4</v>
      </c>
    </row>
    <row r="459" spans="1:6">
      <c r="A459">
        <v>20200717</v>
      </c>
      <c r="B459">
        <v>126.8499561</v>
      </c>
      <c r="C459">
        <v>37.481606900000003</v>
      </c>
      <c r="D459" t="s">
        <v>134</v>
      </c>
      <c r="E459">
        <v>1129</v>
      </c>
      <c r="F459" t="s">
        <v>4</v>
      </c>
    </row>
    <row r="460" spans="1:6">
      <c r="A460">
        <v>20200717</v>
      </c>
      <c r="B460">
        <v>126.8499561</v>
      </c>
      <c r="C460">
        <v>37.481606900000003</v>
      </c>
      <c r="D460" t="s">
        <v>129</v>
      </c>
      <c r="E460">
        <v>628</v>
      </c>
      <c r="F460" t="s">
        <v>4</v>
      </c>
    </row>
    <row r="461" spans="1:6">
      <c r="A461">
        <v>20200717</v>
      </c>
      <c r="B461">
        <v>126.8499561</v>
      </c>
      <c r="C461">
        <v>37.481606900000003</v>
      </c>
      <c r="D461" t="s">
        <v>198</v>
      </c>
      <c r="E461">
        <v>1259</v>
      </c>
      <c r="F461" t="s">
        <v>4</v>
      </c>
    </row>
    <row r="462" spans="1:6">
      <c r="A462">
        <v>20200717</v>
      </c>
      <c r="B462">
        <v>126.8499561</v>
      </c>
      <c r="C462">
        <v>37.481606900000003</v>
      </c>
      <c r="D462" t="s">
        <v>195</v>
      </c>
      <c r="E462">
        <v>756</v>
      </c>
      <c r="F462" t="s">
        <v>4</v>
      </c>
    </row>
    <row r="463" spans="1:6">
      <c r="A463">
        <v>20200717</v>
      </c>
      <c r="B463">
        <v>126.8499561</v>
      </c>
      <c r="C463">
        <v>37.481606900000003</v>
      </c>
      <c r="D463" t="s">
        <v>84</v>
      </c>
      <c r="E463">
        <v>692</v>
      </c>
      <c r="F463" t="s">
        <v>4</v>
      </c>
    </row>
    <row r="464" spans="1:6">
      <c r="A464">
        <v>20200717</v>
      </c>
      <c r="B464">
        <v>126.8499561</v>
      </c>
      <c r="C464">
        <v>37.481606900000003</v>
      </c>
      <c r="D464" t="s">
        <v>78</v>
      </c>
      <c r="E464">
        <v>1071</v>
      </c>
      <c r="F464" t="s">
        <v>4</v>
      </c>
    </row>
    <row r="465" spans="1:6">
      <c r="A465">
        <v>20200717</v>
      </c>
      <c r="B465">
        <v>126.8499561</v>
      </c>
      <c r="C465">
        <v>37.481606900000003</v>
      </c>
      <c r="D465" t="s">
        <v>151</v>
      </c>
      <c r="E465">
        <v>994</v>
      </c>
      <c r="F465" t="s">
        <v>4</v>
      </c>
    </row>
    <row r="466" spans="1:6">
      <c r="A466">
        <v>20200717</v>
      </c>
      <c r="B466">
        <v>126.8499561</v>
      </c>
      <c r="C466">
        <v>37.481606900000003</v>
      </c>
      <c r="D466" t="s">
        <v>137</v>
      </c>
      <c r="E466">
        <v>1004</v>
      </c>
      <c r="F466" t="s">
        <v>4</v>
      </c>
    </row>
    <row r="467" spans="1:6">
      <c r="A467">
        <v>20200717</v>
      </c>
      <c r="B467">
        <v>126.8499561</v>
      </c>
      <c r="C467">
        <v>37.481606900000003</v>
      </c>
      <c r="D467" t="s">
        <v>68</v>
      </c>
      <c r="E467">
        <v>1443</v>
      </c>
      <c r="F467" t="s">
        <v>4</v>
      </c>
    </row>
    <row r="468" spans="1:6">
      <c r="A468">
        <v>20200717</v>
      </c>
      <c r="B468">
        <v>126.8499561</v>
      </c>
      <c r="C468">
        <v>37.481606900000003</v>
      </c>
      <c r="D468" t="s">
        <v>215</v>
      </c>
      <c r="E468">
        <v>1936</v>
      </c>
      <c r="F468" t="s">
        <v>4</v>
      </c>
    </row>
    <row r="469" spans="1:6">
      <c r="A469">
        <v>20200717</v>
      </c>
      <c r="B469">
        <v>126.8499561</v>
      </c>
      <c r="C469">
        <v>37.481606900000003</v>
      </c>
      <c r="D469" t="s">
        <v>64</v>
      </c>
      <c r="E469">
        <v>3031</v>
      </c>
      <c r="F469" t="s">
        <v>4</v>
      </c>
    </row>
    <row r="470" spans="1:6">
      <c r="A470">
        <v>20200717</v>
      </c>
      <c r="B470">
        <v>126.8499561</v>
      </c>
      <c r="C470">
        <v>37.481606900000003</v>
      </c>
      <c r="D470" t="s">
        <v>216</v>
      </c>
      <c r="E470">
        <v>4068</v>
      </c>
      <c r="F470" t="s">
        <v>4</v>
      </c>
    </row>
    <row r="471" spans="1:6">
      <c r="A471">
        <v>20200717</v>
      </c>
      <c r="B471">
        <v>126.8499561</v>
      </c>
      <c r="C471">
        <v>37.481606900000003</v>
      </c>
      <c r="D471" t="s">
        <v>175</v>
      </c>
      <c r="E471">
        <v>6299</v>
      </c>
      <c r="F471" t="s">
        <v>4</v>
      </c>
    </row>
    <row r="472" spans="1:6">
      <c r="A472">
        <v>20200717</v>
      </c>
      <c r="B472">
        <v>126.8499561</v>
      </c>
      <c r="C472">
        <v>37.481606900000003</v>
      </c>
      <c r="D472" t="s">
        <v>87</v>
      </c>
      <c r="E472">
        <v>14091</v>
      </c>
      <c r="F472" t="s">
        <v>4</v>
      </c>
    </row>
    <row r="473" spans="1:6">
      <c r="A473">
        <v>20200717</v>
      </c>
      <c r="B473">
        <v>126.8499561</v>
      </c>
      <c r="C473">
        <v>37.481606900000003</v>
      </c>
      <c r="D473" t="s">
        <v>207</v>
      </c>
      <c r="E473">
        <v>21433</v>
      </c>
      <c r="F473" t="s">
        <v>4</v>
      </c>
    </row>
    <row r="474" spans="1:6">
      <c r="A474">
        <v>20200717</v>
      </c>
      <c r="B474">
        <v>126.8428368</v>
      </c>
      <c r="C474">
        <v>37.4677784</v>
      </c>
      <c r="D474" t="s">
        <v>220</v>
      </c>
      <c r="E474">
        <v>14</v>
      </c>
      <c r="F474" t="s">
        <v>4</v>
      </c>
    </row>
    <row r="475" spans="1:6">
      <c r="A475">
        <v>20200718</v>
      </c>
      <c r="B475">
        <v>126.8428368</v>
      </c>
      <c r="C475">
        <v>37.4677784</v>
      </c>
      <c r="D475" t="s">
        <v>60</v>
      </c>
      <c r="E475">
        <v>16</v>
      </c>
      <c r="F475" t="s">
        <v>4</v>
      </c>
    </row>
    <row r="476" spans="1:6">
      <c r="A476">
        <v>20200718</v>
      </c>
      <c r="B476">
        <v>126.8428368</v>
      </c>
      <c r="C476">
        <v>37.4677784</v>
      </c>
      <c r="D476" t="s">
        <v>181</v>
      </c>
      <c r="E476">
        <v>17</v>
      </c>
      <c r="F476" t="s">
        <v>4</v>
      </c>
    </row>
    <row r="477" spans="1:6">
      <c r="A477">
        <v>20200718</v>
      </c>
      <c r="B477">
        <v>126.8428368</v>
      </c>
      <c r="C477">
        <v>37.4677784</v>
      </c>
      <c r="D477" t="s">
        <v>113</v>
      </c>
      <c r="E477">
        <v>30</v>
      </c>
      <c r="F477" t="s">
        <v>4</v>
      </c>
    </row>
    <row r="478" spans="1:6">
      <c r="A478">
        <v>20200718</v>
      </c>
      <c r="B478">
        <v>126.8428368</v>
      </c>
      <c r="C478">
        <v>37.4677784</v>
      </c>
      <c r="D478" t="s">
        <v>158</v>
      </c>
      <c r="E478">
        <v>34</v>
      </c>
      <c r="F478" t="s">
        <v>4</v>
      </c>
    </row>
    <row r="479" spans="1:6">
      <c r="A479">
        <v>20200718</v>
      </c>
      <c r="B479">
        <v>126.8428368</v>
      </c>
      <c r="C479">
        <v>37.4677784</v>
      </c>
      <c r="D479" t="s">
        <v>198</v>
      </c>
      <c r="E479">
        <v>46</v>
      </c>
      <c r="F479" t="s">
        <v>4</v>
      </c>
    </row>
    <row r="480" spans="1:6">
      <c r="A480">
        <v>20200718</v>
      </c>
      <c r="B480">
        <v>126.8428368</v>
      </c>
      <c r="C480">
        <v>37.4677784</v>
      </c>
      <c r="D480" t="s">
        <v>138</v>
      </c>
      <c r="E480">
        <v>101</v>
      </c>
      <c r="F480" t="s">
        <v>4</v>
      </c>
    </row>
    <row r="481" spans="1:8">
      <c r="A481">
        <v>20200718</v>
      </c>
      <c r="B481">
        <v>126.8446659</v>
      </c>
      <c r="C481">
        <v>37.420618699999999</v>
      </c>
      <c r="D481" t="s">
        <v>51</v>
      </c>
      <c r="E481">
        <v>218</v>
      </c>
      <c r="F481" t="s">
        <v>4</v>
      </c>
      <c r="G481" s="2"/>
      <c r="H481" s="2"/>
    </row>
    <row r="482" spans="1:8">
      <c r="A482">
        <v>20200718</v>
      </c>
      <c r="B482">
        <v>126.8428368</v>
      </c>
      <c r="C482">
        <v>37.4677784</v>
      </c>
      <c r="D482" t="s">
        <v>70</v>
      </c>
      <c r="E482">
        <v>54</v>
      </c>
      <c r="F482" t="s">
        <v>4</v>
      </c>
    </row>
    <row r="483" spans="1:8">
      <c r="A483">
        <v>20200718</v>
      </c>
      <c r="B483">
        <v>126.8428368</v>
      </c>
      <c r="C483">
        <v>37.4677784</v>
      </c>
      <c r="D483" t="s">
        <v>150</v>
      </c>
      <c r="E483">
        <v>67</v>
      </c>
      <c r="F483" t="s">
        <v>4</v>
      </c>
    </row>
    <row r="484" spans="1:8">
      <c r="A484">
        <v>20200718</v>
      </c>
      <c r="B484">
        <v>126.8772417</v>
      </c>
      <c r="C484">
        <v>37.474826299999997</v>
      </c>
      <c r="D484" t="s">
        <v>53</v>
      </c>
      <c r="E484">
        <v>32</v>
      </c>
      <c r="F484" t="s">
        <v>4</v>
      </c>
    </row>
    <row r="485" spans="1:8">
      <c r="A485">
        <v>20200718</v>
      </c>
      <c r="B485">
        <v>126.8428368</v>
      </c>
      <c r="C485">
        <v>37.4677784</v>
      </c>
      <c r="D485" t="s">
        <v>166</v>
      </c>
      <c r="E485">
        <v>112</v>
      </c>
      <c r="F485" t="s">
        <v>4</v>
      </c>
    </row>
    <row r="486" spans="1:8">
      <c r="A486">
        <v>20200718</v>
      </c>
      <c r="B486">
        <v>126.8428368</v>
      </c>
      <c r="C486">
        <v>37.4677784</v>
      </c>
      <c r="D486" t="s">
        <v>144</v>
      </c>
      <c r="E486">
        <v>80</v>
      </c>
      <c r="F486" t="s">
        <v>4</v>
      </c>
    </row>
    <row r="487" spans="1:8">
      <c r="A487">
        <v>20200718</v>
      </c>
      <c r="B487">
        <v>126.8428368</v>
      </c>
      <c r="C487">
        <v>37.4677784</v>
      </c>
      <c r="D487" t="s">
        <v>34</v>
      </c>
      <c r="E487">
        <v>84</v>
      </c>
      <c r="F487" t="s">
        <v>4</v>
      </c>
    </row>
    <row r="488" spans="1:8">
      <c r="A488">
        <v>20200718</v>
      </c>
      <c r="B488">
        <v>126.8428368</v>
      </c>
      <c r="C488">
        <v>37.4677784</v>
      </c>
      <c r="D488" t="s">
        <v>155</v>
      </c>
      <c r="E488">
        <v>88</v>
      </c>
      <c r="F488" t="s">
        <v>4</v>
      </c>
    </row>
    <row r="489" spans="1:8">
      <c r="A489">
        <v>20200718</v>
      </c>
      <c r="B489">
        <v>126.8428368</v>
      </c>
      <c r="C489">
        <v>37.4677784</v>
      </c>
      <c r="D489" t="s">
        <v>84</v>
      </c>
      <c r="E489">
        <v>127</v>
      </c>
      <c r="F489" t="s">
        <v>4</v>
      </c>
    </row>
    <row r="490" spans="1:8">
      <c r="A490">
        <v>20200718</v>
      </c>
      <c r="B490">
        <v>126.8428368</v>
      </c>
      <c r="C490">
        <v>37.4677784</v>
      </c>
      <c r="D490" t="s">
        <v>109</v>
      </c>
      <c r="E490">
        <v>302</v>
      </c>
      <c r="F490" t="s">
        <v>4</v>
      </c>
    </row>
    <row r="491" spans="1:8">
      <c r="A491">
        <v>20200718</v>
      </c>
      <c r="B491">
        <v>126.8428368</v>
      </c>
      <c r="C491">
        <v>37.4677784</v>
      </c>
      <c r="D491" t="s">
        <v>195</v>
      </c>
      <c r="E491">
        <v>374</v>
      </c>
      <c r="F491" t="s">
        <v>4</v>
      </c>
    </row>
    <row r="492" spans="1:8">
      <c r="A492">
        <v>20200718</v>
      </c>
      <c r="B492">
        <v>126.8428368</v>
      </c>
      <c r="C492">
        <v>37.4677784</v>
      </c>
      <c r="D492" t="s">
        <v>186</v>
      </c>
      <c r="E492">
        <v>391</v>
      </c>
      <c r="F492" t="s">
        <v>4</v>
      </c>
    </row>
    <row r="493" spans="1:8">
      <c r="A493">
        <v>20200718</v>
      </c>
      <c r="B493">
        <v>126.8428368</v>
      </c>
      <c r="C493">
        <v>37.4677784</v>
      </c>
      <c r="D493" t="s">
        <v>78</v>
      </c>
      <c r="E493">
        <v>423</v>
      </c>
      <c r="F493" t="s">
        <v>4</v>
      </c>
    </row>
    <row r="494" spans="1:8">
      <c r="A494">
        <v>20200718</v>
      </c>
      <c r="B494">
        <v>126.8428368</v>
      </c>
      <c r="C494">
        <v>37.4677784</v>
      </c>
      <c r="D494" t="s">
        <v>129</v>
      </c>
      <c r="E494">
        <v>625</v>
      </c>
      <c r="F494" t="s">
        <v>4</v>
      </c>
    </row>
    <row r="495" spans="1:8">
      <c r="A495">
        <v>20200718</v>
      </c>
      <c r="B495">
        <v>126.8428368</v>
      </c>
      <c r="C495">
        <v>37.4677784</v>
      </c>
      <c r="D495" t="s">
        <v>215</v>
      </c>
      <c r="E495">
        <v>562</v>
      </c>
      <c r="F495" t="s">
        <v>4</v>
      </c>
    </row>
    <row r="496" spans="1:8">
      <c r="A496">
        <v>20200718</v>
      </c>
      <c r="B496">
        <v>126.8428368</v>
      </c>
      <c r="C496">
        <v>37.4677784</v>
      </c>
      <c r="D496" t="s">
        <v>130</v>
      </c>
      <c r="E496">
        <v>1303</v>
      </c>
      <c r="F496" t="s">
        <v>4</v>
      </c>
    </row>
    <row r="497" spans="1:6">
      <c r="A497">
        <v>20200718</v>
      </c>
      <c r="B497">
        <v>126.8428368</v>
      </c>
      <c r="C497">
        <v>37.4677784</v>
      </c>
      <c r="D497" t="s">
        <v>216</v>
      </c>
      <c r="E497">
        <v>911</v>
      </c>
      <c r="F497" t="s">
        <v>4</v>
      </c>
    </row>
    <row r="498" spans="1:6">
      <c r="A498">
        <v>20200718</v>
      </c>
      <c r="B498">
        <v>126.8428368</v>
      </c>
      <c r="C498">
        <v>37.4677784</v>
      </c>
      <c r="D498" t="s">
        <v>134</v>
      </c>
      <c r="E498">
        <v>1218</v>
      </c>
      <c r="F498" t="s">
        <v>4</v>
      </c>
    </row>
    <row r="499" spans="1:6">
      <c r="A499">
        <v>20200718</v>
      </c>
      <c r="B499">
        <v>126.8428368</v>
      </c>
      <c r="C499">
        <v>37.4677784</v>
      </c>
      <c r="D499" t="s">
        <v>219</v>
      </c>
      <c r="E499">
        <v>1415</v>
      </c>
      <c r="F499" t="s">
        <v>4</v>
      </c>
    </row>
    <row r="500" spans="1:6">
      <c r="A500">
        <v>20200718</v>
      </c>
      <c r="B500">
        <v>126.8428368</v>
      </c>
      <c r="C500">
        <v>37.4677784</v>
      </c>
      <c r="D500" t="s">
        <v>151</v>
      </c>
      <c r="E500">
        <v>1213</v>
      </c>
      <c r="F500" t="s">
        <v>4</v>
      </c>
    </row>
    <row r="501" spans="1:6">
      <c r="A501">
        <v>20200718</v>
      </c>
      <c r="B501">
        <v>126.8428368</v>
      </c>
      <c r="C501">
        <v>37.4677784</v>
      </c>
      <c r="D501" t="s">
        <v>137</v>
      </c>
      <c r="E501">
        <v>1490</v>
      </c>
      <c r="F501" t="s">
        <v>4</v>
      </c>
    </row>
    <row r="502" spans="1:6">
      <c r="A502">
        <v>20200718</v>
      </c>
      <c r="B502">
        <v>126.8428368</v>
      </c>
      <c r="C502">
        <v>37.4677784</v>
      </c>
      <c r="D502" t="s">
        <v>64</v>
      </c>
      <c r="E502">
        <v>2475</v>
      </c>
      <c r="F502" t="s">
        <v>4</v>
      </c>
    </row>
    <row r="503" spans="1:6">
      <c r="A503">
        <v>20200718</v>
      </c>
      <c r="B503">
        <v>126.8428368</v>
      </c>
      <c r="C503">
        <v>37.4677784</v>
      </c>
      <c r="D503" t="s">
        <v>68</v>
      </c>
      <c r="E503">
        <v>2637</v>
      </c>
      <c r="F503" t="s">
        <v>4</v>
      </c>
    </row>
    <row r="504" spans="1:6">
      <c r="A504">
        <v>20200718</v>
      </c>
      <c r="B504">
        <v>126.8428368</v>
      </c>
      <c r="C504">
        <v>37.4677784</v>
      </c>
      <c r="D504" t="s">
        <v>175</v>
      </c>
      <c r="E504">
        <v>5816</v>
      </c>
      <c r="F504" t="s">
        <v>4</v>
      </c>
    </row>
    <row r="505" spans="1:6">
      <c r="A505">
        <v>20200718</v>
      </c>
      <c r="B505">
        <v>126.8428368</v>
      </c>
      <c r="C505">
        <v>37.4677784</v>
      </c>
      <c r="D505" t="s">
        <v>207</v>
      </c>
      <c r="E505">
        <v>16989</v>
      </c>
      <c r="F505" t="s">
        <v>4</v>
      </c>
    </row>
    <row r="506" spans="1:6">
      <c r="A506">
        <v>20200718</v>
      </c>
      <c r="B506">
        <v>126.8428368</v>
      </c>
      <c r="C506">
        <v>37.4677784</v>
      </c>
      <c r="D506" t="s">
        <v>87</v>
      </c>
      <c r="E506">
        <v>19063</v>
      </c>
      <c r="F506" t="s">
        <v>4</v>
      </c>
    </row>
    <row r="507" spans="1:6">
      <c r="A507">
        <v>20200718</v>
      </c>
      <c r="B507">
        <v>126.8663749</v>
      </c>
      <c r="C507">
        <v>37.492704799999998</v>
      </c>
      <c r="D507" t="s">
        <v>136</v>
      </c>
      <c r="E507">
        <v>17</v>
      </c>
      <c r="F507" t="s">
        <v>4</v>
      </c>
    </row>
    <row r="508" spans="1:6">
      <c r="A508">
        <v>20200718</v>
      </c>
      <c r="B508">
        <v>126.8663749</v>
      </c>
      <c r="C508">
        <v>37.492704799999998</v>
      </c>
      <c r="D508" t="s">
        <v>158</v>
      </c>
      <c r="E508">
        <v>21</v>
      </c>
      <c r="F508" t="s">
        <v>4</v>
      </c>
    </row>
    <row r="509" spans="1:6">
      <c r="A509">
        <v>20200718</v>
      </c>
      <c r="B509">
        <v>126.8663749</v>
      </c>
      <c r="C509">
        <v>37.492704799999998</v>
      </c>
      <c r="D509" t="s">
        <v>109</v>
      </c>
      <c r="E509">
        <v>24</v>
      </c>
      <c r="F509" t="s">
        <v>4</v>
      </c>
    </row>
    <row r="510" spans="1:6">
      <c r="A510">
        <v>20200718</v>
      </c>
      <c r="B510">
        <v>126.8663749</v>
      </c>
      <c r="C510">
        <v>37.492704799999998</v>
      </c>
      <c r="D510" t="s">
        <v>199</v>
      </c>
      <c r="E510">
        <v>25</v>
      </c>
      <c r="F510" t="s">
        <v>4</v>
      </c>
    </row>
    <row r="511" spans="1:6">
      <c r="A511">
        <v>20200718</v>
      </c>
      <c r="B511">
        <v>126.8663749</v>
      </c>
      <c r="C511">
        <v>37.492704799999998</v>
      </c>
      <c r="D511" t="s">
        <v>146</v>
      </c>
      <c r="E511">
        <v>28</v>
      </c>
      <c r="F511" t="s">
        <v>4</v>
      </c>
    </row>
    <row r="512" spans="1:6">
      <c r="A512">
        <v>20200718</v>
      </c>
      <c r="B512">
        <v>126.8663749</v>
      </c>
      <c r="C512">
        <v>37.492704799999998</v>
      </c>
      <c r="D512" t="s">
        <v>89</v>
      </c>
      <c r="E512">
        <v>34</v>
      </c>
      <c r="F512" t="s">
        <v>4</v>
      </c>
    </row>
    <row r="513" spans="1:6">
      <c r="A513">
        <v>20200718</v>
      </c>
      <c r="B513">
        <v>126.8663749</v>
      </c>
      <c r="C513">
        <v>37.492704799999998</v>
      </c>
      <c r="D513" t="s">
        <v>76</v>
      </c>
      <c r="E513">
        <v>34</v>
      </c>
      <c r="F513" t="s">
        <v>4</v>
      </c>
    </row>
    <row r="514" spans="1:6">
      <c r="A514">
        <v>20200718</v>
      </c>
      <c r="B514">
        <v>126.8663749</v>
      </c>
      <c r="C514">
        <v>37.492704799999998</v>
      </c>
      <c r="D514" t="s">
        <v>56</v>
      </c>
      <c r="E514">
        <v>46</v>
      </c>
      <c r="F514" t="s">
        <v>4</v>
      </c>
    </row>
    <row r="515" spans="1:6">
      <c r="A515">
        <v>20200718</v>
      </c>
      <c r="B515">
        <v>126.8772417</v>
      </c>
      <c r="C515">
        <v>37.474826299999997</v>
      </c>
      <c r="D515" t="s">
        <v>248</v>
      </c>
      <c r="E515">
        <v>92</v>
      </c>
      <c r="F515" t="s">
        <v>4</v>
      </c>
    </row>
    <row r="516" spans="1:6">
      <c r="A516">
        <v>20200718</v>
      </c>
      <c r="B516">
        <v>126.8663749</v>
      </c>
      <c r="C516">
        <v>37.492704799999998</v>
      </c>
      <c r="D516" t="s">
        <v>166</v>
      </c>
      <c r="E516">
        <v>54</v>
      </c>
      <c r="F516" t="s">
        <v>4</v>
      </c>
    </row>
    <row r="517" spans="1:6">
      <c r="A517">
        <v>20200718</v>
      </c>
      <c r="B517">
        <v>126.8663749</v>
      </c>
      <c r="C517">
        <v>37.492704799999998</v>
      </c>
      <c r="D517" t="s">
        <v>197</v>
      </c>
      <c r="E517">
        <v>58</v>
      </c>
      <c r="F517" t="s">
        <v>4</v>
      </c>
    </row>
    <row r="518" spans="1:6">
      <c r="A518">
        <v>20200718</v>
      </c>
      <c r="B518">
        <v>126.8663749</v>
      </c>
      <c r="C518">
        <v>37.492704799999998</v>
      </c>
      <c r="D518" t="s">
        <v>150</v>
      </c>
      <c r="E518">
        <v>80</v>
      </c>
      <c r="F518" t="s">
        <v>4</v>
      </c>
    </row>
    <row r="519" spans="1:6">
      <c r="A519">
        <v>20200718</v>
      </c>
      <c r="B519">
        <v>126.8663749</v>
      </c>
      <c r="C519">
        <v>37.492704799999998</v>
      </c>
      <c r="D519" t="s">
        <v>219</v>
      </c>
      <c r="E519">
        <v>86</v>
      </c>
      <c r="F519" t="s">
        <v>4</v>
      </c>
    </row>
    <row r="520" spans="1:6">
      <c r="A520">
        <v>20200718</v>
      </c>
      <c r="B520">
        <v>126.8663749</v>
      </c>
      <c r="C520">
        <v>37.492704799999998</v>
      </c>
      <c r="D520" t="s">
        <v>100</v>
      </c>
      <c r="E520">
        <v>71</v>
      </c>
      <c r="F520" t="s">
        <v>4</v>
      </c>
    </row>
    <row r="521" spans="1:6">
      <c r="A521">
        <v>20200718</v>
      </c>
      <c r="B521">
        <v>126.8663749</v>
      </c>
      <c r="C521">
        <v>37.492704799999998</v>
      </c>
      <c r="D521" t="s">
        <v>198</v>
      </c>
      <c r="E521">
        <v>189</v>
      </c>
      <c r="F521" t="s">
        <v>4</v>
      </c>
    </row>
    <row r="522" spans="1:6">
      <c r="A522">
        <v>20200718</v>
      </c>
      <c r="B522">
        <v>126.8663749</v>
      </c>
      <c r="C522">
        <v>37.492704799999998</v>
      </c>
      <c r="D522" t="s">
        <v>190</v>
      </c>
      <c r="E522">
        <v>91</v>
      </c>
      <c r="F522" t="s">
        <v>4</v>
      </c>
    </row>
    <row r="523" spans="1:6">
      <c r="A523">
        <v>20200718</v>
      </c>
      <c r="B523">
        <v>126.8663749</v>
      </c>
      <c r="C523">
        <v>37.492704799999998</v>
      </c>
      <c r="D523" t="s">
        <v>72</v>
      </c>
      <c r="E523">
        <v>125</v>
      </c>
      <c r="F523" t="s">
        <v>4</v>
      </c>
    </row>
    <row r="524" spans="1:6">
      <c r="A524">
        <v>20200718</v>
      </c>
      <c r="B524">
        <v>126.8663749</v>
      </c>
      <c r="C524">
        <v>37.492704799999998</v>
      </c>
      <c r="D524" t="s">
        <v>186</v>
      </c>
      <c r="E524">
        <v>103</v>
      </c>
      <c r="F524" t="s">
        <v>4</v>
      </c>
    </row>
    <row r="525" spans="1:6">
      <c r="A525">
        <v>20200718</v>
      </c>
      <c r="B525">
        <v>126.8663749</v>
      </c>
      <c r="C525">
        <v>37.492704799999998</v>
      </c>
      <c r="D525" t="s">
        <v>137</v>
      </c>
      <c r="E525">
        <v>144</v>
      </c>
      <c r="F525" t="s">
        <v>4</v>
      </c>
    </row>
    <row r="526" spans="1:6">
      <c r="A526">
        <v>20200718</v>
      </c>
      <c r="B526">
        <v>126.8663749</v>
      </c>
      <c r="C526">
        <v>37.492704799999998</v>
      </c>
      <c r="D526" t="s">
        <v>130</v>
      </c>
      <c r="E526">
        <v>273</v>
      </c>
      <c r="F526" t="s">
        <v>4</v>
      </c>
    </row>
    <row r="527" spans="1:6">
      <c r="A527">
        <v>20200718</v>
      </c>
      <c r="B527">
        <v>126.8663749</v>
      </c>
      <c r="C527">
        <v>37.492704799999998</v>
      </c>
      <c r="D527" t="s">
        <v>129</v>
      </c>
      <c r="E527">
        <v>266</v>
      </c>
      <c r="F527" t="s">
        <v>4</v>
      </c>
    </row>
    <row r="528" spans="1:6">
      <c r="A528">
        <v>20200718</v>
      </c>
      <c r="B528">
        <v>126.8663749</v>
      </c>
      <c r="C528">
        <v>37.492704799999998</v>
      </c>
      <c r="D528" t="s">
        <v>78</v>
      </c>
      <c r="E528">
        <v>368</v>
      </c>
      <c r="F528" t="s">
        <v>4</v>
      </c>
    </row>
    <row r="529" spans="1:6">
      <c r="A529">
        <v>20200718</v>
      </c>
      <c r="B529">
        <v>126.8663749</v>
      </c>
      <c r="C529">
        <v>37.492704799999998</v>
      </c>
      <c r="D529" t="s">
        <v>134</v>
      </c>
      <c r="E529">
        <v>1075</v>
      </c>
      <c r="F529" t="s">
        <v>4</v>
      </c>
    </row>
    <row r="530" spans="1:6">
      <c r="A530">
        <v>20200718</v>
      </c>
      <c r="B530">
        <v>126.8663749</v>
      </c>
      <c r="C530">
        <v>37.492704799999998</v>
      </c>
      <c r="D530" t="s">
        <v>84</v>
      </c>
      <c r="E530">
        <v>712</v>
      </c>
      <c r="F530" t="s">
        <v>4</v>
      </c>
    </row>
    <row r="531" spans="1:6">
      <c r="A531">
        <v>20200718</v>
      </c>
      <c r="B531">
        <v>126.8663749</v>
      </c>
      <c r="C531">
        <v>37.492704799999998</v>
      </c>
      <c r="D531" t="s">
        <v>68</v>
      </c>
      <c r="E531">
        <v>1147</v>
      </c>
      <c r="F531" t="s">
        <v>4</v>
      </c>
    </row>
    <row r="532" spans="1:6">
      <c r="A532">
        <v>20200718</v>
      </c>
      <c r="B532">
        <v>126.8663749</v>
      </c>
      <c r="C532">
        <v>37.492704799999998</v>
      </c>
      <c r="D532" t="s">
        <v>216</v>
      </c>
      <c r="E532">
        <v>1238</v>
      </c>
      <c r="F532" t="s">
        <v>4</v>
      </c>
    </row>
    <row r="533" spans="1:6">
      <c r="A533">
        <v>20200718</v>
      </c>
      <c r="B533">
        <v>126.8663749</v>
      </c>
      <c r="C533">
        <v>37.492704799999998</v>
      </c>
      <c r="D533" t="s">
        <v>151</v>
      </c>
      <c r="E533">
        <v>1081</v>
      </c>
      <c r="F533" t="s">
        <v>4</v>
      </c>
    </row>
    <row r="534" spans="1:6">
      <c r="A534">
        <v>20200718</v>
      </c>
      <c r="B534">
        <v>126.8663749</v>
      </c>
      <c r="C534">
        <v>37.492704799999998</v>
      </c>
      <c r="D534" t="s">
        <v>195</v>
      </c>
      <c r="E534">
        <v>1215</v>
      </c>
      <c r="F534" t="s">
        <v>4</v>
      </c>
    </row>
    <row r="535" spans="1:6">
      <c r="A535">
        <v>20200718</v>
      </c>
      <c r="B535">
        <v>126.8663749</v>
      </c>
      <c r="C535">
        <v>37.492704799999998</v>
      </c>
      <c r="D535" t="s">
        <v>34</v>
      </c>
      <c r="E535">
        <v>1330</v>
      </c>
      <c r="F535" t="s">
        <v>4</v>
      </c>
    </row>
    <row r="536" spans="1:6">
      <c r="A536">
        <v>20200718</v>
      </c>
      <c r="B536">
        <v>126.8663749</v>
      </c>
      <c r="C536">
        <v>37.492704799999998</v>
      </c>
      <c r="D536" t="s">
        <v>64</v>
      </c>
      <c r="E536">
        <v>1435</v>
      </c>
      <c r="F536" t="s">
        <v>4</v>
      </c>
    </row>
    <row r="537" spans="1:6">
      <c r="A537">
        <v>20200718</v>
      </c>
      <c r="B537">
        <v>126.8663749</v>
      </c>
      <c r="C537">
        <v>37.492704799999998</v>
      </c>
      <c r="D537" t="s">
        <v>215</v>
      </c>
      <c r="E537">
        <v>6389</v>
      </c>
      <c r="F537" t="s">
        <v>4</v>
      </c>
    </row>
    <row r="538" spans="1:6">
      <c r="A538">
        <v>20200718</v>
      </c>
      <c r="B538">
        <v>126.8663749</v>
      </c>
      <c r="C538">
        <v>37.492704799999998</v>
      </c>
      <c r="D538" t="s">
        <v>175</v>
      </c>
      <c r="E538">
        <v>7843</v>
      </c>
      <c r="F538" t="s">
        <v>4</v>
      </c>
    </row>
    <row r="539" spans="1:6">
      <c r="A539">
        <v>20200718</v>
      </c>
      <c r="B539">
        <v>126.8663749</v>
      </c>
      <c r="C539">
        <v>37.492704799999998</v>
      </c>
      <c r="D539" t="s">
        <v>207</v>
      </c>
      <c r="E539">
        <v>14128</v>
      </c>
      <c r="F539" t="s">
        <v>4</v>
      </c>
    </row>
    <row r="540" spans="1:6">
      <c r="A540">
        <v>20200718</v>
      </c>
      <c r="B540">
        <v>126.8663749</v>
      </c>
      <c r="C540">
        <v>37.492704799999998</v>
      </c>
      <c r="D540" t="s">
        <v>87</v>
      </c>
      <c r="E540">
        <v>16280</v>
      </c>
      <c r="F540" t="s">
        <v>4</v>
      </c>
    </row>
    <row r="541" spans="1:6">
      <c r="A541">
        <v>20200718</v>
      </c>
      <c r="B541">
        <v>126.8446659</v>
      </c>
      <c r="C541">
        <v>37.420618699999999</v>
      </c>
      <c r="D541" t="s">
        <v>54</v>
      </c>
      <c r="E541">
        <v>81</v>
      </c>
      <c r="F541" t="s">
        <v>4</v>
      </c>
    </row>
    <row r="542" spans="1:6">
      <c r="A542">
        <v>20200718</v>
      </c>
      <c r="B542">
        <v>126.82462289999999</v>
      </c>
      <c r="C542">
        <v>37.470256399999997</v>
      </c>
      <c r="D542" t="s">
        <v>166</v>
      </c>
      <c r="E542">
        <v>20</v>
      </c>
      <c r="F542" t="s">
        <v>4</v>
      </c>
    </row>
    <row r="543" spans="1:6">
      <c r="A543">
        <v>20200718</v>
      </c>
      <c r="B543">
        <v>126.82462289999999</v>
      </c>
      <c r="C543">
        <v>37.470256399999997</v>
      </c>
      <c r="D543" t="s">
        <v>220</v>
      </c>
      <c r="E543">
        <v>23</v>
      </c>
      <c r="F543" t="s">
        <v>4</v>
      </c>
    </row>
    <row r="544" spans="1:6">
      <c r="A544">
        <v>20200718</v>
      </c>
      <c r="B544">
        <v>126.82462289999999</v>
      </c>
      <c r="C544">
        <v>37.470256399999997</v>
      </c>
      <c r="D544" t="s">
        <v>166</v>
      </c>
      <c r="E544">
        <v>30</v>
      </c>
      <c r="F544" t="s">
        <v>4</v>
      </c>
    </row>
    <row r="545" spans="1:6">
      <c r="A545">
        <v>20200718</v>
      </c>
      <c r="B545">
        <v>126.82462289999999</v>
      </c>
      <c r="C545">
        <v>37.470256399999997</v>
      </c>
      <c r="D545" t="s">
        <v>35</v>
      </c>
      <c r="E545">
        <v>41</v>
      </c>
      <c r="F545" t="s">
        <v>4</v>
      </c>
    </row>
    <row r="546" spans="1:6">
      <c r="A546">
        <v>20200718</v>
      </c>
      <c r="B546">
        <v>126.82462289999999</v>
      </c>
      <c r="C546">
        <v>37.470256399999997</v>
      </c>
      <c r="D546" t="s">
        <v>147</v>
      </c>
      <c r="E546">
        <v>48</v>
      </c>
      <c r="F546" t="s">
        <v>4</v>
      </c>
    </row>
    <row r="547" spans="1:6">
      <c r="A547">
        <v>20200718</v>
      </c>
      <c r="B547">
        <v>126.82462289999999</v>
      </c>
      <c r="C547">
        <v>37.470256399999997</v>
      </c>
      <c r="D547" t="s">
        <v>221</v>
      </c>
      <c r="E547">
        <v>49</v>
      </c>
      <c r="F547" t="s">
        <v>4</v>
      </c>
    </row>
    <row r="548" spans="1:6">
      <c r="A548">
        <v>20200718</v>
      </c>
      <c r="B548">
        <v>126.82462289999999</v>
      </c>
      <c r="C548">
        <v>37.470256399999997</v>
      </c>
      <c r="D548" t="s">
        <v>133</v>
      </c>
      <c r="E548">
        <v>52</v>
      </c>
      <c r="F548" t="s">
        <v>4</v>
      </c>
    </row>
    <row r="549" spans="1:6">
      <c r="A549">
        <v>20200718</v>
      </c>
      <c r="B549">
        <v>126.82462289999999</v>
      </c>
      <c r="C549">
        <v>37.470256399999997</v>
      </c>
      <c r="D549" t="s">
        <v>109</v>
      </c>
      <c r="E549">
        <v>52</v>
      </c>
      <c r="F549" t="s">
        <v>4</v>
      </c>
    </row>
    <row r="550" spans="1:6">
      <c r="A550">
        <v>20200718</v>
      </c>
      <c r="B550">
        <v>126.82462289999999</v>
      </c>
      <c r="C550">
        <v>37.470256399999997</v>
      </c>
      <c r="D550" t="s">
        <v>181</v>
      </c>
      <c r="E550">
        <v>53</v>
      </c>
      <c r="F550" t="s">
        <v>4</v>
      </c>
    </row>
    <row r="551" spans="1:6">
      <c r="A551">
        <v>20200718</v>
      </c>
      <c r="B551">
        <v>126.82462289999999</v>
      </c>
      <c r="C551">
        <v>37.470256399999997</v>
      </c>
      <c r="D551" t="s">
        <v>158</v>
      </c>
      <c r="E551">
        <v>71</v>
      </c>
      <c r="F551" t="s">
        <v>4</v>
      </c>
    </row>
    <row r="552" spans="1:6">
      <c r="A552">
        <v>20200718</v>
      </c>
      <c r="B552">
        <v>126.82462289999999</v>
      </c>
      <c r="C552">
        <v>37.470256399999997</v>
      </c>
      <c r="D552" t="s">
        <v>150</v>
      </c>
      <c r="E552">
        <v>73</v>
      </c>
      <c r="F552" t="s">
        <v>4</v>
      </c>
    </row>
    <row r="553" spans="1:6">
      <c r="A553">
        <v>20200718</v>
      </c>
      <c r="B553">
        <v>126.82462289999999</v>
      </c>
      <c r="C553">
        <v>37.470256399999997</v>
      </c>
      <c r="D553" t="s">
        <v>215</v>
      </c>
      <c r="E553">
        <v>77</v>
      </c>
      <c r="F553" t="s">
        <v>4</v>
      </c>
    </row>
    <row r="554" spans="1:6">
      <c r="A554">
        <v>20200718</v>
      </c>
      <c r="B554">
        <v>126.82462289999999</v>
      </c>
      <c r="C554">
        <v>37.470256399999997</v>
      </c>
      <c r="D554" t="s">
        <v>199</v>
      </c>
      <c r="E554">
        <v>95</v>
      </c>
      <c r="F554" t="s">
        <v>4</v>
      </c>
    </row>
    <row r="555" spans="1:6">
      <c r="A555">
        <v>20200718</v>
      </c>
      <c r="B555">
        <v>126.82462289999999</v>
      </c>
      <c r="C555">
        <v>37.470256399999997</v>
      </c>
      <c r="D555" t="s">
        <v>170</v>
      </c>
      <c r="E555">
        <v>96</v>
      </c>
      <c r="F555" t="s">
        <v>4</v>
      </c>
    </row>
    <row r="556" spans="1:6">
      <c r="A556">
        <v>20200718</v>
      </c>
      <c r="B556">
        <v>126.8772417</v>
      </c>
      <c r="C556">
        <v>37.474826299999997</v>
      </c>
      <c r="D556" s="2" t="s">
        <v>57</v>
      </c>
      <c r="E556">
        <v>13</v>
      </c>
      <c r="F556" t="s">
        <v>4</v>
      </c>
    </row>
    <row r="557" spans="1:6">
      <c r="A557">
        <v>20200718</v>
      </c>
      <c r="B557">
        <v>126.82462289999999</v>
      </c>
      <c r="C557">
        <v>37.470256399999997</v>
      </c>
      <c r="D557" t="s">
        <v>114</v>
      </c>
      <c r="E557">
        <v>147</v>
      </c>
      <c r="F557" t="s">
        <v>4</v>
      </c>
    </row>
    <row r="558" spans="1:6">
      <c r="A558">
        <v>20200718</v>
      </c>
      <c r="B558">
        <v>126.82462289999999</v>
      </c>
      <c r="C558">
        <v>37.470256399999997</v>
      </c>
      <c r="D558" t="s">
        <v>186</v>
      </c>
      <c r="E558">
        <v>195</v>
      </c>
      <c r="F558" t="s">
        <v>4</v>
      </c>
    </row>
    <row r="559" spans="1:6">
      <c r="A559">
        <v>20200718</v>
      </c>
      <c r="B559">
        <v>126.82462289999999</v>
      </c>
      <c r="C559">
        <v>37.470256399999997</v>
      </c>
      <c r="D559" t="s">
        <v>138</v>
      </c>
      <c r="E559">
        <v>476</v>
      </c>
      <c r="F559" t="s">
        <v>4</v>
      </c>
    </row>
    <row r="560" spans="1:6">
      <c r="A560">
        <v>20200718</v>
      </c>
      <c r="B560">
        <v>126.82462289999999</v>
      </c>
      <c r="C560">
        <v>37.470256399999997</v>
      </c>
      <c r="D560" t="s">
        <v>195</v>
      </c>
      <c r="E560">
        <v>286</v>
      </c>
      <c r="F560" t="s">
        <v>4</v>
      </c>
    </row>
    <row r="561" spans="1:6">
      <c r="A561">
        <v>20200718</v>
      </c>
      <c r="B561">
        <v>126.82462289999999</v>
      </c>
      <c r="C561">
        <v>37.470256399999997</v>
      </c>
      <c r="D561" t="s">
        <v>130</v>
      </c>
      <c r="E561">
        <v>493</v>
      </c>
      <c r="F561" t="s">
        <v>4</v>
      </c>
    </row>
    <row r="562" spans="1:6">
      <c r="A562">
        <v>20200718</v>
      </c>
      <c r="B562">
        <v>126.82462289999999</v>
      </c>
      <c r="C562">
        <v>37.470256399999997</v>
      </c>
      <c r="D562" t="s">
        <v>68</v>
      </c>
      <c r="E562">
        <v>701</v>
      </c>
      <c r="F562" t="s">
        <v>4</v>
      </c>
    </row>
    <row r="563" spans="1:6">
      <c r="A563">
        <v>20200718</v>
      </c>
      <c r="B563">
        <v>126.82462289999999</v>
      </c>
      <c r="C563">
        <v>37.470256399999997</v>
      </c>
      <c r="D563" t="s">
        <v>134</v>
      </c>
      <c r="E563">
        <v>1680</v>
      </c>
      <c r="F563" t="s">
        <v>4</v>
      </c>
    </row>
    <row r="564" spans="1:6">
      <c r="A564">
        <v>20200718</v>
      </c>
      <c r="B564">
        <v>126.82462289999999</v>
      </c>
      <c r="C564">
        <v>37.470256399999997</v>
      </c>
      <c r="D564" t="s">
        <v>151</v>
      </c>
      <c r="E564">
        <v>959</v>
      </c>
      <c r="F564" t="s">
        <v>4</v>
      </c>
    </row>
    <row r="565" spans="1:6">
      <c r="A565">
        <v>20200718</v>
      </c>
      <c r="B565">
        <v>126.82462289999999</v>
      </c>
      <c r="C565">
        <v>37.470256399999997</v>
      </c>
      <c r="D565" t="s">
        <v>64</v>
      </c>
      <c r="E565">
        <v>1131</v>
      </c>
      <c r="F565" t="s">
        <v>4</v>
      </c>
    </row>
    <row r="566" spans="1:6">
      <c r="A566">
        <v>20200718</v>
      </c>
      <c r="B566">
        <v>126.82462289999999</v>
      </c>
      <c r="C566">
        <v>37.470256399999997</v>
      </c>
      <c r="D566" t="s">
        <v>137</v>
      </c>
      <c r="E566">
        <v>1111</v>
      </c>
      <c r="F566" t="s">
        <v>4</v>
      </c>
    </row>
    <row r="567" spans="1:6">
      <c r="A567">
        <v>20200718</v>
      </c>
      <c r="B567">
        <v>126.82462289999999</v>
      </c>
      <c r="C567">
        <v>37.470256399999997</v>
      </c>
      <c r="D567" t="s">
        <v>175</v>
      </c>
      <c r="E567">
        <v>4636</v>
      </c>
      <c r="F567" t="s">
        <v>4</v>
      </c>
    </row>
    <row r="568" spans="1:6">
      <c r="A568">
        <v>20200718</v>
      </c>
      <c r="B568">
        <v>126.82462289999999</v>
      </c>
      <c r="C568">
        <v>37.470256399999997</v>
      </c>
      <c r="D568" t="s">
        <v>219</v>
      </c>
      <c r="E568">
        <v>5951</v>
      </c>
      <c r="F568" t="s">
        <v>4</v>
      </c>
    </row>
    <row r="569" spans="1:6">
      <c r="A569">
        <v>20200718</v>
      </c>
      <c r="B569">
        <v>126.82462289999999</v>
      </c>
      <c r="C569">
        <v>37.470256399999997</v>
      </c>
      <c r="D569" t="s">
        <v>87</v>
      </c>
      <c r="E569">
        <v>14001</v>
      </c>
      <c r="F569" t="s">
        <v>4</v>
      </c>
    </row>
    <row r="570" spans="1:6">
      <c r="A570">
        <v>20200718</v>
      </c>
      <c r="B570">
        <v>126.82462289999999</v>
      </c>
      <c r="C570">
        <v>37.470256399999997</v>
      </c>
      <c r="D570" t="s">
        <v>207</v>
      </c>
      <c r="E570">
        <v>30803</v>
      </c>
      <c r="F570" t="s">
        <v>4</v>
      </c>
    </row>
    <row r="571" spans="1:6">
      <c r="A571">
        <v>20200718</v>
      </c>
      <c r="B571">
        <v>126.8343934</v>
      </c>
      <c r="C571">
        <v>37.4648574</v>
      </c>
      <c r="D571" t="s">
        <v>111</v>
      </c>
      <c r="E571">
        <v>12</v>
      </c>
      <c r="F571" t="s">
        <v>4</v>
      </c>
    </row>
    <row r="572" spans="1:6">
      <c r="A572">
        <v>20200718</v>
      </c>
      <c r="B572">
        <v>126.8343934</v>
      </c>
      <c r="C572">
        <v>37.4648574</v>
      </c>
      <c r="D572" t="s">
        <v>179</v>
      </c>
      <c r="E572">
        <v>16</v>
      </c>
      <c r="F572" t="s">
        <v>4</v>
      </c>
    </row>
    <row r="573" spans="1:6">
      <c r="A573">
        <v>20200718</v>
      </c>
      <c r="B573">
        <v>126.8663749</v>
      </c>
      <c r="C573">
        <v>37.492704799999998</v>
      </c>
      <c r="D573" t="s">
        <v>58</v>
      </c>
      <c r="E573">
        <v>51</v>
      </c>
      <c r="F573" t="s">
        <v>4</v>
      </c>
    </row>
    <row r="574" spans="1:6">
      <c r="A574">
        <v>20200718</v>
      </c>
      <c r="B574">
        <v>126.8343934</v>
      </c>
      <c r="C574">
        <v>37.4648574</v>
      </c>
      <c r="D574" t="s">
        <v>181</v>
      </c>
      <c r="E574">
        <v>18</v>
      </c>
      <c r="F574" t="s">
        <v>4</v>
      </c>
    </row>
    <row r="575" spans="1:6">
      <c r="A575">
        <v>20200718</v>
      </c>
      <c r="B575">
        <v>126.8343934</v>
      </c>
      <c r="C575">
        <v>37.4648574</v>
      </c>
      <c r="D575" t="s">
        <v>108</v>
      </c>
      <c r="E575">
        <v>20</v>
      </c>
      <c r="F575" t="s">
        <v>4</v>
      </c>
    </row>
    <row r="576" spans="1:6">
      <c r="A576">
        <v>20200718</v>
      </c>
      <c r="B576">
        <v>126.8343934</v>
      </c>
      <c r="C576">
        <v>37.4648574</v>
      </c>
      <c r="D576" t="s">
        <v>138</v>
      </c>
      <c r="E576">
        <v>23</v>
      </c>
      <c r="F576" t="s">
        <v>4</v>
      </c>
    </row>
    <row r="577" spans="1:6">
      <c r="A577">
        <v>20200718</v>
      </c>
      <c r="B577">
        <v>126.8343934</v>
      </c>
      <c r="C577">
        <v>37.4648574</v>
      </c>
      <c r="D577" t="s">
        <v>113</v>
      </c>
      <c r="E577">
        <v>25</v>
      </c>
      <c r="F577" t="s">
        <v>4</v>
      </c>
    </row>
    <row r="578" spans="1:6">
      <c r="A578">
        <v>20200718</v>
      </c>
      <c r="B578">
        <v>126.8428368</v>
      </c>
      <c r="C578">
        <v>37.4677784</v>
      </c>
      <c r="D578" t="s">
        <v>59</v>
      </c>
      <c r="E578">
        <v>53</v>
      </c>
      <c r="F578" t="s">
        <v>4</v>
      </c>
    </row>
    <row r="579" spans="1:6">
      <c r="A579">
        <v>20200718</v>
      </c>
      <c r="B579">
        <v>126.8343934</v>
      </c>
      <c r="C579">
        <v>37.4648574</v>
      </c>
      <c r="D579" t="s">
        <v>100</v>
      </c>
      <c r="E579">
        <v>41</v>
      </c>
      <c r="F579" t="s">
        <v>4</v>
      </c>
    </row>
    <row r="580" spans="1:6">
      <c r="A580">
        <v>20200718</v>
      </c>
      <c r="B580">
        <v>126.8343934</v>
      </c>
      <c r="C580">
        <v>37.4648574</v>
      </c>
      <c r="D580" t="s">
        <v>150</v>
      </c>
      <c r="E580">
        <v>50</v>
      </c>
      <c r="F580" t="s">
        <v>4</v>
      </c>
    </row>
    <row r="581" spans="1:6">
      <c r="A581">
        <v>20200718</v>
      </c>
      <c r="B581">
        <v>126.8343934</v>
      </c>
      <c r="C581">
        <v>37.4648574</v>
      </c>
      <c r="D581" t="s">
        <v>166</v>
      </c>
      <c r="E581">
        <v>54</v>
      </c>
      <c r="F581" t="s">
        <v>4</v>
      </c>
    </row>
    <row r="582" spans="1:6">
      <c r="A582">
        <v>20200718</v>
      </c>
      <c r="B582">
        <v>126.8343934</v>
      </c>
      <c r="C582">
        <v>37.4648574</v>
      </c>
      <c r="D582" t="s">
        <v>215</v>
      </c>
      <c r="E582">
        <v>67</v>
      </c>
      <c r="F582" t="s">
        <v>4</v>
      </c>
    </row>
    <row r="583" spans="1:6">
      <c r="A583">
        <v>20200718</v>
      </c>
      <c r="B583">
        <v>126.8343934</v>
      </c>
      <c r="C583">
        <v>37.4648574</v>
      </c>
      <c r="D583" t="s">
        <v>133</v>
      </c>
      <c r="E583">
        <v>189</v>
      </c>
      <c r="F583" t="s">
        <v>4</v>
      </c>
    </row>
    <row r="584" spans="1:6">
      <c r="A584">
        <v>20200718</v>
      </c>
      <c r="B584">
        <v>126.8343934</v>
      </c>
      <c r="C584">
        <v>37.4648574</v>
      </c>
      <c r="D584" t="s">
        <v>132</v>
      </c>
      <c r="E584">
        <v>171</v>
      </c>
      <c r="F584" t="s">
        <v>4</v>
      </c>
    </row>
    <row r="585" spans="1:6">
      <c r="A585">
        <v>20200718</v>
      </c>
      <c r="B585">
        <v>126.8343934</v>
      </c>
      <c r="C585">
        <v>37.4648574</v>
      </c>
      <c r="D585" t="s">
        <v>15</v>
      </c>
      <c r="E585">
        <v>267</v>
      </c>
      <c r="F585" t="s">
        <v>4</v>
      </c>
    </row>
    <row r="586" spans="1:6">
      <c r="A586">
        <v>20200718</v>
      </c>
      <c r="B586">
        <v>126.8343934</v>
      </c>
      <c r="C586">
        <v>37.4648574</v>
      </c>
      <c r="D586" t="s">
        <v>134</v>
      </c>
      <c r="E586">
        <v>450</v>
      </c>
      <c r="F586" t="s">
        <v>4</v>
      </c>
    </row>
    <row r="587" spans="1:6">
      <c r="A587">
        <v>20200718</v>
      </c>
      <c r="B587">
        <v>126.8343934</v>
      </c>
      <c r="C587">
        <v>37.4648574</v>
      </c>
      <c r="D587" t="s">
        <v>130</v>
      </c>
      <c r="E587">
        <v>522</v>
      </c>
      <c r="F587" t="s">
        <v>4</v>
      </c>
    </row>
    <row r="588" spans="1:6">
      <c r="A588">
        <v>20200718</v>
      </c>
      <c r="B588">
        <v>126.8343934</v>
      </c>
      <c r="C588">
        <v>37.4648574</v>
      </c>
      <c r="D588" t="s">
        <v>137</v>
      </c>
      <c r="E588">
        <v>301</v>
      </c>
      <c r="F588" t="s">
        <v>4</v>
      </c>
    </row>
    <row r="589" spans="1:6">
      <c r="A589">
        <v>20200718</v>
      </c>
      <c r="B589">
        <v>126.8343934</v>
      </c>
      <c r="C589">
        <v>37.4648574</v>
      </c>
      <c r="D589" t="s">
        <v>195</v>
      </c>
      <c r="E589">
        <v>329</v>
      </c>
      <c r="F589" t="s">
        <v>4</v>
      </c>
    </row>
    <row r="590" spans="1:6">
      <c r="A590">
        <v>20200718</v>
      </c>
      <c r="B590">
        <v>126.8343934</v>
      </c>
      <c r="C590">
        <v>37.4648574</v>
      </c>
      <c r="D590" t="s">
        <v>151</v>
      </c>
      <c r="E590">
        <v>519</v>
      </c>
      <c r="F590" t="s">
        <v>4</v>
      </c>
    </row>
    <row r="591" spans="1:6">
      <c r="A591">
        <v>20200718</v>
      </c>
      <c r="B591">
        <v>126.8343934</v>
      </c>
      <c r="C591">
        <v>37.4648574</v>
      </c>
      <c r="D591" t="s">
        <v>68</v>
      </c>
      <c r="E591">
        <v>521</v>
      </c>
      <c r="F591" t="s">
        <v>4</v>
      </c>
    </row>
    <row r="592" spans="1:6">
      <c r="A592">
        <v>20200718</v>
      </c>
      <c r="B592">
        <v>126.8343934</v>
      </c>
      <c r="C592">
        <v>37.4648574</v>
      </c>
      <c r="D592" t="s">
        <v>64</v>
      </c>
      <c r="E592">
        <v>513</v>
      </c>
      <c r="F592" t="s">
        <v>4</v>
      </c>
    </row>
    <row r="593" spans="1:6">
      <c r="A593">
        <v>20200718</v>
      </c>
      <c r="B593">
        <v>126.8343934</v>
      </c>
      <c r="C593">
        <v>37.4648574</v>
      </c>
      <c r="D593" t="s">
        <v>219</v>
      </c>
      <c r="E593">
        <v>661</v>
      </c>
      <c r="F593" t="s">
        <v>4</v>
      </c>
    </row>
    <row r="594" spans="1:6">
      <c r="A594">
        <v>20200718</v>
      </c>
      <c r="B594">
        <v>126.8343934</v>
      </c>
      <c r="C594">
        <v>37.4648574</v>
      </c>
      <c r="D594" t="s">
        <v>186</v>
      </c>
      <c r="E594">
        <v>685</v>
      </c>
      <c r="F594" t="s">
        <v>4</v>
      </c>
    </row>
    <row r="595" spans="1:6">
      <c r="A595">
        <v>20200718</v>
      </c>
      <c r="B595">
        <v>126.8343934</v>
      </c>
      <c r="C595">
        <v>37.4648574</v>
      </c>
      <c r="D595" t="s">
        <v>166</v>
      </c>
      <c r="E595">
        <v>2324</v>
      </c>
      <c r="F595" t="s">
        <v>4</v>
      </c>
    </row>
    <row r="596" spans="1:6">
      <c r="A596">
        <v>20200718</v>
      </c>
      <c r="B596">
        <v>126.8343934</v>
      </c>
      <c r="C596">
        <v>37.4648574</v>
      </c>
      <c r="D596" t="s">
        <v>175</v>
      </c>
      <c r="E596">
        <v>3360</v>
      </c>
      <c r="F596" t="s">
        <v>4</v>
      </c>
    </row>
    <row r="597" spans="1:6">
      <c r="A597">
        <v>20200718</v>
      </c>
      <c r="B597">
        <v>126.8343934</v>
      </c>
      <c r="C597">
        <v>37.4648574</v>
      </c>
      <c r="D597" t="s">
        <v>87</v>
      </c>
      <c r="E597">
        <v>5931</v>
      </c>
      <c r="F597" t="s">
        <v>4</v>
      </c>
    </row>
    <row r="598" spans="1:6">
      <c r="A598">
        <v>20200718</v>
      </c>
      <c r="B598">
        <v>126.8343934</v>
      </c>
      <c r="C598">
        <v>37.4648574</v>
      </c>
      <c r="D598" t="s">
        <v>78</v>
      </c>
      <c r="E598">
        <v>9588</v>
      </c>
      <c r="F598" t="s">
        <v>4</v>
      </c>
    </row>
    <row r="599" spans="1:6">
      <c r="A599">
        <v>20200718</v>
      </c>
      <c r="B599">
        <v>126.8343934</v>
      </c>
      <c r="C599">
        <v>37.4648574</v>
      </c>
      <c r="D599" t="s">
        <v>221</v>
      </c>
      <c r="E599">
        <v>12638</v>
      </c>
      <c r="F599" t="s">
        <v>4</v>
      </c>
    </row>
    <row r="600" spans="1:6">
      <c r="A600">
        <v>20200718</v>
      </c>
      <c r="B600">
        <v>126.8343934</v>
      </c>
      <c r="C600">
        <v>37.4648574</v>
      </c>
      <c r="D600" t="s">
        <v>158</v>
      </c>
      <c r="E600">
        <v>15514</v>
      </c>
      <c r="F600" t="s">
        <v>4</v>
      </c>
    </row>
    <row r="601" spans="1:6">
      <c r="A601">
        <v>20200718</v>
      </c>
      <c r="B601">
        <v>126.8343934</v>
      </c>
      <c r="C601">
        <v>37.4648574</v>
      </c>
      <c r="D601" t="s">
        <v>207</v>
      </c>
      <c r="E601">
        <v>18230</v>
      </c>
      <c r="F601" t="s">
        <v>4</v>
      </c>
    </row>
    <row r="602" spans="1:6">
      <c r="A602">
        <v>20200718</v>
      </c>
      <c r="B602">
        <v>126.9187098</v>
      </c>
      <c r="C602">
        <v>37.431417699999997</v>
      </c>
      <c r="D602" t="s">
        <v>87</v>
      </c>
      <c r="E602">
        <v>13</v>
      </c>
      <c r="F602" t="s">
        <v>4</v>
      </c>
    </row>
    <row r="603" spans="1:6">
      <c r="A603">
        <v>20200718</v>
      </c>
      <c r="B603">
        <v>126.9187098</v>
      </c>
      <c r="C603">
        <v>37.431417699999997</v>
      </c>
      <c r="D603" t="s">
        <v>219</v>
      </c>
      <c r="E603">
        <v>1650</v>
      </c>
      <c r="F603" t="s">
        <v>4</v>
      </c>
    </row>
    <row r="604" spans="1:6">
      <c r="A604">
        <v>20200718</v>
      </c>
      <c r="B604">
        <v>126.9187098</v>
      </c>
      <c r="C604">
        <v>37.431417699999997</v>
      </c>
      <c r="D604" t="s">
        <v>158</v>
      </c>
      <c r="E604">
        <v>11804</v>
      </c>
      <c r="F604" t="s">
        <v>4</v>
      </c>
    </row>
    <row r="605" spans="1:6">
      <c r="A605">
        <v>20200718</v>
      </c>
      <c r="B605">
        <v>126.9187098</v>
      </c>
      <c r="C605">
        <v>37.431417699999997</v>
      </c>
      <c r="D605" t="s">
        <v>147</v>
      </c>
      <c r="E605">
        <v>44175</v>
      </c>
      <c r="F605" t="s">
        <v>4</v>
      </c>
    </row>
    <row r="606" spans="1:6">
      <c r="A606">
        <v>20200718</v>
      </c>
      <c r="B606">
        <v>126.9350989</v>
      </c>
      <c r="C606">
        <v>37.419096199999998</v>
      </c>
      <c r="D606" t="s">
        <v>147</v>
      </c>
      <c r="E606">
        <v>79788</v>
      </c>
      <c r="F606" t="s">
        <v>4</v>
      </c>
    </row>
    <row r="607" spans="1:6">
      <c r="A607">
        <v>20200718</v>
      </c>
      <c r="B607">
        <v>126.92050639999999</v>
      </c>
      <c r="C607">
        <v>37.418606500000003</v>
      </c>
      <c r="D607" t="s">
        <v>134</v>
      </c>
      <c r="E607">
        <v>117</v>
      </c>
      <c r="F607" t="s">
        <v>4</v>
      </c>
    </row>
    <row r="608" spans="1:6">
      <c r="A608">
        <v>20200718</v>
      </c>
      <c r="B608">
        <v>126.92050639999999</v>
      </c>
      <c r="C608">
        <v>37.418606500000003</v>
      </c>
      <c r="D608" t="s">
        <v>87</v>
      </c>
      <c r="E608">
        <v>102</v>
      </c>
      <c r="F608" t="s">
        <v>4</v>
      </c>
    </row>
    <row r="609" spans="1:6">
      <c r="A609">
        <v>20200718</v>
      </c>
      <c r="B609">
        <v>126.92050639999999</v>
      </c>
      <c r="C609">
        <v>37.418606500000003</v>
      </c>
      <c r="D609" t="s">
        <v>64</v>
      </c>
      <c r="E609">
        <v>243</v>
      </c>
      <c r="F609" t="s">
        <v>4</v>
      </c>
    </row>
    <row r="610" spans="1:6">
      <c r="A610">
        <v>20200718</v>
      </c>
      <c r="B610">
        <v>126.8446659</v>
      </c>
      <c r="C610">
        <v>37.420618699999999</v>
      </c>
      <c r="D610" t="s">
        <v>61</v>
      </c>
      <c r="E610">
        <v>1743</v>
      </c>
      <c r="F610" t="s">
        <v>4</v>
      </c>
    </row>
    <row r="611" spans="1:6">
      <c r="A611">
        <v>20200718</v>
      </c>
      <c r="B611">
        <v>126.92050639999999</v>
      </c>
      <c r="C611">
        <v>37.418606500000003</v>
      </c>
      <c r="D611" t="s">
        <v>158</v>
      </c>
      <c r="E611">
        <v>814</v>
      </c>
      <c r="F611" t="s">
        <v>4</v>
      </c>
    </row>
    <row r="612" spans="1:6">
      <c r="A612">
        <v>20200718</v>
      </c>
      <c r="B612">
        <v>126.92050639999999</v>
      </c>
      <c r="C612">
        <v>37.418606500000003</v>
      </c>
      <c r="D612" t="s">
        <v>74</v>
      </c>
      <c r="E612">
        <v>1747</v>
      </c>
      <c r="F612" t="s">
        <v>4</v>
      </c>
    </row>
    <row r="613" spans="1:6">
      <c r="A613">
        <v>20200718</v>
      </c>
      <c r="B613">
        <v>126.92050639999999</v>
      </c>
      <c r="C613">
        <v>37.418606500000003</v>
      </c>
      <c r="D613" t="s">
        <v>144</v>
      </c>
      <c r="E613">
        <v>814</v>
      </c>
      <c r="F613" t="s">
        <v>4</v>
      </c>
    </row>
    <row r="614" spans="1:6">
      <c r="A614">
        <v>20200718</v>
      </c>
      <c r="B614">
        <v>126.92050639999999</v>
      </c>
      <c r="C614">
        <v>37.418606500000003</v>
      </c>
      <c r="D614" t="s">
        <v>137</v>
      </c>
      <c r="E614">
        <v>1325</v>
      </c>
      <c r="F614" t="s">
        <v>4</v>
      </c>
    </row>
    <row r="615" spans="1:6">
      <c r="A615">
        <v>20200718</v>
      </c>
      <c r="B615">
        <v>126.92050639999999</v>
      </c>
      <c r="C615">
        <v>37.418606500000003</v>
      </c>
      <c r="D615" t="s">
        <v>147</v>
      </c>
      <c r="E615">
        <v>4661</v>
      </c>
      <c r="F615" t="s">
        <v>4</v>
      </c>
    </row>
    <row r="616" spans="1:6">
      <c r="A616">
        <v>20200718</v>
      </c>
      <c r="B616">
        <v>126.92050639999999</v>
      </c>
      <c r="C616">
        <v>37.418606500000003</v>
      </c>
      <c r="D616" t="s">
        <v>219</v>
      </c>
      <c r="E616">
        <v>10778</v>
      </c>
      <c r="F616" t="s">
        <v>4</v>
      </c>
    </row>
    <row r="617" spans="1:6">
      <c r="A617">
        <v>20200718</v>
      </c>
      <c r="B617">
        <v>126.92050639999999</v>
      </c>
      <c r="C617">
        <v>37.418606500000003</v>
      </c>
      <c r="D617" t="s">
        <v>175</v>
      </c>
      <c r="E617">
        <v>8897</v>
      </c>
      <c r="F617" t="s">
        <v>4</v>
      </c>
    </row>
    <row r="618" spans="1:6">
      <c r="A618">
        <v>20200718</v>
      </c>
      <c r="B618">
        <v>126.92050639999999</v>
      </c>
      <c r="C618">
        <v>37.418606500000003</v>
      </c>
      <c r="D618" t="s">
        <v>89</v>
      </c>
      <c r="E618">
        <v>39490</v>
      </c>
      <c r="F618" t="s">
        <v>4</v>
      </c>
    </row>
    <row r="619" spans="1:6">
      <c r="A619">
        <v>20200718</v>
      </c>
      <c r="B619">
        <v>126.83793110000001</v>
      </c>
      <c r="C619">
        <v>37.441797600000001</v>
      </c>
      <c r="D619" t="s">
        <v>61</v>
      </c>
      <c r="E619">
        <v>134</v>
      </c>
      <c r="F619" t="s">
        <v>4</v>
      </c>
    </row>
    <row r="620" spans="1:6">
      <c r="A620">
        <v>20200718</v>
      </c>
      <c r="B620">
        <v>126.9070155</v>
      </c>
      <c r="C620">
        <v>37.385953200000003</v>
      </c>
      <c r="D620" t="s">
        <v>198</v>
      </c>
      <c r="E620">
        <v>189</v>
      </c>
      <c r="F620" t="s">
        <v>4</v>
      </c>
    </row>
    <row r="621" spans="1:6">
      <c r="A621">
        <v>20200718</v>
      </c>
      <c r="B621">
        <v>126.99657019999999</v>
      </c>
      <c r="C621">
        <v>37.389118600000003</v>
      </c>
      <c r="D621" t="s">
        <v>62</v>
      </c>
      <c r="E621">
        <v>17</v>
      </c>
      <c r="F621" t="s">
        <v>4</v>
      </c>
    </row>
    <row r="622" spans="1:6">
      <c r="A622">
        <v>20200718</v>
      </c>
      <c r="B622">
        <v>126.9070155</v>
      </c>
      <c r="C622">
        <v>37.385953200000003</v>
      </c>
      <c r="D622" t="s">
        <v>132</v>
      </c>
      <c r="E622">
        <v>314</v>
      </c>
      <c r="F622" t="s">
        <v>4</v>
      </c>
    </row>
    <row r="623" spans="1:6">
      <c r="A623">
        <v>20200718</v>
      </c>
      <c r="B623">
        <v>126.9070155</v>
      </c>
      <c r="C623">
        <v>37.385953200000003</v>
      </c>
      <c r="D623" t="s">
        <v>158</v>
      </c>
      <c r="E623">
        <v>581</v>
      </c>
      <c r="F623" t="s">
        <v>4</v>
      </c>
    </row>
    <row r="624" spans="1:6">
      <c r="A624">
        <v>20200718</v>
      </c>
      <c r="B624">
        <v>126.9070155</v>
      </c>
      <c r="C624">
        <v>37.385953200000003</v>
      </c>
      <c r="D624" t="s">
        <v>137</v>
      </c>
      <c r="E624">
        <v>8412</v>
      </c>
      <c r="F624" t="s">
        <v>4</v>
      </c>
    </row>
    <row r="625" spans="1:6">
      <c r="A625">
        <v>20200718</v>
      </c>
      <c r="B625">
        <v>126.9070155</v>
      </c>
      <c r="C625">
        <v>37.385953200000003</v>
      </c>
      <c r="D625" t="s">
        <v>147</v>
      </c>
      <c r="E625">
        <v>49584</v>
      </c>
      <c r="F625" t="s">
        <v>4</v>
      </c>
    </row>
    <row r="626" spans="1:6">
      <c r="A626">
        <v>20200718</v>
      </c>
      <c r="B626">
        <v>126.8772417</v>
      </c>
      <c r="C626">
        <v>37.474826299999997</v>
      </c>
      <c r="D626" t="s">
        <v>268</v>
      </c>
      <c r="E626">
        <v>35</v>
      </c>
      <c r="F626" t="s">
        <v>4</v>
      </c>
    </row>
    <row r="627" spans="1:6">
      <c r="A627">
        <v>20200718</v>
      </c>
      <c r="B627">
        <v>126.99657019999999</v>
      </c>
      <c r="C627">
        <v>37.389118600000003</v>
      </c>
      <c r="D627" t="s">
        <v>134</v>
      </c>
      <c r="E627">
        <v>116</v>
      </c>
      <c r="F627" t="s">
        <v>4</v>
      </c>
    </row>
    <row r="628" spans="1:6">
      <c r="A628">
        <v>20200718</v>
      </c>
      <c r="B628">
        <v>126.99657019999999</v>
      </c>
      <c r="C628">
        <v>37.389118600000003</v>
      </c>
      <c r="D628" t="s">
        <v>220</v>
      </c>
      <c r="E628">
        <v>102</v>
      </c>
      <c r="F628" t="s">
        <v>4</v>
      </c>
    </row>
    <row r="629" spans="1:6">
      <c r="A629">
        <v>20200718</v>
      </c>
      <c r="B629">
        <v>126.99657019999999</v>
      </c>
      <c r="C629">
        <v>37.389118600000003</v>
      </c>
      <c r="D629" t="s">
        <v>87</v>
      </c>
      <c r="E629">
        <v>152</v>
      </c>
      <c r="F629" t="s">
        <v>4</v>
      </c>
    </row>
    <row r="630" spans="1:6">
      <c r="A630">
        <v>20200718</v>
      </c>
      <c r="B630">
        <v>126.99657019999999</v>
      </c>
      <c r="C630">
        <v>37.389118600000003</v>
      </c>
      <c r="D630" t="s">
        <v>35</v>
      </c>
      <c r="E630">
        <v>379</v>
      </c>
      <c r="F630" t="s">
        <v>4</v>
      </c>
    </row>
    <row r="631" spans="1:6">
      <c r="A631">
        <v>20200718</v>
      </c>
      <c r="B631">
        <v>126.87060049999999</v>
      </c>
      <c r="C631">
        <v>37.492184199999997</v>
      </c>
      <c r="D631" t="s">
        <v>270</v>
      </c>
      <c r="E631">
        <v>140</v>
      </c>
      <c r="F631" t="s">
        <v>4</v>
      </c>
    </row>
    <row r="632" spans="1:6">
      <c r="A632">
        <v>20200718</v>
      </c>
      <c r="B632">
        <v>126.99657019999999</v>
      </c>
      <c r="C632">
        <v>37.389118600000003</v>
      </c>
      <c r="D632" t="s">
        <v>122</v>
      </c>
      <c r="E632">
        <v>850</v>
      </c>
      <c r="F632" t="s">
        <v>4</v>
      </c>
    </row>
    <row r="633" spans="1:6">
      <c r="A633">
        <v>20200718</v>
      </c>
      <c r="B633">
        <v>126.99657019999999</v>
      </c>
      <c r="C633">
        <v>37.389118600000003</v>
      </c>
      <c r="D633" t="s">
        <v>198</v>
      </c>
      <c r="E633">
        <v>1598</v>
      </c>
      <c r="F633" t="s">
        <v>4</v>
      </c>
    </row>
    <row r="634" spans="1:6">
      <c r="A634">
        <v>20200718</v>
      </c>
      <c r="B634">
        <v>126.99657019999999</v>
      </c>
      <c r="C634">
        <v>37.389118600000003</v>
      </c>
      <c r="D634" t="s">
        <v>137</v>
      </c>
      <c r="E634">
        <v>4705</v>
      </c>
      <c r="F634" t="s">
        <v>4</v>
      </c>
    </row>
    <row r="635" spans="1:6">
      <c r="A635">
        <v>20200718</v>
      </c>
      <c r="B635">
        <v>126.99657019999999</v>
      </c>
      <c r="C635">
        <v>37.389118600000003</v>
      </c>
      <c r="D635" t="s">
        <v>219</v>
      </c>
      <c r="E635">
        <v>8466</v>
      </c>
      <c r="F635" t="s">
        <v>4</v>
      </c>
    </row>
    <row r="636" spans="1:6">
      <c r="A636">
        <v>20200718</v>
      </c>
      <c r="B636">
        <v>126.99657019999999</v>
      </c>
      <c r="C636">
        <v>37.389118600000003</v>
      </c>
      <c r="D636" t="s">
        <v>64</v>
      </c>
      <c r="E636">
        <v>8971</v>
      </c>
      <c r="F636" t="s">
        <v>4</v>
      </c>
    </row>
    <row r="637" spans="1:6">
      <c r="A637">
        <v>20200718</v>
      </c>
      <c r="B637">
        <v>126.99657019999999</v>
      </c>
      <c r="C637">
        <v>37.389118600000003</v>
      </c>
      <c r="D637" t="s">
        <v>175</v>
      </c>
      <c r="E637">
        <v>10277</v>
      </c>
      <c r="F637" t="s">
        <v>4</v>
      </c>
    </row>
    <row r="638" spans="1:6">
      <c r="A638">
        <v>20200718</v>
      </c>
      <c r="B638">
        <v>126.99657019999999</v>
      </c>
      <c r="C638">
        <v>37.389118600000003</v>
      </c>
      <c r="D638" t="s">
        <v>147</v>
      </c>
      <c r="E638">
        <v>12955</v>
      </c>
      <c r="F638" t="s">
        <v>4</v>
      </c>
    </row>
    <row r="639" spans="1:6">
      <c r="A639">
        <v>20200718</v>
      </c>
      <c r="B639">
        <v>126.970473</v>
      </c>
      <c r="C639">
        <v>37.401905599999999</v>
      </c>
      <c r="D639" t="s">
        <v>151</v>
      </c>
      <c r="E639">
        <v>20</v>
      </c>
      <c r="F639" t="s">
        <v>4</v>
      </c>
    </row>
    <row r="640" spans="1:6">
      <c r="A640">
        <v>20200718</v>
      </c>
      <c r="B640">
        <v>126.970473</v>
      </c>
      <c r="C640">
        <v>37.401905599999999</v>
      </c>
      <c r="D640" t="s">
        <v>220</v>
      </c>
      <c r="E640">
        <v>21</v>
      </c>
      <c r="F640" t="s">
        <v>4</v>
      </c>
    </row>
    <row r="641" spans="1:6">
      <c r="A641">
        <v>20200718</v>
      </c>
      <c r="B641">
        <v>126.970473</v>
      </c>
      <c r="C641">
        <v>37.401905599999999</v>
      </c>
      <c r="D641" t="s">
        <v>138</v>
      </c>
      <c r="E641">
        <v>23</v>
      </c>
      <c r="F641" t="s">
        <v>4</v>
      </c>
    </row>
    <row r="642" spans="1:6">
      <c r="A642">
        <v>20200718</v>
      </c>
      <c r="B642">
        <v>126.970473</v>
      </c>
      <c r="C642">
        <v>37.401905599999999</v>
      </c>
      <c r="D642" t="s">
        <v>76</v>
      </c>
      <c r="E642">
        <v>26</v>
      </c>
      <c r="F642" t="s">
        <v>4</v>
      </c>
    </row>
    <row r="643" spans="1:6">
      <c r="A643">
        <v>20200718</v>
      </c>
      <c r="B643">
        <v>126.970473</v>
      </c>
      <c r="C643">
        <v>37.401905599999999</v>
      </c>
      <c r="D643" t="s">
        <v>109</v>
      </c>
      <c r="E643">
        <v>28</v>
      </c>
      <c r="F643" t="s">
        <v>4</v>
      </c>
    </row>
    <row r="644" spans="1:6">
      <c r="A644">
        <v>20200718</v>
      </c>
      <c r="B644">
        <v>126.970473</v>
      </c>
      <c r="C644">
        <v>37.401905599999999</v>
      </c>
      <c r="D644" t="s">
        <v>195</v>
      </c>
      <c r="E644">
        <v>50</v>
      </c>
      <c r="F644" t="s">
        <v>4</v>
      </c>
    </row>
    <row r="645" spans="1:6">
      <c r="A645">
        <v>20200718</v>
      </c>
      <c r="B645">
        <v>126.970473</v>
      </c>
      <c r="C645">
        <v>37.401905599999999</v>
      </c>
      <c r="D645" t="s">
        <v>147</v>
      </c>
      <c r="E645">
        <v>63</v>
      </c>
      <c r="F645" t="s">
        <v>4</v>
      </c>
    </row>
    <row r="646" spans="1:6">
      <c r="A646">
        <v>20200718</v>
      </c>
      <c r="B646">
        <v>126.970473</v>
      </c>
      <c r="C646">
        <v>37.401905599999999</v>
      </c>
      <c r="D646" t="s">
        <v>199</v>
      </c>
      <c r="E646">
        <v>76</v>
      </c>
      <c r="F646" t="s">
        <v>4</v>
      </c>
    </row>
    <row r="647" spans="1:6">
      <c r="A647">
        <v>20200718</v>
      </c>
      <c r="B647">
        <v>126.970473</v>
      </c>
      <c r="C647">
        <v>37.401905599999999</v>
      </c>
      <c r="D647" t="s">
        <v>216</v>
      </c>
      <c r="E647">
        <v>78</v>
      </c>
      <c r="F647" t="s">
        <v>4</v>
      </c>
    </row>
    <row r="648" spans="1:6">
      <c r="A648">
        <v>20200718</v>
      </c>
      <c r="B648">
        <v>126.970473</v>
      </c>
      <c r="C648">
        <v>37.401905599999999</v>
      </c>
      <c r="D648" t="s">
        <v>186</v>
      </c>
      <c r="E648">
        <v>85</v>
      </c>
      <c r="F648" t="s">
        <v>4</v>
      </c>
    </row>
    <row r="649" spans="1:6">
      <c r="A649">
        <v>20200718</v>
      </c>
      <c r="B649">
        <v>126.970473</v>
      </c>
      <c r="C649">
        <v>37.401905599999999</v>
      </c>
      <c r="D649" t="s">
        <v>137</v>
      </c>
      <c r="E649">
        <v>167</v>
      </c>
      <c r="F649" t="s">
        <v>4</v>
      </c>
    </row>
    <row r="650" spans="1:6">
      <c r="A650">
        <v>20200718</v>
      </c>
      <c r="B650">
        <v>126.970473</v>
      </c>
      <c r="C650">
        <v>37.401905599999999</v>
      </c>
      <c r="D650" t="s">
        <v>155</v>
      </c>
      <c r="E650">
        <v>134</v>
      </c>
      <c r="F650" t="s">
        <v>4</v>
      </c>
    </row>
    <row r="651" spans="1:6">
      <c r="A651">
        <v>20200718</v>
      </c>
      <c r="B651">
        <v>126.970473</v>
      </c>
      <c r="C651">
        <v>37.401905599999999</v>
      </c>
      <c r="D651" t="s">
        <v>68</v>
      </c>
      <c r="E651">
        <v>136</v>
      </c>
      <c r="F651" t="s">
        <v>4</v>
      </c>
    </row>
    <row r="652" spans="1:6">
      <c r="A652">
        <v>20200718</v>
      </c>
      <c r="B652">
        <v>126.970473</v>
      </c>
      <c r="C652">
        <v>37.401905599999999</v>
      </c>
      <c r="D652" t="s">
        <v>134</v>
      </c>
      <c r="E652">
        <v>178</v>
      </c>
      <c r="F652" t="s">
        <v>4</v>
      </c>
    </row>
    <row r="653" spans="1:6">
      <c r="A653">
        <v>20200718</v>
      </c>
      <c r="B653">
        <v>126.970473</v>
      </c>
      <c r="C653">
        <v>37.401905599999999</v>
      </c>
      <c r="D653" t="s">
        <v>56</v>
      </c>
      <c r="E653">
        <v>211</v>
      </c>
      <c r="F653" t="s">
        <v>4</v>
      </c>
    </row>
    <row r="654" spans="1:6">
      <c r="A654">
        <v>20200718</v>
      </c>
      <c r="B654">
        <v>126.970473</v>
      </c>
      <c r="C654">
        <v>37.401905599999999</v>
      </c>
      <c r="D654" t="s">
        <v>87</v>
      </c>
      <c r="E654">
        <v>528</v>
      </c>
      <c r="F654" t="s">
        <v>4</v>
      </c>
    </row>
    <row r="655" spans="1:6">
      <c r="A655">
        <v>20200718</v>
      </c>
      <c r="B655">
        <v>126.970473</v>
      </c>
      <c r="C655">
        <v>37.401905599999999</v>
      </c>
      <c r="D655" t="s">
        <v>175</v>
      </c>
      <c r="E655">
        <v>2567</v>
      </c>
      <c r="F655" t="s">
        <v>4</v>
      </c>
    </row>
    <row r="656" spans="1:6">
      <c r="A656">
        <v>20200718</v>
      </c>
      <c r="B656">
        <v>126.970473</v>
      </c>
      <c r="C656">
        <v>37.401905599999999</v>
      </c>
      <c r="D656" t="s">
        <v>219</v>
      </c>
      <c r="E656">
        <v>4617</v>
      </c>
      <c r="F656" t="s">
        <v>4</v>
      </c>
    </row>
    <row r="657" spans="1:6">
      <c r="A657">
        <v>20200718</v>
      </c>
      <c r="B657">
        <v>126.970473</v>
      </c>
      <c r="C657">
        <v>37.401905599999999</v>
      </c>
      <c r="D657" t="s">
        <v>207</v>
      </c>
      <c r="E657">
        <v>3917</v>
      </c>
      <c r="F657" t="s">
        <v>4</v>
      </c>
    </row>
    <row r="658" spans="1:6">
      <c r="A658">
        <v>20200718</v>
      </c>
      <c r="B658">
        <v>126.9866722</v>
      </c>
      <c r="C658">
        <v>37.398721700000003</v>
      </c>
      <c r="D658" t="s">
        <v>34</v>
      </c>
      <c r="E658">
        <v>16</v>
      </c>
      <c r="F658" t="s">
        <v>4</v>
      </c>
    </row>
    <row r="659" spans="1:6">
      <c r="A659">
        <v>20200718</v>
      </c>
      <c r="B659">
        <v>126.9866722</v>
      </c>
      <c r="C659">
        <v>37.398721700000003</v>
      </c>
      <c r="D659" t="s">
        <v>150</v>
      </c>
      <c r="E659">
        <v>18</v>
      </c>
      <c r="F659" t="s">
        <v>4</v>
      </c>
    </row>
    <row r="660" spans="1:6">
      <c r="A660">
        <v>20200718</v>
      </c>
      <c r="B660">
        <v>126.9866722</v>
      </c>
      <c r="C660">
        <v>37.398721700000003</v>
      </c>
      <c r="D660" t="s">
        <v>84</v>
      </c>
      <c r="E660">
        <v>19</v>
      </c>
      <c r="F660" t="s">
        <v>4</v>
      </c>
    </row>
    <row r="661" spans="1:6">
      <c r="A661">
        <v>20200718</v>
      </c>
      <c r="B661">
        <v>126.9866722</v>
      </c>
      <c r="C661">
        <v>37.398721700000003</v>
      </c>
      <c r="D661" t="s">
        <v>158</v>
      </c>
      <c r="E661">
        <v>20</v>
      </c>
      <c r="F661" t="s">
        <v>4</v>
      </c>
    </row>
    <row r="662" spans="1:6">
      <c r="A662">
        <v>20200718</v>
      </c>
      <c r="B662">
        <v>126.9866722</v>
      </c>
      <c r="C662">
        <v>37.398721700000003</v>
      </c>
      <c r="D662" t="s">
        <v>22</v>
      </c>
      <c r="E662">
        <v>22</v>
      </c>
      <c r="F662" t="s">
        <v>4</v>
      </c>
    </row>
    <row r="663" spans="1:6">
      <c r="A663">
        <v>20200718</v>
      </c>
      <c r="B663">
        <v>126.9866722</v>
      </c>
      <c r="C663">
        <v>37.398721700000003</v>
      </c>
      <c r="D663" t="s">
        <v>155</v>
      </c>
      <c r="E663">
        <v>34</v>
      </c>
      <c r="F663" t="s">
        <v>4</v>
      </c>
    </row>
    <row r="664" spans="1:6">
      <c r="A664">
        <v>20200718</v>
      </c>
      <c r="B664">
        <v>126.9866722</v>
      </c>
      <c r="C664">
        <v>37.398721700000003</v>
      </c>
      <c r="D664" t="s">
        <v>35</v>
      </c>
      <c r="E664">
        <v>69</v>
      </c>
      <c r="F664" t="s">
        <v>4</v>
      </c>
    </row>
    <row r="665" spans="1:6">
      <c r="A665">
        <v>20200718</v>
      </c>
      <c r="B665">
        <v>126.9866722</v>
      </c>
      <c r="C665">
        <v>37.398721700000003</v>
      </c>
      <c r="D665" t="s">
        <v>56</v>
      </c>
      <c r="E665">
        <v>78</v>
      </c>
      <c r="F665" t="s">
        <v>4</v>
      </c>
    </row>
    <row r="666" spans="1:6">
      <c r="A666">
        <v>20200718</v>
      </c>
      <c r="B666">
        <v>126.9866722</v>
      </c>
      <c r="C666">
        <v>37.398721700000003</v>
      </c>
      <c r="D666" t="s">
        <v>198</v>
      </c>
      <c r="E666">
        <v>89</v>
      </c>
      <c r="F666" t="s">
        <v>4</v>
      </c>
    </row>
    <row r="667" spans="1:6">
      <c r="A667">
        <v>20200718</v>
      </c>
      <c r="B667">
        <v>126.9866722</v>
      </c>
      <c r="C667">
        <v>37.398721700000003</v>
      </c>
      <c r="D667" t="s">
        <v>151</v>
      </c>
      <c r="E667">
        <v>159</v>
      </c>
      <c r="F667" t="s">
        <v>4</v>
      </c>
    </row>
    <row r="668" spans="1:6">
      <c r="A668">
        <v>20200718</v>
      </c>
      <c r="B668">
        <v>126.9866722</v>
      </c>
      <c r="C668">
        <v>37.398721700000003</v>
      </c>
      <c r="D668" t="s">
        <v>195</v>
      </c>
      <c r="E668">
        <v>196</v>
      </c>
      <c r="F668" t="s">
        <v>4</v>
      </c>
    </row>
    <row r="669" spans="1:6">
      <c r="A669">
        <v>20200718</v>
      </c>
      <c r="B669">
        <v>126.9866722</v>
      </c>
      <c r="C669">
        <v>37.398721700000003</v>
      </c>
      <c r="D669" t="s">
        <v>147</v>
      </c>
      <c r="E669">
        <v>186</v>
      </c>
      <c r="F669" t="s">
        <v>4</v>
      </c>
    </row>
    <row r="670" spans="1:6">
      <c r="A670">
        <v>20200718</v>
      </c>
      <c r="B670">
        <v>126.9866722</v>
      </c>
      <c r="C670">
        <v>37.398721700000003</v>
      </c>
      <c r="D670" t="s">
        <v>109</v>
      </c>
      <c r="E670">
        <v>245</v>
      </c>
      <c r="F670" t="s">
        <v>4</v>
      </c>
    </row>
    <row r="671" spans="1:6">
      <c r="A671">
        <v>20200718</v>
      </c>
      <c r="B671">
        <v>126.9866722</v>
      </c>
      <c r="C671">
        <v>37.398721700000003</v>
      </c>
      <c r="D671" t="s">
        <v>199</v>
      </c>
      <c r="E671">
        <v>293</v>
      </c>
      <c r="F671" t="s">
        <v>4</v>
      </c>
    </row>
    <row r="672" spans="1:6">
      <c r="A672">
        <v>20200718</v>
      </c>
      <c r="B672">
        <v>126.9866722</v>
      </c>
      <c r="C672">
        <v>37.398721700000003</v>
      </c>
      <c r="D672" t="s">
        <v>137</v>
      </c>
      <c r="E672">
        <v>488</v>
      </c>
      <c r="F672" t="s">
        <v>4</v>
      </c>
    </row>
    <row r="673" spans="1:7">
      <c r="A673">
        <v>20200718</v>
      </c>
      <c r="B673">
        <v>126.9866722</v>
      </c>
      <c r="C673">
        <v>37.398721700000003</v>
      </c>
      <c r="D673" t="s">
        <v>64</v>
      </c>
      <c r="E673">
        <v>527</v>
      </c>
      <c r="F673" t="s">
        <v>4</v>
      </c>
    </row>
    <row r="674" spans="1:7">
      <c r="A674">
        <v>20200718</v>
      </c>
      <c r="B674">
        <v>126.9866722</v>
      </c>
      <c r="C674">
        <v>37.398721700000003</v>
      </c>
      <c r="D674" t="s">
        <v>216</v>
      </c>
      <c r="E674">
        <v>1351</v>
      </c>
      <c r="F674" t="s">
        <v>4</v>
      </c>
    </row>
    <row r="675" spans="1:7">
      <c r="A675">
        <v>20200718</v>
      </c>
      <c r="B675">
        <v>126.9866722</v>
      </c>
      <c r="C675">
        <v>37.398721700000003</v>
      </c>
      <c r="D675" t="s">
        <v>68</v>
      </c>
      <c r="E675">
        <v>805</v>
      </c>
      <c r="F675" t="s">
        <v>4</v>
      </c>
    </row>
    <row r="676" spans="1:7">
      <c r="A676">
        <v>20200718</v>
      </c>
      <c r="B676">
        <v>126.9866722</v>
      </c>
      <c r="C676">
        <v>37.398721700000003</v>
      </c>
      <c r="D676" t="s">
        <v>186</v>
      </c>
      <c r="E676">
        <v>851</v>
      </c>
      <c r="F676" t="s">
        <v>4</v>
      </c>
    </row>
    <row r="677" spans="1:7">
      <c r="A677">
        <v>20200718</v>
      </c>
      <c r="B677">
        <v>126.9866722</v>
      </c>
      <c r="C677">
        <v>37.398721700000003</v>
      </c>
      <c r="D677" t="s">
        <v>134</v>
      </c>
      <c r="E677">
        <v>1292</v>
      </c>
      <c r="F677" t="s">
        <v>4</v>
      </c>
    </row>
    <row r="678" spans="1:7">
      <c r="A678">
        <v>20200718</v>
      </c>
      <c r="B678">
        <v>126.9866722</v>
      </c>
      <c r="C678">
        <v>37.398721700000003</v>
      </c>
      <c r="D678" t="s">
        <v>87</v>
      </c>
      <c r="E678">
        <v>2502</v>
      </c>
      <c r="F678" t="s">
        <v>4</v>
      </c>
    </row>
    <row r="679" spans="1:7">
      <c r="A679">
        <v>20200718</v>
      </c>
      <c r="B679">
        <v>126.9866722</v>
      </c>
      <c r="C679">
        <v>37.398721700000003</v>
      </c>
      <c r="D679" t="s">
        <v>175</v>
      </c>
      <c r="E679">
        <v>6188</v>
      </c>
      <c r="F679" t="s">
        <v>4</v>
      </c>
    </row>
    <row r="680" spans="1:7">
      <c r="A680">
        <v>20200718</v>
      </c>
      <c r="B680">
        <v>126.9866722</v>
      </c>
      <c r="C680">
        <v>37.398721700000003</v>
      </c>
      <c r="D680" t="s">
        <v>207</v>
      </c>
      <c r="E680">
        <v>16243</v>
      </c>
      <c r="F680" t="s">
        <v>4</v>
      </c>
    </row>
    <row r="681" spans="1:7">
      <c r="A681">
        <v>20200718</v>
      </c>
      <c r="B681">
        <v>126.9866722</v>
      </c>
      <c r="C681">
        <v>37.398721700000003</v>
      </c>
      <c r="D681" t="s">
        <v>219</v>
      </c>
      <c r="E681">
        <v>22085</v>
      </c>
      <c r="F681" t="s">
        <v>4</v>
      </c>
    </row>
    <row r="682" spans="1:7">
      <c r="A682">
        <v>20200718</v>
      </c>
      <c r="B682">
        <v>126.9506027</v>
      </c>
      <c r="C682">
        <v>37.400644700000001</v>
      </c>
      <c r="D682" t="s">
        <v>198</v>
      </c>
      <c r="E682">
        <v>18</v>
      </c>
      <c r="F682" t="s">
        <v>4</v>
      </c>
    </row>
    <row r="683" spans="1:7">
      <c r="A683">
        <v>20200718</v>
      </c>
      <c r="B683">
        <v>126.8663749</v>
      </c>
      <c r="C683">
        <v>37.492704799999998</v>
      </c>
      <c r="D683" t="s">
        <v>67</v>
      </c>
      <c r="E683">
        <v>149</v>
      </c>
      <c r="F683" t="s">
        <v>4</v>
      </c>
      <c r="G683" s="6"/>
    </row>
    <row r="684" spans="1:7">
      <c r="A684">
        <v>20200718</v>
      </c>
      <c r="B684">
        <v>126.9506027</v>
      </c>
      <c r="C684">
        <v>37.400644700000001</v>
      </c>
      <c r="D684" t="s">
        <v>158</v>
      </c>
      <c r="E684">
        <v>27</v>
      </c>
      <c r="F684" t="s">
        <v>4</v>
      </c>
    </row>
    <row r="685" spans="1:7">
      <c r="A685">
        <v>20200718</v>
      </c>
      <c r="B685">
        <v>126.9506027</v>
      </c>
      <c r="C685">
        <v>37.400644700000001</v>
      </c>
      <c r="D685" t="s">
        <v>220</v>
      </c>
      <c r="E685">
        <v>67</v>
      </c>
      <c r="F685" t="s">
        <v>4</v>
      </c>
    </row>
    <row r="686" spans="1:7">
      <c r="A686">
        <v>20200718</v>
      </c>
      <c r="B686">
        <v>126.9506027</v>
      </c>
      <c r="C686">
        <v>37.400644700000001</v>
      </c>
      <c r="D686" t="s">
        <v>35</v>
      </c>
      <c r="E686">
        <v>122</v>
      </c>
      <c r="F686" t="s">
        <v>4</v>
      </c>
    </row>
    <row r="687" spans="1:7">
      <c r="A687">
        <v>20200718</v>
      </c>
      <c r="B687">
        <v>126.8772417</v>
      </c>
      <c r="C687">
        <v>37.474826299999997</v>
      </c>
      <c r="D687" t="s">
        <v>80</v>
      </c>
      <c r="E687">
        <v>47</v>
      </c>
      <c r="F687" t="s">
        <v>4</v>
      </c>
    </row>
    <row r="688" spans="1:7">
      <c r="A688">
        <v>20200718</v>
      </c>
      <c r="B688">
        <v>126.9350989</v>
      </c>
      <c r="C688">
        <v>37.419096199999998</v>
      </c>
      <c r="D688" t="s">
        <v>82</v>
      </c>
      <c r="E688">
        <v>27</v>
      </c>
      <c r="F688" t="s">
        <v>4</v>
      </c>
    </row>
    <row r="689" spans="1:6">
      <c r="A689">
        <v>20200718</v>
      </c>
      <c r="B689">
        <v>126.9506027</v>
      </c>
      <c r="C689">
        <v>37.400644700000001</v>
      </c>
      <c r="D689" t="s">
        <v>137</v>
      </c>
      <c r="E689">
        <v>35427</v>
      </c>
      <c r="F689" t="s">
        <v>4</v>
      </c>
    </row>
    <row r="690" spans="1:6">
      <c r="A690">
        <v>20200718</v>
      </c>
      <c r="B690">
        <v>126.9506027</v>
      </c>
      <c r="C690">
        <v>37.400644700000001</v>
      </c>
      <c r="D690" t="s">
        <v>147</v>
      </c>
      <c r="E690">
        <v>49995</v>
      </c>
      <c r="F690" t="s">
        <v>4</v>
      </c>
    </row>
    <row r="691" spans="1:6">
      <c r="A691">
        <v>20200718</v>
      </c>
      <c r="B691">
        <v>126.9724018</v>
      </c>
      <c r="C691">
        <v>37.348161500000003</v>
      </c>
      <c r="D691" t="s">
        <v>150</v>
      </c>
      <c r="E691">
        <v>17</v>
      </c>
      <c r="F691" t="s">
        <v>4</v>
      </c>
    </row>
    <row r="692" spans="1:6">
      <c r="A692">
        <v>20200718</v>
      </c>
      <c r="B692">
        <v>126.9724018</v>
      </c>
      <c r="C692">
        <v>37.348161500000003</v>
      </c>
      <c r="D692" t="s">
        <v>68</v>
      </c>
      <c r="E692">
        <v>19</v>
      </c>
      <c r="F692" t="s">
        <v>4</v>
      </c>
    </row>
    <row r="693" spans="1:6">
      <c r="A693">
        <v>20200718</v>
      </c>
      <c r="B693">
        <v>126.85185540000001</v>
      </c>
      <c r="C693">
        <v>37.406578799999998</v>
      </c>
      <c r="D693" t="s">
        <v>86</v>
      </c>
      <c r="E693">
        <v>21</v>
      </c>
      <c r="F693" t="s">
        <v>4</v>
      </c>
    </row>
    <row r="694" spans="1:6">
      <c r="A694">
        <v>20200718</v>
      </c>
      <c r="B694">
        <v>126.9724018</v>
      </c>
      <c r="C694">
        <v>37.348161500000003</v>
      </c>
      <c r="D694" t="s">
        <v>220</v>
      </c>
      <c r="E694">
        <v>24</v>
      </c>
      <c r="F694" t="s">
        <v>4</v>
      </c>
    </row>
    <row r="695" spans="1:6">
      <c r="A695">
        <v>20200718</v>
      </c>
      <c r="B695">
        <v>126.9724018</v>
      </c>
      <c r="C695">
        <v>37.348161500000003</v>
      </c>
      <c r="D695" t="s">
        <v>129</v>
      </c>
      <c r="E695">
        <v>56</v>
      </c>
      <c r="F695" t="s">
        <v>4</v>
      </c>
    </row>
    <row r="696" spans="1:6">
      <c r="A696">
        <v>20200718</v>
      </c>
      <c r="B696">
        <v>126.9724018</v>
      </c>
      <c r="C696">
        <v>37.348161500000003</v>
      </c>
      <c r="D696" t="s">
        <v>151</v>
      </c>
      <c r="E696">
        <v>226</v>
      </c>
      <c r="F696" t="s">
        <v>4</v>
      </c>
    </row>
    <row r="697" spans="1:6">
      <c r="A697">
        <v>20200718</v>
      </c>
      <c r="B697">
        <v>126.9724018</v>
      </c>
      <c r="C697">
        <v>37.348161500000003</v>
      </c>
      <c r="D697" t="s">
        <v>158</v>
      </c>
      <c r="E697">
        <v>212</v>
      </c>
      <c r="F697" t="s">
        <v>4</v>
      </c>
    </row>
    <row r="698" spans="1:6">
      <c r="A698">
        <v>20200718</v>
      </c>
      <c r="B698">
        <v>126.9724018</v>
      </c>
      <c r="C698">
        <v>37.348161500000003</v>
      </c>
      <c r="D698" t="s">
        <v>130</v>
      </c>
      <c r="E698">
        <v>309</v>
      </c>
      <c r="F698" t="s">
        <v>4</v>
      </c>
    </row>
    <row r="699" spans="1:6">
      <c r="A699">
        <v>20200718</v>
      </c>
      <c r="B699">
        <v>126.9724018</v>
      </c>
      <c r="C699">
        <v>37.348161500000003</v>
      </c>
      <c r="D699" t="s">
        <v>132</v>
      </c>
      <c r="E699">
        <v>344</v>
      </c>
      <c r="F699" t="s">
        <v>4</v>
      </c>
    </row>
    <row r="700" spans="1:6">
      <c r="A700">
        <v>20200718</v>
      </c>
      <c r="B700">
        <v>126.9724018</v>
      </c>
      <c r="C700">
        <v>37.348161500000003</v>
      </c>
      <c r="D700" t="s">
        <v>138</v>
      </c>
      <c r="E700">
        <v>475</v>
      </c>
      <c r="F700" t="s">
        <v>4</v>
      </c>
    </row>
    <row r="701" spans="1:6">
      <c r="A701">
        <v>20200718</v>
      </c>
      <c r="B701">
        <v>126.9724018</v>
      </c>
      <c r="C701">
        <v>37.348161500000003</v>
      </c>
      <c r="D701" t="s">
        <v>195</v>
      </c>
      <c r="E701">
        <v>557</v>
      </c>
      <c r="F701" t="s">
        <v>4</v>
      </c>
    </row>
    <row r="702" spans="1:6">
      <c r="A702">
        <v>20200718</v>
      </c>
      <c r="B702">
        <v>126.9724018</v>
      </c>
      <c r="C702">
        <v>37.348161500000003</v>
      </c>
      <c r="D702" t="s">
        <v>114</v>
      </c>
      <c r="E702">
        <v>683</v>
      </c>
      <c r="F702" t="s">
        <v>4</v>
      </c>
    </row>
    <row r="703" spans="1:6">
      <c r="A703">
        <v>20200718</v>
      </c>
      <c r="B703">
        <v>126.9724018</v>
      </c>
      <c r="C703">
        <v>37.348161500000003</v>
      </c>
      <c r="D703" t="s">
        <v>221</v>
      </c>
      <c r="E703">
        <v>1604</v>
      </c>
      <c r="F703" t="s">
        <v>4</v>
      </c>
    </row>
    <row r="704" spans="1:6">
      <c r="A704">
        <v>20200718</v>
      </c>
      <c r="B704">
        <v>126.9724018</v>
      </c>
      <c r="C704">
        <v>37.348161500000003</v>
      </c>
      <c r="D704" t="s">
        <v>86</v>
      </c>
      <c r="E704">
        <v>21</v>
      </c>
      <c r="F704" t="s">
        <v>4</v>
      </c>
    </row>
    <row r="705" spans="1:6">
      <c r="A705">
        <v>20200718</v>
      </c>
      <c r="B705">
        <v>126.9724018</v>
      </c>
      <c r="C705">
        <v>37.348161500000003</v>
      </c>
      <c r="D705" t="s">
        <v>137</v>
      </c>
      <c r="E705">
        <v>3846</v>
      </c>
      <c r="F705" t="s">
        <v>4</v>
      </c>
    </row>
    <row r="706" spans="1:6">
      <c r="A706">
        <v>20200718</v>
      </c>
      <c r="B706">
        <v>126.9724018</v>
      </c>
      <c r="C706">
        <v>37.348161500000003</v>
      </c>
      <c r="D706" t="s">
        <v>64</v>
      </c>
      <c r="E706">
        <v>2772</v>
      </c>
      <c r="F706" t="s">
        <v>4</v>
      </c>
    </row>
    <row r="707" spans="1:6">
      <c r="A707">
        <v>20200718</v>
      </c>
      <c r="B707">
        <v>126.9724018</v>
      </c>
      <c r="C707">
        <v>37.348161500000003</v>
      </c>
      <c r="D707" t="s">
        <v>133</v>
      </c>
      <c r="E707">
        <v>8059</v>
      </c>
      <c r="F707" t="s">
        <v>4</v>
      </c>
    </row>
    <row r="708" spans="1:6">
      <c r="A708">
        <v>20200718</v>
      </c>
      <c r="B708">
        <v>126.9724018</v>
      </c>
      <c r="C708">
        <v>37.348161500000003</v>
      </c>
      <c r="D708" t="s">
        <v>87</v>
      </c>
      <c r="E708">
        <v>7451</v>
      </c>
      <c r="F708" t="s">
        <v>4</v>
      </c>
    </row>
    <row r="709" spans="1:6">
      <c r="A709">
        <v>20200916</v>
      </c>
      <c r="B709">
        <v>126.9724018</v>
      </c>
      <c r="C709">
        <v>37.348161500000003</v>
      </c>
      <c r="D709" t="s">
        <v>219</v>
      </c>
      <c r="E709">
        <v>33431</v>
      </c>
      <c r="F709" t="s">
        <v>4</v>
      </c>
    </row>
    <row r="710" spans="1:6">
      <c r="A710">
        <v>20200916</v>
      </c>
      <c r="B710">
        <v>126.9724018</v>
      </c>
      <c r="C710">
        <v>37.348161500000003</v>
      </c>
      <c r="D710" t="s">
        <v>175</v>
      </c>
      <c r="E710">
        <v>29604</v>
      </c>
      <c r="F710" t="s">
        <v>4</v>
      </c>
    </row>
    <row r="711" spans="1:6">
      <c r="A711">
        <v>20200916</v>
      </c>
      <c r="B711">
        <v>126.9724018</v>
      </c>
      <c r="C711">
        <v>37.348161500000003</v>
      </c>
      <c r="D711" t="s">
        <v>207</v>
      </c>
      <c r="E711">
        <v>24502</v>
      </c>
      <c r="F711" t="s">
        <v>4</v>
      </c>
    </row>
    <row r="712" spans="1:6">
      <c r="A712">
        <v>20200916</v>
      </c>
      <c r="B712">
        <v>126.9724018</v>
      </c>
      <c r="C712">
        <v>37.348161500000003</v>
      </c>
      <c r="D712" t="s">
        <v>147</v>
      </c>
      <c r="E712">
        <v>50167</v>
      </c>
      <c r="F712" t="s">
        <v>4</v>
      </c>
    </row>
    <row r="713" spans="1:6">
      <c r="A713">
        <v>20200916</v>
      </c>
      <c r="B713">
        <v>126.93147879999999</v>
      </c>
      <c r="C713">
        <v>37.397387999999999</v>
      </c>
      <c r="D713" t="s">
        <v>150</v>
      </c>
      <c r="E713">
        <v>23</v>
      </c>
      <c r="F713" t="s">
        <v>4</v>
      </c>
    </row>
    <row r="714" spans="1:6">
      <c r="A714">
        <v>20200916</v>
      </c>
      <c r="B714">
        <v>126.93147879999999</v>
      </c>
      <c r="C714">
        <v>37.397387999999999</v>
      </c>
      <c r="D714" t="s">
        <v>220</v>
      </c>
      <c r="E714">
        <v>28</v>
      </c>
      <c r="F714" t="s">
        <v>4</v>
      </c>
    </row>
    <row r="715" spans="1:6">
      <c r="A715">
        <v>20200916</v>
      </c>
      <c r="B715">
        <v>126.93147879999999</v>
      </c>
      <c r="C715">
        <v>37.397387999999999</v>
      </c>
      <c r="D715" t="s">
        <v>172</v>
      </c>
      <c r="E715">
        <v>30</v>
      </c>
      <c r="F715" t="s">
        <v>4</v>
      </c>
    </row>
    <row r="716" spans="1:6">
      <c r="A716">
        <v>20200916</v>
      </c>
      <c r="B716">
        <v>126.93147879999999</v>
      </c>
      <c r="C716">
        <v>37.397387999999999</v>
      </c>
      <c r="D716" t="s">
        <v>111</v>
      </c>
      <c r="E716">
        <v>38</v>
      </c>
      <c r="F716" t="s">
        <v>4</v>
      </c>
    </row>
    <row r="717" spans="1:6">
      <c r="A717">
        <v>20200916</v>
      </c>
      <c r="B717">
        <v>126.93147879999999</v>
      </c>
      <c r="C717">
        <v>37.397387999999999</v>
      </c>
      <c r="D717" t="s">
        <v>158</v>
      </c>
      <c r="E717">
        <v>48</v>
      </c>
      <c r="F717" t="s">
        <v>4</v>
      </c>
    </row>
    <row r="718" spans="1:6">
      <c r="A718">
        <v>20200916</v>
      </c>
      <c r="B718">
        <v>126.93147879999999</v>
      </c>
      <c r="C718">
        <v>37.397387999999999</v>
      </c>
      <c r="D718" t="s">
        <v>22</v>
      </c>
      <c r="E718">
        <v>97</v>
      </c>
      <c r="F718" t="s">
        <v>4</v>
      </c>
    </row>
    <row r="719" spans="1:6">
      <c r="A719">
        <v>20200916</v>
      </c>
      <c r="B719">
        <v>126.93147879999999</v>
      </c>
      <c r="C719">
        <v>37.397387999999999</v>
      </c>
      <c r="D719" t="s">
        <v>129</v>
      </c>
      <c r="E719">
        <v>52</v>
      </c>
      <c r="F719" t="s">
        <v>4</v>
      </c>
    </row>
    <row r="720" spans="1:6">
      <c r="A720">
        <v>20200916</v>
      </c>
      <c r="B720">
        <v>126.93147879999999</v>
      </c>
      <c r="C720">
        <v>37.397387999999999</v>
      </c>
      <c r="D720" t="s">
        <v>74</v>
      </c>
      <c r="E720">
        <v>66</v>
      </c>
      <c r="F720" t="s">
        <v>4</v>
      </c>
    </row>
    <row r="721" spans="1:6">
      <c r="A721">
        <v>20200916</v>
      </c>
      <c r="B721">
        <v>126.93147879999999</v>
      </c>
      <c r="C721">
        <v>37.397387999999999</v>
      </c>
      <c r="D721" t="s">
        <v>166</v>
      </c>
      <c r="E721">
        <v>81</v>
      </c>
      <c r="F721" t="s">
        <v>4</v>
      </c>
    </row>
    <row r="722" spans="1:6">
      <c r="A722">
        <v>20200916</v>
      </c>
      <c r="B722">
        <v>126.93147879999999</v>
      </c>
      <c r="C722">
        <v>37.397387999999999</v>
      </c>
      <c r="D722" t="s">
        <v>266</v>
      </c>
      <c r="E722">
        <v>91</v>
      </c>
      <c r="F722" t="s">
        <v>4</v>
      </c>
    </row>
    <row r="723" spans="1:6">
      <c r="A723">
        <v>20200916</v>
      </c>
      <c r="B723">
        <v>126.93147879999999</v>
      </c>
      <c r="C723">
        <v>37.397387999999999</v>
      </c>
      <c r="D723" t="s">
        <v>34</v>
      </c>
      <c r="E723">
        <v>111</v>
      </c>
      <c r="F723" t="s">
        <v>4</v>
      </c>
    </row>
    <row r="724" spans="1:6">
      <c r="A724">
        <v>20200916</v>
      </c>
      <c r="B724">
        <v>126.93147879999999</v>
      </c>
      <c r="C724">
        <v>37.397387999999999</v>
      </c>
      <c r="D724" t="s">
        <v>35</v>
      </c>
      <c r="E724">
        <v>172</v>
      </c>
      <c r="F724" t="s">
        <v>4</v>
      </c>
    </row>
    <row r="725" spans="1:6">
      <c r="A725">
        <v>20200916</v>
      </c>
      <c r="B725">
        <v>126.93147879999999</v>
      </c>
      <c r="C725">
        <v>37.397387999999999</v>
      </c>
      <c r="D725" t="s">
        <v>199</v>
      </c>
      <c r="E725">
        <v>197</v>
      </c>
      <c r="F725" t="s">
        <v>4</v>
      </c>
    </row>
    <row r="726" spans="1:6">
      <c r="A726">
        <v>20200916</v>
      </c>
      <c r="B726">
        <v>126.93147879999999</v>
      </c>
      <c r="C726">
        <v>37.397387999999999</v>
      </c>
      <c r="D726" t="s">
        <v>198</v>
      </c>
      <c r="E726">
        <v>199</v>
      </c>
      <c r="F726" t="s">
        <v>4</v>
      </c>
    </row>
    <row r="727" spans="1:6">
      <c r="A727">
        <v>20200916</v>
      </c>
      <c r="B727">
        <v>126.93147879999999</v>
      </c>
      <c r="C727">
        <v>37.397387999999999</v>
      </c>
      <c r="D727" s="2" t="s">
        <v>44</v>
      </c>
      <c r="E727">
        <v>285</v>
      </c>
      <c r="F727" t="s">
        <v>4</v>
      </c>
    </row>
    <row r="728" spans="1:6">
      <c r="A728">
        <v>20200916</v>
      </c>
      <c r="B728">
        <v>126.93147879999999</v>
      </c>
      <c r="C728">
        <v>37.397387999999999</v>
      </c>
      <c r="D728" t="s">
        <v>95</v>
      </c>
      <c r="E728">
        <v>252</v>
      </c>
      <c r="F728" t="s">
        <v>4</v>
      </c>
    </row>
    <row r="729" spans="1:6">
      <c r="A729">
        <v>20200916</v>
      </c>
      <c r="B729">
        <v>126.93147879999999</v>
      </c>
      <c r="C729">
        <v>37.397387999999999</v>
      </c>
      <c r="D729" t="s">
        <v>155</v>
      </c>
      <c r="E729">
        <v>295</v>
      </c>
      <c r="F729" t="s">
        <v>4</v>
      </c>
    </row>
    <row r="730" spans="1:6">
      <c r="A730">
        <v>20200916</v>
      </c>
      <c r="B730">
        <v>126.93147879999999</v>
      </c>
      <c r="C730">
        <v>37.397387999999999</v>
      </c>
      <c r="D730" t="s">
        <v>151</v>
      </c>
      <c r="E730">
        <v>411</v>
      </c>
      <c r="F730" t="s">
        <v>4</v>
      </c>
    </row>
    <row r="731" spans="1:6">
      <c r="A731">
        <v>20200916</v>
      </c>
      <c r="B731">
        <v>126.93147879999999</v>
      </c>
      <c r="C731">
        <v>37.397387999999999</v>
      </c>
      <c r="D731" t="s">
        <v>109</v>
      </c>
      <c r="E731">
        <v>549</v>
      </c>
      <c r="F731" t="s">
        <v>4</v>
      </c>
    </row>
    <row r="732" spans="1:6">
      <c r="A732">
        <v>20200916</v>
      </c>
      <c r="B732">
        <v>126.93147879999999</v>
      </c>
      <c r="C732">
        <v>37.397387999999999</v>
      </c>
      <c r="D732" t="s">
        <v>56</v>
      </c>
      <c r="E732">
        <v>805</v>
      </c>
      <c r="F732" t="s">
        <v>4</v>
      </c>
    </row>
    <row r="733" spans="1:6">
      <c r="A733">
        <v>20200916</v>
      </c>
      <c r="B733">
        <v>126.93147879999999</v>
      </c>
      <c r="C733">
        <v>37.397387999999999</v>
      </c>
      <c r="D733" t="s">
        <v>76</v>
      </c>
      <c r="E733">
        <v>1620</v>
      </c>
      <c r="F733" t="s">
        <v>4</v>
      </c>
    </row>
    <row r="734" spans="1:6">
      <c r="A734">
        <v>20200916</v>
      </c>
      <c r="B734">
        <v>126.93147879999999</v>
      </c>
      <c r="C734">
        <v>37.397387999999999</v>
      </c>
      <c r="D734" t="s">
        <v>186</v>
      </c>
      <c r="E734">
        <v>1372</v>
      </c>
      <c r="F734" t="s">
        <v>4</v>
      </c>
    </row>
    <row r="735" spans="1:6">
      <c r="A735">
        <v>20200916</v>
      </c>
      <c r="B735">
        <v>126.93147879999999</v>
      </c>
      <c r="C735">
        <v>37.397387999999999</v>
      </c>
      <c r="D735" t="s">
        <v>64</v>
      </c>
      <c r="E735">
        <v>1670</v>
      </c>
      <c r="F735" t="s">
        <v>4</v>
      </c>
    </row>
    <row r="736" spans="1:6">
      <c r="A736">
        <v>20200916</v>
      </c>
      <c r="B736">
        <v>126.93147879999999</v>
      </c>
      <c r="C736">
        <v>37.397387999999999</v>
      </c>
      <c r="D736" t="s">
        <v>147</v>
      </c>
      <c r="E736">
        <v>1722</v>
      </c>
      <c r="F736" t="s">
        <v>4</v>
      </c>
    </row>
    <row r="737" spans="1:6">
      <c r="A737">
        <v>20200916</v>
      </c>
      <c r="B737">
        <v>126.93147879999999</v>
      </c>
      <c r="C737">
        <v>37.397387999999999</v>
      </c>
      <c r="D737" t="s">
        <v>216</v>
      </c>
      <c r="E737">
        <v>2465</v>
      </c>
      <c r="F737" t="s">
        <v>4</v>
      </c>
    </row>
    <row r="738" spans="1:6">
      <c r="A738">
        <v>20200916</v>
      </c>
      <c r="B738">
        <v>126.93147879999999</v>
      </c>
      <c r="C738">
        <v>37.397387999999999</v>
      </c>
      <c r="D738" t="s">
        <v>195</v>
      </c>
      <c r="E738">
        <v>2384</v>
      </c>
      <c r="F738" t="s">
        <v>4</v>
      </c>
    </row>
    <row r="739" spans="1:6">
      <c r="A739">
        <v>20200916</v>
      </c>
      <c r="B739">
        <v>126.93147879999999</v>
      </c>
      <c r="C739">
        <v>37.397387999999999</v>
      </c>
      <c r="D739" t="s">
        <v>137</v>
      </c>
      <c r="E739">
        <v>2297</v>
      </c>
      <c r="F739" t="s">
        <v>4</v>
      </c>
    </row>
    <row r="740" spans="1:6">
      <c r="A740">
        <v>20200916</v>
      </c>
      <c r="B740">
        <v>126.93147879999999</v>
      </c>
      <c r="C740">
        <v>37.397387999999999</v>
      </c>
      <c r="D740" t="s">
        <v>68</v>
      </c>
      <c r="E740">
        <v>3415</v>
      </c>
      <c r="F740" t="s">
        <v>4</v>
      </c>
    </row>
    <row r="741" spans="1:6">
      <c r="A741">
        <v>20200916</v>
      </c>
      <c r="B741">
        <v>126.93147879999999</v>
      </c>
      <c r="C741">
        <v>37.397387999999999</v>
      </c>
      <c r="D741" t="s">
        <v>134</v>
      </c>
      <c r="E741">
        <v>4476</v>
      </c>
      <c r="F741" t="s">
        <v>4</v>
      </c>
    </row>
    <row r="742" spans="1:6">
      <c r="A742">
        <v>20200916</v>
      </c>
      <c r="B742">
        <v>126.93147879999999</v>
      </c>
      <c r="C742">
        <v>37.397387999999999</v>
      </c>
      <c r="D742" t="s">
        <v>175</v>
      </c>
      <c r="E742">
        <v>8751</v>
      </c>
      <c r="F742" t="s">
        <v>4</v>
      </c>
    </row>
    <row r="743" spans="1:6">
      <c r="A743">
        <v>20200916</v>
      </c>
      <c r="B743">
        <v>126.93147879999999</v>
      </c>
      <c r="C743">
        <v>37.397387999999999</v>
      </c>
      <c r="D743" t="s">
        <v>87</v>
      </c>
      <c r="E743">
        <v>9049</v>
      </c>
      <c r="F743" t="s">
        <v>4</v>
      </c>
    </row>
    <row r="744" spans="1:6">
      <c r="A744">
        <v>20200916</v>
      </c>
      <c r="B744">
        <v>126.93147879999999</v>
      </c>
      <c r="C744">
        <v>37.397387999999999</v>
      </c>
      <c r="D744" t="s">
        <v>219</v>
      </c>
      <c r="E744">
        <v>44502</v>
      </c>
      <c r="F744" t="s">
        <v>4</v>
      </c>
    </row>
    <row r="745" spans="1:6">
      <c r="A745">
        <v>20200916</v>
      </c>
      <c r="B745">
        <v>126.93147879999999</v>
      </c>
      <c r="C745">
        <v>37.397387999999999</v>
      </c>
      <c r="D745" t="s">
        <v>207</v>
      </c>
      <c r="E745">
        <v>45033</v>
      </c>
      <c r="F745" t="s">
        <v>4</v>
      </c>
    </row>
    <row r="746" spans="1:6">
      <c r="A746">
        <v>20200916</v>
      </c>
      <c r="B746">
        <v>126.87358690000001</v>
      </c>
      <c r="C746">
        <v>37.508467699999997</v>
      </c>
      <c r="D746" t="s">
        <v>122</v>
      </c>
      <c r="E746">
        <v>22</v>
      </c>
      <c r="F746" t="s">
        <v>4</v>
      </c>
    </row>
    <row r="747" spans="1:6">
      <c r="A747">
        <v>20200916</v>
      </c>
      <c r="B747">
        <v>126.87358690000001</v>
      </c>
      <c r="C747">
        <v>37.508467699999997</v>
      </c>
      <c r="D747" t="s">
        <v>166</v>
      </c>
      <c r="E747">
        <v>23</v>
      </c>
      <c r="F747" t="s">
        <v>4</v>
      </c>
    </row>
    <row r="748" spans="1:6">
      <c r="A748">
        <v>20200916</v>
      </c>
      <c r="B748">
        <v>126.87358690000001</v>
      </c>
      <c r="C748">
        <v>37.508467699999997</v>
      </c>
      <c r="D748" t="s">
        <v>46</v>
      </c>
      <c r="E748">
        <v>25</v>
      </c>
      <c r="F748" t="s">
        <v>4</v>
      </c>
    </row>
    <row r="749" spans="1:6">
      <c r="A749">
        <v>20200916</v>
      </c>
      <c r="B749">
        <v>126.87358690000001</v>
      </c>
      <c r="C749">
        <v>37.508467699999997</v>
      </c>
      <c r="D749" t="s">
        <v>150</v>
      </c>
      <c r="E749">
        <v>28</v>
      </c>
      <c r="F749" t="s">
        <v>4</v>
      </c>
    </row>
    <row r="750" spans="1:6">
      <c r="A750">
        <v>20200916</v>
      </c>
      <c r="B750">
        <v>126.87358690000001</v>
      </c>
      <c r="C750">
        <v>37.508467699999997</v>
      </c>
      <c r="D750" t="s">
        <v>166</v>
      </c>
      <c r="E750">
        <v>29</v>
      </c>
      <c r="F750" t="s">
        <v>4</v>
      </c>
    </row>
    <row r="751" spans="1:6">
      <c r="A751">
        <v>20200916</v>
      </c>
      <c r="B751">
        <v>126.87358690000001</v>
      </c>
      <c r="C751">
        <v>37.508467699999997</v>
      </c>
      <c r="D751" t="s">
        <v>138</v>
      </c>
      <c r="E751">
        <v>33</v>
      </c>
      <c r="F751" t="s">
        <v>4</v>
      </c>
    </row>
    <row r="752" spans="1:6">
      <c r="A752">
        <v>20200916</v>
      </c>
      <c r="B752">
        <v>126.87358690000001</v>
      </c>
      <c r="C752">
        <v>37.508467699999997</v>
      </c>
      <c r="D752" t="s">
        <v>170</v>
      </c>
      <c r="E752">
        <v>35</v>
      </c>
      <c r="F752" t="s">
        <v>4</v>
      </c>
    </row>
    <row r="753" spans="1:6">
      <c r="A753">
        <v>20200916</v>
      </c>
      <c r="B753">
        <v>126.87358690000001</v>
      </c>
      <c r="C753">
        <v>37.508467699999997</v>
      </c>
      <c r="D753" t="s">
        <v>56</v>
      </c>
      <c r="E753">
        <v>39</v>
      </c>
      <c r="F753" t="s">
        <v>4</v>
      </c>
    </row>
    <row r="754" spans="1:6">
      <c r="A754">
        <v>20200916</v>
      </c>
      <c r="B754">
        <v>126.87358690000001</v>
      </c>
      <c r="C754">
        <v>37.508467699999997</v>
      </c>
      <c r="D754" t="s">
        <v>126</v>
      </c>
      <c r="E754">
        <v>47</v>
      </c>
      <c r="F754" t="s">
        <v>4</v>
      </c>
    </row>
    <row r="755" spans="1:6">
      <c r="A755">
        <v>20200916</v>
      </c>
      <c r="B755">
        <v>126.87358690000001</v>
      </c>
      <c r="C755">
        <v>37.508467699999997</v>
      </c>
      <c r="D755" t="s">
        <v>199</v>
      </c>
      <c r="E755">
        <v>78</v>
      </c>
      <c r="F755" t="s">
        <v>4</v>
      </c>
    </row>
    <row r="756" spans="1:6">
      <c r="A756">
        <v>20200916</v>
      </c>
      <c r="B756">
        <v>126.87358690000001</v>
      </c>
      <c r="C756">
        <v>37.508467699999997</v>
      </c>
      <c r="D756" t="s">
        <v>129</v>
      </c>
      <c r="E756">
        <v>103</v>
      </c>
      <c r="F756" t="s">
        <v>4</v>
      </c>
    </row>
    <row r="757" spans="1:6">
      <c r="A757">
        <v>20200916</v>
      </c>
      <c r="B757">
        <v>126.87358690000001</v>
      </c>
      <c r="C757">
        <v>37.508467699999997</v>
      </c>
      <c r="D757" t="s">
        <v>89</v>
      </c>
      <c r="E757">
        <v>76</v>
      </c>
      <c r="F757" t="s">
        <v>4</v>
      </c>
    </row>
    <row r="758" spans="1:6">
      <c r="A758">
        <v>20200916</v>
      </c>
      <c r="B758">
        <v>126.87358690000001</v>
      </c>
      <c r="C758">
        <v>37.508467699999997</v>
      </c>
      <c r="D758" t="s">
        <v>76</v>
      </c>
      <c r="E758">
        <v>114</v>
      </c>
      <c r="F758" t="s">
        <v>4</v>
      </c>
    </row>
    <row r="759" spans="1:6">
      <c r="A759">
        <v>20200916</v>
      </c>
      <c r="B759">
        <v>126.87358690000001</v>
      </c>
      <c r="C759">
        <v>37.508467699999997</v>
      </c>
      <c r="D759" t="s">
        <v>134</v>
      </c>
      <c r="E759">
        <v>206</v>
      </c>
      <c r="F759" t="s">
        <v>4</v>
      </c>
    </row>
    <row r="760" spans="1:6">
      <c r="A760">
        <v>20200916</v>
      </c>
      <c r="B760">
        <v>126.87358690000001</v>
      </c>
      <c r="C760">
        <v>37.508467699999997</v>
      </c>
      <c r="D760" t="s">
        <v>60</v>
      </c>
      <c r="E760">
        <v>107</v>
      </c>
      <c r="F760" t="s">
        <v>4</v>
      </c>
    </row>
    <row r="761" spans="1:6">
      <c r="A761">
        <v>20200916</v>
      </c>
      <c r="B761">
        <v>126.87358690000001</v>
      </c>
      <c r="C761">
        <v>37.508467699999997</v>
      </c>
      <c r="D761" t="s">
        <v>137</v>
      </c>
      <c r="E761">
        <v>182</v>
      </c>
      <c r="F761" t="s">
        <v>4</v>
      </c>
    </row>
    <row r="762" spans="1:6">
      <c r="A762">
        <v>20200916</v>
      </c>
      <c r="B762">
        <v>126.87358690000001</v>
      </c>
      <c r="C762">
        <v>37.508467699999997</v>
      </c>
      <c r="D762" t="s">
        <v>190</v>
      </c>
      <c r="E762">
        <v>140</v>
      </c>
      <c r="F762" t="s">
        <v>4</v>
      </c>
    </row>
    <row r="763" spans="1:6">
      <c r="A763">
        <v>20200916</v>
      </c>
      <c r="B763">
        <v>126.87358690000001</v>
      </c>
      <c r="C763">
        <v>37.508467699999997</v>
      </c>
      <c r="D763" t="s">
        <v>158</v>
      </c>
      <c r="E763">
        <v>166</v>
      </c>
      <c r="F763" t="s">
        <v>4</v>
      </c>
    </row>
    <row r="764" spans="1:6">
      <c r="A764">
        <v>20200916</v>
      </c>
      <c r="B764">
        <v>126.87358690000001</v>
      </c>
      <c r="C764">
        <v>37.508467699999997</v>
      </c>
      <c r="D764" t="s">
        <v>78</v>
      </c>
      <c r="E764">
        <v>251</v>
      </c>
      <c r="F764" t="s">
        <v>4</v>
      </c>
    </row>
    <row r="765" spans="1:6">
      <c r="A765">
        <v>20200916</v>
      </c>
      <c r="B765">
        <v>126.87358690000001</v>
      </c>
      <c r="C765">
        <v>37.508467699999997</v>
      </c>
      <c r="D765" t="s">
        <v>34</v>
      </c>
      <c r="E765">
        <v>263</v>
      </c>
      <c r="F765" t="s">
        <v>4</v>
      </c>
    </row>
    <row r="766" spans="1:6">
      <c r="A766">
        <v>20200916</v>
      </c>
      <c r="B766">
        <v>126.87358690000001</v>
      </c>
      <c r="C766">
        <v>37.508467699999997</v>
      </c>
      <c r="D766" t="s">
        <v>218</v>
      </c>
      <c r="E766">
        <v>280</v>
      </c>
      <c r="F766" t="s">
        <v>4</v>
      </c>
    </row>
    <row r="767" spans="1:6">
      <c r="A767">
        <v>20200916</v>
      </c>
      <c r="B767">
        <v>126.87358690000001</v>
      </c>
      <c r="C767">
        <v>37.508467699999997</v>
      </c>
      <c r="D767" t="s">
        <v>84</v>
      </c>
      <c r="E767">
        <v>340</v>
      </c>
      <c r="F767" t="s">
        <v>4</v>
      </c>
    </row>
    <row r="768" spans="1:6">
      <c r="A768">
        <v>20200916</v>
      </c>
      <c r="B768">
        <v>126.87358690000001</v>
      </c>
      <c r="C768">
        <v>37.508467699999997</v>
      </c>
      <c r="D768" t="s">
        <v>186</v>
      </c>
      <c r="E768">
        <v>479</v>
      </c>
      <c r="F768" t="s">
        <v>4</v>
      </c>
    </row>
    <row r="769" spans="1:6">
      <c r="A769">
        <v>20200916</v>
      </c>
      <c r="B769">
        <v>126.87358690000001</v>
      </c>
      <c r="C769">
        <v>37.508467699999997</v>
      </c>
      <c r="D769" t="s">
        <v>175</v>
      </c>
      <c r="E769">
        <v>622</v>
      </c>
      <c r="F769" t="s">
        <v>4</v>
      </c>
    </row>
    <row r="770" spans="1:6">
      <c r="A770">
        <v>20200916</v>
      </c>
      <c r="B770">
        <v>126.87358690000001</v>
      </c>
      <c r="C770">
        <v>37.508467699999997</v>
      </c>
      <c r="D770" t="s">
        <v>144</v>
      </c>
      <c r="E770">
        <v>567</v>
      </c>
      <c r="F770" t="s">
        <v>4</v>
      </c>
    </row>
    <row r="771" spans="1:6">
      <c r="A771">
        <v>20200916</v>
      </c>
      <c r="B771">
        <v>126.87358690000001</v>
      </c>
      <c r="C771">
        <v>37.508467699999997</v>
      </c>
      <c r="D771" t="s">
        <v>52</v>
      </c>
      <c r="E771">
        <v>670</v>
      </c>
      <c r="F771" t="s">
        <v>4</v>
      </c>
    </row>
    <row r="772" spans="1:6">
      <c r="A772">
        <v>20201024</v>
      </c>
      <c r="B772">
        <v>126.95619790000001</v>
      </c>
      <c r="C772">
        <v>37.363509200000003</v>
      </c>
      <c r="D772" t="s">
        <v>86</v>
      </c>
      <c r="E772">
        <v>419</v>
      </c>
      <c r="F772" t="s">
        <v>4</v>
      </c>
    </row>
    <row r="773" spans="1:6">
      <c r="A773">
        <v>20200916</v>
      </c>
      <c r="B773">
        <v>126.87358690000001</v>
      </c>
      <c r="C773">
        <v>37.508467699999997</v>
      </c>
      <c r="D773" t="s">
        <v>130</v>
      </c>
      <c r="E773">
        <v>2517</v>
      </c>
      <c r="F773" t="s">
        <v>4</v>
      </c>
    </row>
    <row r="774" spans="1:6">
      <c r="A774">
        <v>20200916</v>
      </c>
      <c r="B774">
        <v>126.87358690000001</v>
      </c>
      <c r="C774">
        <v>37.508467699999997</v>
      </c>
      <c r="D774" t="s">
        <v>195</v>
      </c>
      <c r="E774">
        <v>1245</v>
      </c>
      <c r="F774" t="s">
        <v>4</v>
      </c>
    </row>
    <row r="775" spans="1:6">
      <c r="A775">
        <v>20200916</v>
      </c>
      <c r="B775">
        <v>126.87358690000001</v>
      </c>
      <c r="C775">
        <v>37.508467699999997</v>
      </c>
      <c r="D775" t="s">
        <v>151</v>
      </c>
      <c r="E775">
        <v>1108</v>
      </c>
      <c r="F775" t="s">
        <v>4</v>
      </c>
    </row>
    <row r="776" spans="1:6">
      <c r="A776">
        <v>20200916</v>
      </c>
      <c r="B776">
        <v>126.87358690000001</v>
      </c>
      <c r="C776">
        <v>37.508467699999997</v>
      </c>
      <c r="D776" t="s">
        <v>155</v>
      </c>
      <c r="E776">
        <v>1046</v>
      </c>
      <c r="F776" t="s">
        <v>4</v>
      </c>
    </row>
    <row r="777" spans="1:6">
      <c r="A777">
        <v>20200916</v>
      </c>
      <c r="B777">
        <v>126.87358690000001</v>
      </c>
      <c r="C777">
        <v>37.508467699999997</v>
      </c>
      <c r="D777" t="s">
        <v>72</v>
      </c>
      <c r="E777">
        <v>1712</v>
      </c>
      <c r="F777" t="s">
        <v>4</v>
      </c>
    </row>
    <row r="778" spans="1:6">
      <c r="A778">
        <v>20200916</v>
      </c>
      <c r="B778">
        <v>126.87358690000001</v>
      </c>
      <c r="C778">
        <v>37.508467699999997</v>
      </c>
      <c r="D778" t="s">
        <v>219</v>
      </c>
      <c r="E778">
        <v>2078</v>
      </c>
      <c r="F778" t="s">
        <v>4</v>
      </c>
    </row>
    <row r="779" spans="1:6">
      <c r="A779">
        <v>20200916</v>
      </c>
      <c r="B779">
        <v>126.87358690000001</v>
      </c>
      <c r="C779">
        <v>37.508467699999997</v>
      </c>
      <c r="D779" t="s">
        <v>68</v>
      </c>
      <c r="E779">
        <v>3191</v>
      </c>
      <c r="F779" t="s">
        <v>4</v>
      </c>
    </row>
    <row r="780" spans="1:6">
      <c r="A780">
        <v>20200916</v>
      </c>
      <c r="B780">
        <v>126.87358690000001</v>
      </c>
      <c r="C780">
        <v>37.508467699999997</v>
      </c>
      <c r="D780" t="s">
        <v>215</v>
      </c>
      <c r="E780">
        <v>3003</v>
      </c>
      <c r="F780" t="s">
        <v>4</v>
      </c>
    </row>
    <row r="781" spans="1:6">
      <c r="A781">
        <v>20200916</v>
      </c>
      <c r="B781">
        <v>126.87358690000001</v>
      </c>
      <c r="C781">
        <v>37.508467699999997</v>
      </c>
      <c r="D781" t="s">
        <v>64</v>
      </c>
      <c r="E781">
        <v>2526</v>
      </c>
      <c r="F781" t="s">
        <v>4</v>
      </c>
    </row>
    <row r="782" spans="1:6">
      <c r="A782">
        <v>20200916</v>
      </c>
      <c r="B782">
        <v>126.87358690000001</v>
      </c>
      <c r="C782">
        <v>37.508467699999997</v>
      </c>
      <c r="D782" t="s">
        <v>109</v>
      </c>
      <c r="E782">
        <v>3148</v>
      </c>
      <c r="F782" t="s">
        <v>4</v>
      </c>
    </row>
    <row r="783" spans="1:6">
      <c r="A783">
        <v>20200916</v>
      </c>
      <c r="B783">
        <v>126.87358690000001</v>
      </c>
      <c r="C783">
        <v>37.508467699999997</v>
      </c>
      <c r="D783" t="s">
        <v>70</v>
      </c>
      <c r="E783">
        <v>6859</v>
      </c>
      <c r="F783" t="s">
        <v>4</v>
      </c>
    </row>
    <row r="784" spans="1:6">
      <c r="A784">
        <v>20200916</v>
      </c>
      <c r="B784">
        <v>126.87358690000001</v>
      </c>
      <c r="C784">
        <v>37.508467699999997</v>
      </c>
      <c r="D784" t="s">
        <v>207</v>
      </c>
      <c r="E784">
        <v>22062</v>
      </c>
      <c r="F784" t="s">
        <v>4</v>
      </c>
    </row>
    <row r="785" spans="1:6">
      <c r="A785">
        <v>20200916</v>
      </c>
      <c r="B785">
        <v>126.87358690000001</v>
      </c>
      <c r="C785">
        <v>37.508467699999997</v>
      </c>
      <c r="D785" t="s">
        <v>87</v>
      </c>
      <c r="E785">
        <v>43707</v>
      </c>
      <c r="F785" t="s">
        <v>4</v>
      </c>
    </row>
    <row r="786" spans="1:6">
      <c r="A786">
        <v>20200916</v>
      </c>
      <c r="B786">
        <v>126.85185540000001</v>
      </c>
      <c r="C786">
        <v>37.406578799999998</v>
      </c>
      <c r="D786" t="s">
        <v>170</v>
      </c>
      <c r="E786">
        <v>12</v>
      </c>
      <c r="F786" t="s">
        <v>4</v>
      </c>
    </row>
    <row r="787" spans="1:6">
      <c r="A787">
        <v>20200916</v>
      </c>
      <c r="B787">
        <v>126.85185540000001</v>
      </c>
      <c r="C787">
        <v>37.406578799999998</v>
      </c>
      <c r="D787" t="s">
        <v>68</v>
      </c>
      <c r="E787">
        <v>13</v>
      </c>
      <c r="F787" t="s">
        <v>4</v>
      </c>
    </row>
    <row r="788" spans="1:6">
      <c r="A788">
        <v>20200916</v>
      </c>
      <c r="B788">
        <v>126.85185540000001</v>
      </c>
      <c r="C788">
        <v>37.406578799999998</v>
      </c>
      <c r="D788" t="s">
        <v>72</v>
      </c>
      <c r="E788">
        <v>13</v>
      </c>
      <c r="F788" t="s">
        <v>4</v>
      </c>
    </row>
    <row r="789" spans="1:6">
      <c r="A789">
        <v>20200916</v>
      </c>
      <c r="B789">
        <v>126.85185540000001</v>
      </c>
      <c r="C789">
        <v>37.406578799999998</v>
      </c>
      <c r="D789" t="s">
        <v>76</v>
      </c>
      <c r="E789">
        <v>14</v>
      </c>
      <c r="F789" t="s">
        <v>4</v>
      </c>
    </row>
    <row r="790" spans="1:6">
      <c r="A790">
        <v>20200916</v>
      </c>
      <c r="B790">
        <v>126.85185540000001</v>
      </c>
      <c r="C790">
        <v>37.406578799999998</v>
      </c>
      <c r="D790" t="s">
        <v>129</v>
      </c>
      <c r="E790">
        <v>15</v>
      </c>
      <c r="F790" t="s">
        <v>4</v>
      </c>
    </row>
    <row r="791" spans="1:6">
      <c r="A791">
        <v>20200916</v>
      </c>
      <c r="B791">
        <v>126.85185540000001</v>
      </c>
      <c r="C791">
        <v>37.406578799999998</v>
      </c>
      <c r="D791" t="s">
        <v>132</v>
      </c>
      <c r="E791">
        <v>16</v>
      </c>
      <c r="F791" t="s">
        <v>4</v>
      </c>
    </row>
    <row r="792" spans="1:6">
      <c r="A792">
        <v>20200916</v>
      </c>
      <c r="B792">
        <v>126.85185540000001</v>
      </c>
      <c r="C792">
        <v>37.406578799999998</v>
      </c>
      <c r="D792" t="s">
        <v>219</v>
      </c>
      <c r="E792">
        <v>35</v>
      </c>
      <c r="F792" t="s">
        <v>4</v>
      </c>
    </row>
    <row r="793" spans="1:6">
      <c r="A793">
        <v>20201024</v>
      </c>
      <c r="B793">
        <v>126.94555939999999</v>
      </c>
      <c r="C793">
        <v>37.373177800000001</v>
      </c>
      <c r="D793" t="s">
        <v>86</v>
      </c>
      <c r="E793">
        <v>42</v>
      </c>
      <c r="F793" t="s">
        <v>4</v>
      </c>
    </row>
    <row r="794" spans="1:6">
      <c r="A794">
        <v>20200916</v>
      </c>
      <c r="B794">
        <v>126.85185540000001</v>
      </c>
      <c r="C794">
        <v>37.406578799999998</v>
      </c>
      <c r="D794" t="s">
        <v>216</v>
      </c>
      <c r="E794">
        <v>27</v>
      </c>
      <c r="F794" t="s">
        <v>4</v>
      </c>
    </row>
    <row r="795" spans="1:6">
      <c r="A795">
        <v>20200916</v>
      </c>
      <c r="B795">
        <v>126.85185540000001</v>
      </c>
      <c r="C795">
        <v>37.406578799999998</v>
      </c>
      <c r="D795" t="s">
        <v>130</v>
      </c>
      <c r="E795">
        <v>88</v>
      </c>
      <c r="F795" t="s">
        <v>4</v>
      </c>
    </row>
    <row r="796" spans="1:6">
      <c r="A796">
        <v>20200916</v>
      </c>
      <c r="B796">
        <v>126.85185540000001</v>
      </c>
      <c r="C796">
        <v>37.406578799999998</v>
      </c>
      <c r="D796" t="s">
        <v>155</v>
      </c>
      <c r="E796">
        <v>34</v>
      </c>
      <c r="F796" t="s">
        <v>4</v>
      </c>
    </row>
    <row r="797" spans="1:6">
      <c r="A797">
        <v>20200916</v>
      </c>
      <c r="B797">
        <v>126.85185540000001</v>
      </c>
      <c r="C797">
        <v>37.406578799999998</v>
      </c>
      <c r="D797" t="s">
        <v>151</v>
      </c>
      <c r="E797">
        <v>58</v>
      </c>
      <c r="F797" t="s">
        <v>4</v>
      </c>
    </row>
    <row r="798" spans="1:6">
      <c r="A798">
        <v>20200916</v>
      </c>
      <c r="B798">
        <v>126.85185540000001</v>
      </c>
      <c r="C798">
        <v>37.406578799999998</v>
      </c>
      <c r="D798" t="s">
        <v>56</v>
      </c>
      <c r="E798">
        <v>91</v>
      </c>
      <c r="F798" t="s">
        <v>4</v>
      </c>
    </row>
    <row r="799" spans="1:6">
      <c r="A799">
        <v>20200916</v>
      </c>
      <c r="B799">
        <v>126.85185540000001</v>
      </c>
      <c r="C799">
        <v>37.406578799999998</v>
      </c>
      <c r="D799" t="s">
        <v>158</v>
      </c>
      <c r="E799">
        <v>114</v>
      </c>
      <c r="F799" t="s">
        <v>4</v>
      </c>
    </row>
    <row r="800" spans="1:6">
      <c r="A800">
        <v>20200916</v>
      </c>
      <c r="B800">
        <v>126.85185540000001</v>
      </c>
      <c r="C800">
        <v>37.406578799999998</v>
      </c>
      <c r="D800" t="s">
        <v>198</v>
      </c>
      <c r="E800">
        <v>139</v>
      </c>
      <c r="F800" t="s">
        <v>4</v>
      </c>
    </row>
    <row r="801" spans="1:6">
      <c r="A801">
        <v>20200916</v>
      </c>
      <c r="B801">
        <v>126.85185540000001</v>
      </c>
      <c r="C801">
        <v>37.406578799999998</v>
      </c>
      <c r="D801" t="s">
        <v>138</v>
      </c>
      <c r="E801">
        <v>204</v>
      </c>
      <c r="F801" t="s">
        <v>4</v>
      </c>
    </row>
    <row r="802" spans="1:6">
      <c r="A802">
        <v>20200916</v>
      </c>
      <c r="B802">
        <v>126.85185540000001</v>
      </c>
      <c r="C802">
        <v>37.406578799999998</v>
      </c>
      <c r="D802" t="s">
        <v>35</v>
      </c>
      <c r="E802">
        <v>208</v>
      </c>
      <c r="F802" t="s">
        <v>4</v>
      </c>
    </row>
    <row r="803" spans="1:6">
      <c r="A803">
        <v>20200916</v>
      </c>
      <c r="B803">
        <v>126.85185540000001</v>
      </c>
      <c r="C803">
        <v>37.406578799999998</v>
      </c>
      <c r="D803" t="s">
        <v>199</v>
      </c>
      <c r="E803">
        <v>295</v>
      </c>
      <c r="F803" t="s">
        <v>4</v>
      </c>
    </row>
    <row r="804" spans="1:6">
      <c r="A804">
        <v>20201024</v>
      </c>
      <c r="B804">
        <v>126.9070155</v>
      </c>
      <c r="C804">
        <v>37.385953200000003</v>
      </c>
      <c r="D804" t="s">
        <v>86</v>
      </c>
      <c r="E804">
        <v>27</v>
      </c>
      <c r="F804" t="s">
        <v>4</v>
      </c>
    </row>
    <row r="805" spans="1:6">
      <c r="A805">
        <v>20200916</v>
      </c>
      <c r="B805">
        <v>126.85185540000001</v>
      </c>
      <c r="C805">
        <v>37.406578799999998</v>
      </c>
      <c r="D805" t="s">
        <v>166</v>
      </c>
      <c r="E805">
        <v>363</v>
      </c>
      <c r="F805" t="s">
        <v>4</v>
      </c>
    </row>
    <row r="806" spans="1:6">
      <c r="A806">
        <v>20200916</v>
      </c>
      <c r="B806">
        <v>126.85185540000001</v>
      </c>
      <c r="C806">
        <v>37.406578799999998</v>
      </c>
      <c r="D806" t="s">
        <v>108</v>
      </c>
      <c r="E806">
        <v>666</v>
      </c>
      <c r="F806" t="s">
        <v>4</v>
      </c>
    </row>
    <row r="807" spans="1:6">
      <c r="A807">
        <v>20200916</v>
      </c>
      <c r="B807">
        <v>126.85185540000001</v>
      </c>
      <c r="C807">
        <v>37.406578799999998</v>
      </c>
      <c r="D807" t="s">
        <v>207</v>
      </c>
      <c r="E807">
        <v>1766</v>
      </c>
      <c r="F807" t="s">
        <v>4</v>
      </c>
    </row>
    <row r="808" spans="1:6">
      <c r="A808">
        <v>20200916</v>
      </c>
      <c r="B808">
        <v>126.85185540000001</v>
      </c>
      <c r="C808">
        <v>37.406578799999998</v>
      </c>
      <c r="D808" t="s">
        <v>78</v>
      </c>
      <c r="E808">
        <v>13119</v>
      </c>
      <c r="F808" t="s">
        <v>4</v>
      </c>
    </row>
    <row r="809" spans="1:6">
      <c r="A809">
        <v>20200916</v>
      </c>
      <c r="B809">
        <v>126.85185540000001</v>
      </c>
      <c r="C809">
        <v>37.406578799999998</v>
      </c>
      <c r="D809" t="s">
        <v>64</v>
      </c>
      <c r="E809">
        <v>17281</v>
      </c>
      <c r="F809" t="s">
        <v>4</v>
      </c>
    </row>
    <row r="810" spans="1:6">
      <c r="A810">
        <v>20200916</v>
      </c>
      <c r="B810">
        <v>126.85185540000001</v>
      </c>
      <c r="C810">
        <v>37.406578799999998</v>
      </c>
      <c r="D810" t="s">
        <v>137</v>
      </c>
      <c r="E810">
        <v>17870</v>
      </c>
      <c r="F810" t="s">
        <v>4</v>
      </c>
    </row>
    <row r="811" spans="1:6">
      <c r="A811">
        <v>20200916</v>
      </c>
      <c r="B811">
        <v>126.85185540000001</v>
      </c>
      <c r="C811">
        <v>37.406578799999998</v>
      </c>
      <c r="D811" t="s">
        <v>87</v>
      </c>
      <c r="E811">
        <v>20356</v>
      </c>
      <c r="F811" t="s">
        <v>4</v>
      </c>
    </row>
    <row r="812" spans="1:6">
      <c r="A812">
        <v>20200916</v>
      </c>
      <c r="B812">
        <v>126.85185540000001</v>
      </c>
      <c r="C812">
        <v>37.406578799999998</v>
      </c>
      <c r="D812" t="s">
        <v>206</v>
      </c>
      <c r="E812">
        <v>52649</v>
      </c>
      <c r="F812" t="s">
        <v>4</v>
      </c>
    </row>
    <row r="813" spans="1:6">
      <c r="A813">
        <v>20200916</v>
      </c>
      <c r="B813">
        <v>126.83793110000001</v>
      </c>
      <c r="C813">
        <v>37.441797600000001</v>
      </c>
      <c r="D813" t="s">
        <v>56</v>
      </c>
      <c r="E813">
        <v>13</v>
      </c>
      <c r="F813" t="s">
        <v>4</v>
      </c>
    </row>
    <row r="814" spans="1:6">
      <c r="A814">
        <v>20200916</v>
      </c>
      <c r="B814">
        <v>126.83793110000001</v>
      </c>
      <c r="C814">
        <v>37.441797600000001</v>
      </c>
      <c r="D814" t="s">
        <v>150</v>
      </c>
      <c r="E814">
        <v>27</v>
      </c>
      <c r="F814" t="s">
        <v>4</v>
      </c>
    </row>
    <row r="815" spans="1:6">
      <c r="A815">
        <v>20200916</v>
      </c>
      <c r="B815">
        <v>126.83793110000001</v>
      </c>
      <c r="C815">
        <v>37.441797600000001</v>
      </c>
      <c r="D815" t="s">
        <v>52</v>
      </c>
      <c r="E815">
        <v>28</v>
      </c>
      <c r="F815" t="s">
        <v>4</v>
      </c>
    </row>
    <row r="816" spans="1:6">
      <c r="A816">
        <v>20200916</v>
      </c>
      <c r="B816">
        <v>126.83793110000001</v>
      </c>
      <c r="C816">
        <v>37.441797600000001</v>
      </c>
      <c r="D816" t="s">
        <v>129</v>
      </c>
      <c r="E816">
        <v>129</v>
      </c>
      <c r="F816" t="s">
        <v>4</v>
      </c>
    </row>
    <row r="817" spans="1:6">
      <c r="A817">
        <v>20200916</v>
      </c>
      <c r="B817">
        <v>126.83793110000001</v>
      </c>
      <c r="C817">
        <v>37.441797600000001</v>
      </c>
      <c r="D817" t="s">
        <v>144</v>
      </c>
      <c r="E817">
        <v>50</v>
      </c>
      <c r="F817" t="s">
        <v>4</v>
      </c>
    </row>
    <row r="818" spans="1:6">
      <c r="A818">
        <v>20200916</v>
      </c>
      <c r="B818">
        <v>126.83793110000001</v>
      </c>
      <c r="C818">
        <v>37.441797600000001</v>
      </c>
      <c r="D818" t="s">
        <v>166</v>
      </c>
      <c r="E818">
        <v>102</v>
      </c>
      <c r="F818" t="s">
        <v>4</v>
      </c>
    </row>
    <row r="819" spans="1:6">
      <c r="A819">
        <v>20200916</v>
      </c>
      <c r="B819">
        <v>126.83793110000001</v>
      </c>
      <c r="C819">
        <v>37.441797600000001</v>
      </c>
      <c r="D819" t="s">
        <v>138</v>
      </c>
      <c r="E819">
        <v>166</v>
      </c>
      <c r="F819" t="s">
        <v>4</v>
      </c>
    </row>
    <row r="820" spans="1:6">
      <c r="A820">
        <v>20200916</v>
      </c>
      <c r="B820">
        <v>126.83793110000001</v>
      </c>
      <c r="C820">
        <v>37.441797600000001</v>
      </c>
      <c r="D820" t="s">
        <v>44</v>
      </c>
      <c r="E820">
        <v>108</v>
      </c>
      <c r="F820" t="s">
        <v>4</v>
      </c>
    </row>
    <row r="821" spans="1:6">
      <c r="A821">
        <v>20200916</v>
      </c>
      <c r="B821">
        <v>126.83793110000001</v>
      </c>
      <c r="C821">
        <v>37.441797600000001</v>
      </c>
      <c r="D821" t="s">
        <v>134</v>
      </c>
      <c r="E821">
        <v>133</v>
      </c>
      <c r="F821" t="s">
        <v>4</v>
      </c>
    </row>
    <row r="822" spans="1:6">
      <c r="A822">
        <v>20200916</v>
      </c>
      <c r="B822">
        <v>126.8797805</v>
      </c>
      <c r="C822">
        <v>37.523914499999997</v>
      </c>
      <c r="D822" t="s">
        <v>93</v>
      </c>
      <c r="E822">
        <v>68</v>
      </c>
      <c r="F822" t="s">
        <v>4</v>
      </c>
    </row>
    <row r="823" spans="1:6">
      <c r="A823">
        <v>20200916</v>
      </c>
      <c r="B823">
        <v>126.83793110000001</v>
      </c>
      <c r="C823">
        <v>37.441797600000001</v>
      </c>
      <c r="D823" t="s">
        <v>109</v>
      </c>
      <c r="E823">
        <v>141</v>
      </c>
      <c r="F823" t="s">
        <v>4</v>
      </c>
    </row>
    <row r="824" spans="1:6">
      <c r="A824">
        <v>20200916</v>
      </c>
      <c r="B824">
        <v>126.83793110000001</v>
      </c>
      <c r="C824">
        <v>37.441797600000001</v>
      </c>
      <c r="D824" t="s">
        <v>158</v>
      </c>
      <c r="E824">
        <v>167</v>
      </c>
      <c r="F824" t="s">
        <v>4</v>
      </c>
    </row>
    <row r="825" spans="1:6">
      <c r="A825">
        <v>20200916</v>
      </c>
      <c r="B825">
        <v>126.83793110000001</v>
      </c>
      <c r="C825">
        <v>37.441797600000001</v>
      </c>
      <c r="D825" t="s">
        <v>195</v>
      </c>
      <c r="E825">
        <v>178</v>
      </c>
      <c r="F825" t="s">
        <v>4</v>
      </c>
    </row>
    <row r="826" spans="1:6">
      <c r="A826">
        <v>20200916</v>
      </c>
      <c r="B826">
        <v>126.83793110000001</v>
      </c>
      <c r="C826">
        <v>37.441797600000001</v>
      </c>
      <c r="D826" t="s">
        <v>114</v>
      </c>
      <c r="E826">
        <v>284</v>
      </c>
      <c r="F826" t="s">
        <v>4</v>
      </c>
    </row>
    <row r="827" spans="1:6">
      <c r="A827">
        <v>20200916</v>
      </c>
      <c r="B827">
        <v>126.83793110000001</v>
      </c>
      <c r="C827">
        <v>37.441797600000001</v>
      </c>
      <c r="D827" t="s">
        <v>35</v>
      </c>
      <c r="E827">
        <v>293</v>
      </c>
      <c r="F827" t="s">
        <v>4</v>
      </c>
    </row>
    <row r="828" spans="1:6">
      <c r="A828">
        <v>20200916</v>
      </c>
      <c r="B828">
        <v>126.83793110000001</v>
      </c>
      <c r="C828">
        <v>37.441797600000001</v>
      </c>
      <c r="D828" t="s">
        <v>205</v>
      </c>
      <c r="E828">
        <v>227</v>
      </c>
      <c r="F828" t="s">
        <v>4</v>
      </c>
    </row>
    <row r="829" spans="1:6">
      <c r="A829">
        <v>20200916</v>
      </c>
      <c r="B829">
        <v>126.83793110000001</v>
      </c>
      <c r="C829">
        <v>37.441797600000001</v>
      </c>
      <c r="D829" t="s">
        <v>76</v>
      </c>
      <c r="E829">
        <v>324</v>
      </c>
      <c r="F829" t="s">
        <v>4</v>
      </c>
    </row>
    <row r="830" spans="1:6">
      <c r="A830">
        <v>20200916</v>
      </c>
      <c r="B830">
        <v>126.83793110000001</v>
      </c>
      <c r="C830">
        <v>37.441797600000001</v>
      </c>
      <c r="D830" t="s">
        <v>100</v>
      </c>
      <c r="E830">
        <v>359</v>
      </c>
      <c r="F830" t="s">
        <v>4</v>
      </c>
    </row>
    <row r="831" spans="1:6">
      <c r="A831">
        <v>20200916</v>
      </c>
      <c r="B831">
        <v>126.83793110000001</v>
      </c>
      <c r="C831">
        <v>37.441797600000001</v>
      </c>
      <c r="D831" t="s">
        <v>199</v>
      </c>
      <c r="E831">
        <v>420</v>
      </c>
      <c r="F831" t="s">
        <v>4</v>
      </c>
    </row>
    <row r="832" spans="1:6">
      <c r="A832">
        <v>20200916</v>
      </c>
      <c r="B832">
        <v>126.83793110000001</v>
      </c>
      <c r="C832">
        <v>37.441797600000001</v>
      </c>
      <c r="D832" t="s">
        <v>219</v>
      </c>
      <c r="E832">
        <v>500</v>
      </c>
      <c r="F832" t="s">
        <v>4</v>
      </c>
    </row>
    <row r="833" spans="1:6">
      <c r="A833">
        <v>20200916</v>
      </c>
      <c r="B833">
        <v>126.83793110000001</v>
      </c>
      <c r="C833">
        <v>37.441797600000001</v>
      </c>
      <c r="D833" t="s">
        <v>155</v>
      </c>
      <c r="E833">
        <v>557</v>
      </c>
      <c r="F833" t="s">
        <v>4</v>
      </c>
    </row>
    <row r="834" spans="1:6">
      <c r="A834">
        <v>20200916</v>
      </c>
      <c r="B834">
        <v>126.83793110000001</v>
      </c>
      <c r="C834">
        <v>37.441797600000001</v>
      </c>
      <c r="D834" t="s">
        <v>151</v>
      </c>
      <c r="E834">
        <v>694</v>
      </c>
      <c r="F834" t="s">
        <v>4</v>
      </c>
    </row>
    <row r="835" spans="1:6">
      <c r="A835">
        <v>20200916</v>
      </c>
      <c r="B835">
        <v>126.83793110000001</v>
      </c>
      <c r="C835">
        <v>37.441797600000001</v>
      </c>
      <c r="D835" t="s">
        <v>186</v>
      </c>
      <c r="E835">
        <v>764</v>
      </c>
      <c r="F835" t="s">
        <v>4</v>
      </c>
    </row>
    <row r="836" spans="1:6">
      <c r="A836">
        <v>20200916</v>
      </c>
      <c r="B836">
        <v>126.83793110000001</v>
      </c>
      <c r="C836">
        <v>37.441797600000001</v>
      </c>
      <c r="D836" t="s">
        <v>175</v>
      </c>
      <c r="E836">
        <v>793</v>
      </c>
      <c r="F836" t="s">
        <v>4</v>
      </c>
    </row>
    <row r="837" spans="1:6">
      <c r="A837">
        <v>20200916</v>
      </c>
      <c r="B837">
        <v>126.83793110000001</v>
      </c>
      <c r="C837">
        <v>37.441797600000001</v>
      </c>
      <c r="D837" t="s">
        <v>68</v>
      </c>
      <c r="E837">
        <v>981</v>
      </c>
      <c r="F837" t="s">
        <v>4</v>
      </c>
    </row>
    <row r="838" spans="1:6">
      <c r="A838">
        <v>20200916</v>
      </c>
      <c r="B838">
        <v>126.83793110000001</v>
      </c>
      <c r="C838">
        <v>37.441797600000001</v>
      </c>
      <c r="D838" t="s">
        <v>137</v>
      </c>
      <c r="E838">
        <v>2292</v>
      </c>
      <c r="F838" t="s">
        <v>4</v>
      </c>
    </row>
    <row r="839" spans="1:6">
      <c r="A839">
        <v>20200916</v>
      </c>
      <c r="B839">
        <v>126.83793110000001</v>
      </c>
      <c r="C839">
        <v>37.441797600000001</v>
      </c>
      <c r="D839" t="s">
        <v>64</v>
      </c>
      <c r="E839">
        <v>4266</v>
      </c>
      <c r="F839" t="s">
        <v>4</v>
      </c>
    </row>
    <row r="840" spans="1:6">
      <c r="A840">
        <v>20200916</v>
      </c>
      <c r="B840">
        <v>126.83793110000001</v>
      </c>
      <c r="C840">
        <v>37.441797600000001</v>
      </c>
      <c r="D840" t="s">
        <v>198</v>
      </c>
      <c r="E840">
        <v>9278</v>
      </c>
      <c r="F840" t="s">
        <v>4</v>
      </c>
    </row>
    <row r="841" spans="1:6">
      <c r="A841">
        <v>20200916</v>
      </c>
      <c r="B841">
        <v>126.8771357</v>
      </c>
      <c r="C841">
        <v>37.553306900000003</v>
      </c>
      <c r="D841" t="s">
        <v>93</v>
      </c>
      <c r="E841">
        <v>84</v>
      </c>
      <c r="F841" t="s">
        <v>4</v>
      </c>
    </row>
    <row r="842" spans="1:6">
      <c r="A842">
        <v>20200916</v>
      </c>
      <c r="B842">
        <v>126.83793110000001</v>
      </c>
      <c r="C842">
        <v>37.441797600000001</v>
      </c>
      <c r="D842" t="s">
        <v>207</v>
      </c>
      <c r="E842">
        <v>22935</v>
      </c>
      <c r="F842" t="s">
        <v>4</v>
      </c>
    </row>
    <row r="843" spans="1:6">
      <c r="A843">
        <v>20200916</v>
      </c>
      <c r="B843">
        <v>126.83793110000001</v>
      </c>
      <c r="C843">
        <v>37.441797600000001</v>
      </c>
      <c r="D843" t="s">
        <v>87</v>
      </c>
      <c r="E843">
        <v>37025</v>
      </c>
      <c r="F843" t="s">
        <v>4</v>
      </c>
    </row>
    <row r="844" spans="1:6">
      <c r="A844">
        <v>20200916</v>
      </c>
      <c r="B844">
        <v>126.83793110000001</v>
      </c>
      <c r="C844">
        <v>37.441797600000001</v>
      </c>
      <c r="D844" t="s">
        <v>130</v>
      </c>
      <c r="E844">
        <v>128139</v>
      </c>
      <c r="F844" t="s">
        <v>4</v>
      </c>
    </row>
    <row r="845" spans="1:6">
      <c r="A845">
        <v>20200916</v>
      </c>
      <c r="B845">
        <v>126.9187098</v>
      </c>
      <c r="C845">
        <v>37.431417699999997</v>
      </c>
      <c r="D845" t="s">
        <v>76</v>
      </c>
      <c r="E845">
        <v>15</v>
      </c>
      <c r="F845" t="s">
        <v>4</v>
      </c>
    </row>
    <row r="846" spans="1:6">
      <c r="A846">
        <v>20200916</v>
      </c>
      <c r="B846">
        <v>126.9187098</v>
      </c>
      <c r="C846">
        <v>37.431417699999997</v>
      </c>
      <c r="D846" t="s">
        <v>72</v>
      </c>
      <c r="E846">
        <v>18</v>
      </c>
      <c r="F846" t="s">
        <v>4</v>
      </c>
    </row>
    <row r="847" spans="1:6">
      <c r="A847">
        <v>20200916</v>
      </c>
      <c r="B847">
        <v>126.9187098</v>
      </c>
      <c r="C847">
        <v>37.431417699999997</v>
      </c>
      <c r="D847" t="s">
        <v>216</v>
      </c>
      <c r="E847">
        <v>20</v>
      </c>
      <c r="F847" t="s">
        <v>4</v>
      </c>
    </row>
    <row r="848" spans="1:6">
      <c r="A848">
        <v>20200916</v>
      </c>
      <c r="B848">
        <v>126.9187098</v>
      </c>
      <c r="C848">
        <v>37.431417699999997</v>
      </c>
      <c r="D848" t="s">
        <v>219</v>
      </c>
      <c r="E848">
        <v>67</v>
      </c>
      <c r="F848" t="s">
        <v>4</v>
      </c>
    </row>
    <row r="849" spans="1:6">
      <c r="A849">
        <v>20200916</v>
      </c>
      <c r="B849">
        <v>126.9187098</v>
      </c>
      <c r="C849">
        <v>37.431417699999997</v>
      </c>
      <c r="D849" t="s">
        <v>164</v>
      </c>
      <c r="E849">
        <v>34</v>
      </c>
      <c r="F849" t="s">
        <v>4</v>
      </c>
    </row>
    <row r="850" spans="1:6">
      <c r="A850">
        <v>20200916</v>
      </c>
      <c r="B850">
        <v>126.9187098</v>
      </c>
      <c r="C850">
        <v>37.431417699999997</v>
      </c>
      <c r="D850" t="s">
        <v>207</v>
      </c>
      <c r="E850">
        <v>40</v>
      </c>
      <c r="F850" t="s">
        <v>4</v>
      </c>
    </row>
    <row r="851" spans="1:6">
      <c r="A851">
        <v>20200916</v>
      </c>
      <c r="B851">
        <v>126.9187098</v>
      </c>
      <c r="C851">
        <v>37.431417699999997</v>
      </c>
      <c r="D851" t="s">
        <v>56</v>
      </c>
      <c r="E851">
        <v>54</v>
      </c>
      <c r="F851" t="s">
        <v>4</v>
      </c>
    </row>
    <row r="852" spans="1:6">
      <c r="A852">
        <v>20200916</v>
      </c>
      <c r="B852">
        <v>126.9187098</v>
      </c>
      <c r="C852">
        <v>37.431417699999997</v>
      </c>
      <c r="D852" t="s">
        <v>158</v>
      </c>
      <c r="E852">
        <v>223</v>
      </c>
      <c r="F852" t="s">
        <v>4</v>
      </c>
    </row>
    <row r="853" spans="1:6">
      <c r="A853">
        <v>20200916</v>
      </c>
      <c r="B853">
        <v>126.9187098</v>
      </c>
      <c r="C853">
        <v>37.431417699999997</v>
      </c>
      <c r="D853" t="s">
        <v>147</v>
      </c>
      <c r="E853">
        <v>95560</v>
      </c>
      <c r="F853" t="s">
        <v>4</v>
      </c>
    </row>
    <row r="854" spans="1:6">
      <c r="A854">
        <v>20200916</v>
      </c>
      <c r="B854">
        <v>126.92050639999999</v>
      </c>
      <c r="C854">
        <v>37.418606500000003</v>
      </c>
      <c r="D854" t="s">
        <v>72</v>
      </c>
      <c r="E854">
        <v>12</v>
      </c>
      <c r="F854" t="s">
        <v>4</v>
      </c>
    </row>
    <row r="855" spans="1:6">
      <c r="A855">
        <v>20200916</v>
      </c>
      <c r="B855">
        <v>126.92050639999999</v>
      </c>
      <c r="C855">
        <v>37.418606500000003</v>
      </c>
      <c r="D855" t="s">
        <v>216</v>
      </c>
      <c r="E855">
        <v>15</v>
      </c>
      <c r="F855" t="s">
        <v>4</v>
      </c>
    </row>
    <row r="856" spans="1:6">
      <c r="A856">
        <v>20200916</v>
      </c>
      <c r="B856">
        <v>126.92050639999999</v>
      </c>
      <c r="C856">
        <v>37.418606500000003</v>
      </c>
      <c r="D856" t="s">
        <v>76</v>
      </c>
      <c r="E856">
        <v>25</v>
      </c>
      <c r="F856" t="s">
        <v>4</v>
      </c>
    </row>
    <row r="857" spans="1:6">
      <c r="A857">
        <v>20200916</v>
      </c>
      <c r="B857">
        <v>126.92050639999999</v>
      </c>
      <c r="C857">
        <v>37.418606500000003</v>
      </c>
      <c r="D857" t="s">
        <v>56</v>
      </c>
      <c r="E857">
        <v>44</v>
      </c>
      <c r="F857" t="s">
        <v>4</v>
      </c>
    </row>
    <row r="858" spans="1:6">
      <c r="A858">
        <v>20200916</v>
      </c>
      <c r="B858">
        <v>126.92050639999999</v>
      </c>
      <c r="C858">
        <v>37.418606500000003</v>
      </c>
      <c r="D858" t="s">
        <v>87</v>
      </c>
      <c r="E858">
        <v>271</v>
      </c>
      <c r="F858" t="s">
        <v>4</v>
      </c>
    </row>
    <row r="859" spans="1:6">
      <c r="A859">
        <v>20200916</v>
      </c>
      <c r="B859">
        <v>126.92050639999999</v>
      </c>
      <c r="C859">
        <v>37.418606500000003</v>
      </c>
      <c r="D859" t="s">
        <v>134</v>
      </c>
      <c r="E859">
        <v>292</v>
      </c>
      <c r="F859" t="s">
        <v>4</v>
      </c>
    </row>
    <row r="860" spans="1:6">
      <c r="A860">
        <v>20200916</v>
      </c>
      <c r="B860">
        <v>126.92050639999999</v>
      </c>
      <c r="C860">
        <v>37.418606500000003</v>
      </c>
      <c r="D860" t="s">
        <v>68</v>
      </c>
      <c r="E860">
        <v>434</v>
      </c>
      <c r="F860" t="s">
        <v>4</v>
      </c>
    </row>
    <row r="861" spans="1:6">
      <c r="A861">
        <v>20200916</v>
      </c>
      <c r="B861">
        <v>126.92050639999999</v>
      </c>
      <c r="C861">
        <v>37.418606500000003</v>
      </c>
      <c r="D861" t="s">
        <v>74</v>
      </c>
      <c r="E861">
        <v>2001</v>
      </c>
      <c r="F861" t="s">
        <v>4</v>
      </c>
    </row>
    <row r="862" spans="1:6">
      <c r="A862">
        <v>20201024</v>
      </c>
      <c r="B862">
        <v>126.95619790000001</v>
      </c>
      <c r="C862">
        <v>37.363509200000003</v>
      </c>
      <c r="D862" t="s">
        <v>97</v>
      </c>
      <c r="E862">
        <v>440</v>
      </c>
      <c r="F862" t="s">
        <v>4</v>
      </c>
    </row>
    <row r="863" spans="1:6">
      <c r="A863">
        <v>20200916</v>
      </c>
      <c r="B863">
        <v>126.92050639999999</v>
      </c>
      <c r="C863">
        <v>37.418606500000003</v>
      </c>
      <c r="D863" t="s">
        <v>137</v>
      </c>
      <c r="E863">
        <v>3288</v>
      </c>
      <c r="F863" t="s">
        <v>4</v>
      </c>
    </row>
    <row r="864" spans="1:6">
      <c r="A864">
        <v>20200916</v>
      </c>
      <c r="B864">
        <v>126.92050639999999</v>
      </c>
      <c r="C864">
        <v>37.418606500000003</v>
      </c>
      <c r="D864" t="s">
        <v>158</v>
      </c>
      <c r="E864">
        <v>4179</v>
      </c>
      <c r="F864" t="s">
        <v>4</v>
      </c>
    </row>
    <row r="865" spans="1:6">
      <c r="A865">
        <v>20200916</v>
      </c>
      <c r="B865">
        <v>126.92050639999999</v>
      </c>
      <c r="C865">
        <v>37.418606500000003</v>
      </c>
      <c r="D865" t="s">
        <v>207</v>
      </c>
      <c r="E865">
        <v>5965</v>
      </c>
      <c r="F865" t="s">
        <v>4</v>
      </c>
    </row>
    <row r="866" spans="1:6">
      <c r="A866">
        <v>20200916</v>
      </c>
      <c r="B866">
        <v>126.92050639999999</v>
      </c>
      <c r="C866">
        <v>37.418606500000003</v>
      </c>
      <c r="D866" t="s">
        <v>175</v>
      </c>
      <c r="E866">
        <v>15892</v>
      </c>
      <c r="F866" t="s">
        <v>4</v>
      </c>
    </row>
    <row r="867" spans="1:6">
      <c r="A867">
        <v>20200916</v>
      </c>
      <c r="B867">
        <v>126.92050639999999</v>
      </c>
      <c r="C867">
        <v>37.418606500000003</v>
      </c>
      <c r="D867" t="s">
        <v>219</v>
      </c>
      <c r="E867">
        <v>18198</v>
      </c>
      <c r="F867" t="s">
        <v>4</v>
      </c>
    </row>
    <row r="868" spans="1:6">
      <c r="A868">
        <v>20200916</v>
      </c>
      <c r="B868">
        <v>126.92050639999999</v>
      </c>
      <c r="C868">
        <v>37.418606500000003</v>
      </c>
      <c r="D868" t="s">
        <v>147</v>
      </c>
      <c r="E868">
        <v>23917</v>
      </c>
      <c r="F868" t="s">
        <v>4</v>
      </c>
    </row>
    <row r="869" spans="1:6">
      <c r="A869">
        <v>20200916</v>
      </c>
      <c r="B869">
        <v>126.92050639999999</v>
      </c>
      <c r="C869">
        <v>37.418606500000003</v>
      </c>
      <c r="D869" t="s">
        <v>89</v>
      </c>
      <c r="E869">
        <v>53419</v>
      </c>
      <c r="F869" t="s">
        <v>4</v>
      </c>
    </row>
    <row r="870" spans="1:6">
      <c r="A870">
        <v>20200916</v>
      </c>
      <c r="B870">
        <v>126.99657019999999</v>
      </c>
      <c r="C870">
        <v>37.389118600000003</v>
      </c>
      <c r="D870" t="s">
        <v>129</v>
      </c>
      <c r="E870">
        <v>12</v>
      </c>
      <c r="F870" t="s">
        <v>4</v>
      </c>
    </row>
    <row r="871" spans="1:6">
      <c r="A871">
        <v>20200916</v>
      </c>
      <c r="B871">
        <v>126.99657019999999</v>
      </c>
      <c r="C871">
        <v>37.389118600000003</v>
      </c>
      <c r="D871" t="s">
        <v>68</v>
      </c>
      <c r="E871">
        <v>17</v>
      </c>
      <c r="F871" t="s">
        <v>4</v>
      </c>
    </row>
    <row r="872" spans="1:6">
      <c r="A872">
        <v>20201024</v>
      </c>
      <c r="B872">
        <v>126.94555939999999</v>
      </c>
      <c r="C872">
        <v>37.373177800000001</v>
      </c>
      <c r="D872" t="s">
        <v>97</v>
      </c>
      <c r="E872">
        <v>134</v>
      </c>
      <c r="F872" t="s">
        <v>4</v>
      </c>
    </row>
    <row r="873" spans="1:6">
      <c r="A873">
        <v>20200916</v>
      </c>
      <c r="B873">
        <v>126.99657019999999</v>
      </c>
      <c r="C873">
        <v>37.389118600000003</v>
      </c>
      <c r="D873" t="s">
        <v>76</v>
      </c>
      <c r="E873">
        <v>24</v>
      </c>
      <c r="F873" t="s">
        <v>4</v>
      </c>
    </row>
    <row r="874" spans="1:6">
      <c r="A874">
        <v>20200916</v>
      </c>
      <c r="B874">
        <v>126.99657019999999</v>
      </c>
      <c r="C874">
        <v>37.389118600000003</v>
      </c>
      <c r="D874" t="s">
        <v>87</v>
      </c>
      <c r="E874">
        <v>31</v>
      </c>
      <c r="F874" t="s">
        <v>4</v>
      </c>
    </row>
    <row r="875" spans="1:6">
      <c r="A875">
        <v>20200916</v>
      </c>
      <c r="B875">
        <v>126.99657019999999</v>
      </c>
      <c r="C875">
        <v>37.389118600000003</v>
      </c>
      <c r="D875" t="s">
        <v>198</v>
      </c>
      <c r="E875">
        <v>32</v>
      </c>
      <c r="F875" t="s">
        <v>4</v>
      </c>
    </row>
    <row r="876" spans="1:6">
      <c r="A876">
        <v>20200916</v>
      </c>
      <c r="B876">
        <v>126.99657019999999</v>
      </c>
      <c r="C876">
        <v>37.389118600000003</v>
      </c>
      <c r="D876" t="s">
        <v>56</v>
      </c>
      <c r="E876">
        <v>32</v>
      </c>
      <c r="F876" t="s">
        <v>4</v>
      </c>
    </row>
    <row r="877" spans="1:6">
      <c r="A877">
        <v>20201024</v>
      </c>
      <c r="B877">
        <v>126.8960105</v>
      </c>
      <c r="C877">
        <v>37.403669399999998</v>
      </c>
      <c r="D877" t="s">
        <v>97</v>
      </c>
      <c r="E877">
        <v>206</v>
      </c>
      <c r="F877" t="s">
        <v>4</v>
      </c>
    </row>
    <row r="878" spans="1:6">
      <c r="A878">
        <v>20200916</v>
      </c>
      <c r="B878">
        <v>126.99657019999999</v>
      </c>
      <c r="C878">
        <v>37.389118600000003</v>
      </c>
      <c r="D878" t="s">
        <v>172</v>
      </c>
      <c r="E878">
        <v>119</v>
      </c>
      <c r="F878" t="s">
        <v>4</v>
      </c>
    </row>
    <row r="879" spans="1:6">
      <c r="A879">
        <v>20200916</v>
      </c>
      <c r="B879">
        <v>126.99657019999999</v>
      </c>
      <c r="C879">
        <v>37.389118600000003</v>
      </c>
      <c r="D879" t="s">
        <v>89</v>
      </c>
      <c r="E879">
        <v>123</v>
      </c>
      <c r="F879" t="s">
        <v>4</v>
      </c>
    </row>
    <row r="880" spans="1:6">
      <c r="A880">
        <v>20200916</v>
      </c>
      <c r="B880">
        <v>126.99657019999999</v>
      </c>
      <c r="C880">
        <v>37.389118600000003</v>
      </c>
      <c r="D880" t="s">
        <v>134</v>
      </c>
      <c r="E880">
        <v>225</v>
      </c>
      <c r="F880" t="s">
        <v>4</v>
      </c>
    </row>
    <row r="881" spans="1:6">
      <c r="A881">
        <v>20200916</v>
      </c>
      <c r="B881">
        <v>126.99657019999999</v>
      </c>
      <c r="C881">
        <v>37.389118600000003</v>
      </c>
      <c r="D881" t="s">
        <v>122</v>
      </c>
      <c r="E881">
        <v>449</v>
      </c>
      <c r="F881" t="s">
        <v>4</v>
      </c>
    </row>
    <row r="882" spans="1:6">
      <c r="A882">
        <v>20200916</v>
      </c>
      <c r="B882">
        <v>126.99657019999999</v>
      </c>
      <c r="C882">
        <v>37.389118600000003</v>
      </c>
      <c r="D882" t="s">
        <v>158</v>
      </c>
      <c r="E882">
        <v>763</v>
      </c>
      <c r="F882" t="s">
        <v>4</v>
      </c>
    </row>
    <row r="883" spans="1:6">
      <c r="A883">
        <v>20200916</v>
      </c>
      <c r="B883">
        <v>126.99657019999999</v>
      </c>
      <c r="C883">
        <v>37.389118600000003</v>
      </c>
      <c r="D883" t="s">
        <v>35</v>
      </c>
      <c r="E883">
        <v>787</v>
      </c>
      <c r="F883" t="s">
        <v>4</v>
      </c>
    </row>
    <row r="884" spans="1:6">
      <c r="A884">
        <v>20200916</v>
      </c>
      <c r="B884">
        <v>126.99657019999999</v>
      </c>
      <c r="C884">
        <v>37.389118600000003</v>
      </c>
      <c r="D884" t="s">
        <v>64</v>
      </c>
      <c r="E884">
        <v>786</v>
      </c>
      <c r="F884" t="s">
        <v>4</v>
      </c>
    </row>
    <row r="885" spans="1:6">
      <c r="A885">
        <v>20200916</v>
      </c>
      <c r="B885">
        <v>126.99657019999999</v>
      </c>
      <c r="C885">
        <v>37.389118600000003</v>
      </c>
      <c r="D885" t="s">
        <v>207</v>
      </c>
      <c r="E885">
        <v>1158</v>
      </c>
      <c r="F885" t="s">
        <v>4</v>
      </c>
    </row>
    <row r="886" spans="1:6">
      <c r="A886">
        <v>20201024</v>
      </c>
      <c r="B886">
        <v>126.89556140000001</v>
      </c>
      <c r="C886">
        <v>37.418411599999999</v>
      </c>
      <c r="D886" t="s">
        <v>97</v>
      </c>
      <c r="E886">
        <v>213</v>
      </c>
      <c r="F886" t="s">
        <v>4</v>
      </c>
    </row>
    <row r="887" spans="1:6">
      <c r="A887">
        <v>20200916</v>
      </c>
      <c r="B887">
        <v>126.99657019999999</v>
      </c>
      <c r="C887">
        <v>37.389118600000003</v>
      </c>
      <c r="D887" t="s">
        <v>137</v>
      </c>
      <c r="E887">
        <v>16011</v>
      </c>
      <c r="F887" t="s">
        <v>4</v>
      </c>
    </row>
    <row r="888" spans="1:6">
      <c r="A888">
        <v>20200916</v>
      </c>
      <c r="B888">
        <v>126.99657019999999</v>
      </c>
      <c r="C888">
        <v>37.389118600000003</v>
      </c>
      <c r="D888" t="s">
        <v>175</v>
      </c>
      <c r="E888">
        <v>12502</v>
      </c>
      <c r="F888" t="s">
        <v>4</v>
      </c>
    </row>
    <row r="889" spans="1:6">
      <c r="A889">
        <v>20200916</v>
      </c>
      <c r="B889">
        <v>126.99657019999999</v>
      </c>
      <c r="C889">
        <v>37.389118600000003</v>
      </c>
      <c r="D889" t="s">
        <v>219</v>
      </c>
      <c r="E889">
        <v>21600</v>
      </c>
      <c r="F889" t="s">
        <v>4</v>
      </c>
    </row>
    <row r="890" spans="1:6">
      <c r="A890">
        <v>20200916</v>
      </c>
      <c r="B890">
        <v>126.99657019999999</v>
      </c>
      <c r="C890">
        <v>37.389118600000003</v>
      </c>
      <c r="D890" t="s">
        <v>147</v>
      </c>
      <c r="E890">
        <v>104437</v>
      </c>
      <c r="F890" t="s">
        <v>4</v>
      </c>
    </row>
    <row r="891" spans="1:6">
      <c r="A891">
        <v>20200916</v>
      </c>
      <c r="B891">
        <v>126.9866722</v>
      </c>
      <c r="C891">
        <v>37.398721700000003</v>
      </c>
      <c r="D891" t="s">
        <v>44</v>
      </c>
      <c r="E891">
        <v>14</v>
      </c>
      <c r="F891" t="s">
        <v>4</v>
      </c>
    </row>
    <row r="892" spans="1:6">
      <c r="A892">
        <v>20200916</v>
      </c>
      <c r="B892">
        <v>126.9866722</v>
      </c>
      <c r="C892">
        <v>37.398721700000003</v>
      </c>
      <c r="D892" t="s">
        <v>129</v>
      </c>
      <c r="E892">
        <v>14</v>
      </c>
      <c r="F892" t="s">
        <v>4</v>
      </c>
    </row>
    <row r="893" spans="1:6">
      <c r="A893">
        <v>20200916</v>
      </c>
      <c r="B893">
        <v>126.9866722</v>
      </c>
      <c r="C893">
        <v>37.398721700000003</v>
      </c>
      <c r="D893" t="s">
        <v>172</v>
      </c>
      <c r="E893">
        <v>15</v>
      </c>
      <c r="F893" t="s">
        <v>4</v>
      </c>
    </row>
    <row r="894" spans="1:6">
      <c r="A894">
        <v>20200916</v>
      </c>
      <c r="B894">
        <v>126.9866722</v>
      </c>
      <c r="C894">
        <v>37.398721700000003</v>
      </c>
      <c r="D894" t="s">
        <v>60</v>
      </c>
      <c r="E894">
        <v>17</v>
      </c>
      <c r="F894" t="s">
        <v>4</v>
      </c>
    </row>
    <row r="895" spans="1:6">
      <c r="A895">
        <v>20200916</v>
      </c>
      <c r="B895">
        <v>126.9866722</v>
      </c>
      <c r="C895">
        <v>37.398721700000003</v>
      </c>
      <c r="D895" t="s">
        <v>164</v>
      </c>
      <c r="E895">
        <v>22</v>
      </c>
      <c r="F895" t="s">
        <v>4</v>
      </c>
    </row>
    <row r="896" spans="1:6">
      <c r="A896">
        <v>20200916</v>
      </c>
      <c r="B896">
        <v>126.9866722</v>
      </c>
      <c r="C896">
        <v>37.398721700000003</v>
      </c>
      <c r="D896" t="s">
        <v>22</v>
      </c>
      <c r="E896">
        <v>23</v>
      </c>
      <c r="F896" t="s">
        <v>4</v>
      </c>
    </row>
    <row r="897" spans="1:6">
      <c r="A897">
        <v>20200916</v>
      </c>
      <c r="B897">
        <v>126.9866722</v>
      </c>
      <c r="C897">
        <v>37.398721700000003</v>
      </c>
      <c r="D897" t="s">
        <v>220</v>
      </c>
      <c r="E897">
        <v>43</v>
      </c>
      <c r="F897" t="s">
        <v>4</v>
      </c>
    </row>
    <row r="898" spans="1:6">
      <c r="A898">
        <v>20200916</v>
      </c>
      <c r="B898">
        <v>126.9866722</v>
      </c>
      <c r="C898">
        <v>37.398721700000003</v>
      </c>
      <c r="D898" t="s">
        <v>150</v>
      </c>
      <c r="E898">
        <v>46</v>
      </c>
      <c r="F898" t="s">
        <v>4</v>
      </c>
    </row>
    <row r="899" spans="1:6">
      <c r="A899">
        <v>20201024</v>
      </c>
      <c r="B899">
        <v>126.9007862</v>
      </c>
      <c r="C899">
        <v>37.438687899999998</v>
      </c>
      <c r="D899" t="s">
        <v>97</v>
      </c>
      <c r="E899">
        <v>412</v>
      </c>
      <c r="F899" t="s">
        <v>4</v>
      </c>
    </row>
    <row r="900" spans="1:6">
      <c r="A900">
        <v>20201024</v>
      </c>
      <c r="B900">
        <v>126.8772417</v>
      </c>
      <c r="C900">
        <v>37.474826299999997</v>
      </c>
      <c r="D900" t="s">
        <v>97</v>
      </c>
      <c r="E900">
        <v>362</v>
      </c>
      <c r="F900" t="s">
        <v>4</v>
      </c>
    </row>
    <row r="901" spans="1:6">
      <c r="A901">
        <v>20200916</v>
      </c>
      <c r="B901">
        <v>126.9866722</v>
      </c>
      <c r="C901">
        <v>37.398721700000003</v>
      </c>
      <c r="D901" t="s">
        <v>35</v>
      </c>
      <c r="E901">
        <v>117</v>
      </c>
      <c r="F901" t="s">
        <v>4</v>
      </c>
    </row>
    <row r="902" spans="1:6">
      <c r="A902">
        <v>20200916</v>
      </c>
      <c r="B902">
        <v>126.9866722</v>
      </c>
      <c r="C902">
        <v>37.398721700000003</v>
      </c>
      <c r="D902" t="s">
        <v>199</v>
      </c>
      <c r="E902">
        <v>118</v>
      </c>
      <c r="F902" t="s">
        <v>4</v>
      </c>
    </row>
    <row r="903" spans="1:6">
      <c r="A903">
        <v>20201024</v>
      </c>
      <c r="B903">
        <v>126.82462289999999</v>
      </c>
      <c r="C903">
        <v>37.470256399999997</v>
      </c>
      <c r="D903" t="s">
        <v>97</v>
      </c>
      <c r="E903">
        <v>528</v>
      </c>
      <c r="F903" t="s">
        <v>4</v>
      </c>
    </row>
    <row r="904" spans="1:6">
      <c r="A904">
        <v>20200916</v>
      </c>
      <c r="B904">
        <v>126.9866722</v>
      </c>
      <c r="C904">
        <v>37.398721700000003</v>
      </c>
      <c r="D904" t="s">
        <v>166</v>
      </c>
      <c r="E904">
        <v>134</v>
      </c>
      <c r="F904" t="s">
        <v>4</v>
      </c>
    </row>
    <row r="905" spans="1:6">
      <c r="A905">
        <v>20200916</v>
      </c>
      <c r="B905">
        <v>126.9866722</v>
      </c>
      <c r="C905">
        <v>37.398721700000003</v>
      </c>
      <c r="D905" t="s">
        <v>106</v>
      </c>
      <c r="E905">
        <v>128</v>
      </c>
      <c r="F905" t="s">
        <v>4</v>
      </c>
    </row>
    <row r="906" spans="1:6">
      <c r="A906">
        <v>20200916</v>
      </c>
      <c r="B906">
        <v>126.9866722</v>
      </c>
      <c r="C906">
        <v>37.398721700000003</v>
      </c>
      <c r="D906" t="s">
        <v>158</v>
      </c>
      <c r="E906">
        <v>190</v>
      </c>
      <c r="F906" t="s">
        <v>4</v>
      </c>
    </row>
    <row r="907" spans="1:6">
      <c r="A907">
        <v>20200916</v>
      </c>
      <c r="B907">
        <v>126.9866722</v>
      </c>
      <c r="C907">
        <v>37.398721700000003</v>
      </c>
      <c r="D907" t="s">
        <v>151</v>
      </c>
      <c r="E907">
        <v>579</v>
      </c>
      <c r="F907" t="s">
        <v>4</v>
      </c>
    </row>
    <row r="908" spans="1:6">
      <c r="A908">
        <v>20200916</v>
      </c>
      <c r="B908">
        <v>126.9866722</v>
      </c>
      <c r="C908">
        <v>37.398721700000003</v>
      </c>
      <c r="D908" t="s">
        <v>109</v>
      </c>
      <c r="E908">
        <v>728</v>
      </c>
      <c r="F908" t="s">
        <v>4</v>
      </c>
    </row>
    <row r="909" spans="1:6">
      <c r="A909">
        <v>20200916</v>
      </c>
      <c r="B909">
        <v>126.9866722</v>
      </c>
      <c r="C909">
        <v>37.398721700000003</v>
      </c>
      <c r="D909" t="s">
        <v>195</v>
      </c>
      <c r="E909">
        <v>658</v>
      </c>
      <c r="F909" t="s">
        <v>4</v>
      </c>
    </row>
    <row r="910" spans="1:6">
      <c r="A910">
        <v>20200916</v>
      </c>
      <c r="B910">
        <v>126.9866722</v>
      </c>
      <c r="C910">
        <v>37.398721700000003</v>
      </c>
      <c r="D910" t="s">
        <v>155</v>
      </c>
      <c r="E910">
        <v>731</v>
      </c>
      <c r="F910" t="s">
        <v>4</v>
      </c>
    </row>
    <row r="911" spans="1:6">
      <c r="A911">
        <v>20200916</v>
      </c>
      <c r="B911">
        <v>126.9866722</v>
      </c>
      <c r="C911">
        <v>37.398721700000003</v>
      </c>
      <c r="D911" t="s">
        <v>186</v>
      </c>
      <c r="E911">
        <v>776</v>
      </c>
      <c r="F911" t="s">
        <v>4</v>
      </c>
    </row>
    <row r="912" spans="1:6">
      <c r="A912">
        <v>20200916</v>
      </c>
      <c r="B912">
        <v>126.9866722</v>
      </c>
      <c r="C912">
        <v>37.398721700000003</v>
      </c>
      <c r="D912" t="s">
        <v>137</v>
      </c>
      <c r="E912">
        <v>1580</v>
      </c>
      <c r="F912" t="s">
        <v>4</v>
      </c>
    </row>
    <row r="913" spans="1:6">
      <c r="A913">
        <v>20200916</v>
      </c>
      <c r="B913">
        <v>126.9866722</v>
      </c>
      <c r="C913">
        <v>37.398721700000003</v>
      </c>
      <c r="D913" t="s">
        <v>56</v>
      </c>
      <c r="E913">
        <v>1621</v>
      </c>
      <c r="F913" t="s">
        <v>4</v>
      </c>
    </row>
    <row r="914" spans="1:6">
      <c r="A914">
        <v>20200916</v>
      </c>
      <c r="B914">
        <v>126.9866722</v>
      </c>
      <c r="C914">
        <v>37.398721700000003</v>
      </c>
      <c r="D914" t="s">
        <v>68</v>
      </c>
      <c r="E914">
        <v>2338</v>
      </c>
      <c r="F914" t="s">
        <v>4</v>
      </c>
    </row>
    <row r="915" spans="1:6">
      <c r="A915">
        <v>20200916</v>
      </c>
      <c r="B915">
        <v>126.9866722</v>
      </c>
      <c r="C915">
        <v>37.398721700000003</v>
      </c>
      <c r="D915" t="s">
        <v>216</v>
      </c>
      <c r="E915">
        <v>2746</v>
      </c>
      <c r="F915" t="s">
        <v>4</v>
      </c>
    </row>
    <row r="916" spans="1:6">
      <c r="A916">
        <v>20200916</v>
      </c>
      <c r="B916">
        <v>126.9866722</v>
      </c>
      <c r="C916">
        <v>37.398721700000003</v>
      </c>
      <c r="D916" t="s">
        <v>76</v>
      </c>
      <c r="E916">
        <v>2057</v>
      </c>
      <c r="F916" t="s">
        <v>4</v>
      </c>
    </row>
    <row r="917" spans="1:6">
      <c r="A917">
        <v>20200916</v>
      </c>
      <c r="B917">
        <v>126.9866722</v>
      </c>
      <c r="C917">
        <v>37.398721700000003</v>
      </c>
      <c r="D917" t="s">
        <v>134</v>
      </c>
      <c r="E917">
        <v>2988</v>
      </c>
      <c r="F917" t="s">
        <v>4</v>
      </c>
    </row>
    <row r="918" spans="1:6">
      <c r="A918">
        <v>20200916</v>
      </c>
      <c r="B918">
        <v>126.9866722</v>
      </c>
      <c r="C918">
        <v>37.398721700000003</v>
      </c>
      <c r="D918" t="s">
        <v>147</v>
      </c>
      <c r="E918">
        <v>2929</v>
      </c>
      <c r="F918" t="s">
        <v>4</v>
      </c>
    </row>
    <row r="919" spans="1:6">
      <c r="A919">
        <v>20200916</v>
      </c>
      <c r="B919">
        <v>126.9866722</v>
      </c>
      <c r="C919">
        <v>37.398721700000003</v>
      </c>
      <c r="D919" t="s">
        <v>64</v>
      </c>
      <c r="E919">
        <v>3363</v>
      </c>
      <c r="F919" t="s">
        <v>4</v>
      </c>
    </row>
    <row r="920" spans="1:6">
      <c r="A920">
        <v>20200916</v>
      </c>
      <c r="B920">
        <v>126.9866722</v>
      </c>
      <c r="C920">
        <v>37.398721700000003</v>
      </c>
      <c r="D920" t="s">
        <v>87</v>
      </c>
      <c r="E920">
        <v>11773</v>
      </c>
      <c r="F920" t="s">
        <v>4</v>
      </c>
    </row>
    <row r="921" spans="1:6">
      <c r="A921">
        <v>20200916</v>
      </c>
      <c r="B921">
        <v>126.9866722</v>
      </c>
      <c r="C921">
        <v>37.398721700000003</v>
      </c>
      <c r="D921" t="s">
        <v>175</v>
      </c>
      <c r="E921">
        <v>19461</v>
      </c>
      <c r="F921" t="s">
        <v>4</v>
      </c>
    </row>
    <row r="922" spans="1:6">
      <c r="A922">
        <v>20200916</v>
      </c>
      <c r="B922">
        <v>126.9866722</v>
      </c>
      <c r="C922">
        <v>37.398721700000003</v>
      </c>
      <c r="D922" t="s">
        <v>219</v>
      </c>
      <c r="E922">
        <v>36231</v>
      </c>
      <c r="F922" t="s">
        <v>4</v>
      </c>
    </row>
    <row r="923" spans="1:6">
      <c r="A923">
        <v>20200916</v>
      </c>
      <c r="B923">
        <v>126.9866722</v>
      </c>
      <c r="C923">
        <v>37.398721700000003</v>
      </c>
      <c r="D923" t="s">
        <v>207</v>
      </c>
      <c r="E923">
        <v>38354</v>
      </c>
      <c r="F923" t="s">
        <v>4</v>
      </c>
    </row>
    <row r="924" spans="1:6">
      <c r="A924">
        <v>20201024</v>
      </c>
      <c r="B924">
        <v>126.9724018</v>
      </c>
      <c r="C924">
        <v>37.348161500000003</v>
      </c>
      <c r="D924" t="s">
        <v>207</v>
      </c>
      <c r="E924">
        <v>19</v>
      </c>
      <c r="F924" t="s">
        <v>4</v>
      </c>
    </row>
    <row r="925" spans="1:6">
      <c r="A925">
        <v>20201024</v>
      </c>
      <c r="B925">
        <v>126.9724018</v>
      </c>
      <c r="C925">
        <v>37.348161500000003</v>
      </c>
      <c r="D925" t="s">
        <v>56</v>
      </c>
      <c r="E925">
        <v>19</v>
      </c>
      <c r="F925" t="s">
        <v>4</v>
      </c>
    </row>
    <row r="926" spans="1:6">
      <c r="A926">
        <v>20201024</v>
      </c>
      <c r="B926">
        <v>126.95619790000001</v>
      </c>
      <c r="C926">
        <v>37.363509200000003</v>
      </c>
      <c r="D926" t="s">
        <v>116</v>
      </c>
      <c r="E926">
        <v>13</v>
      </c>
      <c r="F926" t="s">
        <v>4</v>
      </c>
    </row>
    <row r="927" spans="1:6">
      <c r="A927">
        <v>20201024</v>
      </c>
      <c r="B927">
        <v>126.92050639999999</v>
      </c>
      <c r="C927">
        <v>37.418606500000003</v>
      </c>
      <c r="D927" t="s">
        <v>116</v>
      </c>
      <c r="E927">
        <v>36</v>
      </c>
      <c r="F927" t="s">
        <v>4</v>
      </c>
    </row>
    <row r="928" spans="1:6">
      <c r="A928">
        <v>20201024</v>
      </c>
      <c r="B928">
        <v>126.9724018</v>
      </c>
      <c r="C928">
        <v>37.348161500000003</v>
      </c>
      <c r="D928" t="s">
        <v>22</v>
      </c>
      <c r="E928">
        <v>46</v>
      </c>
      <c r="F928" t="s">
        <v>4</v>
      </c>
    </row>
    <row r="929" spans="1:6">
      <c r="A929">
        <v>20201024</v>
      </c>
      <c r="B929">
        <v>126.9724018</v>
      </c>
      <c r="C929">
        <v>37.348161500000003</v>
      </c>
      <c r="D929" t="s">
        <v>151</v>
      </c>
      <c r="E929">
        <v>31</v>
      </c>
      <c r="F929" t="s">
        <v>4</v>
      </c>
    </row>
    <row r="930" spans="1:6">
      <c r="A930">
        <v>20201024</v>
      </c>
      <c r="B930">
        <v>126.9724018</v>
      </c>
      <c r="C930">
        <v>37.348161500000003</v>
      </c>
      <c r="D930" t="s">
        <v>172</v>
      </c>
      <c r="E930">
        <v>31</v>
      </c>
      <c r="F930" t="s">
        <v>4</v>
      </c>
    </row>
    <row r="931" spans="1:6">
      <c r="A931">
        <v>20201024</v>
      </c>
      <c r="B931">
        <v>126.9724018</v>
      </c>
      <c r="C931">
        <v>37.348161500000003</v>
      </c>
      <c r="D931" t="s">
        <v>129</v>
      </c>
      <c r="E931">
        <v>77</v>
      </c>
      <c r="F931" t="s">
        <v>4</v>
      </c>
    </row>
    <row r="932" spans="1:6">
      <c r="A932">
        <v>20201024</v>
      </c>
      <c r="B932">
        <v>126.9724018</v>
      </c>
      <c r="C932">
        <v>37.348161500000003</v>
      </c>
      <c r="D932" t="s">
        <v>158</v>
      </c>
      <c r="E932">
        <v>54</v>
      </c>
      <c r="F932" t="s">
        <v>4</v>
      </c>
    </row>
    <row r="933" spans="1:6">
      <c r="A933">
        <v>20201024</v>
      </c>
      <c r="B933">
        <v>126.9724018</v>
      </c>
      <c r="C933">
        <v>37.348161500000003</v>
      </c>
      <c r="D933" t="s">
        <v>78</v>
      </c>
      <c r="E933">
        <v>95</v>
      </c>
      <c r="F933" t="s">
        <v>4</v>
      </c>
    </row>
    <row r="934" spans="1:6">
      <c r="A934">
        <v>20201024</v>
      </c>
      <c r="B934">
        <v>126.9724018</v>
      </c>
      <c r="C934">
        <v>37.348161500000003</v>
      </c>
      <c r="D934" t="s">
        <v>134</v>
      </c>
      <c r="E934">
        <v>152</v>
      </c>
      <c r="F934" t="s">
        <v>4</v>
      </c>
    </row>
    <row r="935" spans="1:6">
      <c r="A935">
        <v>20201024</v>
      </c>
      <c r="B935">
        <v>126.9724018</v>
      </c>
      <c r="C935">
        <v>37.348161500000003</v>
      </c>
      <c r="D935" t="s">
        <v>130</v>
      </c>
      <c r="E935">
        <v>172</v>
      </c>
      <c r="F935" t="s">
        <v>4</v>
      </c>
    </row>
    <row r="936" spans="1:6">
      <c r="A936">
        <v>20201024</v>
      </c>
      <c r="B936">
        <v>126.9724018</v>
      </c>
      <c r="C936">
        <v>37.348161500000003</v>
      </c>
      <c r="D936" t="s">
        <v>133</v>
      </c>
      <c r="E936">
        <v>796</v>
      </c>
      <c r="F936" t="s">
        <v>4</v>
      </c>
    </row>
    <row r="937" spans="1:6">
      <c r="A937">
        <v>20201024</v>
      </c>
      <c r="B937">
        <v>126.9724018</v>
      </c>
      <c r="C937">
        <v>37.348161500000003</v>
      </c>
      <c r="D937" t="s">
        <v>64</v>
      </c>
      <c r="E937">
        <v>969</v>
      </c>
      <c r="F937" t="s">
        <v>4</v>
      </c>
    </row>
    <row r="938" spans="1:6">
      <c r="A938">
        <v>20201024</v>
      </c>
      <c r="B938">
        <v>126.9724018</v>
      </c>
      <c r="C938">
        <v>37.348161500000003</v>
      </c>
      <c r="D938" t="s">
        <v>220</v>
      </c>
      <c r="E938">
        <v>1097</v>
      </c>
      <c r="F938" t="s">
        <v>4</v>
      </c>
    </row>
    <row r="939" spans="1:6">
      <c r="A939">
        <v>20201024</v>
      </c>
      <c r="B939">
        <v>126.9724018</v>
      </c>
      <c r="C939">
        <v>37.348161500000003</v>
      </c>
      <c r="D939" t="s">
        <v>195</v>
      </c>
      <c r="E939">
        <v>1368</v>
      </c>
      <c r="F939" t="s">
        <v>4</v>
      </c>
    </row>
    <row r="940" spans="1:6">
      <c r="A940">
        <v>20201024</v>
      </c>
      <c r="B940">
        <v>126.9724018</v>
      </c>
      <c r="C940">
        <v>37.348161500000003</v>
      </c>
      <c r="D940" t="s">
        <v>137</v>
      </c>
      <c r="E940">
        <v>1729</v>
      </c>
      <c r="F940" t="s">
        <v>4</v>
      </c>
    </row>
    <row r="941" spans="1:6">
      <c r="A941">
        <v>20201024</v>
      </c>
      <c r="B941">
        <v>126.9724018</v>
      </c>
      <c r="C941">
        <v>37.348161500000003</v>
      </c>
      <c r="D941" t="s">
        <v>100</v>
      </c>
      <c r="E941">
        <v>1785</v>
      </c>
      <c r="F941" t="s">
        <v>4</v>
      </c>
    </row>
    <row r="942" spans="1:6">
      <c r="A942">
        <v>20201024</v>
      </c>
      <c r="B942">
        <v>126.9724018</v>
      </c>
      <c r="C942">
        <v>37.348161500000003</v>
      </c>
      <c r="D942" t="s">
        <v>87</v>
      </c>
      <c r="E942">
        <v>12881</v>
      </c>
      <c r="F942" t="s">
        <v>4</v>
      </c>
    </row>
    <row r="943" spans="1:6">
      <c r="A943">
        <v>20201024</v>
      </c>
      <c r="B943">
        <v>126.9724018</v>
      </c>
      <c r="C943">
        <v>37.348161500000003</v>
      </c>
      <c r="D943" t="s">
        <v>219</v>
      </c>
      <c r="E943">
        <v>34864</v>
      </c>
      <c r="F943" t="s">
        <v>4</v>
      </c>
    </row>
    <row r="944" spans="1:6">
      <c r="A944">
        <v>20201024</v>
      </c>
      <c r="B944">
        <v>126.9724018</v>
      </c>
      <c r="C944">
        <v>37.348161500000003</v>
      </c>
      <c r="D944" t="s">
        <v>147</v>
      </c>
      <c r="E944">
        <v>28021</v>
      </c>
      <c r="F944" t="s">
        <v>4</v>
      </c>
    </row>
    <row r="945" spans="1:6">
      <c r="A945">
        <v>20201024</v>
      </c>
      <c r="B945">
        <v>126.9724018</v>
      </c>
      <c r="C945">
        <v>37.348161500000003</v>
      </c>
      <c r="D945" t="s">
        <v>175</v>
      </c>
      <c r="E945">
        <v>38275</v>
      </c>
      <c r="F945" t="s">
        <v>4</v>
      </c>
    </row>
    <row r="946" spans="1:6">
      <c r="A946">
        <v>20201024</v>
      </c>
      <c r="B946">
        <v>126.8772417</v>
      </c>
      <c r="C946">
        <v>37.474826299999997</v>
      </c>
      <c r="D946" t="s">
        <v>118</v>
      </c>
      <c r="E946">
        <v>11</v>
      </c>
      <c r="F946" t="s">
        <v>4</v>
      </c>
    </row>
    <row r="947" spans="1:6">
      <c r="A947">
        <v>20201024</v>
      </c>
      <c r="B947">
        <v>126.95619790000001</v>
      </c>
      <c r="C947">
        <v>37.363509200000003</v>
      </c>
      <c r="D947" t="s">
        <v>158</v>
      </c>
      <c r="E947">
        <v>40</v>
      </c>
      <c r="F947" t="s">
        <v>4</v>
      </c>
    </row>
    <row r="948" spans="1:6">
      <c r="A948">
        <v>20201024</v>
      </c>
      <c r="B948">
        <v>126.95619790000001</v>
      </c>
      <c r="C948">
        <v>37.363509200000003</v>
      </c>
      <c r="D948" t="s">
        <v>22</v>
      </c>
      <c r="E948">
        <v>126</v>
      </c>
      <c r="F948" t="s">
        <v>4</v>
      </c>
    </row>
    <row r="949" spans="1:6">
      <c r="A949">
        <v>20201024</v>
      </c>
      <c r="B949">
        <v>126.95619790000001</v>
      </c>
      <c r="C949">
        <v>37.363509200000003</v>
      </c>
      <c r="D949" t="s">
        <v>151</v>
      </c>
      <c r="E949">
        <v>184</v>
      </c>
      <c r="F949" t="s">
        <v>4</v>
      </c>
    </row>
    <row r="950" spans="1:6">
      <c r="A950">
        <v>20201024</v>
      </c>
      <c r="B950">
        <v>126.95619790000001</v>
      </c>
      <c r="C950">
        <v>37.363509200000003</v>
      </c>
      <c r="D950" t="s">
        <v>166</v>
      </c>
      <c r="E950">
        <v>204</v>
      </c>
      <c r="F950" t="s">
        <v>4</v>
      </c>
    </row>
    <row r="951" spans="1:6">
      <c r="A951">
        <v>20201024</v>
      </c>
      <c r="B951">
        <v>126.8772417</v>
      </c>
      <c r="C951">
        <v>37.474826299999997</v>
      </c>
      <c r="D951" t="s">
        <v>120</v>
      </c>
      <c r="E951">
        <v>50</v>
      </c>
      <c r="F951" t="s">
        <v>4</v>
      </c>
    </row>
    <row r="952" spans="1:6">
      <c r="A952">
        <v>20201024</v>
      </c>
      <c r="B952">
        <v>126.95619790000001</v>
      </c>
      <c r="C952">
        <v>37.363509200000003</v>
      </c>
      <c r="D952" t="s">
        <v>220</v>
      </c>
      <c r="E952">
        <v>342</v>
      </c>
      <c r="F952" t="s">
        <v>4</v>
      </c>
    </row>
    <row r="953" spans="1:6">
      <c r="A953">
        <v>20201024</v>
      </c>
      <c r="B953">
        <v>126.9506027</v>
      </c>
      <c r="C953">
        <v>37.400644700000001</v>
      </c>
      <c r="D953" t="s">
        <v>124</v>
      </c>
      <c r="E953">
        <v>25</v>
      </c>
      <c r="F953" t="s">
        <v>4</v>
      </c>
    </row>
    <row r="954" spans="1:6">
      <c r="A954">
        <v>20201024</v>
      </c>
      <c r="B954">
        <v>126.95619790000001</v>
      </c>
      <c r="C954">
        <v>37.363509200000003</v>
      </c>
      <c r="D954" t="s">
        <v>35</v>
      </c>
      <c r="E954">
        <v>410</v>
      </c>
      <c r="F954" t="s">
        <v>4</v>
      </c>
    </row>
    <row r="955" spans="1:6">
      <c r="A955">
        <v>20201024</v>
      </c>
      <c r="B955">
        <v>126.95619790000001</v>
      </c>
      <c r="C955">
        <v>37.363509200000003</v>
      </c>
      <c r="D955" t="s">
        <v>186</v>
      </c>
      <c r="E955">
        <v>432</v>
      </c>
      <c r="F955" t="s">
        <v>4</v>
      </c>
    </row>
    <row r="956" spans="1:6">
      <c r="A956">
        <v>20201024</v>
      </c>
      <c r="B956">
        <v>126.95619790000001</v>
      </c>
      <c r="C956">
        <v>37.363509200000003</v>
      </c>
      <c r="D956" t="s">
        <v>198</v>
      </c>
      <c r="E956">
        <v>989</v>
      </c>
      <c r="F956" t="s">
        <v>4</v>
      </c>
    </row>
    <row r="957" spans="1:6">
      <c r="A957">
        <v>20201024</v>
      </c>
      <c r="B957">
        <v>126.95619790000001</v>
      </c>
      <c r="C957">
        <v>37.363509200000003</v>
      </c>
      <c r="D957" t="s">
        <v>95</v>
      </c>
      <c r="E957">
        <v>1446</v>
      </c>
      <c r="F957" t="s">
        <v>4</v>
      </c>
    </row>
    <row r="958" spans="1:6">
      <c r="A958">
        <v>20201024</v>
      </c>
      <c r="B958">
        <v>126.95619790000001</v>
      </c>
      <c r="C958">
        <v>37.363509200000003</v>
      </c>
      <c r="D958" t="s">
        <v>137</v>
      </c>
      <c r="E958">
        <v>1516</v>
      </c>
      <c r="F958" t="s">
        <v>4</v>
      </c>
    </row>
    <row r="959" spans="1:6">
      <c r="A959">
        <v>20201024</v>
      </c>
      <c r="B959">
        <v>126.95619790000001</v>
      </c>
      <c r="C959">
        <v>37.363509200000003</v>
      </c>
      <c r="D959" t="s">
        <v>134</v>
      </c>
      <c r="E959">
        <v>1724</v>
      </c>
      <c r="F959" t="s">
        <v>4</v>
      </c>
    </row>
    <row r="960" spans="1:6">
      <c r="A960">
        <v>20201024</v>
      </c>
      <c r="B960">
        <v>126.95619790000001</v>
      </c>
      <c r="C960">
        <v>37.363509200000003</v>
      </c>
      <c r="D960" t="s">
        <v>147</v>
      </c>
      <c r="E960">
        <v>2855</v>
      </c>
      <c r="F960" t="s">
        <v>4</v>
      </c>
    </row>
    <row r="961" spans="1:6">
      <c r="A961">
        <v>20201024</v>
      </c>
      <c r="B961">
        <v>126.95619790000001</v>
      </c>
      <c r="C961">
        <v>37.363509200000003</v>
      </c>
      <c r="D961" t="s">
        <v>64</v>
      </c>
      <c r="E961">
        <v>3263</v>
      </c>
      <c r="F961" t="s">
        <v>4</v>
      </c>
    </row>
    <row r="962" spans="1:6">
      <c r="A962">
        <v>20201024</v>
      </c>
      <c r="B962">
        <v>126.95619790000001</v>
      </c>
      <c r="C962">
        <v>37.363509200000003</v>
      </c>
      <c r="D962" t="s">
        <v>195</v>
      </c>
      <c r="E962">
        <v>5733</v>
      </c>
      <c r="F962" t="s">
        <v>4</v>
      </c>
    </row>
    <row r="963" spans="1:6">
      <c r="A963">
        <v>20201024</v>
      </c>
      <c r="B963">
        <v>126.95619790000001</v>
      </c>
      <c r="C963">
        <v>37.363509200000003</v>
      </c>
      <c r="D963" t="s">
        <v>207</v>
      </c>
      <c r="E963">
        <v>6927</v>
      </c>
      <c r="F963" t="s">
        <v>4</v>
      </c>
    </row>
    <row r="964" spans="1:6">
      <c r="A964">
        <v>20201024</v>
      </c>
      <c r="B964">
        <v>126.95619790000001</v>
      </c>
      <c r="C964">
        <v>37.363509200000003</v>
      </c>
      <c r="D964" t="s">
        <v>87</v>
      </c>
      <c r="E964">
        <v>17699</v>
      </c>
      <c r="F964" t="s">
        <v>4</v>
      </c>
    </row>
    <row r="965" spans="1:6">
      <c r="A965">
        <v>20201024</v>
      </c>
      <c r="B965">
        <v>126.95619790000001</v>
      </c>
      <c r="C965">
        <v>37.363509200000003</v>
      </c>
      <c r="D965" t="s">
        <v>219</v>
      </c>
      <c r="E965">
        <v>34554</v>
      </c>
      <c r="F965" t="s">
        <v>4</v>
      </c>
    </row>
    <row r="966" spans="1:6">
      <c r="A966">
        <v>20201024</v>
      </c>
      <c r="B966">
        <v>126.95619790000001</v>
      </c>
      <c r="C966">
        <v>37.363509200000003</v>
      </c>
      <c r="D966" t="s">
        <v>175</v>
      </c>
      <c r="E966">
        <v>28745</v>
      </c>
      <c r="F966" t="s">
        <v>4</v>
      </c>
    </row>
    <row r="967" spans="1:6">
      <c r="A967">
        <v>20201024</v>
      </c>
      <c r="B967">
        <v>126.94555939999999</v>
      </c>
      <c r="C967">
        <v>37.373177800000001</v>
      </c>
      <c r="D967" t="s">
        <v>76</v>
      </c>
      <c r="E967">
        <v>22</v>
      </c>
      <c r="F967" t="s">
        <v>4</v>
      </c>
    </row>
    <row r="968" spans="1:6">
      <c r="A968">
        <v>20201024</v>
      </c>
      <c r="B968">
        <v>126.94555939999999</v>
      </c>
      <c r="C968">
        <v>37.373177800000001</v>
      </c>
      <c r="D968" t="s">
        <v>22</v>
      </c>
      <c r="E968">
        <v>47</v>
      </c>
      <c r="F968" t="s">
        <v>4</v>
      </c>
    </row>
    <row r="969" spans="1:6">
      <c r="A969">
        <v>20201024</v>
      </c>
      <c r="B969">
        <v>126.94555939999999</v>
      </c>
      <c r="C969">
        <v>37.373177800000001</v>
      </c>
      <c r="D969" t="s">
        <v>158</v>
      </c>
      <c r="E969">
        <v>60</v>
      </c>
      <c r="F969" t="s">
        <v>4</v>
      </c>
    </row>
    <row r="970" spans="1:6">
      <c r="A970">
        <v>20201024</v>
      </c>
      <c r="B970">
        <v>126.94555939999999</v>
      </c>
      <c r="C970">
        <v>37.373177800000001</v>
      </c>
      <c r="D970" t="s">
        <v>150</v>
      </c>
      <c r="E970">
        <v>27</v>
      </c>
      <c r="F970" t="s">
        <v>4</v>
      </c>
    </row>
    <row r="971" spans="1:6">
      <c r="A971">
        <v>20201024</v>
      </c>
      <c r="B971">
        <v>126.9724018</v>
      </c>
      <c r="C971">
        <v>37.348161500000003</v>
      </c>
      <c r="D971" t="s">
        <v>128</v>
      </c>
      <c r="E971">
        <v>20</v>
      </c>
      <c r="F971" t="s">
        <v>4</v>
      </c>
    </row>
    <row r="972" spans="1:6">
      <c r="A972">
        <v>20201024</v>
      </c>
      <c r="B972">
        <v>126.94555939999999</v>
      </c>
      <c r="C972">
        <v>37.373177800000001</v>
      </c>
      <c r="D972" t="s">
        <v>220</v>
      </c>
      <c r="E972">
        <v>62</v>
      </c>
      <c r="F972" t="s">
        <v>4</v>
      </c>
    </row>
    <row r="973" spans="1:6">
      <c r="A973">
        <v>20201024</v>
      </c>
      <c r="B973">
        <v>126.94555939999999</v>
      </c>
      <c r="C973">
        <v>37.373177800000001</v>
      </c>
      <c r="D973" t="s">
        <v>56</v>
      </c>
      <c r="E973">
        <v>91</v>
      </c>
      <c r="F973" t="s">
        <v>4</v>
      </c>
    </row>
    <row r="974" spans="1:6">
      <c r="A974">
        <v>20201024</v>
      </c>
      <c r="B974">
        <v>126.94555939999999</v>
      </c>
      <c r="C974">
        <v>37.373177800000001</v>
      </c>
      <c r="D974" t="s">
        <v>147</v>
      </c>
      <c r="E974">
        <v>114</v>
      </c>
      <c r="F974" t="s">
        <v>4</v>
      </c>
    </row>
    <row r="975" spans="1:6">
      <c r="A975">
        <v>20201024</v>
      </c>
      <c r="B975">
        <v>126.93147879999999</v>
      </c>
      <c r="C975">
        <v>37.397387999999999</v>
      </c>
      <c r="D975" t="s">
        <v>134</v>
      </c>
      <c r="E975">
        <v>19</v>
      </c>
      <c r="F975" t="s">
        <v>4</v>
      </c>
    </row>
    <row r="976" spans="1:6">
      <c r="A976">
        <v>20201024</v>
      </c>
      <c r="B976">
        <v>126.94555939999999</v>
      </c>
      <c r="C976">
        <v>37.373177800000001</v>
      </c>
      <c r="D976" t="s">
        <v>137</v>
      </c>
      <c r="E976">
        <v>281</v>
      </c>
      <c r="F976" t="s">
        <v>4</v>
      </c>
    </row>
    <row r="977" spans="1:6">
      <c r="A977">
        <v>20201024</v>
      </c>
      <c r="B977">
        <v>126.94555939999999</v>
      </c>
      <c r="C977">
        <v>37.373177800000001</v>
      </c>
      <c r="D977" t="s">
        <v>216</v>
      </c>
      <c r="E977">
        <v>241</v>
      </c>
      <c r="F977" t="s">
        <v>4</v>
      </c>
    </row>
    <row r="978" spans="1:6">
      <c r="A978">
        <v>20201024</v>
      </c>
      <c r="B978">
        <v>126.94555939999999</v>
      </c>
      <c r="C978">
        <v>37.373177800000001</v>
      </c>
      <c r="D978" t="s">
        <v>134</v>
      </c>
      <c r="E978">
        <v>459</v>
      </c>
      <c r="F978" t="s">
        <v>4</v>
      </c>
    </row>
    <row r="979" spans="1:6">
      <c r="A979">
        <v>20201024</v>
      </c>
      <c r="B979">
        <v>126.94555939999999</v>
      </c>
      <c r="C979">
        <v>37.373177800000001</v>
      </c>
      <c r="D979" t="s">
        <v>199</v>
      </c>
      <c r="E979">
        <v>377</v>
      </c>
      <c r="F979" t="s">
        <v>4</v>
      </c>
    </row>
    <row r="980" spans="1:6">
      <c r="A980">
        <v>20201024</v>
      </c>
      <c r="B980">
        <v>126.94555939999999</v>
      </c>
      <c r="C980">
        <v>37.373177800000001</v>
      </c>
      <c r="D980" t="s">
        <v>151</v>
      </c>
      <c r="E980">
        <v>702</v>
      </c>
      <c r="F980" t="s">
        <v>4</v>
      </c>
    </row>
    <row r="981" spans="1:6">
      <c r="A981">
        <v>20201024</v>
      </c>
      <c r="B981">
        <v>126.94555939999999</v>
      </c>
      <c r="C981">
        <v>37.373177800000001</v>
      </c>
      <c r="D981" t="s">
        <v>195</v>
      </c>
      <c r="E981">
        <v>1529</v>
      </c>
      <c r="F981" t="s">
        <v>4</v>
      </c>
    </row>
    <row r="982" spans="1:6">
      <c r="A982">
        <v>20201024</v>
      </c>
      <c r="B982">
        <v>126.94555939999999</v>
      </c>
      <c r="C982">
        <v>37.373177800000001</v>
      </c>
      <c r="D982" t="s">
        <v>68</v>
      </c>
      <c r="E982">
        <v>2543</v>
      </c>
      <c r="F982" t="s">
        <v>4</v>
      </c>
    </row>
    <row r="983" spans="1:6">
      <c r="A983">
        <v>20201024</v>
      </c>
      <c r="B983">
        <v>126.94555939999999</v>
      </c>
      <c r="C983">
        <v>37.373177800000001</v>
      </c>
      <c r="D983" t="s">
        <v>175</v>
      </c>
      <c r="E983">
        <v>6662</v>
      </c>
      <c r="F983" t="s">
        <v>4</v>
      </c>
    </row>
    <row r="984" spans="1:6">
      <c r="A984">
        <v>20201024</v>
      </c>
      <c r="B984">
        <v>126.94555939999999</v>
      </c>
      <c r="C984">
        <v>37.373177800000001</v>
      </c>
      <c r="D984" t="s">
        <v>64</v>
      </c>
      <c r="E984">
        <v>7605</v>
      </c>
      <c r="F984" t="s">
        <v>4</v>
      </c>
    </row>
    <row r="985" spans="1:6">
      <c r="A985">
        <v>20201024</v>
      </c>
      <c r="B985">
        <v>126.94555939999999</v>
      </c>
      <c r="C985">
        <v>37.373177800000001</v>
      </c>
      <c r="D985" t="s">
        <v>87</v>
      </c>
      <c r="E985">
        <v>17232</v>
      </c>
      <c r="F985" t="s">
        <v>4</v>
      </c>
    </row>
    <row r="986" spans="1:6">
      <c r="A986">
        <v>20201024</v>
      </c>
      <c r="B986">
        <v>126.94555939999999</v>
      </c>
      <c r="C986">
        <v>37.373177800000001</v>
      </c>
      <c r="D986" t="s">
        <v>219</v>
      </c>
      <c r="E986">
        <v>38503</v>
      </c>
      <c r="F986" t="s">
        <v>4</v>
      </c>
    </row>
    <row r="987" spans="1:6">
      <c r="A987">
        <v>20201024</v>
      </c>
      <c r="B987">
        <v>126.94555939999999</v>
      </c>
      <c r="C987">
        <v>37.373177800000001</v>
      </c>
      <c r="D987" t="s">
        <v>207</v>
      </c>
      <c r="E987">
        <v>44759</v>
      </c>
      <c r="F987" t="s">
        <v>4</v>
      </c>
    </row>
    <row r="988" spans="1:6">
      <c r="A988">
        <v>20201024</v>
      </c>
      <c r="B988">
        <v>126.91482120000001</v>
      </c>
      <c r="C988">
        <v>37.409803799999999</v>
      </c>
      <c r="D988" t="s">
        <v>134</v>
      </c>
      <c r="E988">
        <v>17</v>
      </c>
      <c r="F988" t="s">
        <v>4</v>
      </c>
    </row>
    <row r="989" spans="1:6">
      <c r="A989">
        <v>20201024</v>
      </c>
      <c r="B989">
        <v>126.93147879999999</v>
      </c>
      <c r="C989">
        <v>37.397387999999999</v>
      </c>
      <c r="D989" t="s">
        <v>150</v>
      </c>
      <c r="E989">
        <v>29</v>
      </c>
      <c r="F989" t="s">
        <v>4</v>
      </c>
    </row>
    <row r="990" spans="1:6">
      <c r="A990">
        <v>20201024</v>
      </c>
      <c r="B990">
        <v>126.93147879999999</v>
      </c>
      <c r="C990">
        <v>37.397387999999999</v>
      </c>
      <c r="D990" t="s">
        <v>22</v>
      </c>
      <c r="E990">
        <v>49</v>
      </c>
      <c r="F990" t="s">
        <v>4</v>
      </c>
    </row>
    <row r="991" spans="1:6">
      <c r="A991">
        <v>20201024</v>
      </c>
      <c r="B991">
        <v>126.93147879999999</v>
      </c>
      <c r="C991">
        <v>37.397387999999999</v>
      </c>
      <c r="D991" t="s">
        <v>172</v>
      </c>
      <c r="E991">
        <v>44</v>
      </c>
      <c r="F991" t="s">
        <v>4</v>
      </c>
    </row>
    <row r="992" spans="1:6">
      <c r="A992">
        <v>20201024</v>
      </c>
      <c r="B992">
        <v>126.93147879999999</v>
      </c>
      <c r="C992">
        <v>37.397387999999999</v>
      </c>
      <c r="D992" t="s">
        <v>220</v>
      </c>
      <c r="E992">
        <v>47</v>
      </c>
      <c r="F992" t="s">
        <v>4</v>
      </c>
    </row>
    <row r="993" spans="1:6">
      <c r="A993">
        <v>20201024</v>
      </c>
      <c r="B993">
        <v>126.93147879999999</v>
      </c>
      <c r="C993">
        <v>37.397387999999999</v>
      </c>
      <c r="D993" t="s">
        <v>109</v>
      </c>
      <c r="E993">
        <v>337</v>
      </c>
      <c r="F993" t="s">
        <v>4</v>
      </c>
    </row>
    <row r="994" spans="1:6">
      <c r="A994">
        <v>20201024</v>
      </c>
      <c r="B994">
        <v>126.93147879999999</v>
      </c>
      <c r="C994">
        <v>37.397387999999999</v>
      </c>
      <c r="D994" t="s">
        <v>158</v>
      </c>
      <c r="E994">
        <v>209</v>
      </c>
      <c r="F994" t="s">
        <v>4</v>
      </c>
    </row>
    <row r="995" spans="1:6">
      <c r="A995">
        <v>20201024</v>
      </c>
      <c r="B995">
        <v>126.93147879999999</v>
      </c>
      <c r="C995">
        <v>37.397387999999999</v>
      </c>
      <c r="D995" t="s">
        <v>147</v>
      </c>
      <c r="E995">
        <v>223</v>
      </c>
      <c r="F995" t="s">
        <v>4</v>
      </c>
    </row>
    <row r="996" spans="1:6">
      <c r="A996">
        <v>20201024</v>
      </c>
      <c r="B996">
        <v>126.93147879999999</v>
      </c>
      <c r="C996">
        <v>37.397387999999999</v>
      </c>
      <c r="D996" t="s">
        <v>151</v>
      </c>
      <c r="E996">
        <v>453</v>
      </c>
      <c r="F996" t="s">
        <v>4</v>
      </c>
    </row>
    <row r="997" spans="1:6">
      <c r="A997">
        <v>20201024</v>
      </c>
      <c r="B997">
        <v>126.93147879999999</v>
      </c>
      <c r="C997">
        <v>37.397387999999999</v>
      </c>
      <c r="D997" t="s">
        <v>137</v>
      </c>
      <c r="E997">
        <v>723</v>
      </c>
      <c r="F997" t="s">
        <v>4</v>
      </c>
    </row>
    <row r="998" spans="1:6">
      <c r="A998">
        <v>20201024</v>
      </c>
      <c r="B998">
        <v>126.93147879999999</v>
      </c>
      <c r="C998">
        <v>37.397387999999999</v>
      </c>
      <c r="D998" t="s">
        <v>130</v>
      </c>
      <c r="E998">
        <v>1896</v>
      </c>
      <c r="F998" t="s">
        <v>4</v>
      </c>
    </row>
    <row r="999" spans="1:6">
      <c r="A999">
        <v>20201024</v>
      </c>
      <c r="B999">
        <v>126.93147879999999</v>
      </c>
      <c r="C999">
        <v>37.397387999999999</v>
      </c>
      <c r="D999" t="s">
        <v>95</v>
      </c>
      <c r="E999">
        <v>840</v>
      </c>
      <c r="F999" t="s">
        <v>4</v>
      </c>
    </row>
    <row r="1000" spans="1:6">
      <c r="A1000">
        <v>20201024</v>
      </c>
      <c r="B1000">
        <v>126.93147879999999</v>
      </c>
      <c r="C1000">
        <v>37.397387999999999</v>
      </c>
      <c r="D1000" t="s">
        <v>186</v>
      </c>
      <c r="E1000">
        <v>1115</v>
      </c>
      <c r="F1000" t="s">
        <v>4</v>
      </c>
    </row>
    <row r="1001" spans="1:6">
      <c r="A1001">
        <v>20201024</v>
      </c>
      <c r="B1001">
        <v>126.93147879999999</v>
      </c>
      <c r="C1001">
        <v>37.397387999999999</v>
      </c>
      <c r="D1001" t="s">
        <v>195</v>
      </c>
      <c r="E1001">
        <v>1499</v>
      </c>
      <c r="F1001" t="s">
        <v>4</v>
      </c>
    </row>
    <row r="1002" spans="1:6">
      <c r="A1002">
        <v>20201024</v>
      </c>
      <c r="B1002">
        <v>126.93147879999999</v>
      </c>
      <c r="C1002">
        <v>37.397387999999999</v>
      </c>
      <c r="D1002" t="s">
        <v>216</v>
      </c>
      <c r="E1002">
        <v>3442</v>
      </c>
      <c r="F1002" t="s">
        <v>4</v>
      </c>
    </row>
    <row r="1003" spans="1:6">
      <c r="A1003">
        <v>20201024</v>
      </c>
      <c r="B1003">
        <v>126.93147879999999</v>
      </c>
      <c r="C1003">
        <v>37.397387999999999</v>
      </c>
      <c r="D1003" t="s">
        <v>64</v>
      </c>
      <c r="E1003">
        <v>3408</v>
      </c>
      <c r="F1003" t="s">
        <v>4</v>
      </c>
    </row>
    <row r="1004" spans="1:6">
      <c r="A1004">
        <v>20201024</v>
      </c>
      <c r="B1004">
        <v>126.93147879999999</v>
      </c>
      <c r="C1004">
        <v>37.397387999999999</v>
      </c>
      <c r="D1004" t="s">
        <v>68</v>
      </c>
      <c r="E1004">
        <v>4272</v>
      </c>
      <c r="F1004" t="s">
        <v>4</v>
      </c>
    </row>
    <row r="1005" spans="1:6">
      <c r="A1005">
        <v>20201024</v>
      </c>
      <c r="B1005">
        <v>126.93147879999999</v>
      </c>
      <c r="C1005">
        <v>37.397387999999999</v>
      </c>
      <c r="D1005" t="s">
        <v>166</v>
      </c>
      <c r="E1005">
        <v>5141</v>
      </c>
      <c r="F1005" t="s">
        <v>4</v>
      </c>
    </row>
    <row r="1006" spans="1:6">
      <c r="A1006">
        <v>20201024</v>
      </c>
      <c r="B1006">
        <v>126.93147879999999</v>
      </c>
      <c r="C1006">
        <v>37.397387999999999</v>
      </c>
      <c r="D1006" t="s">
        <v>134</v>
      </c>
      <c r="E1006">
        <v>9099</v>
      </c>
      <c r="F1006" t="s">
        <v>4</v>
      </c>
    </row>
    <row r="1007" spans="1:6">
      <c r="A1007">
        <v>20201024</v>
      </c>
      <c r="B1007">
        <v>126.93147879999999</v>
      </c>
      <c r="C1007">
        <v>37.397387999999999</v>
      </c>
      <c r="D1007" t="s">
        <v>87</v>
      </c>
      <c r="E1007">
        <v>10565</v>
      </c>
      <c r="F1007" t="s">
        <v>4</v>
      </c>
    </row>
    <row r="1008" spans="1:6">
      <c r="A1008">
        <v>20201024</v>
      </c>
      <c r="B1008">
        <v>126.93147879999999</v>
      </c>
      <c r="C1008">
        <v>37.397387999999999</v>
      </c>
      <c r="D1008" t="s">
        <v>175</v>
      </c>
      <c r="E1008">
        <v>22969</v>
      </c>
      <c r="F1008" t="s">
        <v>4</v>
      </c>
    </row>
    <row r="1009" spans="1:6">
      <c r="A1009">
        <v>20201024</v>
      </c>
      <c r="B1009">
        <v>126.93147879999999</v>
      </c>
      <c r="C1009">
        <v>37.397387999999999</v>
      </c>
      <c r="D1009" t="s">
        <v>219</v>
      </c>
      <c r="E1009">
        <v>41404</v>
      </c>
      <c r="F1009" t="s">
        <v>4</v>
      </c>
    </row>
    <row r="1010" spans="1:6">
      <c r="A1010">
        <v>20201024</v>
      </c>
      <c r="B1010">
        <v>126.93147879999999</v>
      </c>
      <c r="C1010">
        <v>37.397387999999999</v>
      </c>
      <c r="D1010" t="s">
        <v>207</v>
      </c>
      <c r="E1010">
        <v>49306</v>
      </c>
      <c r="F1010" t="s">
        <v>4</v>
      </c>
    </row>
    <row r="1011" spans="1:6">
      <c r="A1011">
        <v>20201024</v>
      </c>
      <c r="B1011">
        <v>126.9350989</v>
      </c>
      <c r="C1011">
        <v>37.419096199999998</v>
      </c>
      <c r="D1011" t="s">
        <v>134</v>
      </c>
      <c r="E1011">
        <v>365</v>
      </c>
      <c r="F1011" t="s">
        <v>4</v>
      </c>
    </row>
    <row r="1012" spans="1:6">
      <c r="A1012">
        <v>20201024</v>
      </c>
      <c r="B1012">
        <v>126.91482120000001</v>
      </c>
      <c r="C1012">
        <v>37.409803799999999</v>
      </c>
      <c r="D1012" t="s">
        <v>150</v>
      </c>
      <c r="E1012">
        <v>21</v>
      </c>
      <c r="F1012" t="s">
        <v>4</v>
      </c>
    </row>
    <row r="1013" spans="1:6">
      <c r="A1013">
        <v>20201024</v>
      </c>
      <c r="B1013">
        <v>126.91482120000001</v>
      </c>
      <c r="C1013">
        <v>37.409803799999999</v>
      </c>
      <c r="D1013" t="s">
        <v>172</v>
      </c>
      <c r="E1013">
        <v>26</v>
      </c>
      <c r="F1013" t="s">
        <v>4</v>
      </c>
    </row>
    <row r="1014" spans="1:6">
      <c r="A1014">
        <v>20201024</v>
      </c>
      <c r="B1014">
        <v>126.91482120000001</v>
      </c>
      <c r="C1014">
        <v>37.409803799999999</v>
      </c>
      <c r="D1014" t="s">
        <v>22</v>
      </c>
      <c r="E1014">
        <v>60</v>
      </c>
      <c r="F1014" t="s">
        <v>4</v>
      </c>
    </row>
    <row r="1015" spans="1:6">
      <c r="A1015">
        <v>20201024</v>
      </c>
      <c r="B1015">
        <v>126.91482120000001</v>
      </c>
      <c r="C1015">
        <v>37.409803799999999</v>
      </c>
      <c r="D1015" t="s">
        <v>158</v>
      </c>
      <c r="E1015">
        <v>37</v>
      </c>
      <c r="F1015" t="s">
        <v>4</v>
      </c>
    </row>
    <row r="1016" spans="1:6">
      <c r="A1016">
        <v>20201024</v>
      </c>
      <c r="B1016">
        <v>126.91482120000001</v>
      </c>
      <c r="C1016">
        <v>37.409803799999999</v>
      </c>
      <c r="D1016" t="s">
        <v>199</v>
      </c>
      <c r="E1016">
        <v>77</v>
      </c>
      <c r="F1016" t="s">
        <v>4</v>
      </c>
    </row>
    <row r="1017" spans="1:6">
      <c r="A1017">
        <v>20201024</v>
      </c>
      <c r="B1017">
        <v>126.91482120000001</v>
      </c>
      <c r="C1017">
        <v>37.409803799999999</v>
      </c>
      <c r="D1017" t="s">
        <v>147</v>
      </c>
      <c r="E1017">
        <v>78</v>
      </c>
      <c r="F1017" t="s">
        <v>4</v>
      </c>
    </row>
    <row r="1018" spans="1:6">
      <c r="A1018">
        <v>20201024</v>
      </c>
      <c r="B1018">
        <v>126.91482120000001</v>
      </c>
      <c r="C1018">
        <v>37.409803799999999</v>
      </c>
      <c r="D1018" t="s">
        <v>220</v>
      </c>
      <c r="E1018">
        <v>94</v>
      </c>
      <c r="F1018" t="s">
        <v>4</v>
      </c>
    </row>
    <row r="1019" spans="1:6">
      <c r="A1019">
        <v>20201024</v>
      </c>
      <c r="B1019">
        <v>126.91482120000001</v>
      </c>
      <c r="C1019">
        <v>37.409803799999999</v>
      </c>
      <c r="D1019" t="s">
        <v>215</v>
      </c>
      <c r="E1019">
        <v>104</v>
      </c>
      <c r="F1019" t="s">
        <v>4</v>
      </c>
    </row>
    <row r="1020" spans="1:6">
      <c r="A1020">
        <v>20201024</v>
      </c>
      <c r="B1020">
        <v>126.91482120000001</v>
      </c>
      <c r="C1020">
        <v>37.409803799999999</v>
      </c>
      <c r="D1020" t="s">
        <v>78</v>
      </c>
      <c r="E1020">
        <v>162</v>
      </c>
      <c r="F1020" t="s">
        <v>4</v>
      </c>
    </row>
    <row r="1021" spans="1:6">
      <c r="A1021">
        <v>20201024</v>
      </c>
      <c r="B1021">
        <v>126.91482120000001</v>
      </c>
      <c r="C1021">
        <v>37.409803799999999</v>
      </c>
      <c r="D1021" t="s">
        <v>166</v>
      </c>
      <c r="E1021">
        <v>288</v>
      </c>
      <c r="F1021" t="s">
        <v>4</v>
      </c>
    </row>
    <row r="1022" spans="1:6">
      <c r="A1022">
        <v>20201024</v>
      </c>
      <c r="B1022">
        <v>126.91482120000001</v>
      </c>
      <c r="C1022">
        <v>37.409803799999999</v>
      </c>
      <c r="D1022" t="s">
        <v>56</v>
      </c>
      <c r="E1022">
        <v>293</v>
      </c>
      <c r="F1022" t="s">
        <v>4</v>
      </c>
    </row>
    <row r="1023" spans="1:6">
      <c r="A1023">
        <v>20201024</v>
      </c>
      <c r="B1023">
        <v>126.91482120000001</v>
      </c>
      <c r="C1023">
        <v>37.409803799999999</v>
      </c>
      <c r="D1023" t="s">
        <v>109</v>
      </c>
      <c r="E1023">
        <v>381</v>
      </c>
      <c r="F1023" t="s">
        <v>4</v>
      </c>
    </row>
    <row r="1024" spans="1:6">
      <c r="A1024">
        <v>20201024</v>
      </c>
      <c r="B1024">
        <v>126.91482120000001</v>
      </c>
      <c r="C1024">
        <v>37.409803799999999</v>
      </c>
      <c r="D1024" t="s">
        <v>34</v>
      </c>
      <c r="E1024">
        <v>391</v>
      </c>
      <c r="F1024" t="s">
        <v>4</v>
      </c>
    </row>
    <row r="1025" spans="1:6">
      <c r="A1025">
        <v>20201024</v>
      </c>
      <c r="B1025">
        <v>126.91482120000001</v>
      </c>
      <c r="C1025">
        <v>37.409803799999999</v>
      </c>
      <c r="D1025" t="s">
        <v>130</v>
      </c>
      <c r="E1025">
        <v>636</v>
      </c>
      <c r="F1025" t="s">
        <v>4</v>
      </c>
    </row>
    <row r="1026" spans="1:6">
      <c r="A1026">
        <v>20201024</v>
      </c>
      <c r="B1026">
        <v>126.91482120000001</v>
      </c>
      <c r="C1026">
        <v>37.409803799999999</v>
      </c>
      <c r="D1026" t="s">
        <v>151</v>
      </c>
      <c r="E1026">
        <v>533</v>
      </c>
      <c r="F1026" t="s">
        <v>4</v>
      </c>
    </row>
    <row r="1027" spans="1:6">
      <c r="A1027">
        <v>20201024</v>
      </c>
      <c r="B1027">
        <v>126.91482120000001</v>
      </c>
      <c r="C1027">
        <v>37.409803799999999</v>
      </c>
      <c r="D1027" t="s">
        <v>137</v>
      </c>
      <c r="E1027">
        <v>723</v>
      </c>
      <c r="F1027" t="s">
        <v>4</v>
      </c>
    </row>
    <row r="1028" spans="1:6">
      <c r="A1028">
        <v>20201024</v>
      </c>
      <c r="B1028">
        <v>126.91482120000001</v>
      </c>
      <c r="C1028">
        <v>37.409803799999999</v>
      </c>
      <c r="D1028" t="s">
        <v>216</v>
      </c>
      <c r="E1028">
        <v>795</v>
      </c>
      <c r="F1028" t="s">
        <v>4</v>
      </c>
    </row>
    <row r="1029" spans="1:6">
      <c r="A1029">
        <v>20201024</v>
      </c>
      <c r="B1029">
        <v>126.91482120000001</v>
      </c>
      <c r="C1029">
        <v>37.409803799999999</v>
      </c>
      <c r="D1029" t="s">
        <v>186</v>
      </c>
      <c r="E1029">
        <v>979</v>
      </c>
      <c r="F1029" t="s">
        <v>4</v>
      </c>
    </row>
    <row r="1030" spans="1:6">
      <c r="A1030">
        <v>20201024</v>
      </c>
      <c r="B1030">
        <v>126.91482120000001</v>
      </c>
      <c r="C1030">
        <v>37.409803799999999</v>
      </c>
      <c r="D1030" t="s">
        <v>68</v>
      </c>
      <c r="E1030">
        <v>1026</v>
      </c>
      <c r="F1030" t="s">
        <v>4</v>
      </c>
    </row>
    <row r="1031" spans="1:6">
      <c r="A1031">
        <v>20201024</v>
      </c>
      <c r="B1031">
        <v>126.91482120000001</v>
      </c>
      <c r="C1031">
        <v>37.409803799999999</v>
      </c>
      <c r="D1031" t="s">
        <v>195</v>
      </c>
      <c r="E1031">
        <v>2720</v>
      </c>
      <c r="F1031" t="s">
        <v>4</v>
      </c>
    </row>
    <row r="1032" spans="1:6">
      <c r="A1032">
        <v>20201024</v>
      </c>
      <c r="B1032">
        <v>126.91482120000001</v>
      </c>
      <c r="C1032">
        <v>37.409803799999999</v>
      </c>
      <c r="D1032" t="s">
        <v>64</v>
      </c>
      <c r="E1032">
        <v>3560</v>
      </c>
      <c r="F1032" t="s">
        <v>4</v>
      </c>
    </row>
    <row r="1033" spans="1:6">
      <c r="A1033">
        <v>20201024</v>
      </c>
      <c r="B1033">
        <v>126.91482120000001</v>
      </c>
      <c r="C1033">
        <v>37.409803799999999</v>
      </c>
      <c r="D1033" t="s">
        <v>175</v>
      </c>
      <c r="E1033">
        <v>6109</v>
      </c>
      <c r="F1033" t="s">
        <v>4</v>
      </c>
    </row>
    <row r="1034" spans="1:6">
      <c r="A1034">
        <v>20201024</v>
      </c>
      <c r="B1034">
        <v>126.91482120000001</v>
      </c>
      <c r="C1034">
        <v>37.409803799999999</v>
      </c>
      <c r="D1034" t="s">
        <v>87</v>
      </c>
      <c r="E1034">
        <v>14651</v>
      </c>
      <c r="F1034" t="s">
        <v>4</v>
      </c>
    </row>
    <row r="1035" spans="1:6">
      <c r="A1035">
        <v>20201024</v>
      </c>
      <c r="B1035">
        <v>126.91482120000001</v>
      </c>
      <c r="C1035">
        <v>37.409803799999999</v>
      </c>
      <c r="D1035" t="s">
        <v>134</v>
      </c>
      <c r="E1035">
        <v>15636</v>
      </c>
      <c r="F1035" t="s">
        <v>4</v>
      </c>
    </row>
    <row r="1036" spans="1:6">
      <c r="A1036">
        <v>20201024</v>
      </c>
      <c r="B1036">
        <v>126.91482120000001</v>
      </c>
      <c r="C1036">
        <v>37.409803799999999</v>
      </c>
      <c r="D1036" t="s">
        <v>219</v>
      </c>
      <c r="E1036">
        <v>36809</v>
      </c>
      <c r="F1036" t="s">
        <v>4</v>
      </c>
    </row>
    <row r="1037" spans="1:6">
      <c r="A1037">
        <v>20201024</v>
      </c>
      <c r="B1037">
        <v>126.91482120000001</v>
      </c>
      <c r="C1037">
        <v>37.409803799999999</v>
      </c>
      <c r="D1037" t="s">
        <v>207</v>
      </c>
      <c r="E1037">
        <v>47927</v>
      </c>
      <c r="F1037" t="s">
        <v>4</v>
      </c>
    </row>
    <row r="1038" spans="1:6">
      <c r="A1038">
        <v>20201024</v>
      </c>
      <c r="B1038">
        <v>126.8960105</v>
      </c>
      <c r="C1038">
        <v>37.403669399999998</v>
      </c>
      <c r="D1038" t="s">
        <v>60</v>
      </c>
      <c r="E1038">
        <v>23</v>
      </c>
      <c r="F1038" t="s">
        <v>4</v>
      </c>
    </row>
    <row r="1039" spans="1:6">
      <c r="A1039">
        <v>20201024</v>
      </c>
      <c r="B1039">
        <v>126.8960105</v>
      </c>
      <c r="C1039">
        <v>37.403669399999998</v>
      </c>
      <c r="D1039" t="s">
        <v>22</v>
      </c>
      <c r="E1039">
        <v>69</v>
      </c>
      <c r="F1039" t="s">
        <v>4</v>
      </c>
    </row>
    <row r="1040" spans="1:6">
      <c r="A1040">
        <v>20201024</v>
      </c>
      <c r="B1040">
        <v>126.8960105</v>
      </c>
      <c r="C1040">
        <v>37.403669399999998</v>
      </c>
      <c r="D1040" t="s">
        <v>198</v>
      </c>
      <c r="E1040">
        <v>78</v>
      </c>
      <c r="F1040" t="s">
        <v>4</v>
      </c>
    </row>
    <row r="1041" spans="1:6">
      <c r="A1041">
        <v>20201024</v>
      </c>
      <c r="B1041">
        <v>126.8960105</v>
      </c>
      <c r="C1041">
        <v>37.403669399999998</v>
      </c>
      <c r="D1041" t="s">
        <v>158</v>
      </c>
      <c r="E1041">
        <v>88</v>
      </c>
      <c r="F1041" t="s">
        <v>4</v>
      </c>
    </row>
    <row r="1042" spans="1:6">
      <c r="A1042">
        <v>20201024</v>
      </c>
      <c r="B1042">
        <v>126.8960105</v>
      </c>
      <c r="C1042">
        <v>37.403669399999998</v>
      </c>
      <c r="D1042" t="s">
        <v>34</v>
      </c>
      <c r="E1042">
        <v>149</v>
      </c>
      <c r="F1042" t="s">
        <v>4</v>
      </c>
    </row>
    <row r="1043" spans="1:6">
      <c r="A1043">
        <v>20201024</v>
      </c>
      <c r="B1043">
        <v>126.8960105</v>
      </c>
      <c r="C1043">
        <v>37.403669399999998</v>
      </c>
      <c r="D1043" t="s">
        <v>137</v>
      </c>
      <c r="E1043">
        <v>144</v>
      </c>
      <c r="F1043" t="s">
        <v>4</v>
      </c>
    </row>
    <row r="1044" spans="1:6">
      <c r="A1044">
        <v>20201024</v>
      </c>
      <c r="B1044">
        <v>126.8960105</v>
      </c>
      <c r="C1044">
        <v>37.403669399999998</v>
      </c>
      <c r="D1044" t="s">
        <v>151</v>
      </c>
      <c r="E1044">
        <v>178</v>
      </c>
      <c r="F1044" t="s">
        <v>4</v>
      </c>
    </row>
    <row r="1045" spans="1:6">
      <c r="A1045">
        <v>20201024</v>
      </c>
      <c r="B1045">
        <v>126.8960105</v>
      </c>
      <c r="C1045">
        <v>37.403669399999998</v>
      </c>
      <c r="D1045" t="s">
        <v>130</v>
      </c>
      <c r="E1045">
        <v>302</v>
      </c>
      <c r="F1045" t="s">
        <v>4</v>
      </c>
    </row>
    <row r="1046" spans="1:6">
      <c r="A1046">
        <v>20201024</v>
      </c>
      <c r="B1046">
        <v>126.8960105</v>
      </c>
      <c r="C1046">
        <v>37.403669399999998</v>
      </c>
      <c r="D1046" t="s">
        <v>186</v>
      </c>
      <c r="E1046">
        <v>183</v>
      </c>
      <c r="F1046" t="s">
        <v>4</v>
      </c>
    </row>
    <row r="1047" spans="1:6">
      <c r="A1047">
        <v>20201024</v>
      </c>
      <c r="B1047">
        <v>126.8960105</v>
      </c>
      <c r="C1047">
        <v>37.403669399999998</v>
      </c>
      <c r="D1047" t="s">
        <v>56</v>
      </c>
      <c r="E1047">
        <v>200</v>
      </c>
      <c r="F1047" t="s">
        <v>4</v>
      </c>
    </row>
    <row r="1048" spans="1:6">
      <c r="A1048">
        <v>20201024</v>
      </c>
      <c r="B1048">
        <v>126.970473</v>
      </c>
      <c r="C1048">
        <v>37.401905599999999</v>
      </c>
      <c r="D1048" t="s">
        <v>134</v>
      </c>
      <c r="E1048">
        <v>20</v>
      </c>
      <c r="F1048" t="s">
        <v>4</v>
      </c>
    </row>
    <row r="1049" spans="1:6">
      <c r="A1049">
        <v>20201024</v>
      </c>
      <c r="B1049">
        <v>126.8960105</v>
      </c>
      <c r="C1049">
        <v>37.403669399999998</v>
      </c>
      <c r="D1049" t="s">
        <v>46</v>
      </c>
      <c r="E1049">
        <v>218</v>
      </c>
      <c r="F1049" t="s">
        <v>4</v>
      </c>
    </row>
    <row r="1050" spans="1:6">
      <c r="A1050">
        <v>20201024</v>
      </c>
      <c r="B1050">
        <v>126.9866722</v>
      </c>
      <c r="C1050">
        <v>37.398721700000003</v>
      </c>
      <c r="D1050" t="s">
        <v>134</v>
      </c>
      <c r="E1050">
        <v>16</v>
      </c>
      <c r="F1050" t="s">
        <v>4</v>
      </c>
    </row>
    <row r="1051" spans="1:6">
      <c r="A1051">
        <v>20201024</v>
      </c>
      <c r="B1051">
        <v>126.8960105</v>
      </c>
      <c r="C1051">
        <v>37.403669399999998</v>
      </c>
      <c r="D1051" t="s">
        <v>206</v>
      </c>
      <c r="E1051">
        <v>238</v>
      </c>
      <c r="F1051" t="s">
        <v>4</v>
      </c>
    </row>
    <row r="1052" spans="1:6">
      <c r="A1052">
        <v>20201024</v>
      </c>
      <c r="B1052">
        <v>126.8960105</v>
      </c>
      <c r="C1052">
        <v>37.403669399999998</v>
      </c>
      <c r="D1052" t="s">
        <v>68</v>
      </c>
      <c r="E1052">
        <v>299</v>
      </c>
      <c r="F1052" t="s">
        <v>4</v>
      </c>
    </row>
    <row r="1053" spans="1:6">
      <c r="A1053">
        <v>20201024</v>
      </c>
      <c r="B1053">
        <v>126.8960105</v>
      </c>
      <c r="C1053">
        <v>37.403669399999998</v>
      </c>
      <c r="D1053" t="s">
        <v>95</v>
      </c>
      <c r="E1053">
        <v>448</v>
      </c>
      <c r="F1053" t="s">
        <v>4</v>
      </c>
    </row>
    <row r="1054" spans="1:6">
      <c r="A1054">
        <v>20201024</v>
      </c>
      <c r="B1054">
        <v>126.8960105</v>
      </c>
      <c r="C1054">
        <v>37.403669399999998</v>
      </c>
      <c r="D1054" t="s">
        <v>195</v>
      </c>
      <c r="E1054">
        <v>1462</v>
      </c>
      <c r="F1054" t="s">
        <v>4</v>
      </c>
    </row>
    <row r="1055" spans="1:6">
      <c r="A1055">
        <v>20201024</v>
      </c>
      <c r="B1055">
        <v>126.8960105</v>
      </c>
      <c r="C1055">
        <v>37.403669399999998</v>
      </c>
      <c r="D1055" t="s">
        <v>109</v>
      </c>
      <c r="E1055">
        <v>1230</v>
      </c>
      <c r="F1055" t="s">
        <v>4</v>
      </c>
    </row>
    <row r="1056" spans="1:6">
      <c r="A1056">
        <v>20201024</v>
      </c>
      <c r="B1056">
        <v>126.8960105</v>
      </c>
      <c r="C1056">
        <v>37.403669399999998</v>
      </c>
      <c r="D1056" t="s">
        <v>64</v>
      </c>
      <c r="E1056">
        <v>1929</v>
      </c>
      <c r="F1056" t="s">
        <v>4</v>
      </c>
    </row>
    <row r="1057" spans="1:6">
      <c r="A1057">
        <v>20201024</v>
      </c>
      <c r="B1057">
        <v>126.8960105</v>
      </c>
      <c r="C1057">
        <v>37.403669399999998</v>
      </c>
      <c r="D1057" t="s">
        <v>84</v>
      </c>
      <c r="E1057">
        <v>2417</v>
      </c>
      <c r="F1057" t="s">
        <v>4</v>
      </c>
    </row>
    <row r="1058" spans="1:6">
      <c r="A1058">
        <v>20201024</v>
      </c>
      <c r="B1058">
        <v>126.8960105</v>
      </c>
      <c r="C1058">
        <v>37.403669399999998</v>
      </c>
      <c r="D1058" t="s">
        <v>134</v>
      </c>
      <c r="E1058">
        <v>3683</v>
      </c>
      <c r="F1058" t="s">
        <v>4</v>
      </c>
    </row>
    <row r="1059" spans="1:6">
      <c r="A1059">
        <v>20201024</v>
      </c>
      <c r="B1059">
        <v>126.8960105</v>
      </c>
      <c r="C1059">
        <v>37.403669399999998</v>
      </c>
      <c r="D1059" t="s">
        <v>87</v>
      </c>
      <c r="E1059">
        <v>6634</v>
      </c>
      <c r="F1059" t="s">
        <v>4</v>
      </c>
    </row>
    <row r="1060" spans="1:6">
      <c r="A1060">
        <v>20201024</v>
      </c>
      <c r="B1060">
        <v>126.8960105</v>
      </c>
      <c r="C1060">
        <v>37.403669399999998</v>
      </c>
      <c r="D1060" t="s">
        <v>207</v>
      </c>
      <c r="E1060">
        <v>22003</v>
      </c>
      <c r="F1060" t="s">
        <v>4</v>
      </c>
    </row>
    <row r="1061" spans="1:6">
      <c r="A1061">
        <v>20201024</v>
      </c>
      <c r="B1061">
        <v>126.8960105</v>
      </c>
      <c r="C1061">
        <v>37.403669399999998</v>
      </c>
      <c r="D1061" t="s">
        <v>219</v>
      </c>
      <c r="E1061">
        <v>76030</v>
      </c>
      <c r="F1061" t="s">
        <v>4</v>
      </c>
    </row>
    <row r="1062" spans="1:6">
      <c r="A1062">
        <v>20201024</v>
      </c>
      <c r="B1062">
        <v>126.8960105</v>
      </c>
      <c r="C1062">
        <v>37.403669399999998</v>
      </c>
      <c r="D1062" t="s">
        <v>175</v>
      </c>
      <c r="E1062">
        <v>71189</v>
      </c>
      <c r="F1062" t="s">
        <v>4</v>
      </c>
    </row>
    <row r="1063" spans="1:6">
      <c r="A1063">
        <v>20201024</v>
      </c>
      <c r="B1063">
        <v>126.89556140000001</v>
      </c>
      <c r="C1063">
        <v>37.418411599999999</v>
      </c>
      <c r="D1063" t="s">
        <v>147</v>
      </c>
      <c r="E1063">
        <v>17</v>
      </c>
      <c r="F1063" t="s">
        <v>4</v>
      </c>
    </row>
    <row r="1064" spans="1:6">
      <c r="A1064">
        <v>20201024</v>
      </c>
      <c r="B1064">
        <v>126.89556140000001</v>
      </c>
      <c r="C1064">
        <v>37.418411599999999</v>
      </c>
      <c r="D1064" t="s">
        <v>137</v>
      </c>
      <c r="E1064">
        <v>19</v>
      </c>
      <c r="F1064" t="s">
        <v>4</v>
      </c>
    </row>
    <row r="1065" spans="1:6">
      <c r="A1065">
        <v>20201024</v>
      </c>
      <c r="B1065">
        <v>126.89556140000001</v>
      </c>
      <c r="C1065">
        <v>37.418411599999999</v>
      </c>
      <c r="D1065" t="s">
        <v>78</v>
      </c>
      <c r="E1065">
        <v>26</v>
      </c>
      <c r="F1065" t="s">
        <v>4</v>
      </c>
    </row>
    <row r="1066" spans="1:6">
      <c r="A1066">
        <v>20201024</v>
      </c>
      <c r="B1066">
        <v>126.89556140000001</v>
      </c>
      <c r="C1066">
        <v>37.418411599999999</v>
      </c>
      <c r="D1066" t="s">
        <v>150</v>
      </c>
      <c r="E1066">
        <v>29</v>
      </c>
      <c r="F1066" t="s">
        <v>4</v>
      </c>
    </row>
    <row r="1067" spans="1:6">
      <c r="A1067">
        <v>20201024</v>
      </c>
      <c r="B1067">
        <v>126.89556140000001</v>
      </c>
      <c r="C1067">
        <v>37.418411599999999</v>
      </c>
      <c r="D1067" t="s">
        <v>129</v>
      </c>
      <c r="E1067">
        <v>64</v>
      </c>
      <c r="F1067" t="s">
        <v>4</v>
      </c>
    </row>
    <row r="1068" spans="1:6">
      <c r="A1068">
        <v>20201024</v>
      </c>
      <c r="B1068">
        <v>126.89556140000001</v>
      </c>
      <c r="C1068">
        <v>37.418411599999999</v>
      </c>
      <c r="D1068" t="s">
        <v>158</v>
      </c>
      <c r="E1068">
        <v>49</v>
      </c>
      <c r="F1068" t="s">
        <v>4</v>
      </c>
    </row>
    <row r="1069" spans="1:6">
      <c r="A1069">
        <v>20201024</v>
      </c>
      <c r="B1069">
        <v>126.89556140000001</v>
      </c>
      <c r="C1069">
        <v>37.418411599999999</v>
      </c>
      <c r="D1069" t="s">
        <v>109</v>
      </c>
      <c r="E1069">
        <v>272</v>
      </c>
      <c r="F1069" t="s">
        <v>4</v>
      </c>
    </row>
    <row r="1070" spans="1:6">
      <c r="A1070">
        <v>20201024</v>
      </c>
      <c r="B1070">
        <v>126.92050639999999</v>
      </c>
      <c r="C1070">
        <v>37.418606500000003</v>
      </c>
      <c r="D1070" t="s">
        <v>140</v>
      </c>
      <c r="E1070">
        <v>683</v>
      </c>
      <c r="F1070" t="s">
        <v>4</v>
      </c>
    </row>
    <row r="1071" spans="1:6">
      <c r="A1071">
        <v>20201024</v>
      </c>
      <c r="B1071">
        <v>126.89556140000001</v>
      </c>
      <c r="C1071">
        <v>37.418411599999999</v>
      </c>
      <c r="D1071" t="s">
        <v>64</v>
      </c>
      <c r="E1071">
        <v>350</v>
      </c>
      <c r="F1071" t="s">
        <v>4</v>
      </c>
    </row>
    <row r="1072" spans="1:6">
      <c r="A1072">
        <v>20201024</v>
      </c>
      <c r="B1072">
        <v>126.89556140000001</v>
      </c>
      <c r="C1072">
        <v>37.418411599999999</v>
      </c>
      <c r="D1072" t="s">
        <v>186</v>
      </c>
      <c r="E1072">
        <v>338</v>
      </c>
      <c r="F1072" t="s">
        <v>4</v>
      </c>
    </row>
    <row r="1073" spans="1:6">
      <c r="A1073">
        <v>20201024</v>
      </c>
      <c r="B1073">
        <v>126.89556140000001</v>
      </c>
      <c r="C1073">
        <v>37.418411599999999</v>
      </c>
      <c r="D1073" t="s">
        <v>220</v>
      </c>
      <c r="E1073">
        <v>318</v>
      </c>
      <c r="F1073" t="s">
        <v>4</v>
      </c>
    </row>
    <row r="1074" spans="1:6">
      <c r="A1074">
        <v>20201024</v>
      </c>
      <c r="B1074">
        <v>126.89556140000001</v>
      </c>
      <c r="C1074">
        <v>37.418411599999999</v>
      </c>
      <c r="D1074" t="s">
        <v>35</v>
      </c>
      <c r="E1074">
        <v>348</v>
      </c>
      <c r="F1074" t="s">
        <v>4</v>
      </c>
    </row>
    <row r="1075" spans="1:6">
      <c r="A1075">
        <v>20201024</v>
      </c>
      <c r="B1075">
        <v>126.89556140000001</v>
      </c>
      <c r="C1075">
        <v>37.418411599999999</v>
      </c>
      <c r="D1075" t="s">
        <v>136</v>
      </c>
      <c r="E1075">
        <v>527</v>
      </c>
      <c r="F1075" t="s">
        <v>4</v>
      </c>
    </row>
    <row r="1076" spans="1:6">
      <c r="A1076">
        <v>20201024</v>
      </c>
      <c r="B1076">
        <v>126.89556140000001</v>
      </c>
      <c r="C1076">
        <v>37.418411599999999</v>
      </c>
      <c r="D1076" t="s">
        <v>195</v>
      </c>
      <c r="E1076">
        <v>642</v>
      </c>
      <c r="F1076" t="s">
        <v>4</v>
      </c>
    </row>
    <row r="1077" spans="1:6">
      <c r="A1077">
        <v>20201024</v>
      </c>
      <c r="B1077">
        <v>126.89556140000001</v>
      </c>
      <c r="C1077">
        <v>37.418411599999999</v>
      </c>
      <c r="D1077" t="s">
        <v>84</v>
      </c>
      <c r="E1077">
        <v>695</v>
      </c>
      <c r="F1077" t="s">
        <v>4</v>
      </c>
    </row>
    <row r="1078" spans="1:6">
      <c r="A1078">
        <v>20201024</v>
      </c>
      <c r="B1078">
        <v>126.89556140000001</v>
      </c>
      <c r="C1078">
        <v>37.418411599999999</v>
      </c>
      <c r="D1078" t="s">
        <v>151</v>
      </c>
      <c r="E1078">
        <v>769</v>
      </c>
      <c r="F1078" t="s">
        <v>4</v>
      </c>
    </row>
    <row r="1079" spans="1:6">
      <c r="A1079">
        <v>20201024</v>
      </c>
      <c r="B1079">
        <v>126.89556140000001</v>
      </c>
      <c r="C1079">
        <v>37.418411599999999</v>
      </c>
      <c r="D1079" t="s">
        <v>134</v>
      </c>
      <c r="E1079">
        <v>1186</v>
      </c>
      <c r="F1079" t="s">
        <v>4</v>
      </c>
    </row>
    <row r="1080" spans="1:6">
      <c r="A1080">
        <v>20201024</v>
      </c>
      <c r="B1080">
        <v>126.89556140000001</v>
      </c>
      <c r="C1080">
        <v>37.418411599999999</v>
      </c>
      <c r="D1080" t="s">
        <v>34</v>
      </c>
      <c r="E1080">
        <v>1682</v>
      </c>
      <c r="F1080" t="s">
        <v>4</v>
      </c>
    </row>
    <row r="1081" spans="1:6">
      <c r="A1081">
        <v>20201024</v>
      </c>
      <c r="B1081">
        <v>126.89556140000001</v>
      </c>
      <c r="C1081">
        <v>37.418411599999999</v>
      </c>
      <c r="D1081" t="s">
        <v>216</v>
      </c>
      <c r="E1081">
        <v>1880</v>
      </c>
      <c r="F1081" t="s">
        <v>4</v>
      </c>
    </row>
    <row r="1082" spans="1:6">
      <c r="A1082">
        <v>20201024</v>
      </c>
      <c r="B1082">
        <v>126.89556140000001</v>
      </c>
      <c r="C1082">
        <v>37.418411599999999</v>
      </c>
      <c r="D1082" t="s">
        <v>215</v>
      </c>
      <c r="E1082">
        <v>2367</v>
      </c>
      <c r="F1082" t="s">
        <v>4</v>
      </c>
    </row>
    <row r="1083" spans="1:6">
      <c r="A1083">
        <v>20201024</v>
      </c>
      <c r="B1083">
        <v>126.89556140000001</v>
      </c>
      <c r="C1083">
        <v>37.418411599999999</v>
      </c>
      <c r="D1083" t="s">
        <v>175</v>
      </c>
      <c r="E1083">
        <v>8295</v>
      </c>
      <c r="F1083" t="s">
        <v>4</v>
      </c>
    </row>
    <row r="1084" spans="1:6">
      <c r="A1084">
        <v>20201024</v>
      </c>
      <c r="B1084">
        <v>126.89556140000001</v>
      </c>
      <c r="C1084">
        <v>37.418411599999999</v>
      </c>
      <c r="D1084" t="s">
        <v>68</v>
      </c>
      <c r="E1084">
        <v>19930</v>
      </c>
      <c r="F1084" t="s">
        <v>4</v>
      </c>
    </row>
    <row r="1085" spans="1:6">
      <c r="A1085">
        <v>20201024</v>
      </c>
      <c r="B1085">
        <v>126.89556140000001</v>
      </c>
      <c r="C1085">
        <v>37.418411599999999</v>
      </c>
      <c r="D1085" t="s">
        <v>87</v>
      </c>
      <c r="E1085">
        <v>24251</v>
      </c>
      <c r="F1085" t="s">
        <v>4</v>
      </c>
    </row>
    <row r="1086" spans="1:6">
      <c r="A1086">
        <v>20201024</v>
      </c>
      <c r="B1086">
        <v>126.89556140000001</v>
      </c>
      <c r="C1086">
        <v>37.418411599999999</v>
      </c>
      <c r="D1086" t="s">
        <v>219</v>
      </c>
      <c r="E1086">
        <v>32657</v>
      </c>
      <c r="F1086" t="s">
        <v>4</v>
      </c>
    </row>
    <row r="1087" spans="1:6">
      <c r="A1087">
        <v>20201024</v>
      </c>
      <c r="B1087">
        <v>126.89556140000001</v>
      </c>
      <c r="C1087">
        <v>37.418411599999999</v>
      </c>
      <c r="D1087" t="s">
        <v>207</v>
      </c>
      <c r="E1087">
        <v>44467</v>
      </c>
      <c r="F1087" t="s">
        <v>4</v>
      </c>
    </row>
    <row r="1088" spans="1:6">
      <c r="A1088">
        <v>20201024</v>
      </c>
      <c r="B1088">
        <v>126.9007862</v>
      </c>
      <c r="C1088">
        <v>37.438687899999998</v>
      </c>
      <c r="D1088" t="s">
        <v>56</v>
      </c>
      <c r="E1088">
        <v>12</v>
      </c>
      <c r="F1088" t="s">
        <v>4</v>
      </c>
    </row>
    <row r="1089" spans="1:6">
      <c r="A1089">
        <v>20201024</v>
      </c>
      <c r="B1089">
        <v>126.9007862</v>
      </c>
      <c r="C1089">
        <v>37.438687899999998</v>
      </c>
      <c r="D1089" t="s">
        <v>22</v>
      </c>
      <c r="E1089">
        <v>18</v>
      </c>
      <c r="F1089" t="s">
        <v>4</v>
      </c>
    </row>
    <row r="1090" spans="1:6">
      <c r="A1090">
        <v>20201024</v>
      </c>
      <c r="B1090">
        <v>126.9007862</v>
      </c>
      <c r="C1090">
        <v>37.438687899999998</v>
      </c>
      <c r="D1090" t="s">
        <v>129</v>
      </c>
      <c r="E1090">
        <v>39</v>
      </c>
      <c r="F1090" t="s">
        <v>4</v>
      </c>
    </row>
    <row r="1091" spans="1:6">
      <c r="A1091">
        <v>20201024</v>
      </c>
      <c r="B1091">
        <v>126.9007862</v>
      </c>
      <c r="C1091">
        <v>37.438687899999998</v>
      </c>
      <c r="D1091" t="s">
        <v>150</v>
      </c>
      <c r="E1091">
        <v>28</v>
      </c>
      <c r="F1091" t="s">
        <v>4</v>
      </c>
    </row>
    <row r="1092" spans="1:6">
      <c r="A1092">
        <v>20201024</v>
      </c>
      <c r="B1092">
        <v>126.9007862</v>
      </c>
      <c r="C1092">
        <v>37.438687899999998</v>
      </c>
      <c r="D1092" t="s">
        <v>220</v>
      </c>
      <c r="E1092">
        <v>89</v>
      </c>
      <c r="F1092" t="s">
        <v>4</v>
      </c>
    </row>
    <row r="1093" spans="1:6">
      <c r="A1093">
        <v>20201024</v>
      </c>
      <c r="B1093">
        <v>126.9007862</v>
      </c>
      <c r="C1093">
        <v>37.438687899999998</v>
      </c>
      <c r="D1093" t="s">
        <v>164</v>
      </c>
      <c r="E1093">
        <v>107</v>
      </c>
      <c r="F1093" t="s">
        <v>4</v>
      </c>
    </row>
    <row r="1094" spans="1:6">
      <c r="A1094">
        <v>20201024</v>
      </c>
      <c r="B1094">
        <v>126.9007862</v>
      </c>
      <c r="C1094">
        <v>37.438687899999998</v>
      </c>
      <c r="D1094" t="s">
        <v>60</v>
      </c>
      <c r="E1094">
        <v>161</v>
      </c>
      <c r="F1094" t="s">
        <v>4</v>
      </c>
    </row>
    <row r="1095" spans="1:6">
      <c r="A1095">
        <v>20201024</v>
      </c>
      <c r="B1095">
        <v>126.9007862</v>
      </c>
      <c r="C1095">
        <v>37.438687899999998</v>
      </c>
      <c r="D1095" t="s">
        <v>130</v>
      </c>
      <c r="E1095">
        <v>227</v>
      </c>
      <c r="F1095" t="s">
        <v>4</v>
      </c>
    </row>
    <row r="1096" spans="1:6">
      <c r="A1096">
        <v>20201024</v>
      </c>
      <c r="B1096">
        <v>126.9070155</v>
      </c>
      <c r="C1096">
        <v>37.385953200000003</v>
      </c>
      <c r="D1096" t="s">
        <v>140</v>
      </c>
      <c r="E1096">
        <v>322</v>
      </c>
      <c r="F1096" t="s">
        <v>4</v>
      </c>
    </row>
    <row r="1097" spans="1:6">
      <c r="A1097">
        <v>20201024</v>
      </c>
      <c r="B1097">
        <v>126.9007862</v>
      </c>
      <c r="C1097">
        <v>37.438687899999998</v>
      </c>
      <c r="D1097" t="s">
        <v>151</v>
      </c>
      <c r="E1097">
        <v>669</v>
      </c>
      <c r="F1097" t="s">
        <v>4</v>
      </c>
    </row>
    <row r="1098" spans="1:6">
      <c r="A1098">
        <v>20201024</v>
      </c>
      <c r="B1098">
        <v>126.9007862</v>
      </c>
      <c r="C1098">
        <v>37.438687899999998</v>
      </c>
      <c r="D1098" t="s">
        <v>137</v>
      </c>
      <c r="E1098">
        <v>757</v>
      </c>
      <c r="F1098" t="s">
        <v>4</v>
      </c>
    </row>
    <row r="1099" spans="1:6">
      <c r="A1099">
        <v>20201024</v>
      </c>
      <c r="B1099">
        <v>126.9007862</v>
      </c>
      <c r="C1099">
        <v>37.438687899999998</v>
      </c>
      <c r="D1099" t="s">
        <v>166</v>
      </c>
      <c r="E1099">
        <v>824</v>
      </c>
      <c r="F1099" t="s">
        <v>4</v>
      </c>
    </row>
    <row r="1100" spans="1:6">
      <c r="A1100">
        <v>20201024</v>
      </c>
      <c r="B1100">
        <v>126.9007862</v>
      </c>
      <c r="C1100">
        <v>37.438687899999998</v>
      </c>
      <c r="D1100" t="s">
        <v>158</v>
      </c>
      <c r="E1100">
        <v>871</v>
      </c>
      <c r="F1100" t="s">
        <v>4</v>
      </c>
    </row>
    <row r="1101" spans="1:6">
      <c r="A1101">
        <v>20201024</v>
      </c>
      <c r="B1101">
        <v>126.9007862</v>
      </c>
      <c r="C1101">
        <v>37.438687899999998</v>
      </c>
      <c r="D1101" t="s">
        <v>195</v>
      </c>
      <c r="E1101">
        <v>1503</v>
      </c>
      <c r="F1101" t="s">
        <v>4</v>
      </c>
    </row>
    <row r="1102" spans="1:6">
      <c r="A1102">
        <v>20201024</v>
      </c>
      <c r="B1102">
        <v>126.9007862</v>
      </c>
      <c r="C1102">
        <v>37.438687899999998</v>
      </c>
      <c r="D1102" t="s">
        <v>136</v>
      </c>
      <c r="E1102">
        <v>1301</v>
      </c>
      <c r="F1102" t="s">
        <v>4</v>
      </c>
    </row>
    <row r="1103" spans="1:6">
      <c r="A1103">
        <v>20201024</v>
      </c>
      <c r="B1103">
        <v>126.9007862</v>
      </c>
      <c r="C1103">
        <v>37.438687899999998</v>
      </c>
      <c r="D1103" t="s">
        <v>68</v>
      </c>
      <c r="E1103">
        <v>3034</v>
      </c>
      <c r="F1103" t="s">
        <v>4</v>
      </c>
    </row>
    <row r="1104" spans="1:6">
      <c r="A1104">
        <v>20201024</v>
      </c>
      <c r="B1104">
        <v>126.9007862</v>
      </c>
      <c r="C1104">
        <v>37.438687899999998</v>
      </c>
      <c r="D1104" t="s">
        <v>186</v>
      </c>
      <c r="E1104">
        <v>2939</v>
      </c>
      <c r="F1104" t="s">
        <v>4</v>
      </c>
    </row>
    <row r="1105" spans="1:6">
      <c r="A1105">
        <v>20201024</v>
      </c>
      <c r="B1105">
        <v>126.9007862</v>
      </c>
      <c r="C1105">
        <v>37.438687899999998</v>
      </c>
      <c r="D1105" t="s">
        <v>109</v>
      </c>
      <c r="E1105">
        <v>6450</v>
      </c>
      <c r="F1105" t="s">
        <v>4</v>
      </c>
    </row>
    <row r="1106" spans="1:6">
      <c r="A1106">
        <v>20201024</v>
      </c>
      <c r="B1106">
        <v>126.9007862</v>
      </c>
      <c r="C1106">
        <v>37.438687899999998</v>
      </c>
      <c r="D1106" t="s">
        <v>84</v>
      </c>
      <c r="E1106">
        <v>6922</v>
      </c>
      <c r="F1106" t="s">
        <v>4</v>
      </c>
    </row>
    <row r="1107" spans="1:6">
      <c r="A1107">
        <v>20201024</v>
      </c>
      <c r="B1107">
        <v>126.9007862</v>
      </c>
      <c r="C1107">
        <v>37.438687899999998</v>
      </c>
      <c r="D1107" t="s">
        <v>64</v>
      </c>
      <c r="E1107">
        <v>7425</v>
      </c>
      <c r="F1107" t="s">
        <v>4</v>
      </c>
    </row>
    <row r="1108" spans="1:6">
      <c r="A1108">
        <v>20201024</v>
      </c>
      <c r="B1108">
        <v>126.9007862</v>
      </c>
      <c r="C1108">
        <v>37.438687899999998</v>
      </c>
      <c r="D1108" t="s">
        <v>87</v>
      </c>
      <c r="E1108">
        <v>18215</v>
      </c>
      <c r="F1108" t="s">
        <v>4</v>
      </c>
    </row>
    <row r="1109" spans="1:6">
      <c r="A1109">
        <v>20201024</v>
      </c>
      <c r="B1109">
        <v>126.9007862</v>
      </c>
      <c r="C1109">
        <v>37.438687899999998</v>
      </c>
      <c r="D1109" t="s">
        <v>219</v>
      </c>
      <c r="E1109">
        <v>28372</v>
      </c>
      <c r="F1109" t="s">
        <v>4</v>
      </c>
    </row>
    <row r="1110" spans="1:6">
      <c r="A1110">
        <v>20201024</v>
      </c>
      <c r="B1110">
        <v>126.9007862</v>
      </c>
      <c r="C1110">
        <v>37.438687899999998</v>
      </c>
      <c r="D1110" t="s">
        <v>175</v>
      </c>
      <c r="E1110">
        <v>30120</v>
      </c>
      <c r="F1110" t="s">
        <v>4</v>
      </c>
    </row>
    <row r="1111" spans="1:6">
      <c r="A1111">
        <v>20201024</v>
      </c>
      <c r="B1111">
        <v>126.9007862</v>
      </c>
      <c r="C1111">
        <v>37.438687899999998</v>
      </c>
      <c r="D1111" t="s">
        <v>207</v>
      </c>
      <c r="E1111">
        <v>91976</v>
      </c>
      <c r="F1111" t="s">
        <v>4</v>
      </c>
    </row>
    <row r="1112" spans="1:6">
      <c r="A1112">
        <v>20201024</v>
      </c>
      <c r="B1112">
        <v>126.8910417</v>
      </c>
      <c r="C1112">
        <v>37.458163800000001</v>
      </c>
      <c r="D1112" t="s">
        <v>147</v>
      </c>
      <c r="E1112">
        <v>12</v>
      </c>
      <c r="F1112" t="s">
        <v>4</v>
      </c>
    </row>
    <row r="1113" spans="1:6">
      <c r="A1113">
        <v>20200916</v>
      </c>
      <c r="B1113">
        <v>126.92050639999999</v>
      </c>
      <c r="C1113">
        <v>37.418606500000003</v>
      </c>
      <c r="D1113" t="s">
        <v>140</v>
      </c>
      <c r="E1113">
        <v>1328</v>
      </c>
      <c r="F1113" t="s">
        <v>4</v>
      </c>
    </row>
    <row r="1114" spans="1:6">
      <c r="A1114">
        <v>20201024</v>
      </c>
      <c r="B1114">
        <v>126.92050639999999</v>
      </c>
      <c r="C1114">
        <v>37.418606500000003</v>
      </c>
      <c r="D1114" t="s">
        <v>140</v>
      </c>
      <c r="E1114">
        <v>2799</v>
      </c>
      <c r="F1114" t="s">
        <v>4</v>
      </c>
    </row>
    <row r="1115" spans="1:6">
      <c r="A1115">
        <v>20201024</v>
      </c>
      <c r="B1115">
        <v>126.8910417</v>
      </c>
      <c r="C1115">
        <v>37.458163800000001</v>
      </c>
      <c r="D1115" t="s">
        <v>150</v>
      </c>
      <c r="E1115">
        <v>21</v>
      </c>
      <c r="F1115" t="s">
        <v>4</v>
      </c>
    </row>
    <row r="1116" spans="1:6">
      <c r="A1116">
        <v>20201024</v>
      </c>
      <c r="B1116">
        <v>126.8910417</v>
      </c>
      <c r="C1116">
        <v>37.458163800000001</v>
      </c>
      <c r="D1116" t="s">
        <v>60</v>
      </c>
      <c r="E1116">
        <v>55</v>
      </c>
      <c r="F1116" t="s">
        <v>4</v>
      </c>
    </row>
    <row r="1117" spans="1:6">
      <c r="A1117">
        <v>20201024</v>
      </c>
      <c r="B1117">
        <v>126.8910417</v>
      </c>
      <c r="C1117">
        <v>37.458163800000001</v>
      </c>
      <c r="D1117" t="s">
        <v>220</v>
      </c>
      <c r="E1117">
        <v>346</v>
      </c>
      <c r="F1117" t="s">
        <v>4</v>
      </c>
    </row>
    <row r="1118" spans="1:6">
      <c r="A1118">
        <v>20201024</v>
      </c>
      <c r="B1118">
        <v>126.8910417</v>
      </c>
      <c r="C1118">
        <v>37.458163800000001</v>
      </c>
      <c r="D1118" t="s">
        <v>158</v>
      </c>
      <c r="E1118">
        <v>411</v>
      </c>
      <c r="F1118" t="s">
        <v>4</v>
      </c>
    </row>
    <row r="1119" spans="1:6">
      <c r="A1119">
        <v>20201024</v>
      </c>
      <c r="B1119">
        <v>126.8910417</v>
      </c>
      <c r="C1119">
        <v>37.458163800000001</v>
      </c>
      <c r="D1119" t="s">
        <v>195</v>
      </c>
      <c r="E1119">
        <v>492</v>
      </c>
      <c r="F1119" t="s">
        <v>4</v>
      </c>
    </row>
    <row r="1120" spans="1:6">
      <c r="A1120">
        <v>20201024</v>
      </c>
      <c r="B1120">
        <v>126.8910417</v>
      </c>
      <c r="C1120">
        <v>37.458163800000001</v>
      </c>
      <c r="D1120" t="s">
        <v>151</v>
      </c>
      <c r="E1120">
        <v>538</v>
      </c>
      <c r="F1120" t="s">
        <v>4</v>
      </c>
    </row>
    <row r="1121" spans="1:6">
      <c r="A1121">
        <v>20201024</v>
      </c>
      <c r="B1121">
        <v>126.8910417</v>
      </c>
      <c r="C1121">
        <v>37.458163800000001</v>
      </c>
      <c r="D1121" t="s">
        <v>215</v>
      </c>
      <c r="E1121">
        <v>573</v>
      </c>
      <c r="F1121" t="s">
        <v>4</v>
      </c>
    </row>
    <row r="1122" spans="1:6">
      <c r="A1122">
        <v>20201024</v>
      </c>
      <c r="B1122">
        <v>126.8910417</v>
      </c>
      <c r="C1122">
        <v>37.458163800000001</v>
      </c>
      <c r="D1122" t="s">
        <v>137</v>
      </c>
      <c r="E1122">
        <v>673</v>
      </c>
      <c r="F1122" t="s">
        <v>4</v>
      </c>
    </row>
    <row r="1123" spans="1:6">
      <c r="A1123">
        <v>20201024</v>
      </c>
      <c r="B1123">
        <v>126.8910417</v>
      </c>
      <c r="C1123">
        <v>37.458163800000001</v>
      </c>
      <c r="D1123" t="s">
        <v>186</v>
      </c>
      <c r="E1123">
        <v>809</v>
      </c>
      <c r="F1123" t="s">
        <v>4</v>
      </c>
    </row>
    <row r="1124" spans="1:6">
      <c r="A1124">
        <v>20201024</v>
      </c>
      <c r="B1124">
        <v>126.8910417</v>
      </c>
      <c r="C1124">
        <v>37.458163800000001</v>
      </c>
      <c r="D1124" t="s">
        <v>68</v>
      </c>
      <c r="E1124">
        <v>860</v>
      </c>
      <c r="F1124" t="s">
        <v>4</v>
      </c>
    </row>
    <row r="1125" spans="1:6">
      <c r="A1125">
        <v>20201024</v>
      </c>
      <c r="B1125">
        <v>126.8910417</v>
      </c>
      <c r="C1125">
        <v>37.458163800000001</v>
      </c>
      <c r="D1125" t="s">
        <v>114</v>
      </c>
      <c r="E1125">
        <v>951</v>
      </c>
      <c r="F1125" t="s">
        <v>4</v>
      </c>
    </row>
    <row r="1126" spans="1:6">
      <c r="A1126">
        <v>20201024</v>
      </c>
      <c r="B1126">
        <v>126.8910417</v>
      </c>
      <c r="C1126">
        <v>37.458163800000001</v>
      </c>
      <c r="D1126" t="s">
        <v>134</v>
      </c>
      <c r="E1126">
        <v>1589</v>
      </c>
      <c r="F1126" t="s">
        <v>4</v>
      </c>
    </row>
    <row r="1127" spans="1:6">
      <c r="A1127">
        <v>20201024</v>
      </c>
      <c r="B1127">
        <v>126.8910417</v>
      </c>
      <c r="C1127">
        <v>37.458163800000001</v>
      </c>
      <c r="D1127" t="s">
        <v>64</v>
      </c>
      <c r="E1127">
        <v>2032</v>
      </c>
      <c r="F1127" t="s">
        <v>4</v>
      </c>
    </row>
    <row r="1128" spans="1:6">
      <c r="A1128">
        <v>20201024</v>
      </c>
      <c r="B1128">
        <v>126.8910417</v>
      </c>
      <c r="C1128">
        <v>37.458163800000001</v>
      </c>
      <c r="D1128" t="s">
        <v>109</v>
      </c>
      <c r="E1128">
        <v>2307</v>
      </c>
      <c r="F1128" t="s">
        <v>4</v>
      </c>
    </row>
    <row r="1129" spans="1:6">
      <c r="A1129">
        <v>20201024</v>
      </c>
      <c r="B1129">
        <v>126.8910417</v>
      </c>
      <c r="C1129">
        <v>37.458163800000001</v>
      </c>
      <c r="D1129" t="s">
        <v>175</v>
      </c>
      <c r="E1129">
        <v>3803</v>
      </c>
      <c r="F1129" t="s">
        <v>4</v>
      </c>
    </row>
    <row r="1130" spans="1:6">
      <c r="A1130">
        <v>20201024</v>
      </c>
      <c r="B1130">
        <v>126.8910417</v>
      </c>
      <c r="C1130">
        <v>37.458163800000001</v>
      </c>
      <c r="D1130" t="s">
        <v>87</v>
      </c>
      <c r="E1130">
        <v>15937</v>
      </c>
      <c r="F1130" t="s">
        <v>4</v>
      </c>
    </row>
    <row r="1131" spans="1:6">
      <c r="A1131">
        <v>20201024</v>
      </c>
      <c r="B1131">
        <v>126.8910417</v>
      </c>
      <c r="C1131">
        <v>37.458163800000001</v>
      </c>
      <c r="D1131" t="s">
        <v>216</v>
      </c>
      <c r="E1131">
        <v>15589</v>
      </c>
      <c r="F1131" t="s">
        <v>4</v>
      </c>
    </row>
    <row r="1132" spans="1:6">
      <c r="A1132">
        <v>20201024</v>
      </c>
      <c r="B1132">
        <v>126.8910417</v>
      </c>
      <c r="C1132">
        <v>37.458163800000001</v>
      </c>
      <c r="D1132" t="s">
        <v>219</v>
      </c>
      <c r="E1132">
        <v>25338</v>
      </c>
      <c r="F1132" t="s">
        <v>4</v>
      </c>
    </row>
    <row r="1133" spans="1:6">
      <c r="A1133">
        <v>20201024</v>
      </c>
      <c r="B1133">
        <v>126.8910417</v>
      </c>
      <c r="C1133">
        <v>37.458163800000001</v>
      </c>
      <c r="D1133" t="s">
        <v>207</v>
      </c>
      <c r="E1133">
        <v>59343</v>
      </c>
      <c r="F1133" t="s">
        <v>4</v>
      </c>
    </row>
    <row r="1134" spans="1:6">
      <c r="A1134">
        <v>20201024</v>
      </c>
      <c r="B1134">
        <v>126.82462289999999</v>
      </c>
      <c r="C1134">
        <v>37.470256399999997</v>
      </c>
      <c r="D1134" t="s">
        <v>142</v>
      </c>
      <c r="E1134">
        <v>160</v>
      </c>
      <c r="F1134" t="s">
        <v>4</v>
      </c>
    </row>
    <row r="1135" spans="1:6">
      <c r="A1135">
        <v>20201024</v>
      </c>
      <c r="B1135">
        <v>126.9506027</v>
      </c>
      <c r="C1135">
        <v>37.400644700000001</v>
      </c>
      <c r="D1135" t="s">
        <v>147</v>
      </c>
      <c r="E1135">
        <v>117</v>
      </c>
      <c r="F1135" t="s">
        <v>4</v>
      </c>
    </row>
    <row r="1136" spans="1:6">
      <c r="A1136">
        <v>20201024</v>
      </c>
      <c r="B1136">
        <v>126.8772417</v>
      </c>
      <c r="C1136">
        <v>37.474826299999997</v>
      </c>
      <c r="D1136" t="s">
        <v>52</v>
      </c>
      <c r="E1136">
        <v>14</v>
      </c>
      <c r="F1136" t="s">
        <v>4</v>
      </c>
    </row>
    <row r="1137" spans="1:6">
      <c r="A1137">
        <v>20201024</v>
      </c>
      <c r="B1137">
        <v>126.8772417</v>
      </c>
      <c r="C1137">
        <v>37.474826299999997</v>
      </c>
      <c r="D1137" t="s">
        <v>133</v>
      </c>
      <c r="E1137">
        <v>15</v>
      </c>
      <c r="F1137" t="s">
        <v>4</v>
      </c>
    </row>
    <row r="1138" spans="1:6">
      <c r="A1138">
        <v>20201024</v>
      </c>
      <c r="B1138">
        <v>126.8772417</v>
      </c>
      <c r="C1138">
        <v>37.474826299999997</v>
      </c>
      <c r="D1138" t="s">
        <v>35</v>
      </c>
      <c r="E1138">
        <v>15</v>
      </c>
      <c r="F1138" t="s">
        <v>4</v>
      </c>
    </row>
    <row r="1139" spans="1:6">
      <c r="A1139">
        <v>20201024</v>
      </c>
      <c r="B1139">
        <v>126.8772417</v>
      </c>
      <c r="C1139">
        <v>37.474826299999997</v>
      </c>
      <c r="D1139" t="s">
        <v>221</v>
      </c>
      <c r="E1139">
        <v>35</v>
      </c>
      <c r="F1139" t="s">
        <v>4</v>
      </c>
    </row>
    <row r="1140" spans="1:6">
      <c r="A1140">
        <v>20201024</v>
      </c>
      <c r="B1140">
        <v>126.8772417</v>
      </c>
      <c r="C1140">
        <v>37.474826299999997</v>
      </c>
      <c r="D1140" t="s">
        <v>46</v>
      </c>
      <c r="E1140">
        <v>23</v>
      </c>
      <c r="F1140" t="s">
        <v>4</v>
      </c>
    </row>
    <row r="1141" spans="1:6">
      <c r="A1141">
        <v>20201024</v>
      </c>
      <c r="B1141">
        <v>126.8772417</v>
      </c>
      <c r="C1141">
        <v>37.474826299999997</v>
      </c>
      <c r="D1141" t="s">
        <v>15</v>
      </c>
      <c r="E1141">
        <v>26</v>
      </c>
      <c r="F1141" t="s">
        <v>4</v>
      </c>
    </row>
    <row r="1142" spans="1:6">
      <c r="A1142">
        <v>20201024</v>
      </c>
      <c r="B1142">
        <v>126.8772417</v>
      </c>
      <c r="C1142">
        <v>37.474826299999997</v>
      </c>
      <c r="D1142" t="s">
        <v>108</v>
      </c>
      <c r="E1142">
        <v>26</v>
      </c>
      <c r="F1142" t="s">
        <v>4</v>
      </c>
    </row>
    <row r="1143" spans="1:6">
      <c r="A1143">
        <v>20201024</v>
      </c>
      <c r="B1143">
        <v>126.8772417</v>
      </c>
      <c r="C1143">
        <v>37.474826299999997</v>
      </c>
      <c r="D1143" t="s">
        <v>150</v>
      </c>
      <c r="E1143">
        <v>27</v>
      </c>
      <c r="F1143" t="s">
        <v>4</v>
      </c>
    </row>
    <row r="1144" spans="1:6">
      <c r="A1144">
        <v>20200916</v>
      </c>
      <c r="B1144">
        <v>126.99657019999999</v>
      </c>
      <c r="C1144">
        <v>37.389118600000003</v>
      </c>
      <c r="D1144" t="s">
        <v>147</v>
      </c>
      <c r="E1144">
        <v>20</v>
      </c>
      <c r="F1144" t="s">
        <v>4</v>
      </c>
    </row>
    <row r="1145" spans="1:6">
      <c r="A1145">
        <v>20201024</v>
      </c>
      <c r="B1145">
        <v>126.8772417</v>
      </c>
      <c r="C1145">
        <v>37.474826299999997</v>
      </c>
      <c r="D1145" t="s">
        <v>74</v>
      </c>
      <c r="E1145">
        <v>45</v>
      </c>
      <c r="F1145" t="s">
        <v>4</v>
      </c>
    </row>
    <row r="1146" spans="1:6">
      <c r="A1146">
        <v>20201024</v>
      </c>
      <c r="B1146">
        <v>126.8772417</v>
      </c>
      <c r="C1146">
        <v>37.474826299999997</v>
      </c>
      <c r="D1146" t="s">
        <v>144</v>
      </c>
      <c r="E1146">
        <v>29</v>
      </c>
      <c r="F1146" t="s">
        <v>4</v>
      </c>
    </row>
    <row r="1147" spans="1:6">
      <c r="A1147">
        <v>20201024</v>
      </c>
      <c r="B1147">
        <v>126.9070155</v>
      </c>
      <c r="C1147">
        <v>37.385953200000003</v>
      </c>
      <c r="D1147" t="s">
        <v>147</v>
      </c>
      <c r="E1147">
        <v>26</v>
      </c>
      <c r="F1147" t="s">
        <v>4</v>
      </c>
    </row>
    <row r="1148" spans="1:6">
      <c r="A1148">
        <v>20201024</v>
      </c>
      <c r="B1148">
        <v>126.8772417</v>
      </c>
      <c r="C1148">
        <v>37.474826299999997</v>
      </c>
      <c r="D1148" t="s">
        <v>220</v>
      </c>
      <c r="E1148">
        <v>31</v>
      </c>
      <c r="F1148" t="s">
        <v>4</v>
      </c>
    </row>
    <row r="1149" spans="1:6">
      <c r="A1149">
        <v>20201024</v>
      </c>
      <c r="B1149">
        <v>126.8772417</v>
      </c>
      <c r="C1149">
        <v>37.474826299999997</v>
      </c>
      <c r="D1149" t="s">
        <v>166</v>
      </c>
      <c r="E1149">
        <v>32</v>
      </c>
      <c r="F1149" t="s">
        <v>4</v>
      </c>
    </row>
    <row r="1150" spans="1:6">
      <c r="A1150">
        <v>20201024</v>
      </c>
      <c r="B1150">
        <v>126.9506027</v>
      </c>
      <c r="C1150">
        <v>37.400644700000001</v>
      </c>
      <c r="D1150" t="s">
        <v>147</v>
      </c>
      <c r="E1150">
        <v>1113</v>
      </c>
      <c r="F1150" t="s">
        <v>4</v>
      </c>
    </row>
    <row r="1151" spans="1:6">
      <c r="A1151">
        <v>20201024</v>
      </c>
      <c r="B1151">
        <v>126.8772417</v>
      </c>
      <c r="C1151">
        <v>37.474826299999997</v>
      </c>
      <c r="D1151" t="s">
        <v>114</v>
      </c>
      <c r="E1151">
        <v>33</v>
      </c>
      <c r="F1151" t="s">
        <v>4</v>
      </c>
    </row>
    <row r="1152" spans="1:6">
      <c r="A1152">
        <v>20201024</v>
      </c>
      <c r="B1152">
        <v>126.8772417</v>
      </c>
      <c r="C1152">
        <v>37.474826299999997</v>
      </c>
      <c r="D1152" t="s">
        <v>44</v>
      </c>
      <c r="E1152">
        <v>37</v>
      </c>
      <c r="F1152" t="s">
        <v>4</v>
      </c>
    </row>
    <row r="1153" spans="1:7">
      <c r="A1153">
        <v>20201024</v>
      </c>
      <c r="B1153">
        <v>126.8772417</v>
      </c>
      <c r="C1153">
        <v>37.474826299999997</v>
      </c>
      <c r="D1153" t="s">
        <v>60</v>
      </c>
      <c r="E1153">
        <v>41</v>
      </c>
      <c r="F1153" t="s">
        <v>4</v>
      </c>
    </row>
    <row r="1154" spans="1:7">
      <c r="A1154">
        <v>20201024</v>
      </c>
      <c r="B1154">
        <v>126.8772417</v>
      </c>
      <c r="C1154">
        <v>37.474826299999997</v>
      </c>
      <c r="D1154" t="s">
        <v>43</v>
      </c>
      <c r="E1154">
        <v>44</v>
      </c>
      <c r="F1154" t="s">
        <v>4</v>
      </c>
    </row>
    <row r="1155" spans="1:7">
      <c r="A1155">
        <v>20201024</v>
      </c>
      <c r="B1155">
        <v>126.8772417</v>
      </c>
      <c r="C1155">
        <v>37.474826299999997</v>
      </c>
      <c r="D1155" t="s">
        <v>215</v>
      </c>
      <c r="E1155">
        <v>48</v>
      </c>
      <c r="F1155" t="s">
        <v>4</v>
      </c>
    </row>
    <row r="1156" spans="1:7">
      <c r="A1156">
        <v>20201024</v>
      </c>
      <c r="B1156">
        <v>126.82462289999999</v>
      </c>
      <c r="C1156">
        <v>37.470256399999997</v>
      </c>
      <c r="D1156" t="s">
        <v>149</v>
      </c>
      <c r="E1156">
        <v>210</v>
      </c>
      <c r="F1156" t="s">
        <v>4</v>
      </c>
      <c r="G1156" s="6"/>
    </row>
    <row r="1157" spans="1:7">
      <c r="A1157">
        <v>20201024</v>
      </c>
      <c r="B1157">
        <v>126.8772417</v>
      </c>
      <c r="C1157">
        <v>37.474826299999997</v>
      </c>
      <c r="D1157" t="s">
        <v>198</v>
      </c>
      <c r="E1157">
        <v>87</v>
      </c>
      <c r="F1157" t="s">
        <v>4</v>
      </c>
    </row>
    <row r="1158" spans="1:7">
      <c r="A1158">
        <v>20201024</v>
      </c>
      <c r="B1158">
        <v>126.8910417</v>
      </c>
      <c r="C1158">
        <v>37.458163800000001</v>
      </c>
      <c r="D1158" t="s">
        <v>157</v>
      </c>
      <c r="E1158">
        <v>19</v>
      </c>
      <c r="F1158" t="s">
        <v>4</v>
      </c>
    </row>
    <row r="1159" spans="1:7">
      <c r="A1159">
        <v>20201024</v>
      </c>
      <c r="B1159">
        <v>126.8772417</v>
      </c>
      <c r="C1159">
        <v>37.474826299999997</v>
      </c>
      <c r="D1159" t="s">
        <v>155</v>
      </c>
      <c r="E1159">
        <v>76</v>
      </c>
      <c r="F1159" t="s">
        <v>4</v>
      </c>
    </row>
    <row r="1160" spans="1:7">
      <c r="A1160">
        <v>20201024</v>
      </c>
      <c r="B1160">
        <v>126.87358690000001</v>
      </c>
      <c r="C1160">
        <v>37.508467699999997</v>
      </c>
      <c r="D1160" t="s">
        <v>157</v>
      </c>
      <c r="E1160">
        <v>44</v>
      </c>
      <c r="F1160" t="s">
        <v>4</v>
      </c>
    </row>
    <row r="1161" spans="1:7">
      <c r="A1161">
        <v>20201024</v>
      </c>
      <c r="B1161">
        <v>126.8772417</v>
      </c>
      <c r="C1161">
        <v>37.474826299999997</v>
      </c>
      <c r="D1161" t="s">
        <v>129</v>
      </c>
      <c r="E1161">
        <v>154</v>
      </c>
      <c r="F1161" t="s">
        <v>4</v>
      </c>
    </row>
    <row r="1162" spans="1:7">
      <c r="A1162">
        <v>20201024</v>
      </c>
      <c r="B1162">
        <v>126.8910417</v>
      </c>
      <c r="C1162">
        <v>37.458163800000001</v>
      </c>
      <c r="D1162" t="s">
        <v>168</v>
      </c>
      <c r="E1162">
        <v>20</v>
      </c>
      <c r="F1162" t="s">
        <v>4</v>
      </c>
    </row>
    <row r="1163" spans="1:7">
      <c r="A1163">
        <v>20201024</v>
      </c>
      <c r="B1163">
        <v>126.99657019999999</v>
      </c>
      <c r="C1163">
        <v>37.389118600000003</v>
      </c>
      <c r="D1163" t="s">
        <v>174</v>
      </c>
      <c r="E1163">
        <v>367</v>
      </c>
      <c r="F1163" t="s">
        <v>4</v>
      </c>
    </row>
    <row r="1164" spans="1:7">
      <c r="A1164">
        <v>20200916</v>
      </c>
      <c r="B1164">
        <v>126.9724018</v>
      </c>
      <c r="C1164">
        <v>37.348161500000003</v>
      </c>
      <c r="D1164" t="s">
        <v>174</v>
      </c>
      <c r="E1164">
        <v>1396</v>
      </c>
      <c r="F1164" t="s">
        <v>4</v>
      </c>
    </row>
    <row r="1165" spans="1:7">
      <c r="A1165">
        <v>20201024</v>
      </c>
      <c r="B1165">
        <v>126.8772417</v>
      </c>
      <c r="C1165">
        <v>37.474826299999997</v>
      </c>
      <c r="D1165" t="s">
        <v>104</v>
      </c>
      <c r="E1165">
        <v>106</v>
      </c>
      <c r="F1165" t="s">
        <v>4</v>
      </c>
    </row>
    <row r="1166" spans="1:7">
      <c r="A1166">
        <v>20201024</v>
      </c>
      <c r="B1166">
        <v>126.8772417</v>
      </c>
      <c r="C1166">
        <v>37.474826299999997</v>
      </c>
      <c r="D1166" t="s">
        <v>72</v>
      </c>
      <c r="E1166">
        <v>106</v>
      </c>
      <c r="F1166" t="s">
        <v>4</v>
      </c>
    </row>
    <row r="1167" spans="1:7">
      <c r="A1167">
        <v>20201024</v>
      </c>
      <c r="B1167">
        <v>126.8772417</v>
      </c>
      <c r="C1167">
        <v>37.474826299999997</v>
      </c>
      <c r="D1167" t="s">
        <v>78</v>
      </c>
      <c r="E1167">
        <v>333</v>
      </c>
      <c r="F1167" t="s">
        <v>4</v>
      </c>
    </row>
    <row r="1168" spans="1:7">
      <c r="A1168">
        <v>20201024</v>
      </c>
      <c r="B1168">
        <v>126.8772417</v>
      </c>
      <c r="C1168">
        <v>37.474826299999997</v>
      </c>
      <c r="D1168" t="s">
        <v>218</v>
      </c>
      <c r="E1168">
        <v>136</v>
      </c>
      <c r="F1168" t="s">
        <v>4</v>
      </c>
    </row>
    <row r="1169" spans="1:6">
      <c r="A1169">
        <v>20201024</v>
      </c>
      <c r="B1169">
        <v>126.8772417</v>
      </c>
      <c r="C1169">
        <v>37.474826299999997</v>
      </c>
      <c r="D1169" t="s">
        <v>134</v>
      </c>
      <c r="E1169">
        <v>205</v>
      </c>
      <c r="F1169" t="s">
        <v>4</v>
      </c>
    </row>
    <row r="1170" spans="1:6">
      <c r="A1170">
        <v>20201024</v>
      </c>
      <c r="B1170">
        <v>126.8772417</v>
      </c>
      <c r="C1170">
        <v>37.474826299999997</v>
      </c>
      <c r="D1170" t="s">
        <v>76</v>
      </c>
      <c r="E1170">
        <v>250</v>
      </c>
      <c r="F1170" t="s">
        <v>4</v>
      </c>
    </row>
    <row r="1171" spans="1:6">
      <c r="A1171">
        <v>20200916</v>
      </c>
      <c r="B1171">
        <v>126.85185540000001</v>
      </c>
      <c r="C1171">
        <v>37.406578799999998</v>
      </c>
      <c r="D1171" t="s">
        <v>174</v>
      </c>
      <c r="E1171">
        <v>330</v>
      </c>
      <c r="F1171" t="s">
        <v>4</v>
      </c>
    </row>
    <row r="1172" spans="1:6">
      <c r="A1172">
        <v>20201024</v>
      </c>
      <c r="B1172">
        <v>126.8772417</v>
      </c>
      <c r="C1172">
        <v>37.474826299999997</v>
      </c>
      <c r="D1172" t="s">
        <v>137</v>
      </c>
      <c r="E1172">
        <v>396</v>
      </c>
      <c r="F1172" t="s">
        <v>4</v>
      </c>
    </row>
    <row r="1173" spans="1:6">
      <c r="A1173">
        <v>20200916</v>
      </c>
      <c r="B1173">
        <v>126.83793110000001</v>
      </c>
      <c r="C1173">
        <v>37.441797600000001</v>
      </c>
      <c r="D1173" t="s">
        <v>174</v>
      </c>
      <c r="E1173">
        <v>133</v>
      </c>
      <c r="F1173" t="s">
        <v>4</v>
      </c>
    </row>
    <row r="1174" spans="1:6">
      <c r="A1174">
        <v>20201024</v>
      </c>
      <c r="B1174">
        <v>126.8772417</v>
      </c>
      <c r="C1174">
        <v>37.474826299999997</v>
      </c>
      <c r="D1174" t="s">
        <v>158</v>
      </c>
      <c r="E1174">
        <v>417</v>
      </c>
      <c r="F1174" t="s">
        <v>4</v>
      </c>
    </row>
    <row r="1175" spans="1:6">
      <c r="A1175">
        <v>20201024</v>
      </c>
      <c r="B1175">
        <v>126.8772417</v>
      </c>
      <c r="C1175">
        <v>37.474826299999997</v>
      </c>
      <c r="D1175" t="s">
        <v>84</v>
      </c>
      <c r="E1175">
        <v>416</v>
      </c>
      <c r="F1175" t="s">
        <v>4</v>
      </c>
    </row>
    <row r="1176" spans="1:6">
      <c r="A1176">
        <v>20201024</v>
      </c>
      <c r="B1176">
        <v>126.8772417</v>
      </c>
      <c r="C1176">
        <v>37.474826299999997</v>
      </c>
      <c r="D1176" t="s">
        <v>130</v>
      </c>
      <c r="E1176">
        <v>1242</v>
      </c>
      <c r="F1176" t="s">
        <v>4</v>
      </c>
    </row>
    <row r="1177" spans="1:6">
      <c r="A1177">
        <v>20201024</v>
      </c>
      <c r="B1177">
        <v>126.8772417</v>
      </c>
      <c r="C1177">
        <v>37.474826299999997</v>
      </c>
      <c r="D1177" t="s">
        <v>216</v>
      </c>
      <c r="E1177">
        <v>436</v>
      </c>
      <c r="F1177" t="s">
        <v>4</v>
      </c>
    </row>
    <row r="1178" spans="1:6">
      <c r="A1178">
        <v>20201024</v>
      </c>
      <c r="B1178">
        <v>126.8772417</v>
      </c>
      <c r="C1178">
        <v>37.474826299999997</v>
      </c>
      <c r="D1178" t="s">
        <v>95</v>
      </c>
      <c r="E1178">
        <v>467</v>
      </c>
      <c r="F1178" t="s">
        <v>4</v>
      </c>
    </row>
    <row r="1179" spans="1:6">
      <c r="A1179">
        <v>20201024</v>
      </c>
      <c r="B1179">
        <v>126.8772417</v>
      </c>
      <c r="C1179">
        <v>37.474826299999997</v>
      </c>
      <c r="D1179" t="s">
        <v>89</v>
      </c>
      <c r="E1179">
        <v>688</v>
      </c>
      <c r="F1179" t="s">
        <v>4</v>
      </c>
    </row>
    <row r="1180" spans="1:6">
      <c r="A1180">
        <v>20201024</v>
      </c>
      <c r="B1180">
        <v>126.8772417</v>
      </c>
      <c r="C1180">
        <v>37.474826299999997</v>
      </c>
      <c r="D1180" t="s">
        <v>56</v>
      </c>
      <c r="E1180">
        <v>570</v>
      </c>
      <c r="F1180" t="s">
        <v>4</v>
      </c>
    </row>
    <row r="1181" spans="1:6">
      <c r="A1181">
        <v>20201024</v>
      </c>
      <c r="B1181">
        <v>126.8772417</v>
      </c>
      <c r="C1181">
        <v>37.474826299999997</v>
      </c>
      <c r="D1181" t="s">
        <v>195</v>
      </c>
      <c r="E1181">
        <v>697</v>
      </c>
      <c r="F1181" t="s">
        <v>4</v>
      </c>
    </row>
    <row r="1182" spans="1:6">
      <c r="A1182">
        <v>20201024</v>
      </c>
      <c r="B1182">
        <v>126.8772417</v>
      </c>
      <c r="C1182">
        <v>37.474826299999997</v>
      </c>
      <c r="D1182" t="s">
        <v>186</v>
      </c>
      <c r="E1182">
        <v>816</v>
      </c>
      <c r="F1182" t="s">
        <v>4</v>
      </c>
    </row>
    <row r="1183" spans="1:6">
      <c r="A1183">
        <v>20201024</v>
      </c>
      <c r="B1183">
        <v>126.8772417</v>
      </c>
      <c r="C1183">
        <v>37.474826299999997</v>
      </c>
      <c r="D1183" t="s">
        <v>147</v>
      </c>
      <c r="E1183">
        <v>1376</v>
      </c>
      <c r="F1183" t="s">
        <v>4</v>
      </c>
    </row>
    <row r="1184" spans="1:6">
      <c r="A1184">
        <v>20201024</v>
      </c>
      <c r="B1184">
        <v>126.8772417</v>
      </c>
      <c r="C1184">
        <v>37.474826299999997</v>
      </c>
      <c r="D1184" t="s">
        <v>151</v>
      </c>
      <c r="E1184">
        <v>890</v>
      </c>
      <c r="F1184" t="s">
        <v>4</v>
      </c>
    </row>
    <row r="1185" spans="1:6">
      <c r="A1185">
        <v>20201024</v>
      </c>
      <c r="B1185">
        <v>126.8772417</v>
      </c>
      <c r="C1185">
        <v>37.474826299999997</v>
      </c>
      <c r="D1185" t="s">
        <v>70</v>
      </c>
      <c r="E1185">
        <v>1043</v>
      </c>
      <c r="F1185" t="s">
        <v>4</v>
      </c>
    </row>
    <row r="1186" spans="1:6">
      <c r="A1186">
        <v>20201024</v>
      </c>
      <c r="B1186">
        <v>126.8772417</v>
      </c>
      <c r="C1186">
        <v>37.474826299999997</v>
      </c>
      <c r="D1186" t="s">
        <v>206</v>
      </c>
      <c r="E1186">
        <v>1221</v>
      </c>
      <c r="F1186" t="s">
        <v>4</v>
      </c>
    </row>
    <row r="1187" spans="1:6">
      <c r="A1187">
        <v>20201024</v>
      </c>
      <c r="B1187">
        <v>126.8772417</v>
      </c>
      <c r="C1187">
        <v>37.474826299999997</v>
      </c>
      <c r="D1187" t="s">
        <v>109</v>
      </c>
      <c r="E1187">
        <v>1858</v>
      </c>
      <c r="F1187" t="s">
        <v>4</v>
      </c>
    </row>
    <row r="1188" spans="1:6">
      <c r="A1188">
        <v>20201024</v>
      </c>
      <c r="B1188">
        <v>126.8772417</v>
      </c>
      <c r="C1188">
        <v>37.474826299999997</v>
      </c>
      <c r="D1188" t="s">
        <v>68</v>
      </c>
      <c r="E1188">
        <v>3094</v>
      </c>
      <c r="F1188" t="s">
        <v>4</v>
      </c>
    </row>
    <row r="1189" spans="1:6">
      <c r="A1189">
        <v>20201024</v>
      </c>
      <c r="B1189">
        <v>126.8772417</v>
      </c>
      <c r="C1189">
        <v>37.474826299999997</v>
      </c>
      <c r="D1189" t="s">
        <v>175</v>
      </c>
      <c r="E1189">
        <v>2891</v>
      </c>
      <c r="F1189" t="s">
        <v>4</v>
      </c>
    </row>
    <row r="1190" spans="1:6">
      <c r="A1190">
        <v>20201024</v>
      </c>
      <c r="B1190">
        <v>126.8772417</v>
      </c>
      <c r="C1190">
        <v>37.474826299999997</v>
      </c>
      <c r="D1190" t="s">
        <v>64</v>
      </c>
      <c r="E1190">
        <v>3173</v>
      </c>
      <c r="F1190" t="s">
        <v>4</v>
      </c>
    </row>
    <row r="1191" spans="1:6">
      <c r="A1191">
        <v>20201024</v>
      </c>
      <c r="B1191">
        <v>126.8772417</v>
      </c>
      <c r="C1191">
        <v>37.474826299999997</v>
      </c>
      <c r="D1191" t="s">
        <v>170</v>
      </c>
      <c r="E1191">
        <v>5460</v>
      </c>
      <c r="F1191" t="s">
        <v>4</v>
      </c>
    </row>
    <row r="1192" spans="1:6">
      <c r="A1192">
        <v>20201024</v>
      </c>
      <c r="B1192">
        <v>126.8772417</v>
      </c>
      <c r="C1192">
        <v>37.474826299999997</v>
      </c>
      <c r="D1192" t="s">
        <v>219</v>
      </c>
      <c r="E1192">
        <v>10592</v>
      </c>
      <c r="F1192" t="s">
        <v>4</v>
      </c>
    </row>
    <row r="1193" spans="1:6">
      <c r="A1193">
        <v>20201024</v>
      </c>
      <c r="B1193">
        <v>126.8772417</v>
      </c>
      <c r="C1193">
        <v>37.474826299999997</v>
      </c>
      <c r="D1193" t="s">
        <v>87</v>
      </c>
      <c r="E1193">
        <v>27504</v>
      </c>
      <c r="F1193" t="s">
        <v>4</v>
      </c>
    </row>
    <row r="1194" spans="1:6">
      <c r="A1194">
        <v>20201024</v>
      </c>
      <c r="B1194">
        <v>126.8772417</v>
      </c>
      <c r="C1194">
        <v>37.474826299999997</v>
      </c>
      <c r="D1194" t="s">
        <v>207</v>
      </c>
      <c r="E1194">
        <v>31392</v>
      </c>
      <c r="F1194" t="s">
        <v>4</v>
      </c>
    </row>
    <row r="1195" spans="1:6">
      <c r="A1195">
        <v>20201024</v>
      </c>
      <c r="B1195">
        <v>126.87060049999999</v>
      </c>
      <c r="C1195">
        <v>37.492184199999997</v>
      </c>
      <c r="D1195" t="s">
        <v>158</v>
      </c>
      <c r="E1195">
        <v>18</v>
      </c>
      <c r="F1195" t="s">
        <v>4</v>
      </c>
    </row>
    <row r="1196" spans="1:6">
      <c r="A1196">
        <v>20201024</v>
      </c>
      <c r="B1196">
        <v>126.87060049999999</v>
      </c>
      <c r="C1196">
        <v>37.492184199999997</v>
      </c>
      <c r="D1196" t="s">
        <v>76</v>
      </c>
      <c r="E1196">
        <v>20</v>
      </c>
      <c r="F1196" t="s">
        <v>4</v>
      </c>
    </row>
    <row r="1197" spans="1:6">
      <c r="A1197">
        <v>20201024</v>
      </c>
      <c r="B1197">
        <v>126.87060049999999</v>
      </c>
      <c r="C1197">
        <v>37.492184199999997</v>
      </c>
      <c r="D1197" t="s">
        <v>60</v>
      </c>
      <c r="E1197">
        <v>28</v>
      </c>
      <c r="F1197" t="s">
        <v>4</v>
      </c>
    </row>
    <row r="1198" spans="1:6">
      <c r="A1198">
        <v>20201024</v>
      </c>
      <c r="B1198">
        <v>126.87060049999999</v>
      </c>
      <c r="C1198">
        <v>37.492184199999997</v>
      </c>
      <c r="D1198" t="s">
        <v>164</v>
      </c>
      <c r="E1198">
        <v>33</v>
      </c>
      <c r="F1198" t="s">
        <v>4</v>
      </c>
    </row>
    <row r="1199" spans="1:6">
      <c r="A1199">
        <v>20201024</v>
      </c>
      <c r="B1199">
        <v>126.87060049999999</v>
      </c>
      <c r="C1199">
        <v>37.492184199999997</v>
      </c>
      <c r="D1199" t="s">
        <v>150</v>
      </c>
      <c r="E1199">
        <v>46</v>
      </c>
      <c r="F1199" t="s">
        <v>4</v>
      </c>
    </row>
    <row r="1200" spans="1:6">
      <c r="A1200">
        <v>20201024</v>
      </c>
      <c r="B1200">
        <v>126.87060049999999</v>
      </c>
      <c r="C1200">
        <v>37.492184199999997</v>
      </c>
      <c r="D1200" t="s">
        <v>129</v>
      </c>
      <c r="E1200">
        <v>93</v>
      </c>
      <c r="F1200" t="s">
        <v>4</v>
      </c>
    </row>
    <row r="1201" spans="1:6">
      <c r="A1201">
        <v>20201024</v>
      </c>
      <c r="B1201">
        <v>126.87060049999999</v>
      </c>
      <c r="C1201">
        <v>37.492184199999997</v>
      </c>
      <c r="D1201" t="s">
        <v>91</v>
      </c>
      <c r="E1201">
        <v>69</v>
      </c>
      <c r="F1201" t="s">
        <v>4</v>
      </c>
    </row>
    <row r="1202" spans="1:6">
      <c r="A1202">
        <v>20201024</v>
      </c>
      <c r="B1202">
        <v>126.87060049999999</v>
      </c>
      <c r="C1202">
        <v>37.492184199999997</v>
      </c>
      <c r="D1202" t="s">
        <v>195</v>
      </c>
      <c r="E1202">
        <v>92</v>
      </c>
      <c r="F1202" t="s">
        <v>4</v>
      </c>
    </row>
    <row r="1203" spans="1:6">
      <c r="A1203">
        <v>20201024</v>
      </c>
      <c r="B1203">
        <v>126.87060049999999</v>
      </c>
      <c r="C1203">
        <v>37.492184199999997</v>
      </c>
      <c r="D1203" t="s">
        <v>43</v>
      </c>
      <c r="E1203">
        <v>92</v>
      </c>
      <c r="F1203" t="s">
        <v>4</v>
      </c>
    </row>
    <row r="1204" spans="1:6">
      <c r="A1204">
        <v>20201024</v>
      </c>
      <c r="B1204">
        <v>126.87060049999999</v>
      </c>
      <c r="C1204">
        <v>37.492184199999997</v>
      </c>
      <c r="D1204" t="s">
        <v>134</v>
      </c>
      <c r="E1204">
        <v>303</v>
      </c>
      <c r="F1204" t="s">
        <v>4</v>
      </c>
    </row>
    <row r="1205" spans="1:6">
      <c r="A1205">
        <v>20201024</v>
      </c>
      <c r="B1205">
        <v>126.87060049999999</v>
      </c>
      <c r="C1205">
        <v>37.492184199999997</v>
      </c>
      <c r="D1205" t="s">
        <v>199</v>
      </c>
      <c r="E1205">
        <v>231</v>
      </c>
      <c r="F1205" t="s">
        <v>4</v>
      </c>
    </row>
    <row r="1206" spans="1:6">
      <c r="A1206">
        <v>20201024</v>
      </c>
      <c r="B1206">
        <v>126.87060049999999</v>
      </c>
      <c r="C1206">
        <v>37.492184199999997</v>
      </c>
      <c r="D1206" t="s">
        <v>114</v>
      </c>
      <c r="E1206">
        <v>221</v>
      </c>
      <c r="F1206" t="s">
        <v>4</v>
      </c>
    </row>
    <row r="1207" spans="1:6">
      <c r="A1207">
        <v>20201024</v>
      </c>
      <c r="B1207">
        <v>126.87060049999999</v>
      </c>
      <c r="C1207">
        <v>37.492184199999997</v>
      </c>
      <c r="D1207" t="s">
        <v>155</v>
      </c>
      <c r="E1207">
        <v>251</v>
      </c>
      <c r="F1207" t="s">
        <v>4</v>
      </c>
    </row>
    <row r="1208" spans="1:6">
      <c r="A1208">
        <v>20201024</v>
      </c>
      <c r="B1208">
        <v>126.87060049999999</v>
      </c>
      <c r="C1208">
        <v>37.492184199999997</v>
      </c>
      <c r="D1208" t="s">
        <v>220</v>
      </c>
      <c r="E1208">
        <v>442</v>
      </c>
      <c r="F1208" t="s">
        <v>4</v>
      </c>
    </row>
    <row r="1209" spans="1:6">
      <c r="A1209">
        <v>20201024</v>
      </c>
      <c r="B1209">
        <v>126.87060049999999</v>
      </c>
      <c r="C1209">
        <v>37.492184199999997</v>
      </c>
      <c r="D1209" t="s">
        <v>72</v>
      </c>
      <c r="E1209">
        <v>510</v>
      </c>
      <c r="F1209" t="s">
        <v>4</v>
      </c>
    </row>
    <row r="1210" spans="1:6">
      <c r="A1210">
        <v>20201024</v>
      </c>
      <c r="B1210">
        <v>126.87060049999999</v>
      </c>
      <c r="C1210">
        <v>37.492184199999997</v>
      </c>
      <c r="D1210" t="s">
        <v>137</v>
      </c>
      <c r="E1210">
        <v>490</v>
      </c>
      <c r="F1210" t="s">
        <v>4</v>
      </c>
    </row>
    <row r="1211" spans="1:6">
      <c r="A1211">
        <v>20201024</v>
      </c>
      <c r="B1211">
        <v>126.87060049999999</v>
      </c>
      <c r="C1211">
        <v>37.492184199999997</v>
      </c>
      <c r="D1211" t="s">
        <v>218</v>
      </c>
      <c r="E1211">
        <v>446</v>
      </c>
      <c r="F1211" t="s">
        <v>4</v>
      </c>
    </row>
    <row r="1212" spans="1:6">
      <c r="A1212">
        <v>20201024</v>
      </c>
      <c r="B1212">
        <v>126.87060049999999</v>
      </c>
      <c r="C1212">
        <v>37.492184199999997</v>
      </c>
      <c r="D1212" t="s">
        <v>109</v>
      </c>
      <c r="E1212">
        <v>643</v>
      </c>
      <c r="F1212" t="s">
        <v>4</v>
      </c>
    </row>
    <row r="1213" spans="1:6">
      <c r="A1213">
        <v>20201024</v>
      </c>
      <c r="B1213">
        <v>126.87060049999999</v>
      </c>
      <c r="C1213">
        <v>37.492184199999997</v>
      </c>
      <c r="D1213" t="s">
        <v>186</v>
      </c>
      <c r="E1213">
        <v>716</v>
      </c>
      <c r="F1213" t="s">
        <v>4</v>
      </c>
    </row>
    <row r="1214" spans="1:6">
      <c r="A1214">
        <v>20201024</v>
      </c>
      <c r="B1214">
        <v>126.87060049999999</v>
      </c>
      <c r="C1214">
        <v>37.492184199999997</v>
      </c>
      <c r="D1214" t="s">
        <v>84</v>
      </c>
      <c r="E1214">
        <v>942</v>
      </c>
      <c r="F1214" t="s">
        <v>4</v>
      </c>
    </row>
    <row r="1215" spans="1:6">
      <c r="A1215">
        <v>20201024</v>
      </c>
      <c r="B1215">
        <v>126.87060049999999</v>
      </c>
      <c r="C1215">
        <v>37.492184199999997</v>
      </c>
      <c r="D1215" t="s">
        <v>151</v>
      </c>
      <c r="E1215">
        <v>1976</v>
      </c>
      <c r="F1215" t="s">
        <v>4</v>
      </c>
    </row>
    <row r="1216" spans="1:6">
      <c r="A1216">
        <v>20201024</v>
      </c>
      <c r="B1216">
        <v>126.87060049999999</v>
      </c>
      <c r="C1216">
        <v>37.492184199999997</v>
      </c>
      <c r="D1216" t="s">
        <v>68</v>
      </c>
      <c r="E1216">
        <v>3090</v>
      </c>
      <c r="F1216" t="s">
        <v>4</v>
      </c>
    </row>
    <row r="1217" spans="1:6">
      <c r="A1217">
        <v>20201024</v>
      </c>
      <c r="B1217">
        <v>126.87060049999999</v>
      </c>
      <c r="C1217">
        <v>37.492184199999997</v>
      </c>
      <c r="D1217" t="s">
        <v>56</v>
      </c>
      <c r="E1217">
        <v>3132</v>
      </c>
      <c r="F1217" t="s">
        <v>4</v>
      </c>
    </row>
    <row r="1218" spans="1:6">
      <c r="A1218">
        <v>20201024</v>
      </c>
      <c r="B1218">
        <v>126.87060049999999</v>
      </c>
      <c r="C1218">
        <v>37.492184199999997</v>
      </c>
      <c r="D1218" t="s">
        <v>64</v>
      </c>
      <c r="E1218">
        <v>4057</v>
      </c>
      <c r="F1218" t="s">
        <v>4</v>
      </c>
    </row>
    <row r="1219" spans="1:6">
      <c r="A1219">
        <v>20201024</v>
      </c>
      <c r="B1219">
        <v>126.87060049999999</v>
      </c>
      <c r="C1219">
        <v>37.492184199999997</v>
      </c>
      <c r="D1219" t="s">
        <v>175</v>
      </c>
      <c r="E1219">
        <v>4463</v>
      </c>
      <c r="F1219" t="s">
        <v>4</v>
      </c>
    </row>
    <row r="1220" spans="1:6">
      <c r="A1220">
        <v>20201024</v>
      </c>
      <c r="B1220">
        <v>126.87060049999999</v>
      </c>
      <c r="C1220">
        <v>37.492184199999997</v>
      </c>
      <c r="D1220" t="s">
        <v>215</v>
      </c>
      <c r="E1220">
        <v>6108</v>
      </c>
      <c r="F1220" t="s">
        <v>4</v>
      </c>
    </row>
    <row r="1221" spans="1:6">
      <c r="A1221">
        <v>20201024</v>
      </c>
      <c r="B1221">
        <v>126.87060049999999</v>
      </c>
      <c r="C1221">
        <v>37.492184199999997</v>
      </c>
      <c r="D1221" t="s">
        <v>219</v>
      </c>
      <c r="E1221">
        <v>16889</v>
      </c>
      <c r="F1221" t="s">
        <v>4</v>
      </c>
    </row>
    <row r="1222" spans="1:6">
      <c r="A1222">
        <v>20201024</v>
      </c>
      <c r="B1222">
        <v>126.87060049999999</v>
      </c>
      <c r="C1222">
        <v>37.492184199999997</v>
      </c>
      <c r="D1222" t="s">
        <v>207</v>
      </c>
      <c r="E1222">
        <v>43688</v>
      </c>
      <c r="F1222" t="s">
        <v>4</v>
      </c>
    </row>
    <row r="1223" spans="1:6">
      <c r="A1223">
        <v>20201024</v>
      </c>
      <c r="B1223">
        <v>126.87060049999999</v>
      </c>
      <c r="C1223">
        <v>37.492184199999997</v>
      </c>
      <c r="D1223" t="s">
        <v>87</v>
      </c>
      <c r="E1223">
        <v>76038</v>
      </c>
      <c r="F1223" t="s">
        <v>4</v>
      </c>
    </row>
    <row r="1224" spans="1:6">
      <c r="A1224">
        <v>20201024</v>
      </c>
      <c r="B1224">
        <v>126.87358690000001</v>
      </c>
      <c r="C1224">
        <v>37.508467699999997</v>
      </c>
      <c r="D1224" t="s">
        <v>172</v>
      </c>
      <c r="E1224">
        <v>20</v>
      </c>
      <c r="F1224" t="s">
        <v>4</v>
      </c>
    </row>
    <row r="1225" spans="1:6">
      <c r="A1225">
        <v>20201024</v>
      </c>
      <c r="B1225">
        <v>126.87358690000001</v>
      </c>
      <c r="C1225">
        <v>37.508467699999997</v>
      </c>
      <c r="D1225" t="s">
        <v>60</v>
      </c>
      <c r="E1225">
        <v>31</v>
      </c>
      <c r="F1225" t="s">
        <v>4</v>
      </c>
    </row>
    <row r="1226" spans="1:6">
      <c r="A1226">
        <v>20201024</v>
      </c>
      <c r="B1226">
        <v>126.87358690000001</v>
      </c>
      <c r="C1226">
        <v>37.508467699999997</v>
      </c>
      <c r="D1226" t="s">
        <v>150</v>
      </c>
      <c r="E1226">
        <v>31</v>
      </c>
      <c r="F1226" t="s">
        <v>4</v>
      </c>
    </row>
    <row r="1227" spans="1:6">
      <c r="A1227">
        <v>20200916</v>
      </c>
      <c r="B1227">
        <v>126.99657019999999</v>
      </c>
      <c r="C1227">
        <v>37.389118600000003</v>
      </c>
      <c r="D1227" t="s">
        <v>174</v>
      </c>
      <c r="E1227">
        <v>3458</v>
      </c>
      <c r="F1227" t="s">
        <v>4</v>
      </c>
    </row>
    <row r="1228" spans="1:6">
      <c r="A1228">
        <v>20201024</v>
      </c>
      <c r="B1228">
        <v>126.87358690000001</v>
      </c>
      <c r="C1228">
        <v>37.508467699999997</v>
      </c>
      <c r="D1228" t="s">
        <v>158</v>
      </c>
      <c r="E1228">
        <v>79</v>
      </c>
      <c r="F1228" t="s">
        <v>4</v>
      </c>
    </row>
    <row r="1229" spans="1:6">
      <c r="A1229">
        <v>20201024</v>
      </c>
      <c r="B1229">
        <v>126.87358690000001</v>
      </c>
      <c r="C1229">
        <v>37.508467699999997</v>
      </c>
      <c r="D1229" t="s">
        <v>129</v>
      </c>
      <c r="E1229">
        <v>166</v>
      </c>
      <c r="F1229" t="s">
        <v>4</v>
      </c>
    </row>
    <row r="1230" spans="1:6">
      <c r="A1230">
        <v>20201024</v>
      </c>
      <c r="B1230">
        <v>126.87358690000001</v>
      </c>
      <c r="C1230">
        <v>37.508467699999997</v>
      </c>
      <c r="D1230" t="s">
        <v>220</v>
      </c>
      <c r="E1230">
        <v>145</v>
      </c>
      <c r="F1230" t="s">
        <v>4</v>
      </c>
    </row>
    <row r="1231" spans="1:6">
      <c r="A1231">
        <v>20201024</v>
      </c>
      <c r="B1231">
        <v>126.87358690000001</v>
      </c>
      <c r="C1231">
        <v>37.508467699999997</v>
      </c>
      <c r="D1231" t="s">
        <v>146</v>
      </c>
      <c r="E1231">
        <v>165</v>
      </c>
      <c r="F1231" t="s">
        <v>4</v>
      </c>
    </row>
    <row r="1232" spans="1:6">
      <c r="A1232">
        <v>20201024</v>
      </c>
      <c r="B1232">
        <v>126.87358690000001</v>
      </c>
      <c r="C1232">
        <v>37.508467699999997</v>
      </c>
      <c r="D1232" t="s">
        <v>134</v>
      </c>
      <c r="E1232">
        <v>209</v>
      </c>
      <c r="F1232" t="s">
        <v>4</v>
      </c>
    </row>
    <row r="1233" spans="1:6">
      <c r="A1233">
        <v>20201024</v>
      </c>
      <c r="B1233">
        <v>126.87358690000001</v>
      </c>
      <c r="C1233">
        <v>37.508467699999997</v>
      </c>
      <c r="D1233" t="s">
        <v>126</v>
      </c>
      <c r="E1233">
        <v>215</v>
      </c>
      <c r="F1233" t="s">
        <v>4</v>
      </c>
    </row>
    <row r="1234" spans="1:6">
      <c r="A1234">
        <v>20201024</v>
      </c>
      <c r="B1234">
        <v>126.87358690000001</v>
      </c>
      <c r="C1234">
        <v>37.508467699999997</v>
      </c>
      <c r="D1234" t="s">
        <v>166</v>
      </c>
      <c r="E1234">
        <v>262</v>
      </c>
      <c r="F1234" t="s">
        <v>4</v>
      </c>
    </row>
    <row r="1235" spans="1:6">
      <c r="A1235">
        <v>20201024</v>
      </c>
      <c r="B1235">
        <v>126.87358690000001</v>
      </c>
      <c r="C1235">
        <v>37.508467699999997</v>
      </c>
      <c r="D1235" t="s">
        <v>144</v>
      </c>
      <c r="E1235">
        <v>268</v>
      </c>
      <c r="F1235" t="s">
        <v>4</v>
      </c>
    </row>
    <row r="1236" spans="1:6">
      <c r="A1236">
        <v>20201024</v>
      </c>
      <c r="B1236">
        <v>126.87358690000001</v>
      </c>
      <c r="C1236">
        <v>37.508467699999997</v>
      </c>
      <c r="D1236" t="s">
        <v>78</v>
      </c>
      <c r="E1236">
        <v>437</v>
      </c>
      <c r="F1236" t="s">
        <v>4</v>
      </c>
    </row>
    <row r="1237" spans="1:6">
      <c r="A1237">
        <v>20201024</v>
      </c>
      <c r="B1237">
        <v>126.87358690000001</v>
      </c>
      <c r="C1237">
        <v>37.508467699999997</v>
      </c>
      <c r="D1237" t="s">
        <v>218</v>
      </c>
      <c r="E1237">
        <v>358</v>
      </c>
      <c r="F1237" t="s">
        <v>4</v>
      </c>
    </row>
    <row r="1238" spans="1:6">
      <c r="A1238">
        <v>20201024</v>
      </c>
      <c r="B1238">
        <v>126.87358690000001</v>
      </c>
      <c r="C1238">
        <v>37.508467699999997</v>
      </c>
      <c r="D1238" t="s">
        <v>137</v>
      </c>
      <c r="E1238">
        <v>369</v>
      </c>
      <c r="F1238" t="s">
        <v>4</v>
      </c>
    </row>
    <row r="1239" spans="1:6">
      <c r="A1239">
        <v>20201024</v>
      </c>
      <c r="B1239">
        <v>126.87358690000001</v>
      </c>
      <c r="C1239">
        <v>37.508467699999997</v>
      </c>
      <c r="D1239" t="s">
        <v>84</v>
      </c>
      <c r="E1239">
        <v>592</v>
      </c>
      <c r="F1239" t="s">
        <v>4</v>
      </c>
    </row>
    <row r="1240" spans="1:6">
      <c r="A1240">
        <v>20201024</v>
      </c>
      <c r="B1240">
        <v>126.87358690000001</v>
      </c>
      <c r="C1240">
        <v>37.508467699999997</v>
      </c>
      <c r="D1240" t="s">
        <v>198</v>
      </c>
      <c r="E1240">
        <v>456</v>
      </c>
      <c r="F1240" t="s">
        <v>4</v>
      </c>
    </row>
    <row r="1241" spans="1:6">
      <c r="A1241">
        <v>20201024</v>
      </c>
      <c r="B1241">
        <v>126.87358690000001</v>
      </c>
      <c r="C1241">
        <v>37.508467699999997</v>
      </c>
      <c r="D1241" t="s">
        <v>72</v>
      </c>
      <c r="E1241">
        <v>474</v>
      </c>
      <c r="F1241" t="s">
        <v>4</v>
      </c>
    </row>
    <row r="1242" spans="1:6">
      <c r="A1242">
        <v>20200916</v>
      </c>
      <c r="B1242">
        <v>126.9866722</v>
      </c>
      <c r="C1242">
        <v>37.398721700000003</v>
      </c>
      <c r="D1242" t="s">
        <v>174</v>
      </c>
      <c r="E1242">
        <v>85</v>
      </c>
      <c r="F1242" t="s">
        <v>4</v>
      </c>
    </row>
    <row r="1243" spans="1:6">
      <c r="A1243">
        <v>20201024</v>
      </c>
      <c r="B1243">
        <v>126.87358690000001</v>
      </c>
      <c r="C1243">
        <v>37.508467699999997</v>
      </c>
      <c r="D1243" t="s">
        <v>130</v>
      </c>
      <c r="E1243">
        <v>1577</v>
      </c>
      <c r="F1243" t="s">
        <v>4</v>
      </c>
    </row>
    <row r="1244" spans="1:6">
      <c r="A1244">
        <v>20201024</v>
      </c>
      <c r="B1244">
        <v>126.87358690000001</v>
      </c>
      <c r="C1244">
        <v>37.508467699999997</v>
      </c>
      <c r="D1244" t="s">
        <v>99</v>
      </c>
      <c r="E1244">
        <v>688</v>
      </c>
      <c r="F1244" t="s">
        <v>4</v>
      </c>
    </row>
    <row r="1245" spans="1:6">
      <c r="A1245">
        <v>20201024</v>
      </c>
      <c r="B1245">
        <v>126.87358690000001</v>
      </c>
      <c r="C1245">
        <v>37.508467699999997</v>
      </c>
      <c r="D1245" t="s">
        <v>186</v>
      </c>
      <c r="E1245">
        <v>846</v>
      </c>
      <c r="F1245" t="s">
        <v>4</v>
      </c>
    </row>
    <row r="1246" spans="1:6">
      <c r="A1246">
        <v>20201024</v>
      </c>
      <c r="B1246">
        <v>126.87358690000001</v>
      </c>
      <c r="C1246">
        <v>37.508467699999997</v>
      </c>
      <c r="D1246" t="s">
        <v>195</v>
      </c>
      <c r="E1246">
        <v>834</v>
      </c>
      <c r="F1246" t="s">
        <v>4</v>
      </c>
    </row>
    <row r="1247" spans="1:6">
      <c r="A1247">
        <v>20201024</v>
      </c>
      <c r="B1247">
        <v>126.87358690000001</v>
      </c>
      <c r="C1247">
        <v>37.508467699999997</v>
      </c>
      <c r="D1247" t="s">
        <v>151</v>
      </c>
      <c r="E1247">
        <v>1059</v>
      </c>
      <c r="F1247" t="s">
        <v>4</v>
      </c>
    </row>
    <row r="1248" spans="1:6">
      <c r="A1248">
        <v>20201024</v>
      </c>
      <c r="B1248">
        <v>126.87358690000001</v>
      </c>
      <c r="C1248">
        <v>37.508467699999997</v>
      </c>
      <c r="D1248" t="s">
        <v>109</v>
      </c>
      <c r="E1248">
        <v>1457</v>
      </c>
      <c r="F1248" t="s">
        <v>4</v>
      </c>
    </row>
    <row r="1249" spans="1:6">
      <c r="A1249">
        <v>20201024</v>
      </c>
      <c r="B1249">
        <v>126.87358690000001</v>
      </c>
      <c r="C1249">
        <v>37.508467699999997</v>
      </c>
      <c r="D1249" t="s">
        <v>215</v>
      </c>
      <c r="E1249">
        <v>1680</v>
      </c>
      <c r="F1249" t="s">
        <v>4</v>
      </c>
    </row>
    <row r="1250" spans="1:6">
      <c r="A1250">
        <v>20201024</v>
      </c>
      <c r="B1250">
        <v>126.87358690000001</v>
      </c>
      <c r="C1250">
        <v>37.508467699999997</v>
      </c>
      <c r="D1250" t="s">
        <v>64</v>
      </c>
      <c r="E1250">
        <v>1658</v>
      </c>
      <c r="F1250" t="s">
        <v>4</v>
      </c>
    </row>
    <row r="1251" spans="1:6">
      <c r="A1251">
        <v>20201024</v>
      </c>
      <c r="B1251">
        <v>126.87358690000001</v>
      </c>
      <c r="C1251">
        <v>37.508467699999997</v>
      </c>
      <c r="D1251" t="s">
        <v>175</v>
      </c>
      <c r="E1251">
        <v>3136</v>
      </c>
      <c r="F1251" t="s">
        <v>4</v>
      </c>
    </row>
    <row r="1252" spans="1:6">
      <c r="A1252">
        <v>20201024</v>
      </c>
      <c r="B1252">
        <v>126.87358690000001</v>
      </c>
      <c r="C1252">
        <v>37.508467699999997</v>
      </c>
      <c r="D1252" t="s">
        <v>68</v>
      </c>
      <c r="E1252">
        <v>7489</v>
      </c>
      <c r="F1252" t="s">
        <v>4</v>
      </c>
    </row>
    <row r="1253" spans="1:6">
      <c r="A1253">
        <v>20201024</v>
      </c>
      <c r="B1253">
        <v>126.87358690000001</v>
      </c>
      <c r="C1253">
        <v>37.508467699999997</v>
      </c>
      <c r="D1253" t="s">
        <v>155</v>
      </c>
      <c r="E1253">
        <v>4660</v>
      </c>
      <c r="F1253" t="s">
        <v>4</v>
      </c>
    </row>
    <row r="1254" spans="1:6">
      <c r="A1254">
        <v>20201024</v>
      </c>
      <c r="B1254">
        <v>126.87358690000001</v>
      </c>
      <c r="C1254">
        <v>37.508467699999997</v>
      </c>
      <c r="D1254" t="s">
        <v>219</v>
      </c>
      <c r="E1254">
        <v>10031</v>
      </c>
      <c r="F1254" t="s">
        <v>4</v>
      </c>
    </row>
    <row r="1255" spans="1:6">
      <c r="A1255">
        <v>20201024</v>
      </c>
      <c r="B1255">
        <v>126.87358690000001</v>
      </c>
      <c r="C1255">
        <v>37.508467699999997</v>
      </c>
      <c r="D1255" t="s">
        <v>70</v>
      </c>
      <c r="E1255">
        <v>20806</v>
      </c>
      <c r="F1255" t="s">
        <v>4</v>
      </c>
    </row>
    <row r="1256" spans="1:6">
      <c r="A1256">
        <v>20201024</v>
      </c>
      <c r="B1256">
        <v>126.87358690000001</v>
      </c>
      <c r="C1256">
        <v>37.508467699999997</v>
      </c>
      <c r="D1256" t="s">
        <v>87</v>
      </c>
      <c r="E1256">
        <v>35257</v>
      </c>
      <c r="F1256" t="s">
        <v>4</v>
      </c>
    </row>
    <row r="1257" spans="1:6">
      <c r="A1257">
        <v>20201024</v>
      </c>
      <c r="B1257">
        <v>126.87358690000001</v>
      </c>
      <c r="C1257">
        <v>37.508467699999997</v>
      </c>
      <c r="D1257" t="s">
        <v>207</v>
      </c>
      <c r="E1257">
        <v>41361</v>
      </c>
      <c r="F1257" t="s">
        <v>4</v>
      </c>
    </row>
    <row r="1258" spans="1:6">
      <c r="A1258">
        <v>20201024</v>
      </c>
      <c r="B1258">
        <v>126.8797805</v>
      </c>
      <c r="C1258">
        <v>37.523914499999997</v>
      </c>
      <c r="D1258" t="s">
        <v>56</v>
      </c>
      <c r="E1258">
        <v>11</v>
      </c>
      <c r="F1258" t="s">
        <v>4</v>
      </c>
    </row>
    <row r="1259" spans="1:6">
      <c r="A1259">
        <v>20201024</v>
      </c>
      <c r="B1259">
        <v>126.8797805</v>
      </c>
      <c r="C1259">
        <v>37.523914499999997</v>
      </c>
      <c r="D1259" t="s">
        <v>60</v>
      </c>
      <c r="E1259">
        <v>18</v>
      </c>
      <c r="F1259" t="s">
        <v>4</v>
      </c>
    </row>
    <row r="1260" spans="1:6">
      <c r="A1260">
        <v>20201024</v>
      </c>
      <c r="B1260">
        <v>126.8797805</v>
      </c>
      <c r="C1260">
        <v>37.523914499999997</v>
      </c>
      <c r="D1260" t="s">
        <v>150</v>
      </c>
      <c r="E1260">
        <v>59</v>
      </c>
      <c r="F1260" t="s">
        <v>4</v>
      </c>
    </row>
    <row r="1261" spans="1:6">
      <c r="A1261">
        <v>20201024</v>
      </c>
      <c r="B1261">
        <v>126.8797805</v>
      </c>
      <c r="C1261">
        <v>37.523914499999997</v>
      </c>
      <c r="D1261" t="s">
        <v>129</v>
      </c>
      <c r="E1261">
        <v>79</v>
      </c>
      <c r="F1261" t="s">
        <v>4</v>
      </c>
    </row>
    <row r="1262" spans="1:6">
      <c r="A1262">
        <v>20201024</v>
      </c>
      <c r="B1262">
        <v>126.8797805</v>
      </c>
      <c r="C1262">
        <v>37.523914499999997</v>
      </c>
      <c r="D1262" t="s">
        <v>158</v>
      </c>
      <c r="E1262">
        <v>90</v>
      </c>
      <c r="F1262" t="s">
        <v>4</v>
      </c>
    </row>
    <row r="1263" spans="1:6">
      <c r="A1263">
        <v>20201024</v>
      </c>
      <c r="B1263">
        <v>126.8797805</v>
      </c>
      <c r="C1263">
        <v>37.523914499999997</v>
      </c>
      <c r="D1263" t="s">
        <v>130</v>
      </c>
      <c r="E1263">
        <v>272</v>
      </c>
      <c r="F1263" t="s">
        <v>4</v>
      </c>
    </row>
    <row r="1264" spans="1:6">
      <c r="A1264">
        <v>20201024</v>
      </c>
      <c r="B1264">
        <v>126.8797805</v>
      </c>
      <c r="C1264">
        <v>37.523914499999997</v>
      </c>
      <c r="D1264" t="s">
        <v>134</v>
      </c>
      <c r="E1264">
        <v>152</v>
      </c>
      <c r="F1264" t="s">
        <v>4</v>
      </c>
    </row>
    <row r="1265" spans="1:6">
      <c r="A1265">
        <v>20201024</v>
      </c>
      <c r="B1265">
        <v>126.8797805</v>
      </c>
      <c r="C1265">
        <v>37.523914499999997</v>
      </c>
      <c r="D1265" t="s">
        <v>95</v>
      </c>
      <c r="E1265">
        <v>154</v>
      </c>
      <c r="F1265" t="s">
        <v>4</v>
      </c>
    </row>
    <row r="1266" spans="1:6">
      <c r="A1266">
        <v>20201024</v>
      </c>
      <c r="B1266">
        <v>126.8797805</v>
      </c>
      <c r="C1266">
        <v>37.523914499999997</v>
      </c>
      <c r="D1266" t="s">
        <v>198</v>
      </c>
      <c r="E1266">
        <v>156</v>
      </c>
      <c r="F1266" t="s">
        <v>4</v>
      </c>
    </row>
    <row r="1267" spans="1:6">
      <c r="A1267">
        <v>20201024</v>
      </c>
      <c r="B1267">
        <v>126.8797805</v>
      </c>
      <c r="C1267">
        <v>37.523914499999997</v>
      </c>
      <c r="D1267" t="s">
        <v>166</v>
      </c>
      <c r="E1267">
        <v>257</v>
      </c>
      <c r="F1267" t="s">
        <v>4</v>
      </c>
    </row>
    <row r="1268" spans="1:6">
      <c r="A1268">
        <v>20201024</v>
      </c>
      <c r="B1268">
        <v>126.8797805</v>
      </c>
      <c r="C1268">
        <v>37.523914499999997</v>
      </c>
      <c r="D1268" t="s">
        <v>144</v>
      </c>
      <c r="E1268">
        <v>298</v>
      </c>
      <c r="F1268" t="s">
        <v>4</v>
      </c>
    </row>
    <row r="1269" spans="1:6">
      <c r="A1269">
        <v>20201024</v>
      </c>
      <c r="B1269">
        <v>126.8797805</v>
      </c>
      <c r="C1269">
        <v>37.523914499999997</v>
      </c>
      <c r="D1269" t="s">
        <v>137</v>
      </c>
      <c r="E1269">
        <v>501</v>
      </c>
      <c r="F1269" t="s">
        <v>4</v>
      </c>
    </row>
    <row r="1270" spans="1:6">
      <c r="A1270">
        <v>20201024</v>
      </c>
      <c r="B1270">
        <v>126.8797805</v>
      </c>
      <c r="C1270">
        <v>37.523914499999997</v>
      </c>
      <c r="D1270" t="s">
        <v>186</v>
      </c>
      <c r="E1270">
        <v>544</v>
      </c>
      <c r="F1270" t="s">
        <v>4</v>
      </c>
    </row>
    <row r="1271" spans="1:6">
      <c r="A1271">
        <v>20201024</v>
      </c>
      <c r="B1271">
        <v>126.8797805</v>
      </c>
      <c r="C1271">
        <v>37.523914499999997</v>
      </c>
      <c r="D1271" t="s">
        <v>155</v>
      </c>
      <c r="E1271">
        <v>585</v>
      </c>
      <c r="F1271" t="s">
        <v>4</v>
      </c>
    </row>
    <row r="1272" spans="1:6">
      <c r="A1272">
        <v>20201024</v>
      </c>
      <c r="B1272">
        <v>126.8797805</v>
      </c>
      <c r="C1272">
        <v>37.523914499999997</v>
      </c>
      <c r="D1272" t="s">
        <v>109</v>
      </c>
      <c r="E1272">
        <v>718</v>
      </c>
      <c r="F1272" t="s">
        <v>4</v>
      </c>
    </row>
    <row r="1273" spans="1:6">
      <c r="A1273">
        <v>20201024</v>
      </c>
      <c r="B1273">
        <v>126.8797805</v>
      </c>
      <c r="C1273">
        <v>37.523914499999997</v>
      </c>
      <c r="D1273" t="s">
        <v>84</v>
      </c>
      <c r="E1273">
        <v>713</v>
      </c>
      <c r="F1273" t="s">
        <v>4</v>
      </c>
    </row>
    <row r="1274" spans="1:6">
      <c r="A1274">
        <v>20201024</v>
      </c>
      <c r="B1274">
        <v>126.8797805</v>
      </c>
      <c r="C1274">
        <v>37.523914499999997</v>
      </c>
      <c r="D1274" t="s">
        <v>52</v>
      </c>
      <c r="E1274">
        <v>856</v>
      </c>
      <c r="F1274" t="s">
        <v>4</v>
      </c>
    </row>
    <row r="1275" spans="1:6">
      <c r="A1275">
        <v>20201024</v>
      </c>
      <c r="B1275">
        <v>126.8797805</v>
      </c>
      <c r="C1275">
        <v>37.523914499999997</v>
      </c>
      <c r="D1275" t="s">
        <v>72</v>
      </c>
      <c r="E1275">
        <v>955</v>
      </c>
      <c r="F1275" t="s">
        <v>4</v>
      </c>
    </row>
    <row r="1276" spans="1:6">
      <c r="A1276">
        <v>20201024</v>
      </c>
      <c r="B1276">
        <v>126.8797805</v>
      </c>
      <c r="C1276">
        <v>37.523914499999997</v>
      </c>
      <c r="D1276" t="s">
        <v>151</v>
      </c>
      <c r="E1276">
        <v>911</v>
      </c>
      <c r="F1276" t="s">
        <v>4</v>
      </c>
    </row>
    <row r="1277" spans="1:6">
      <c r="A1277">
        <v>20201024</v>
      </c>
      <c r="B1277">
        <v>126.8797805</v>
      </c>
      <c r="C1277">
        <v>37.523914499999997</v>
      </c>
      <c r="D1277" t="s">
        <v>64</v>
      </c>
      <c r="E1277">
        <v>902</v>
      </c>
      <c r="F1277" t="s">
        <v>4</v>
      </c>
    </row>
    <row r="1278" spans="1:6">
      <c r="A1278">
        <v>20201024</v>
      </c>
      <c r="B1278">
        <v>126.8797805</v>
      </c>
      <c r="C1278">
        <v>37.523914499999997</v>
      </c>
      <c r="D1278" t="s">
        <v>175</v>
      </c>
      <c r="E1278">
        <v>1274</v>
      </c>
      <c r="F1278" t="s">
        <v>4</v>
      </c>
    </row>
    <row r="1279" spans="1:6">
      <c r="A1279">
        <v>20201024</v>
      </c>
      <c r="B1279">
        <v>126.8797805</v>
      </c>
      <c r="C1279">
        <v>37.523914499999997</v>
      </c>
      <c r="D1279" t="s">
        <v>126</v>
      </c>
      <c r="E1279">
        <v>1721</v>
      </c>
      <c r="F1279" t="s">
        <v>4</v>
      </c>
    </row>
    <row r="1280" spans="1:6">
      <c r="A1280">
        <v>20201024</v>
      </c>
      <c r="B1280">
        <v>126.8797805</v>
      </c>
      <c r="C1280">
        <v>37.523914499999997</v>
      </c>
      <c r="D1280" t="s">
        <v>219</v>
      </c>
      <c r="E1280">
        <v>3421</v>
      </c>
      <c r="F1280" t="s">
        <v>4</v>
      </c>
    </row>
    <row r="1281" spans="1:6">
      <c r="A1281">
        <v>20201024</v>
      </c>
      <c r="B1281">
        <v>126.8797805</v>
      </c>
      <c r="C1281">
        <v>37.523914499999997</v>
      </c>
      <c r="D1281" t="s">
        <v>215</v>
      </c>
      <c r="E1281">
        <v>3276</v>
      </c>
      <c r="F1281" t="s">
        <v>4</v>
      </c>
    </row>
    <row r="1282" spans="1:6">
      <c r="A1282">
        <v>20201024</v>
      </c>
      <c r="B1282">
        <v>126.8797805</v>
      </c>
      <c r="C1282">
        <v>37.523914499999997</v>
      </c>
      <c r="D1282" t="s">
        <v>170</v>
      </c>
      <c r="E1282">
        <v>3771</v>
      </c>
      <c r="F1282" t="s">
        <v>4</v>
      </c>
    </row>
    <row r="1283" spans="1:6">
      <c r="A1283">
        <v>20201024</v>
      </c>
      <c r="B1283">
        <v>126.8797805</v>
      </c>
      <c r="C1283">
        <v>37.523914499999997</v>
      </c>
      <c r="D1283" t="s">
        <v>68</v>
      </c>
      <c r="E1283">
        <v>5307</v>
      </c>
      <c r="F1283" t="s">
        <v>4</v>
      </c>
    </row>
    <row r="1284" spans="1:6">
      <c r="A1284">
        <v>20201024</v>
      </c>
      <c r="B1284">
        <v>126.8797805</v>
      </c>
      <c r="C1284">
        <v>37.523914499999997</v>
      </c>
      <c r="D1284" t="s">
        <v>87</v>
      </c>
      <c r="E1284">
        <v>27351</v>
      </c>
      <c r="F1284" t="s">
        <v>4</v>
      </c>
    </row>
    <row r="1285" spans="1:6">
      <c r="A1285">
        <v>20201024</v>
      </c>
      <c r="B1285">
        <v>126.8797805</v>
      </c>
      <c r="C1285">
        <v>37.523914499999997</v>
      </c>
      <c r="D1285" t="s">
        <v>207</v>
      </c>
      <c r="E1285">
        <v>40172</v>
      </c>
      <c r="F1285" t="s">
        <v>4</v>
      </c>
    </row>
    <row r="1286" spans="1:6">
      <c r="A1286">
        <v>20201024</v>
      </c>
      <c r="B1286">
        <v>126.8797805</v>
      </c>
      <c r="C1286">
        <v>37.523914499999997</v>
      </c>
      <c r="D1286" t="s">
        <v>70</v>
      </c>
      <c r="E1286">
        <v>70673</v>
      </c>
      <c r="F1286" t="s">
        <v>4</v>
      </c>
    </row>
    <row r="1287" spans="1:6">
      <c r="A1287">
        <v>20201024</v>
      </c>
      <c r="B1287">
        <v>126.887135</v>
      </c>
      <c r="C1287">
        <v>37.539645499999999</v>
      </c>
      <c r="D1287" t="s">
        <v>150</v>
      </c>
      <c r="E1287">
        <v>15</v>
      </c>
      <c r="F1287" t="s">
        <v>4</v>
      </c>
    </row>
    <row r="1288" spans="1:6">
      <c r="A1288">
        <v>20201024</v>
      </c>
      <c r="B1288">
        <v>126.887135</v>
      </c>
      <c r="C1288">
        <v>37.539645499999999</v>
      </c>
      <c r="D1288" t="s">
        <v>91</v>
      </c>
      <c r="E1288">
        <v>22</v>
      </c>
      <c r="F1288" t="s">
        <v>4</v>
      </c>
    </row>
    <row r="1289" spans="1:6">
      <c r="A1289">
        <v>20201024</v>
      </c>
      <c r="B1289">
        <v>126.887135</v>
      </c>
      <c r="C1289">
        <v>37.539645499999999</v>
      </c>
      <c r="D1289" t="s">
        <v>219</v>
      </c>
      <c r="E1289">
        <v>28</v>
      </c>
      <c r="F1289" t="s">
        <v>4</v>
      </c>
    </row>
    <row r="1290" spans="1:6">
      <c r="A1290">
        <v>20201024</v>
      </c>
      <c r="B1290">
        <v>126.887135</v>
      </c>
      <c r="C1290">
        <v>37.539645499999999</v>
      </c>
      <c r="D1290" t="s">
        <v>46</v>
      </c>
      <c r="E1290">
        <v>35</v>
      </c>
      <c r="F1290" t="s">
        <v>4</v>
      </c>
    </row>
    <row r="1291" spans="1:6">
      <c r="A1291">
        <v>20201024</v>
      </c>
      <c r="B1291">
        <v>126.887135</v>
      </c>
      <c r="C1291">
        <v>37.539645499999999</v>
      </c>
      <c r="D1291" t="s">
        <v>158</v>
      </c>
      <c r="E1291">
        <v>137</v>
      </c>
      <c r="F1291" t="s">
        <v>4</v>
      </c>
    </row>
    <row r="1292" spans="1:6">
      <c r="A1292">
        <v>20201024</v>
      </c>
      <c r="B1292">
        <v>126.887135</v>
      </c>
      <c r="C1292">
        <v>37.539645499999999</v>
      </c>
      <c r="D1292" t="s">
        <v>78</v>
      </c>
      <c r="E1292">
        <v>145</v>
      </c>
      <c r="F1292" t="s">
        <v>4</v>
      </c>
    </row>
    <row r="1293" spans="1:6">
      <c r="A1293">
        <v>20201024</v>
      </c>
      <c r="B1293">
        <v>126.887135</v>
      </c>
      <c r="C1293">
        <v>37.539645499999999</v>
      </c>
      <c r="D1293" t="s">
        <v>60</v>
      </c>
      <c r="E1293">
        <v>145</v>
      </c>
      <c r="F1293" t="s">
        <v>4</v>
      </c>
    </row>
    <row r="1294" spans="1:6">
      <c r="A1294">
        <v>20201024</v>
      </c>
      <c r="B1294">
        <v>126.887135</v>
      </c>
      <c r="C1294">
        <v>37.539645499999999</v>
      </c>
      <c r="D1294" t="s">
        <v>64</v>
      </c>
      <c r="E1294">
        <v>233</v>
      </c>
      <c r="F1294" t="s">
        <v>4</v>
      </c>
    </row>
    <row r="1295" spans="1:6">
      <c r="A1295">
        <v>20201024</v>
      </c>
      <c r="B1295">
        <v>126.887135</v>
      </c>
      <c r="C1295">
        <v>37.539645499999999</v>
      </c>
      <c r="D1295" t="s">
        <v>151</v>
      </c>
      <c r="E1295">
        <v>316</v>
      </c>
      <c r="F1295" t="s">
        <v>4</v>
      </c>
    </row>
    <row r="1296" spans="1:6">
      <c r="A1296">
        <v>20201024</v>
      </c>
      <c r="B1296">
        <v>126.887135</v>
      </c>
      <c r="C1296">
        <v>37.539645499999999</v>
      </c>
      <c r="D1296" t="s">
        <v>215</v>
      </c>
      <c r="E1296">
        <v>334</v>
      </c>
      <c r="F1296" t="s">
        <v>4</v>
      </c>
    </row>
    <row r="1297" spans="1:6">
      <c r="A1297">
        <v>20201024</v>
      </c>
      <c r="B1297">
        <v>126.887135</v>
      </c>
      <c r="C1297">
        <v>37.539645499999999</v>
      </c>
      <c r="D1297" t="s">
        <v>186</v>
      </c>
      <c r="E1297">
        <v>612</v>
      </c>
      <c r="F1297" t="s">
        <v>4</v>
      </c>
    </row>
    <row r="1298" spans="1:6">
      <c r="A1298">
        <v>20201024</v>
      </c>
      <c r="B1298">
        <v>126.887135</v>
      </c>
      <c r="C1298">
        <v>37.539645499999999</v>
      </c>
      <c r="D1298" t="s">
        <v>56</v>
      </c>
      <c r="E1298">
        <v>962</v>
      </c>
      <c r="F1298" t="s">
        <v>4</v>
      </c>
    </row>
    <row r="1299" spans="1:6">
      <c r="A1299">
        <v>20201024</v>
      </c>
      <c r="B1299">
        <v>126.887135</v>
      </c>
      <c r="C1299">
        <v>37.539645499999999</v>
      </c>
      <c r="D1299" t="s">
        <v>84</v>
      </c>
      <c r="E1299">
        <v>722</v>
      </c>
      <c r="F1299" t="s">
        <v>4</v>
      </c>
    </row>
    <row r="1300" spans="1:6">
      <c r="A1300">
        <v>20201024</v>
      </c>
      <c r="B1300">
        <v>126.887135</v>
      </c>
      <c r="C1300">
        <v>37.539645499999999</v>
      </c>
      <c r="D1300" t="s">
        <v>68</v>
      </c>
      <c r="E1300">
        <v>1106</v>
      </c>
      <c r="F1300" t="s">
        <v>4</v>
      </c>
    </row>
    <row r="1301" spans="1:6">
      <c r="A1301">
        <v>20201024</v>
      </c>
      <c r="B1301">
        <v>126.887135</v>
      </c>
      <c r="C1301">
        <v>37.539645499999999</v>
      </c>
      <c r="D1301" t="s">
        <v>134</v>
      </c>
      <c r="E1301">
        <v>920</v>
      </c>
      <c r="F1301" t="s">
        <v>4</v>
      </c>
    </row>
    <row r="1302" spans="1:6">
      <c r="A1302">
        <v>20201024</v>
      </c>
      <c r="B1302">
        <v>126.887135</v>
      </c>
      <c r="C1302">
        <v>37.539645499999999</v>
      </c>
      <c r="D1302" t="s">
        <v>218</v>
      </c>
      <c r="E1302">
        <v>1265</v>
      </c>
      <c r="F1302" t="s">
        <v>4</v>
      </c>
    </row>
    <row r="1303" spans="1:6">
      <c r="A1303">
        <v>20201024</v>
      </c>
      <c r="B1303">
        <v>126.887135</v>
      </c>
      <c r="C1303">
        <v>37.539645499999999</v>
      </c>
      <c r="D1303" t="s">
        <v>170</v>
      </c>
      <c r="E1303">
        <v>3491</v>
      </c>
      <c r="F1303" t="s">
        <v>4</v>
      </c>
    </row>
    <row r="1304" spans="1:6">
      <c r="A1304">
        <v>20201024</v>
      </c>
      <c r="B1304">
        <v>126.887135</v>
      </c>
      <c r="C1304">
        <v>37.539645499999999</v>
      </c>
      <c r="D1304" t="s">
        <v>126</v>
      </c>
      <c r="E1304">
        <v>4668</v>
      </c>
      <c r="F1304" t="s">
        <v>4</v>
      </c>
    </row>
    <row r="1305" spans="1:6">
      <c r="A1305">
        <v>20201024</v>
      </c>
      <c r="B1305">
        <v>126.887135</v>
      </c>
      <c r="C1305">
        <v>37.539645499999999</v>
      </c>
      <c r="D1305" t="s">
        <v>109</v>
      </c>
      <c r="E1305">
        <v>6305</v>
      </c>
      <c r="F1305" t="s">
        <v>4</v>
      </c>
    </row>
    <row r="1306" spans="1:6">
      <c r="A1306">
        <v>20201024</v>
      </c>
      <c r="B1306">
        <v>126.887135</v>
      </c>
      <c r="C1306">
        <v>37.539645499999999</v>
      </c>
      <c r="D1306" t="s">
        <v>87</v>
      </c>
      <c r="E1306">
        <v>9301</v>
      </c>
      <c r="F1306" t="s">
        <v>4</v>
      </c>
    </row>
    <row r="1307" spans="1:6">
      <c r="A1307">
        <v>20201024</v>
      </c>
      <c r="B1307">
        <v>126.887135</v>
      </c>
      <c r="C1307">
        <v>37.539645499999999</v>
      </c>
      <c r="D1307" t="s">
        <v>70</v>
      </c>
      <c r="E1307">
        <v>38483</v>
      </c>
      <c r="F1307" t="s">
        <v>4</v>
      </c>
    </row>
    <row r="1308" spans="1:6">
      <c r="A1308">
        <v>20201024</v>
      </c>
      <c r="B1308">
        <v>126.887135</v>
      </c>
      <c r="C1308">
        <v>37.539645499999999</v>
      </c>
      <c r="D1308" t="s">
        <v>207</v>
      </c>
      <c r="E1308">
        <v>58852</v>
      </c>
      <c r="F1308" t="s">
        <v>4</v>
      </c>
    </row>
    <row r="1309" spans="1:6">
      <c r="A1309">
        <v>20201024</v>
      </c>
      <c r="B1309">
        <v>126.8771357</v>
      </c>
      <c r="C1309">
        <v>37.553306900000003</v>
      </c>
      <c r="D1309" t="s">
        <v>147</v>
      </c>
      <c r="E1309">
        <v>15</v>
      </c>
      <c r="F1309" t="s">
        <v>4</v>
      </c>
    </row>
    <row r="1310" spans="1:6">
      <c r="A1310">
        <v>20201024</v>
      </c>
      <c r="B1310">
        <v>126.8771357</v>
      </c>
      <c r="C1310">
        <v>37.553306900000003</v>
      </c>
      <c r="D1310" t="s">
        <v>46</v>
      </c>
      <c r="E1310">
        <v>33</v>
      </c>
      <c r="F1310" t="s">
        <v>4</v>
      </c>
    </row>
    <row r="1311" spans="1:6">
      <c r="A1311">
        <v>20201024</v>
      </c>
      <c r="B1311">
        <v>126.8771357</v>
      </c>
      <c r="C1311">
        <v>37.553306900000003</v>
      </c>
      <c r="D1311" t="s">
        <v>220</v>
      </c>
      <c r="E1311">
        <v>33</v>
      </c>
      <c r="F1311" t="s">
        <v>4</v>
      </c>
    </row>
    <row r="1312" spans="1:6">
      <c r="A1312">
        <v>20201024</v>
      </c>
      <c r="B1312">
        <v>126.8771357</v>
      </c>
      <c r="C1312">
        <v>37.553306900000003</v>
      </c>
      <c r="D1312" t="s">
        <v>60</v>
      </c>
      <c r="E1312">
        <v>81</v>
      </c>
      <c r="F1312" t="s">
        <v>4</v>
      </c>
    </row>
    <row r="1313" spans="1:6">
      <c r="A1313">
        <v>20201024</v>
      </c>
      <c r="B1313">
        <v>126.8771357</v>
      </c>
      <c r="C1313">
        <v>37.553306900000003</v>
      </c>
      <c r="D1313" t="s">
        <v>158</v>
      </c>
      <c r="E1313">
        <v>159</v>
      </c>
      <c r="F1313" t="s">
        <v>4</v>
      </c>
    </row>
    <row r="1314" spans="1:6">
      <c r="A1314">
        <v>20201024</v>
      </c>
      <c r="B1314">
        <v>126.8771357</v>
      </c>
      <c r="C1314">
        <v>37.553306900000003</v>
      </c>
      <c r="D1314" t="s">
        <v>122</v>
      </c>
      <c r="E1314">
        <v>205</v>
      </c>
      <c r="F1314" t="s">
        <v>4</v>
      </c>
    </row>
    <row r="1315" spans="1:6">
      <c r="A1315">
        <v>20201024</v>
      </c>
      <c r="B1315">
        <v>126.8771357</v>
      </c>
      <c r="C1315">
        <v>37.553306900000003</v>
      </c>
      <c r="D1315" t="s">
        <v>151</v>
      </c>
      <c r="E1315">
        <v>214</v>
      </c>
      <c r="F1315" t="s">
        <v>4</v>
      </c>
    </row>
    <row r="1316" spans="1:6">
      <c r="A1316">
        <v>20201024</v>
      </c>
      <c r="B1316">
        <v>126.8771357</v>
      </c>
      <c r="C1316">
        <v>37.553306900000003</v>
      </c>
      <c r="D1316" t="s">
        <v>64</v>
      </c>
      <c r="E1316">
        <v>311</v>
      </c>
      <c r="F1316" t="s">
        <v>4</v>
      </c>
    </row>
    <row r="1317" spans="1:6">
      <c r="A1317">
        <v>20201024</v>
      </c>
      <c r="B1317">
        <v>126.8771357</v>
      </c>
      <c r="C1317">
        <v>37.553306900000003</v>
      </c>
      <c r="D1317" t="s">
        <v>130</v>
      </c>
      <c r="E1317">
        <v>517</v>
      </c>
      <c r="F1317" t="s">
        <v>4</v>
      </c>
    </row>
    <row r="1318" spans="1:6">
      <c r="A1318">
        <v>20201024</v>
      </c>
      <c r="B1318">
        <v>126.8771357</v>
      </c>
      <c r="C1318">
        <v>37.553306900000003</v>
      </c>
      <c r="D1318" t="s">
        <v>166</v>
      </c>
      <c r="E1318">
        <v>435</v>
      </c>
      <c r="F1318" t="s">
        <v>4</v>
      </c>
    </row>
    <row r="1319" spans="1:6">
      <c r="A1319">
        <v>20201024</v>
      </c>
      <c r="B1319">
        <v>126.8771357</v>
      </c>
      <c r="C1319">
        <v>37.553306900000003</v>
      </c>
      <c r="D1319" t="s">
        <v>102</v>
      </c>
      <c r="E1319">
        <v>641</v>
      </c>
      <c r="F1319" t="s">
        <v>4</v>
      </c>
    </row>
    <row r="1320" spans="1:6">
      <c r="A1320">
        <v>20201024</v>
      </c>
      <c r="B1320">
        <v>126.8771357</v>
      </c>
      <c r="C1320">
        <v>37.553306900000003</v>
      </c>
      <c r="D1320" t="s">
        <v>218</v>
      </c>
      <c r="E1320">
        <v>659</v>
      </c>
      <c r="F1320" t="s">
        <v>4</v>
      </c>
    </row>
    <row r="1321" spans="1:6">
      <c r="A1321">
        <v>20201024</v>
      </c>
      <c r="B1321">
        <v>126.8771357</v>
      </c>
      <c r="C1321">
        <v>37.553306900000003</v>
      </c>
      <c r="D1321" t="s">
        <v>186</v>
      </c>
      <c r="E1321">
        <v>686</v>
      </c>
      <c r="F1321" t="s">
        <v>4</v>
      </c>
    </row>
    <row r="1322" spans="1:6">
      <c r="A1322">
        <v>20201024</v>
      </c>
      <c r="B1322">
        <v>126.8771357</v>
      </c>
      <c r="C1322">
        <v>37.553306900000003</v>
      </c>
      <c r="D1322" t="s">
        <v>216</v>
      </c>
      <c r="E1322">
        <v>722</v>
      </c>
      <c r="F1322" t="s">
        <v>4</v>
      </c>
    </row>
    <row r="1323" spans="1:6">
      <c r="A1323">
        <v>20201024</v>
      </c>
      <c r="B1323">
        <v>126.8771357</v>
      </c>
      <c r="C1323">
        <v>37.553306900000003</v>
      </c>
      <c r="D1323" t="s">
        <v>215</v>
      </c>
      <c r="E1323">
        <v>942</v>
      </c>
      <c r="F1323" t="s">
        <v>4</v>
      </c>
    </row>
    <row r="1324" spans="1:6">
      <c r="A1324">
        <v>20201024</v>
      </c>
      <c r="B1324">
        <v>126.8771357</v>
      </c>
      <c r="C1324">
        <v>37.553306900000003</v>
      </c>
      <c r="D1324" t="s">
        <v>89</v>
      </c>
      <c r="E1324">
        <v>1508</v>
      </c>
      <c r="F1324" t="s">
        <v>4</v>
      </c>
    </row>
    <row r="1325" spans="1:6">
      <c r="A1325">
        <v>20201024</v>
      </c>
      <c r="B1325">
        <v>126.8771357</v>
      </c>
      <c r="C1325">
        <v>37.553306900000003</v>
      </c>
      <c r="D1325" t="s">
        <v>72</v>
      </c>
      <c r="E1325">
        <v>1537</v>
      </c>
      <c r="F1325" t="s">
        <v>4</v>
      </c>
    </row>
    <row r="1326" spans="1:6">
      <c r="A1326">
        <v>20201024</v>
      </c>
      <c r="B1326">
        <v>126.8771357</v>
      </c>
      <c r="C1326">
        <v>37.553306900000003</v>
      </c>
      <c r="D1326" t="s">
        <v>170</v>
      </c>
      <c r="E1326">
        <v>1670</v>
      </c>
      <c r="F1326" t="s">
        <v>4</v>
      </c>
    </row>
    <row r="1327" spans="1:6">
      <c r="A1327">
        <v>20201024</v>
      </c>
      <c r="B1327">
        <v>126.8771357</v>
      </c>
      <c r="C1327">
        <v>37.553306900000003</v>
      </c>
      <c r="D1327" t="s">
        <v>219</v>
      </c>
      <c r="E1327">
        <v>2359</v>
      </c>
      <c r="F1327" t="s">
        <v>4</v>
      </c>
    </row>
    <row r="1328" spans="1:6">
      <c r="A1328">
        <v>20201024</v>
      </c>
      <c r="B1328">
        <v>126.8771357</v>
      </c>
      <c r="C1328">
        <v>37.553306900000003</v>
      </c>
      <c r="D1328" t="s">
        <v>68</v>
      </c>
      <c r="E1328">
        <v>3721</v>
      </c>
      <c r="F1328" t="s">
        <v>4</v>
      </c>
    </row>
    <row r="1329" spans="1:6">
      <c r="A1329">
        <v>20201024</v>
      </c>
      <c r="B1329">
        <v>126.8771357</v>
      </c>
      <c r="C1329">
        <v>37.553306900000003</v>
      </c>
      <c r="D1329" t="s">
        <v>109</v>
      </c>
      <c r="E1329">
        <v>5507</v>
      </c>
      <c r="F1329" t="s">
        <v>4</v>
      </c>
    </row>
    <row r="1330" spans="1:6">
      <c r="A1330">
        <v>20201024</v>
      </c>
      <c r="B1330">
        <v>126.8771357</v>
      </c>
      <c r="C1330">
        <v>37.553306900000003</v>
      </c>
      <c r="D1330" t="s">
        <v>87</v>
      </c>
      <c r="E1330">
        <v>10029</v>
      </c>
      <c r="F1330" t="s">
        <v>4</v>
      </c>
    </row>
    <row r="1331" spans="1:6">
      <c r="A1331">
        <v>20201024</v>
      </c>
      <c r="B1331">
        <v>126.8771357</v>
      </c>
      <c r="C1331">
        <v>37.553306900000003</v>
      </c>
      <c r="D1331" t="s">
        <v>126</v>
      </c>
      <c r="E1331">
        <v>10493</v>
      </c>
      <c r="F1331" t="s">
        <v>4</v>
      </c>
    </row>
    <row r="1332" spans="1:6">
      <c r="A1332">
        <v>20201024</v>
      </c>
      <c r="B1332">
        <v>126.8771357</v>
      </c>
      <c r="C1332">
        <v>37.553306900000003</v>
      </c>
      <c r="D1332" t="s">
        <v>207</v>
      </c>
      <c r="E1332">
        <v>32523</v>
      </c>
      <c r="F1332" t="s">
        <v>4</v>
      </c>
    </row>
    <row r="1333" spans="1:6">
      <c r="A1333">
        <v>20201024</v>
      </c>
      <c r="B1333">
        <v>126.8771357</v>
      </c>
      <c r="C1333">
        <v>37.553306900000003</v>
      </c>
      <c r="D1333" t="s">
        <v>70</v>
      </c>
      <c r="E1333">
        <v>52008</v>
      </c>
      <c r="F1333" t="s">
        <v>4</v>
      </c>
    </row>
    <row r="1334" spans="1:6">
      <c r="A1334">
        <v>20201024</v>
      </c>
      <c r="B1334">
        <v>126.85185540000001</v>
      </c>
      <c r="C1334">
        <v>37.406578799999998</v>
      </c>
      <c r="D1334" t="s">
        <v>76</v>
      </c>
      <c r="E1334">
        <v>17</v>
      </c>
      <c r="F1334" t="s">
        <v>4</v>
      </c>
    </row>
    <row r="1335" spans="1:6">
      <c r="A1335">
        <v>20201024</v>
      </c>
      <c r="B1335">
        <v>126.85185540000001</v>
      </c>
      <c r="C1335">
        <v>37.406578799999998</v>
      </c>
      <c r="D1335" t="s">
        <v>164</v>
      </c>
      <c r="E1335">
        <v>18</v>
      </c>
      <c r="F1335" t="s">
        <v>4</v>
      </c>
    </row>
    <row r="1336" spans="1:6">
      <c r="A1336">
        <v>20201024</v>
      </c>
      <c r="B1336">
        <v>126.85185540000001</v>
      </c>
      <c r="C1336">
        <v>37.406578799999998</v>
      </c>
      <c r="D1336" t="s">
        <v>151</v>
      </c>
      <c r="E1336">
        <v>235</v>
      </c>
      <c r="F1336" t="s">
        <v>4</v>
      </c>
    </row>
    <row r="1337" spans="1:6">
      <c r="A1337">
        <v>20201024</v>
      </c>
      <c r="B1337">
        <v>126.85185540000001</v>
      </c>
      <c r="C1337">
        <v>37.406578799999998</v>
      </c>
      <c r="D1337" t="s">
        <v>166</v>
      </c>
      <c r="E1337">
        <v>248</v>
      </c>
      <c r="F1337" t="s">
        <v>4</v>
      </c>
    </row>
    <row r="1338" spans="1:6">
      <c r="A1338">
        <v>20201024</v>
      </c>
      <c r="B1338">
        <v>126.85185540000001</v>
      </c>
      <c r="C1338">
        <v>37.406578799999998</v>
      </c>
      <c r="D1338" t="s">
        <v>158</v>
      </c>
      <c r="E1338">
        <v>326</v>
      </c>
      <c r="F1338" t="s">
        <v>4</v>
      </c>
    </row>
    <row r="1339" spans="1:6">
      <c r="A1339">
        <v>20201024</v>
      </c>
      <c r="B1339">
        <v>126.85185540000001</v>
      </c>
      <c r="C1339">
        <v>37.406578799999998</v>
      </c>
      <c r="D1339" t="s">
        <v>220</v>
      </c>
      <c r="E1339">
        <v>366</v>
      </c>
      <c r="F1339" t="s">
        <v>4</v>
      </c>
    </row>
    <row r="1340" spans="1:6">
      <c r="A1340">
        <v>20201024</v>
      </c>
      <c r="B1340">
        <v>126.85185540000001</v>
      </c>
      <c r="C1340">
        <v>37.406578799999998</v>
      </c>
      <c r="D1340" t="s">
        <v>181</v>
      </c>
      <c r="E1340">
        <v>485</v>
      </c>
      <c r="F1340" t="s">
        <v>4</v>
      </c>
    </row>
    <row r="1341" spans="1:6">
      <c r="A1341">
        <v>20201024</v>
      </c>
      <c r="B1341">
        <v>126.85185540000001</v>
      </c>
      <c r="C1341">
        <v>37.406578799999998</v>
      </c>
      <c r="D1341" t="s">
        <v>130</v>
      </c>
      <c r="E1341">
        <v>747</v>
      </c>
      <c r="F1341" t="s">
        <v>4</v>
      </c>
    </row>
    <row r="1342" spans="1:6">
      <c r="A1342">
        <v>20201024</v>
      </c>
      <c r="B1342">
        <v>126.85185540000001</v>
      </c>
      <c r="C1342">
        <v>37.406578799999998</v>
      </c>
      <c r="D1342" t="s">
        <v>114</v>
      </c>
      <c r="E1342">
        <v>1571</v>
      </c>
      <c r="F1342" t="s">
        <v>4</v>
      </c>
    </row>
    <row r="1343" spans="1:6">
      <c r="A1343">
        <v>20201024</v>
      </c>
      <c r="B1343">
        <v>126.85185540000001</v>
      </c>
      <c r="C1343">
        <v>37.406578799999998</v>
      </c>
      <c r="D1343" t="s">
        <v>138</v>
      </c>
      <c r="E1343">
        <v>1855</v>
      </c>
      <c r="F1343" t="s">
        <v>4</v>
      </c>
    </row>
    <row r="1344" spans="1:6">
      <c r="A1344">
        <v>20201024</v>
      </c>
      <c r="B1344">
        <v>126.85185540000001</v>
      </c>
      <c r="C1344">
        <v>37.406578799999998</v>
      </c>
      <c r="D1344" t="s">
        <v>111</v>
      </c>
      <c r="E1344">
        <v>1952</v>
      </c>
      <c r="F1344" t="s">
        <v>4</v>
      </c>
    </row>
    <row r="1345" spans="1:6">
      <c r="A1345">
        <v>20201024</v>
      </c>
      <c r="B1345">
        <v>126.85185540000001</v>
      </c>
      <c r="C1345">
        <v>37.406578799999998</v>
      </c>
      <c r="D1345" t="s">
        <v>207</v>
      </c>
      <c r="E1345">
        <v>3586</v>
      </c>
      <c r="F1345" t="s">
        <v>4</v>
      </c>
    </row>
    <row r="1346" spans="1:6">
      <c r="A1346">
        <v>20201024</v>
      </c>
      <c r="B1346">
        <v>126.85185540000001</v>
      </c>
      <c r="C1346">
        <v>37.406578799999998</v>
      </c>
      <c r="D1346" t="s">
        <v>64</v>
      </c>
      <c r="E1346">
        <v>3451</v>
      </c>
      <c r="F1346" t="s">
        <v>4</v>
      </c>
    </row>
    <row r="1347" spans="1:6">
      <c r="A1347">
        <v>20201024</v>
      </c>
      <c r="B1347">
        <v>126.85185540000001</v>
      </c>
      <c r="C1347">
        <v>37.406578799999998</v>
      </c>
      <c r="D1347" t="s">
        <v>78</v>
      </c>
      <c r="E1347">
        <v>4622</v>
      </c>
      <c r="F1347" t="s">
        <v>4</v>
      </c>
    </row>
    <row r="1348" spans="1:6">
      <c r="A1348">
        <v>20201024</v>
      </c>
      <c r="B1348">
        <v>126.85185540000001</v>
      </c>
      <c r="C1348">
        <v>37.406578799999998</v>
      </c>
      <c r="D1348" t="s">
        <v>137</v>
      </c>
      <c r="E1348">
        <v>27324</v>
      </c>
      <c r="F1348" t="s">
        <v>4</v>
      </c>
    </row>
    <row r="1349" spans="1:6">
      <c r="A1349">
        <v>20201024</v>
      </c>
      <c r="B1349">
        <v>126.85185540000001</v>
      </c>
      <c r="C1349">
        <v>37.406578799999998</v>
      </c>
      <c r="D1349" t="s">
        <v>87</v>
      </c>
      <c r="E1349">
        <v>62897</v>
      </c>
      <c r="F1349" t="s">
        <v>4</v>
      </c>
    </row>
    <row r="1350" spans="1:6">
      <c r="A1350">
        <v>20201024</v>
      </c>
      <c r="B1350">
        <v>126.8446659</v>
      </c>
      <c r="C1350">
        <v>37.420618699999999</v>
      </c>
      <c r="D1350" t="s">
        <v>181</v>
      </c>
      <c r="E1350">
        <v>16</v>
      </c>
      <c r="F1350" t="s">
        <v>4</v>
      </c>
    </row>
    <row r="1351" spans="1:6">
      <c r="A1351">
        <v>20201024</v>
      </c>
      <c r="B1351">
        <v>126.8446659</v>
      </c>
      <c r="C1351">
        <v>37.420618699999999</v>
      </c>
      <c r="D1351" t="s">
        <v>150</v>
      </c>
      <c r="E1351">
        <v>19</v>
      </c>
      <c r="F1351" t="s">
        <v>4</v>
      </c>
    </row>
    <row r="1352" spans="1:6">
      <c r="A1352">
        <v>20201024</v>
      </c>
      <c r="B1352">
        <v>126.8446659</v>
      </c>
      <c r="C1352">
        <v>37.420618699999999</v>
      </c>
      <c r="D1352" t="s">
        <v>166</v>
      </c>
      <c r="E1352">
        <v>25</v>
      </c>
      <c r="F1352" t="s">
        <v>4</v>
      </c>
    </row>
    <row r="1353" spans="1:6">
      <c r="A1353">
        <v>20201024</v>
      </c>
      <c r="B1353">
        <v>126.8446659</v>
      </c>
      <c r="C1353">
        <v>37.420618699999999</v>
      </c>
      <c r="D1353" t="s">
        <v>199</v>
      </c>
      <c r="E1353">
        <v>30</v>
      </c>
      <c r="F1353" t="s">
        <v>4</v>
      </c>
    </row>
    <row r="1354" spans="1:6">
      <c r="A1354">
        <v>20201024</v>
      </c>
      <c r="B1354">
        <v>126.8446659</v>
      </c>
      <c r="C1354">
        <v>37.420618699999999</v>
      </c>
      <c r="D1354" t="s">
        <v>198</v>
      </c>
      <c r="E1354">
        <v>36</v>
      </c>
      <c r="F1354" t="s">
        <v>4</v>
      </c>
    </row>
    <row r="1355" spans="1:6">
      <c r="A1355">
        <v>20201024</v>
      </c>
      <c r="B1355">
        <v>126.8446659</v>
      </c>
      <c r="C1355">
        <v>37.420618699999999</v>
      </c>
      <c r="D1355" t="s">
        <v>129</v>
      </c>
      <c r="E1355">
        <v>65</v>
      </c>
      <c r="F1355" t="s">
        <v>4</v>
      </c>
    </row>
    <row r="1356" spans="1:6">
      <c r="A1356">
        <v>20201024</v>
      </c>
      <c r="B1356">
        <v>126.8772417</v>
      </c>
      <c r="C1356">
        <v>37.474826299999997</v>
      </c>
      <c r="D1356" t="s">
        <v>174</v>
      </c>
      <c r="E1356">
        <v>28</v>
      </c>
      <c r="F1356" t="s">
        <v>4</v>
      </c>
    </row>
    <row r="1357" spans="1:6">
      <c r="A1357">
        <v>20201024</v>
      </c>
      <c r="B1357">
        <v>126.8446659</v>
      </c>
      <c r="C1357">
        <v>37.420618699999999</v>
      </c>
      <c r="D1357" t="s">
        <v>153</v>
      </c>
      <c r="E1357">
        <v>58</v>
      </c>
      <c r="F1357" t="s">
        <v>4</v>
      </c>
    </row>
    <row r="1358" spans="1:6">
      <c r="A1358">
        <v>20201024</v>
      </c>
      <c r="B1358">
        <v>126.99657019999999</v>
      </c>
      <c r="C1358">
        <v>37.389118600000003</v>
      </c>
      <c r="D1358" t="s">
        <v>174</v>
      </c>
      <c r="E1358">
        <v>281</v>
      </c>
      <c r="F1358" t="s">
        <v>4</v>
      </c>
    </row>
    <row r="1359" spans="1:6">
      <c r="A1359">
        <v>20201024</v>
      </c>
      <c r="B1359">
        <v>126.92050639999999</v>
      </c>
      <c r="C1359">
        <v>37.418606500000003</v>
      </c>
      <c r="D1359" t="s">
        <v>174</v>
      </c>
      <c r="E1359">
        <v>1310</v>
      </c>
      <c r="F1359" t="s">
        <v>4</v>
      </c>
    </row>
    <row r="1360" spans="1:6">
      <c r="A1360">
        <v>20201024</v>
      </c>
      <c r="B1360">
        <v>126.8446659</v>
      </c>
      <c r="C1360">
        <v>37.420618699999999</v>
      </c>
      <c r="D1360" t="s">
        <v>219</v>
      </c>
      <c r="E1360">
        <v>155</v>
      </c>
      <c r="F1360" t="s">
        <v>4</v>
      </c>
    </row>
    <row r="1361" spans="1:6">
      <c r="A1361">
        <v>20201024</v>
      </c>
      <c r="B1361">
        <v>126.8446659</v>
      </c>
      <c r="C1361">
        <v>37.420618699999999</v>
      </c>
      <c r="D1361" t="s">
        <v>220</v>
      </c>
      <c r="E1361">
        <v>104</v>
      </c>
      <c r="F1361" t="s">
        <v>4</v>
      </c>
    </row>
    <row r="1362" spans="1:6">
      <c r="A1362">
        <v>20201024</v>
      </c>
      <c r="B1362">
        <v>126.8960105</v>
      </c>
      <c r="C1362">
        <v>37.403669399999998</v>
      </c>
      <c r="D1362" t="s">
        <v>179</v>
      </c>
      <c r="E1362">
        <v>220</v>
      </c>
      <c r="F1362" t="s">
        <v>4</v>
      </c>
    </row>
    <row r="1363" spans="1:6">
      <c r="A1363">
        <v>20201024</v>
      </c>
      <c r="B1363">
        <v>126.8446659</v>
      </c>
      <c r="C1363">
        <v>37.420618699999999</v>
      </c>
      <c r="D1363" t="s">
        <v>52</v>
      </c>
      <c r="E1363">
        <v>122</v>
      </c>
      <c r="F1363" t="s">
        <v>4</v>
      </c>
    </row>
    <row r="1364" spans="1:6">
      <c r="A1364">
        <v>20201024</v>
      </c>
      <c r="B1364">
        <v>126.8446659</v>
      </c>
      <c r="C1364">
        <v>37.420618699999999</v>
      </c>
      <c r="D1364" t="s">
        <v>138</v>
      </c>
      <c r="E1364">
        <v>132</v>
      </c>
      <c r="F1364" t="s">
        <v>4</v>
      </c>
    </row>
    <row r="1365" spans="1:6">
      <c r="A1365">
        <v>20201024</v>
      </c>
      <c r="B1365">
        <v>126.8446659</v>
      </c>
      <c r="C1365">
        <v>37.420618699999999</v>
      </c>
      <c r="D1365" t="s">
        <v>55</v>
      </c>
      <c r="E1365">
        <v>249</v>
      </c>
      <c r="F1365" t="s">
        <v>4</v>
      </c>
    </row>
    <row r="1366" spans="1:6">
      <c r="A1366">
        <v>20201024</v>
      </c>
      <c r="B1366">
        <v>126.8446659</v>
      </c>
      <c r="C1366">
        <v>37.420618699999999</v>
      </c>
      <c r="D1366" t="s">
        <v>76</v>
      </c>
      <c r="E1366">
        <v>145</v>
      </c>
      <c r="F1366" t="s">
        <v>4</v>
      </c>
    </row>
    <row r="1367" spans="1:6">
      <c r="A1367">
        <v>20201024</v>
      </c>
      <c r="B1367">
        <v>126.8446659</v>
      </c>
      <c r="C1367">
        <v>37.420618699999999</v>
      </c>
      <c r="D1367" t="s">
        <v>205</v>
      </c>
      <c r="E1367">
        <v>173</v>
      </c>
      <c r="F1367" t="s">
        <v>4</v>
      </c>
    </row>
    <row r="1368" spans="1:6">
      <c r="A1368">
        <v>20201024</v>
      </c>
      <c r="B1368">
        <v>126.8446659</v>
      </c>
      <c r="C1368">
        <v>37.420618699999999</v>
      </c>
      <c r="D1368" t="s">
        <v>175</v>
      </c>
      <c r="E1368">
        <v>174</v>
      </c>
      <c r="F1368" t="s">
        <v>4</v>
      </c>
    </row>
    <row r="1369" spans="1:6">
      <c r="A1369">
        <v>20201024</v>
      </c>
      <c r="B1369">
        <v>126.8446659</v>
      </c>
      <c r="C1369">
        <v>37.420618699999999</v>
      </c>
      <c r="D1369" t="s">
        <v>70</v>
      </c>
      <c r="E1369">
        <v>183</v>
      </c>
      <c r="F1369" t="s">
        <v>4</v>
      </c>
    </row>
    <row r="1370" spans="1:6">
      <c r="A1370">
        <v>20201024</v>
      </c>
      <c r="B1370">
        <v>126.8446659</v>
      </c>
      <c r="C1370">
        <v>37.420618699999999</v>
      </c>
      <c r="D1370" t="s">
        <v>262</v>
      </c>
      <c r="E1370">
        <v>201</v>
      </c>
      <c r="F1370" t="s">
        <v>4</v>
      </c>
    </row>
    <row r="1371" spans="1:6">
      <c r="A1371">
        <v>20201024</v>
      </c>
      <c r="B1371">
        <v>126.8343934</v>
      </c>
      <c r="C1371">
        <v>37.4648574</v>
      </c>
      <c r="D1371" t="s">
        <v>183</v>
      </c>
      <c r="E1371">
        <v>27</v>
      </c>
      <c r="F1371" t="s">
        <v>4</v>
      </c>
    </row>
    <row r="1372" spans="1:6">
      <c r="A1372">
        <v>20201024</v>
      </c>
      <c r="B1372">
        <v>126.8446659</v>
      </c>
      <c r="C1372">
        <v>37.420618699999999</v>
      </c>
      <c r="D1372" t="s">
        <v>56</v>
      </c>
      <c r="E1372">
        <v>218</v>
      </c>
      <c r="F1372" t="s">
        <v>4</v>
      </c>
    </row>
    <row r="1373" spans="1:6">
      <c r="A1373">
        <v>20201024</v>
      </c>
      <c r="B1373">
        <v>126.8446659</v>
      </c>
      <c r="C1373">
        <v>37.420618699999999</v>
      </c>
      <c r="D1373" t="s">
        <v>166</v>
      </c>
      <c r="E1373">
        <v>240</v>
      </c>
      <c r="F1373" t="s">
        <v>4</v>
      </c>
    </row>
    <row r="1374" spans="1:6">
      <c r="A1374">
        <v>20201024</v>
      </c>
      <c r="B1374">
        <v>126.8446659</v>
      </c>
      <c r="C1374">
        <v>37.420618699999999</v>
      </c>
      <c r="D1374" t="s">
        <v>50</v>
      </c>
      <c r="E1374">
        <v>255</v>
      </c>
      <c r="F1374" t="s">
        <v>4</v>
      </c>
    </row>
    <row r="1375" spans="1:6">
      <c r="A1375">
        <v>20201024</v>
      </c>
      <c r="B1375">
        <v>126.8446659</v>
      </c>
      <c r="C1375">
        <v>37.420618699999999</v>
      </c>
      <c r="D1375" t="s">
        <v>158</v>
      </c>
      <c r="E1375">
        <v>321</v>
      </c>
      <c r="F1375" t="s">
        <v>4</v>
      </c>
    </row>
    <row r="1376" spans="1:6">
      <c r="A1376">
        <v>20201024</v>
      </c>
      <c r="B1376">
        <v>126.82462289999999</v>
      </c>
      <c r="C1376">
        <v>37.470256399999997</v>
      </c>
      <c r="D1376" t="s">
        <v>185</v>
      </c>
      <c r="E1376">
        <v>20</v>
      </c>
      <c r="F1376" t="s">
        <v>4</v>
      </c>
    </row>
    <row r="1377" spans="1:6">
      <c r="A1377">
        <v>20201024</v>
      </c>
      <c r="B1377">
        <v>126.8446659</v>
      </c>
      <c r="C1377">
        <v>37.420618699999999</v>
      </c>
      <c r="D1377" t="s">
        <v>114</v>
      </c>
      <c r="E1377">
        <v>425</v>
      </c>
      <c r="F1377" t="s">
        <v>4</v>
      </c>
    </row>
    <row r="1378" spans="1:6">
      <c r="A1378">
        <v>20201024</v>
      </c>
      <c r="B1378">
        <v>126.8772417</v>
      </c>
      <c r="C1378">
        <v>37.474826299999997</v>
      </c>
      <c r="D1378" t="s">
        <v>185</v>
      </c>
      <c r="E1378">
        <v>246</v>
      </c>
      <c r="F1378" t="s">
        <v>4</v>
      </c>
    </row>
    <row r="1379" spans="1:6">
      <c r="A1379">
        <v>20201024</v>
      </c>
      <c r="B1379">
        <v>126.8446659</v>
      </c>
      <c r="C1379">
        <v>37.420618699999999</v>
      </c>
      <c r="D1379" t="s">
        <v>130</v>
      </c>
      <c r="E1379">
        <v>2037</v>
      </c>
      <c r="F1379" t="s">
        <v>4</v>
      </c>
    </row>
    <row r="1380" spans="1:6">
      <c r="A1380">
        <v>20201024</v>
      </c>
      <c r="B1380">
        <v>126.8446659</v>
      </c>
      <c r="C1380">
        <v>37.420618699999999</v>
      </c>
      <c r="D1380" t="s">
        <v>206</v>
      </c>
      <c r="E1380">
        <v>628</v>
      </c>
      <c r="F1380" t="s">
        <v>4</v>
      </c>
    </row>
    <row r="1381" spans="1:6">
      <c r="A1381">
        <v>20201024</v>
      </c>
      <c r="B1381">
        <v>126.8446659</v>
      </c>
      <c r="C1381">
        <v>37.420618699999999</v>
      </c>
      <c r="D1381" t="s">
        <v>170</v>
      </c>
      <c r="E1381">
        <v>715</v>
      </c>
      <c r="F1381" t="s">
        <v>4</v>
      </c>
    </row>
    <row r="1382" spans="1:6">
      <c r="A1382">
        <v>20201024</v>
      </c>
      <c r="B1382">
        <v>126.8446659</v>
      </c>
      <c r="C1382">
        <v>37.420618699999999</v>
      </c>
      <c r="D1382" t="s">
        <v>151</v>
      </c>
      <c r="E1382">
        <v>847</v>
      </c>
      <c r="F1382" t="s">
        <v>4</v>
      </c>
    </row>
    <row r="1383" spans="1:6">
      <c r="A1383">
        <v>20201024</v>
      </c>
      <c r="B1383">
        <v>126.8446659</v>
      </c>
      <c r="C1383">
        <v>37.420618699999999</v>
      </c>
      <c r="D1383" t="s">
        <v>185</v>
      </c>
      <c r="E1383">
        <v>96</v>
      </c>
      <c r="F1383" t="s">
        <v>4</v>
      </c>
    </row>
    <row r="1384" spans="1:6">
      <c r="A1384">
        <v>20201024</v>
      </c>
      <c r="B1384">
        <v>126.8446659</v>
      </c>
      <c r="C1384">
        <v>37.420618699999999</v>
      </c>
      <c r="D1384" t="s">
        <v>190</v>
      </c>
      <c r="E1384">
        <v>3138</v>
      </c>
      <c r="F1384" t="s">
        <v>4</v>
      </c>
    </row>
    <row r="1385" spans="1:6">
      <c r="A1385">
        <v>20201024</v>
      </c>
      <c r="B1385">
        <v>126.8446659</v>
      </c>
      <c r="C1385">
        <v>37.420618699999999</v>
      </c>
      <c r="D1385" t="s">
        <v>64</v>
      </c>
      <c r="E1385">
        <v>2606</v>
      </c>
      <c r="F1385" t="s">
        <v>4</v>
      </c>
    </row>
    <row r="1386" spans="1:6">
      <c r="A1386">
        <v>20201024</v>
      </c>
      <c r="B1386">
        <v>126.8446659</v>
      </c>
      <c r="C1386">
        <v>37.420618699999999</v>
      </c>
      <c r="D1386" t="s">
        <v>137</v>
      </c>
      <c r="E1386">
        <v>3408</v>
      </c>
      <c r="F1386" t="s">
        <v>4</v>
      </c>
    </row>
    <row r="1387" spans="1:6">
      <c r="A1387">
        <v>20201024</v>
      </c>
      <c r="B1387">
        <v>126.8446659</v>
      </c>
      <c r="C1387">
        <v>37.420618699999999</v>
      </c>
      <c r="D1387" t="s">
        <v>100</v>
      </c>
      <c r="E1387">
        <v>6302</v>
      </c>
      <c r="F1387" t="s">
        <v>4</v>
      </c>
    </row>
    <row r="1388" spans="1:6">
      <c r="A1388">
        <v>20201024</v>
      </c>
      <c r="B1388">
        <v>126.8446659</v>
      </c>
      <c r="C1388">
        <v>37.420618699999999</v>
      </c>
      <c r="D1388" t="s">
        <v>179</v>
      </c>
      <c r="E1388">
        <v>7835</v>
      </c>
      <c r="F1388" t="s">
        <v>4</v>
      </c>
    </row>
    <row r="1389" spans="1:6">
      <c r="A1389">
        <v>20201024</v>
      </c>
      <c r="B1389">
        <v>126.8446659</v>
      </c>
      <c r="C1389">
        <v>37.420618699999999</v>
      </c>
      <c r="D1389" t="s">
        <v>207</v>
      </c>
      <c r="E1389">
        <v>15657</v>
      </c>
      <c r="F1389" t="s">
        <v>4</v>
      </c>
    </row>
    <row r="1390" spans="1:6">
      <c r="A1390">
        <v>20201024</v>
      </c>
      <c r="B1390">
        <v>126.8446659</v>
      </c>
      <c r="C1390">
        <v>37.420618699999999</v>
      </c>
      <c r="D1390" t="s">
        <v>44</v>
      </c>
      <c r="E1390">
        <v>25007</v>
      </c>
      <c r="F1390" t="s">
        <v>4</v>
      </c>
    </row>
    <row r="1391" spans="1:6">
      <c r="A1391">
        <v>20201024</v>
      </c>
      <c r="B1391">
        <v>126.8446659</v>
      </c>
      <c r="C1391">
        <v>37.420618699999999</v>
      </c>
      <c r="D1391" t="s">
        <v>15</v>
      </c>
      <c r="E1391">
        <v>24778</v>
      </c>
      <c r="F1391" t="s">
        <v>4</v>
      </c>
    </row>
    <row r="1392" spans="1:6">
      <c r="A1392">
        <v>20201024</v>
      </c>
      <c r="B1392">
        <v>126.8446659</v>
      </c>
      <c r="C1392">
        <v>37.420618699999999</v>
      </c>
      <c r="D1392" t="s">
        <v>87</v>
      </c>
      <c r="E1392">
        <v>56477</v>
      </c>
      <c r="F1392" t="s">
        <v>4</v>
      </c>
    </row>
    <row r="1393" spans="1:6">
      <c r="A1393">
        <v>20201024</v>
      </c>
      <c r="B1393">
        <v>126.83793110000001</v>
      </c>
      <c r="C1393">
        <v>37.441797600000001</v>
      </c>
      <c r="D1393" t="s">
        <v>129</v>
      </c>
      <c r="E1393">
        <v>17</v>
      </c>
      <c r="F1393" t="s">
        <v>4</v>
      </c>
    </row>
    <row r="1394" spans="1:6">
      <c r="A1394">
        <v>20201024</v>
      </c>
      <c r="B1394">
        <v>126.83793110000001</v>
      </c>
      <c r="C1394">
        <v>37.441797600000001</v>
      </c>
      <c r="D1394" t="s">
        <v>220</v>
      </c>
      <c r="E1394">
        <v>39</v>
      </c>
      <c r="F1394" t="s">
        <v>4</v>
      </c>
    </row>
    <row r="1395" spans="1:6">
      <c r="A1395">
        <v>20201024</v>
      </c>
      <c r="B1395">
        <v>126.83793110000001</v>
      </c>
      <c r="C1395">
        <v>37.441797600000001</v>
      </c>
      <c r="D1395" t="s">
        <v>138</v>
      </c>
      <c r="E1395">
        <v>58</v>
      </c>
      <c r="F1395" t="s">
        <v>4</v>
      </c>
    </row>
    <row r="1396" spans="1:6">
      <c r="A1396">
        <v>20201024</v>
      </c>
      <c r="B1396">
        <v>126.83793110000001</v>
      </c>
      <c r="C1396">
        <v>37.441797600000001</v>
      </c>
      <c r="D1396" t="s">
        <v>55</v>
      </c>
      <c r="E1396">
        <v>106</v>
      </c>
      <c r="F1396" t="s">
        <v>4</v>
      </c>
    </row>
    <row r="1397" spans="1:6">
      <c r="A1397">
        <v>20201024</v>
      </c>
      <c r="B1397">
        <v>126.8446659</v>
      </c>
      <c r="C1397">
        <v>37.420618699999999</v>
      </c>
      <c r="D1397" t="s">
        <v>188</v>
      </c>
      <c r="E1397">
        <v>121</v>
      </c>
      <c r="F1397" t="s">
        <v>4</v>
      </c>
    </row>
    <row r="1398" spans="1:6">
      <c r="A1398">
        <v>20201024</v>
      </c>
      <c r="B1398">
        <v>126.83793110000001</v>
      </c>
      <c r="C1398">
        <v>37.441797600000001</v>
      </c>
      <c r="D1398" t="s">
        <v>216</v>
      </c>
      <c r="E1398">
        <v>92</v>
      </c>
      <c r="F1398" t="s">
        <v>4</v>
      </c>
    </row>
    <row r="1399" spans="1:6">
      <c r="A1399">
        <v>20201024</v>
      </c>
      <c r="B1399">
        <v>126.83793110000001</v>
      </c>
      <c r="C1399">
        <v>37.441797600000001</v>
      </c>
      <c r="D1399" t="s">
        <v>206</v>
      </c>
      <c r="E1399">
        <v>110</v>
      </c>
      <c r="F1399" t="s">
        <v>4</v>
      </c>
    </row>
    <row r="1400" spans="1:6">
      <c r="A1400">
        <v>20201024</v>
      </c>
      <c r="B1400">
        <v>126.83793110000001</v>
      </c>
      <c r="C1400">
        <v>37.441797600000001</v>
      </c>
      <c r="D1400" t="s">
        <v>190</v>
      </c>
      <c r="E1400">
        <v>128</v>
      </c>
      <c r="F1400" t="s">
        <v>4</v>
      </c>
    </row>
    <row r="1401" spans="1:6">
      <c r="A1401">
        <v>20201024</v>
      </c>
      <c r="B1401">
        <v>126.87358690000001</v>
      </c>
      <c r="C1401">
        <v>37.508467699999997</v>
      </c>
      <c r="D1401" t="s">
        <v>192</v>
      </c>
      <c r="E1401">
        <v>16</v>
      </c>
      <c r="F1401" t="s">
        <v>4</v>
      </c>
    </row>
    <row r="1402" spans="1:6">
      <c r="A1402">
        <v>20201024</v>
      </c>
      <c r="B1402">
        <v>126.83793110000001</v>
      </c>
      <c r="C1402">
        <v>37.441797600000001</v>
      </c>
      <c r="D1402" t="s">
        <v>186</v>
      </c>
      <c r="E1402">
        <v>158</v>
      </c>
      <c r="F1402" t="s">
        <v>4</v>
      </c>
    </row>
    <row r="1403" spans="1:6">
      <c r="A1403">
        <v>20201024</v>
      </c>
      <c r="B1403">
        <v>126.83793110000001</v>
      </c>
      <c r="C1403">
        <v>37.441797600000001</v>
      </c>
      <c r="D1403" t="s">
        <v>76</v>
      </c>
      <c r="E1403">
        <v>253</v>
      </c>
      <c r="F1403" t="s">
        <v>4</v>
      </c>
    </row>
    <row r="1404" spans="1:6">
      <c r="A1404">
        <v>20201024</v>
      </c>
      <c r="B1404">
        <v>126.83793110000001</v>
      </c>
      <c r="C1404">
        <v>37.441797600000001</v>
      </c>
      <c r="D1404" t="s">
        <v>68</v>
      </c>
      <c r="E1404">
        <v>177</v>
      </c>
      <c r="F1404" t="s">
        <v>4</v>
      </c>
    </row>
    <row r="1405" spans="1:6">
      <c r="A1405">
        <v>20201024</v>
      </c>
      <c r="B1405">
        <v>126.83793110000001</v>
      </c>
      <c r="C1405">
        <v>37.441797600000001</v>
      </c>
      <c r="D1405" t="s">
        <v>166</v>
      </c>
      <c r="E1405">
        <v>198</v>
      </c>
      <c r="F1405" t="s">
        <v>4</v>
      </c>
    </row>
    <row r="1406" spans="1:6">
      <c r="A1406">
        <v>20201024</v>
      </c>
      <c r="B1406">
        <v>126.83793110000001</v>
      </c>
      <c r="C1406">
        <v>37.441797600000001</v>
      </c>
      <c r="D1406" t="s">
        <v>166</v>
      </c>
      <c r="E1406">
        <v>246</v>
      </c>
      <c r="F1406" t="s">
        <v>4</v>
      </c>
    </row>
    <row r="1407" spans="1:6">
      <c r="A1407">
        <v>20201024</v>
      </c>
      <c r="B1407">
        <v>126.83793110000001</v>
      </c>
      <c r="C1407">
        <v>37.441797600000001</v>
      </c>
      <c r="D1407" t="s">
        <v>158</v>
      </c>
      <c r="E1407">
        <v>269</v>
      </c>
      <c r="F1407" t="s">
        <v>4</v>
      </c>
    </row>
    <row r="1408" spans="1:6">
      <c r="A1408">
        <v>20201024</v>
      </c>
      <c r="B1408">
        <v>126.83793110000001</v>
      </c>
      <c r="C1408">
        <v>37.441797600000001</v>
      </c>
      <c r="D1408" t="s">
        <v>100</v>
      </c>
      <c r="E1408">
        <v>269</v>
      </c>
      <c r="F1408" t="s">
        <v>4</v>
      </c>
    </row>
    <row r="1409" spans="1:6">
      <c r="A1409">
        <v>20201024</v>
      </c>
      <c r="B1409">
        <v>126.83793110000001</v>
      </c>
      <c r="C1409">
        <v>37.441797600000001</v>
      </c>
      <c r="D1409" t="s">
        <v>155</v>
      </c>
      <c r="E1409">
        <v>302</v>
      </c>
      <c r="F1409" t="s">
        <v>4</v>
      </c>
    </row>
    <row r="1410" spans="1:6">
      <c r="A1410">
        <v>20201024</v>
      </c>
      <c r="B1410">
        <v>126.83793110000001</v>
      </c>
      <c r="C1410">
        <v>37.441797600000001</v>
      </c>
      <c r="D1410" t="s">
        <v>144</v>
      </c>
      <c r="E1410">
        <v>439</v>
      </c>
      <c r="F1410" t="s">
        <v>4</v>
      </c>
    </row>
    <row r="1411" spans="1:6">
      <c r="A1411">
        <v>20201024</v>
      </c>
      <c r="B1411">
        <v>126.83793110000001</v>
      </c>
      <c r="C1411">
        <v>37.441797600000001</v>
      </c>
      <c r="D1411" t="s">
        <v>219</v>
      </c>
      <c r="E1411">
        <v>563</v>
      </c>
      <c r="F1411" t="s">
        <v>4</v>
      </c>
    </row>
    <row r="1412" spans="1:6">
      <c r="A1412">
        <v>20201024</v>
      </c>
      <c r="B1412">
        <v>126.83793110000001</v>
      </c>
      <c r="C1412">
        <v>37.441797600000001</v>
      </c>
      <c r="D1412" t="s">
        <v>151</v>
      </c>
      <c r="E1412">
        <v>617</v>
      </c>
      <c r="F1412" t="s">
        <v>4</v>
      </c>
    </row>
    <row r="1413" spans="1:6">
      <c r="A1413">
        <v>20201024</v>
      </c>
      <c r="B1413">
        <v>126.83793110000001</v>
      </c>
      <c r="C1413">
        <v>37.441797600000001</v>
      </c>
      <c r="D1413" t="s">
        <v>64</v>
      </c>
      <c r="E1413">
        <v>1375</v>
      </c>
      <c r="F1413" t="s">
        <v>4</v>
      </c>
    </row>
    <row r="1414" spans="1:6">
      <c r="A1414">
        <v>20201024</v>
      </c>
      <c r="B1414">
        <v>126.83793110000001</v>
      </c>
      <c r="C1414">
        <v>37.441797600000001</v>
      </c>
      <c r="D1414" t="s">
        <v>44</v>
      </c>
      <c r="E1414">
        <v>2046</v>
      </c>
      <c r="F1414" t="s">
        <v>4</v>
      </c>
    </row>
    <row r="1415" spans="1:6">
      <c r="A1415">
        <v>20201024</v>
      </c>
      <c r="B1415">
        <v>126.83793110000001</v>
      </c>
      <c r="C1415">
        <v>37.441797600000001</v>
      </c>
      <c r="D1415" t="s">
        <v>175</v>
      </c>
      <c r="E1415">
        <v>2562</v>
      </c>
      <c r="F1415" t="s">
        <v>4</v>
      </c>
    </row>
    <row r="1416" spans="1:6">
      <c r="A1416">
        <v>20201024</v>
      </c>
      <c r="B1416">
        <v>126.83793110000001</v>
      </c>
      <c r="C1416">
        <v>37.441797600000001</v>
      </c>
      <c r="D1416" t="s">
        <v>198</v>
      </c>
      <c r="E1416">
        <v>3185</v>
      </c>
      <c r="F1416" t="s">
        <v>4</v>
      </c>
    </row>
    <row r="1417" spans="1:6">
      <c r="A1417">
        <v>20201024</v>
      </c>
      <c r="B1417">
        <v>126.83793110000001</v>
      </c>
      <c r="C1417">
        <v>37.441797600000001</v>
      </c>
      <c r="D1417" t="s">
        <v>137</v>
      </c>
      <c r="E1417">
        <v>3323</v>
      </c>
      <c r="F1417" t="s">
        <v>4</v>
      </c>
    </row>
    <row r="1418" spans="1:6">
      <c r="A1418">
        <v>20201024</v>
      </c>
      <c r="B1418">
        <v>126.8428368</v>
      </c>
      <c r="C1418">
        <v>37.4677784</v>
      </c>
      <c r="D1418" t="s">
        <v>192</v>
      </c>
      <c r="E1418">
        <v>71</v>
      </c>
      <c r="F1418" t="s">
        <v>4</v>
      </c>
    </row>
    <row r="1419" spans="1:6">
      <c r="A1419">
        <v>20201024</v>
      </c>
      <c r="B1419">
        <v>126.83793110000001</v>
      </c>
      <c r="C1419">
        <v>37.441797600000001</v>
      </c>
      <c r="D1419" t="s">
        <v>207</v>
      </c>
      <c r="E1419">
        <v>17206</v>
      </c>
      <c r="F1419" t="s">
        <v>4</v>
      </c>
    </row>
    <row r="1420" spans="1:6">
      <c r="A1420">
        <v>20201024</v>
      </c>
      <c r="B1420">
        <v>126.83793110000001</v>
      </c>
      <c r="C1420">
        <v>37.441797600000001</v>
      </c>
      <c r="D1420" t="s">
        <v>15</v>
      </c>
      <c r="E1420">
        <v>10153</v>
      </c>
      <c r="F1420" t="s">
        <v>4</v>
      </c>
    </row>
    <row r="1421" spans="1:6">
      <c r="A1421">
        <v>20201024</v>
      </c>
      <c r="B1421">
        <v>126.83793110000001</v>
      </c>
      <c r="C1421">
        <v>37.441797600000001</v>
      </c>
      <c r="D1421" t="s">
        <v>130</v>
      </c>
      <c r="E1421">
        <v>56811</v>
      </c>
      <c r="F1421" t="s">
        <v>4</v>
      </c>
    </row>
    <row r="1422" spans="1:6">
      <c r="A1422">
        <v>20201024</v>
      </c>
      <c r="B1422">
        <v>126.83793110000001</v>
      </c>
      <c r="C1422">
        <v>37.441797600000001</v>
      </c>
      <c r="D1422" t="s">
        <v>87</v>
      </c>
      <c r="E1422">
        <v>49471</v>
      </c>
      <c r="F1422" t="s">
        <v>4</v>
      </c>
    </row>
    <row r="1423" spans="1:6">
      <c r="A1423">
        <v>20201024</v>
      </c>
      <c r="B1423">
        <v>126.8499561</v>
      </c>
      <c r="C1423">
        <v>37.481606900000003</v>
      </c>
      <c r="D1423" t="s">
        <v>76</v>
      </c>
      <c r="E1423">
        <v>17</v>
      </c>
      <c r="F1423" t="s">
        <v>4</v>
      </c>
    </row>
    <row r="1424" spans="1:6">
      <c r="A1424">
        <v>20201024</v>
      </c>
      <c r="B1424">
        <v>126.8499561</v>
      </c>
      <c r="C1424">
        <v>37.481606900000003</v>
      </c>
      <c r="D1424" t="s">
        <v>166</v>
      </c>
      <c r="E1424">
        <v>21</v>
      </c>
      <c r="F1424" t="s">
        <v>4</v>
      </c>
    </row>
    <row r="1425" spans="1:6">
      <c r="A1425">
        <v>20201024</v>
      </c>
      <c r="B1425">
        <v>126.8499561</v>
      </c>
      <c r="C1425">
        <v>37.481606900000003</v>
      </c>
      <c r="D1425" t="s">
        <v>199</v>
      </c>
      <c r="E1425">
        <v>22</v>
      </c>
      <c r="F1425" t="s">
        <v>4</v>
      </c>
    </row>
    <row r="1426" spans="1:6">
      <c r="A1426">
        <v>20201024</v>
      </c>
      <c r="B1426">
        <v>126.8499561</v>
      </c>
      <c r="C1426">
        <v>37.481606900000003</v>
      </c>
      <c r="D1426" t="s">
        <v>60</v>
      </c>
      <c r="E1426">
        <v>45</v>
      </c>
      <c r="F1426" t="s">
        <v>4</v>
      </c>
    </row>
    <row r="1427" spans="1:6">
      <c r="A1427">
        <v>20201024</v>
      </c>
      <c r="B1427">
        <v>126.8499561</v>
      </c>
      <c r="C1427">
        <v>37.481606900000003</v>
      </c>
      <c r="D1427" t="s">
        <v>150</v>
      </c>
      <c r="E1427">
        <v>50</v>
      </c>
      <c r="F1427" t="s">
        <v>4</v>
      </c>
    </row>
    <row r="1428" spans="1:6">
      <c r="A1428">
        <v>20201024</v>
      </c>
      <c r="B1428">
        <v>126.8499561</v>
      </c>
      <c r="C1428">
        <v>37.481606900000003</v>
      </c>
      <c r="D1428" t="s">
        <v>158</v>
      </c>
      <c r="E1428">
        <v>72</v>
      </c>
      <c r="F1428" t="s">
        <v>4</v>
      </c>
    </row>
    <row r="1429" spans="1:6">
      <c r="A1429">
        <v>20201024</v>
      </c>
      <c r="B1429">
        <v>126.8499561</v>
      </c>
      <c r="C1429">
        <v>37.481606900000003</v>
      </c>
      <c r="D1429" t="s">
        <v>108</v>
      </c>
      <c r="E1429">
        <v>81</v>
      </c>
      <c r="F1429" t="s">
        <v>4</v>
      </c>
    </row>
    <row r="1430" spans="1:6">
      <c r="A1430">
        <v>20201024</v>
      </c>
      <c r="B1430">
        <v>126.8499561</v>
      </c>
      <c r="C1430">
        <v>37.481606900000003</v>
      </c>
      <c r="D1430" t="s">
        <v>113</v>
      </c>
      <c r="E1430">
        <v>104</v>
      </c>
      <c r="F1430" t="s">
        <v>4</v>
      </c>
    </row>
    <row r="1431" spans="1:6">
      <c r="A1431">
        <v>20201024</v>
      </c>
      <c r="B1431">
        <v>126.8499561</v>
      </c>
      <c r="C1431">
        <v>37.481606900000003</v>
      </c>
      <c r="D1431" t="s">
        <v>44</v>
      </c>
      <c r="E1431">
        <v>110</v>
      </c>
      <c r="F1431" t="s">
        <v>4</v>
      </c>
    </row>
    <row r="1432" spans="1:6">
      <c r="A1432">
        <v>20201024</v>
      </c>
      <c r="B1432">
        <v>126.8499561</v>
      </c>
      <c r="C1432">
        <v>37.481606900000003</v>
      </c>
      <c r="D1432" t="s">
        <v>43</v>
      </c>
      <c r="E1432">
        <v>137</v>
      </c>
      <c r="F1432" t="s">
        <v>4</v>
      </c>
    </row>
    <row r="1433" spans="1:6">
      <c r="A1433">
        <v>20201024</v>
      </c>
      <c r="B1433">
        <v>126.8499561</v>
      </c>
      <c r="C1433">
        <v>37.481606900000003</v>
      </c>
      <c r="D1433" t="s">
        <v>111</v>
      </c>
      <c r="E1433">
        <v>170</v>
      </c>
      <c r="F1433" t="s">
        <v>4</v>
      </c>
    </row>
    <row r="1434" spans="1:6">
      <c r="A1434">
        <v>20201024</v>
      </c>
      <c r="B1434">
        <v>126.8499561</v>
      </c>
      <c r="C1434">
        <v>37.481606900000003</v>
      </c>
      <c r="D1434" t="s">
        <v>166</v>
      </c>
      <c r="E1434">
        <v>312</v>
      </c>
      <c r="F1434" t="s">
        <v>4</v>
      </c>
    </row>
    <row r="1435" spans="1:6">
      <c r="A1435">
        <v>20201024</v>
      </c>
      <c r="B1435">
        <v>126.8499561</v>
      </c>
      <c r="C1435">
        <v>37.481606900000003</v>
      </c>
      <c r="D1435" t="s">
        <v>220</v>
      </c>
      <c r="E1435">
        <v>501</v>
      </c>
      <c r="F1435" t="s">
        <v>4</v>
      </c>
    </row>
    <row r="1436" spans="1:6">
      <c r="A1436">
        <v>20201024</v>
      </c>
      <c r="B1436">
        <v>126.8499561</v>
      </c>
      <c r="C1436">
        <v>37.481606900000003</v>
      </c>
      <c r="D1436" t="s">
        <v>137</v>
      </c>
      <c r="E1436">
        <v>581</v>
      </c>
      <c r="F1436" t="s">
        <v>4</v>
      </c>
    </row>
    <row r="1437" spans="1:6">
      <c r="A1437">
        <v>20201024</v>
      </c>
      <c r="B1437">
        <v>126.8499561</v>
      </c>
      <c r="C1437">
        <v>37.481606900000003</v>
      </c>
      <c r="D1437" t="s">
        <v>84</v>
      </c>
      <c r="E1437">
        <v>580</v>
      </c>
      <c r="F1437" t="s">
        <v>4</v>
      </c>
    </row>
    <row r="1438" spans="1:6">
      <c r="A1438">
        <v>20201024</v>
      </c>
      <c r="B1438">
        <v>126.8499561</v>
      </c>
      <c r="C1438">
        <v>37.481606900000003</v>
      </c>
      <c r="D1438" t="s">
        <v>68</v>
      </c>
      <c r="E1438">
        <v>642</v>
      </c>
      <c r="F1438" t="s">
        <v>4</v>
      </c>
    </row>
    <row r="1439" spans="1:6">
      <c r="A1439">
        <v>20201024</v>
      </c>
      <c r="B1439">
        <v>126.8499561</v>
      </c>
      <c r="C1439">
        <v>37.481606900000003</v>
      </c>
      <c r="D1439" t="s">
        <v>52</v>
      </c>
      <c r="E1439">
        <v>842</v>
      </c>
      <c r="F1439" t="s">
        <v>4</v>
      </c>
    </row>
    <row r="1440" spans="1:6">
      <c r="A1440">
        <v>20201024</v>
      </c>
      <c r="B1440">
        <v>126.8499561</v>
      </c>
      <c r="C1440">
        <v>37.481606900000003</v>
      </c>
      <c r="D1440" t="s">
        <v>155</v>
      </c>
      <c r="E1440">
        <v>713</v>
      </c>
      <c r="F1440" t="s">
        <v>4</v>
      </c>
    </row>
    <row r="1441" spans="1:6">
      <c r="A1441">
        <v>20201024</v>
      </c>
      <c r="B1441">
        <v>126.8499561</v>
      </c>
      <c r="C1441">
        <v>37.481606900000003</v>
      </c>
      <c r="D1441" t="s">
        <v>219</v>
      </c>
      <c r="E1441">
        <v>1141</v>
      </c>
      <c r="F1441" t="s">
        <v>4</v>
      </c>
    </row>
    <row r="1442" spans="1:6">
      <c r="A1442">
        <v>20201024</v>
      </c>
      <c r="B1442">
        <v>126.8499561</v>
      </c>
      <c r="C1442">
        <v>37.481606900000003</v>
      </c>
      <c r="D1442" t="s">
        <v>129</v>
      </c>
      <c r="E1442">
        <v>1104</v>
      </c>
      <c r="F1442" t="s">
        <v>4</v>
      </c>
    </row>
    <row r="1443" spans="1:6">
      <c r="A1443">
        <v>20201024</v>
      </c>
      <c r="B1443">
        <v>126.8499561</v>
      </c>
      <c r="C1443">
        <v>37.481606900000003</v>
      </c>
      <c r="D1443" t="s">
        <v>151</v>
      </c>
      <c r="E1443">
        <v>1114</v>
      </c>
      <c r="F1443" t="s">
        <v>4</v>
      </c>
    </row>
    <row r="1444" spans="1:6">
      <c r="A1444">
        <v>20201024</v>
      </c>
      <c r="B1444">
        <v>126.8499561</v>
      </c>
      <c r="C1444">
        <v>37.481606900000003</v>
      </c>
      <c r="D1444" t="s">
        <v>186</v>
      </c>
      <c r="E1444">
        <v>1362</v>
      </c>
      <c r="F1444" t="s">
        <v>4</v>
      </c>
    </row>
    <row r="1445" spans="1:6">
      <c r="A1445">
        <v>20201024</v>
      </c>
      <c r="B1445">
        <v>126.8499561</v>
      </c>
      <c r="C1445">
        <v>37.481606900000003</v>
      </c>
      <c r="D1445" t="s">
        <v>109</v>
      </c>
      <c r="E1445">
        <v>1400</v>
      </c>
      <c r="F1445" t="s">
        <v>4</v>
      </c>
    </row>
    <row r="1446" spans="1:6">
      <c r="A1446">
        <v>20201024</v>
      </c>
      <c r="B1446">
        <v>126.8499561</v>
      </c>
      <c r="C1446">
        <v>37.481606900000003</v>
      </c>
      <c r="D1446" t="s">
        <v>134</v>
      </c>
      <c r="E1446">
        <v>3750</v>
      </c>
      <c r="F1446" t="s">
        <v>4</v>
      </c>
    </row>
    <row r="1447" spans="1:6">
      <c r="A1447">
        <v>20201024</v>
      </c>
      <c r="B1447">
        <v>126.8499561</v>
      </c>
      <c r="C1447">
        <v>37.481606900000003</v>
      </c>
      <c r="D1447" t="s">
        <v>78</v>
      </c>
      <c r="E1447">
        <v>4919</v>
      </c>
      <c r="F1447" t="s">
        <v>4</v>
      </c>
    </row>
    <row r="1448" spans="1:6">
      <c r="A1448">
        <v>20201024</v>
      </c>
      <c r="B1448">
        <v>126.8499561</v>
      </c>
      <c r="C1448">
        <v>37.481606900000003</v>
      </c>
      <c r="D1448" t="s">
        <v>195</v>
      </c>
      <c r="E1448">
        <v>2648</v>
      </c>
      <c r="F1448" t="s">
        <v>4</v>
      </c>
    </row>
    <row r="1449" spans="1:6">
      <c r="A1449">
        <v>20201024</v>
      </c>
      <c r="B1449">
        <v>126.8499561</v>
      </c>
      <c r="C1449">
        <v>37.481606900000003</v>
      </c>
      <c r="D1449" t="s">
        <v>216</v>
      </c>
      <c r="E1449">
        <v>4573</v>
      </c>
      <c r="F1449" t="s">
        <v>4</v>
      </c>
    </row>
    <row r="1450" spans="1:6">
      <c r="A1450">
        <v>20200916</v>
      </c>
      <c r="B1450">
        <v>126.87358690000001</v>
      </c>
      <c r="C1450">
        <v>37.508467699999997</v>
      </c>
      <c r="D1450" t="s">
        <v>192</v>
      </c>
      <c r="E1450">
        <v>739</v>
      </c>
      <c r="F1450" t="s">
        <v>4</v>
      </c>
    </row>
    <row r="1451" spans="1:6">
      <c r="A1451">
        <v>20201024</v>
      </c>
      <c r="B1451">
        <v>126.8499561</v>
      </c>
      <c r="C1451">
        <v>37.481606900000003</v>
      </c>
      <c r="D1451" t="s">
        <v>215</v>
      </c>
      <c r="E1451">
        <v>4715</v>
      </c>
      <c r="F1451" t="s">
        <v>4</v>
      </c>
    </row>
    <row r="1452" spans="1:6">
      <c r="A1452">
        <v>20201024</v>
      </c>
      <c r="B1452">
        <v>126.8499561</v>
      </c>
      <c r="C1452">
        <v>37.481606900000003</v>
      </c>
      <c r="D1452" t="s">
        <v>175</v>
      </c>
      <c r="E1452">
        <v>4065</v>
      </c>
      <c r="F1452" t="s">
        <v>4</v>
      </c>
    </row>
    <row r="1453" spans="1:6">
      <c r="A1453">
        <v>20201024</v>
      </c>
      <c r="B1453">
        <v>126.8499561</v>
      </c>
      <c r="C1453">
        <v>37.481606900000003</v>
      </c>
      <c r="D1453" t="s">
        <v>64</v>
      </c>
      <c r="E1453">
        <v>4348</v>
      </c>
      <c r="F1453" t="s">
        <v>4</v>
      </c>
    </row>
    <row r="1454" spans="1:6">
      <c r="A1454">
        <v>20201024</v>
      </c>
      <c r="B1454">
        <v>126.8499561</v>
      </c>
      <c r="C1454">
        <v>37.481606900000003</v>
      </c>
      <c r="D1454" t="s">
        <v>130</v>
      </c>
      <c r="E1454">
        <v>18225</v>
      </c>
      <c r="F1454" t="s">
        <v>4</v>
      </c>
    </row>
    <row r="1455" spans="1:6">
      <c r="A1455">
        <v>20201024</v>
      </c>
      <c r="B1455">
        <v>126.8499561</v>
      </c>
      <c r="C1455">
        <v>37.481606900000003</v>
      </c>
      <c r="D1455" t="s">
        <v>207</v>
      </c>
      <c r="E1455">
        <v>34378</v>
      </c>
      <c r="F1455" t="s">
        <v>4</v>
      </c>
    </row>
    <row r="1456" spans="1:6">
      <c r="A1456">
        <v>20201024</v>
      </c>
      <c r="B1456">
        <v>126.8499561</v>
      </c>
      <c r="C1456">
        <v>37.481606900000003</v>
      </c>
      <c r="D1456" t="s">
        <v>87</v>
      </c>
      <c r="E1456">
        <v>36615</v>
      </c>
      <c r="F1456" t="s">
        <v>4</v>
      </c>
    </row>
    <row r="1457" spans="1:6">
      <c r="A1457">
        <v>20201024</v>
      </c>
      <c r="B1457">
        <v>126.8428368</v>
      </c>
      <c r="C1457">
        <v>37.4677784</v>
      </c>
      <c r="D1457" t="s">
        <v>76</v>
      </c>
      <c r="E1457">
        <v>17</v>
      </c>
      <c r="F1457" t="s">
        <v>4</v>
      </c>
    </row>
    <row r="1458" spans="1:6">
      <c r="A1458">
        <v>20201024</v>
      </c>
      <c r="B1458">
        <v>126.8428368</v>
      </c>
      <c r="C1458">
        <v>37.4677784</v>
      </c>
      <c r="D1458" t="s">
        <v>166</v>
      </c>
      <c r="E1458">
        <v>21</v>
      </c>
      <c r="F1458" t="s">
        <v>4</v>
      </c>
    </row>
    <row r="1459" spans="1:6">
      <c r="A1459">
        <v>20201024</v>
      </c>
      <c r="B1459">
        <v>126.8428368</v>
      </c>
      <c r="C1459">
        <v>37.4677784</v>
      </c>
      <c r="D1459" t="s">
        <v>199</v>
      </c>
      <c r="E1459">
        <v>22</v>
      </c>
      <c r="F1459" t="s">
        <v>4</v>
      </c>
    </row>
    <row r="1460" spans="1:6">
      <c r="A1460">
        <v>20201024</v>
      </c>
      <c r="B1460">
        <v>126.8428368</v>
      </c>
      <c r="C1460">
        <v>37.4677784</v>
      </c>
      <c r="D1460" t="s">
        <v>60</v>
      </c>
      <c r="E1460">
        <v>45</v>
      </c>
      <c r="F1460" t="s">
        <v>4</v>
      </c>
    </row>
    <row r="1461" spans="1:6">
      <c r="A1461">
        <v>20201024</v>
      </c>
      <c r="B1461">
        <v>126.8428368</v>
      </c>
      <c r="C1461">
        <v>37.4677784</v>
      </c>
      <c r="D1461" t="s">
        <v>150</v>
      </c>
      <c r="E1461">
        <v>50</v>
      </c>
      <c r="F1461" t="s">
        <v>4</v>
      </c>
    </row>
    <row r="1462" spans="1:6">
      <c r="A1462">
        <v>20201024</v>
      </c>
      <c r="B1462">
        <v>126.8428368</v>
      </c>
      <c r="C1462">
        <v>37.4677784</v>
      </c>
      <c r="D1462" t="s">
        <v>158</v>
      </c>
      <c r="E1462">
        <v>72</v>
      </c>
      <c r="F1462" t="s">
        <v>4</v>
      </c>
    </row>
    <row r="1463" spans="1:6">
      <c r="A1463">
        <v>20201024</v>
      </c>
      <c r="B1463">
        <v>126.8428368</v>
      </c>
      <c r="C1463">
        <v>37.4677784</v>
      </c>
      <c r="D1463" t="s">
        <v>108</v>
      </c>
      <c r="E1463">
        <v>81</v>
      </c>
      <c r="F1463" t="s">
        <v>4</v>
      </c>
    </row>
    <row r="1464" spans="1:6">
      <c r="A1464">
        <v>20201024</v>
      </c>
      <c r="B1464">
        <v>126.8428368</v>
      </c>
      <c r="C1464">
        <v>37.4677784</v>
      </c>
      <c r="D1464" t="s">
        <v>113</v>
      </c>
      <c r="E1464">
        <v>104</v>
      </c>
      <c r="F1464" t="s">
        <v>4</v>
      </c>
    </row>
    <row r="1465" spans="1:6">
      <c r="A1465">
        <v>20201024</v>
      </c>
      <c r="B1465">
        <v>126.8428368</v>
      </c>
      <c r="C1465">
        <v>37.4677784</v>
      </c>
      <c r="D1465" t="s">
        <v>44</v>
      </c>
      <c r="E1465">
        <v>110</v>
      </c>
      <c r="F1465" t="s">
        <v>4</v>
      </c>
    </row>
    <row r="1466" spans="1:6">
      <c r="A1466">
        <v>20201024</v>
      </c>
      <c r="B1466">
        <v>126.8428368</v>
      </c>
      <c r="C1466">
        <v>37.4677784</v>
      </c>
      <c r="D1466" t="s">
        <v>43</v>
      </c>
      <c r="E1466">
        <v>137</v>
      </c>
      <c r="F1466" t="s">
        <v>4</v>
      </c>
    </row>
    <row r="1467" spans="1:6">
      <c r="A1467">
        <v>20201024</v>
      </c>
      <c r="B1467">
        <v>126.8428368</v>
      </c>
      <c r="C1467">
        <v>37.4677784</v>
      </c>
      <c r="D1467" t="s">
        <v>111</v>
      </c>
      <c r="E1467">
        <v>170</v>
      </c>
      <c r="F1467" t="s">
        <v>4</v>
      </c>
    </row>
    <row r="1468" spans="1:6">
      <c r="A1468">
        <v>20201024</v>
      </c>
      <c r="B1468">
        <v>126.8428368</v>
      </c>
      <c r="C1468">
        <v>37.4677784</v>
      </c>
      <c r="D1468" t="s">
        <v>166</v>
      </c>
      <c r="E1468">
        <v>312</v>
      </c>
      <c r="F1468" t="s">
        <v>4</v>
      </c>
    </row>
    <row r="1469" spans="1:6">
      <c r="A1469">
        <v>20201024</v>
      </c>
      <c r="B1469">
        <v>126.8428368</v>
      </c>
      <c r="C1469">
        <v>37.4677784</v>
      </c>
      <c r="D1469" t="s">
        <v>220</v>
      </c>
      <c r="E1469">
        <v>501</v>
      </c>
      <c r="F1469" t="s">
        <v>4</v>
      </c>
    </row>
    <row r="1470" spans="1:6">
      <c r="A1470">
        <v>20201024</v>
      </c>
      <c r="B1470">
        <v>126.8428368</v>
      </c>
      <c r="C1470">
        <v>37.4677784</v>
      </c>
      <c r="D1470" t="s">
        <v>137</v>
      </c>
      <c r="E1470">
        <v>581</v>
      </c>
      <c r="F1470" t="s">
        <v>4</v>
      </c>
    </row>
    <row r="1471" spans="1:6">
      <c r="A1471">
        <v>20201024</v>
      </c>
      <c r="B1471">
        <v>126.8428368</v>
      </c>
      <c r="C1471">
        <v>37.4677784</v>
      </c>
      <c r="D1471" t="s">
        <v>84</v>
      </c>
      <c r="E1471">
        <v>580</v>
      </c>
      <c r="F1471" t="s">
        <v>4</v>
      </c>
    </row>
    <row r="1472" spans="1:6">
      <c r="A1472">
        <v>20201024</v>
      </c>
      <c r="B1472">
        <v>126.8428368</v>
      </c>
      <c r="C1472">
        <v>37.4677784</v>
      </c>
      <c r="D1472" t="s">
        <v>68</v>
      </c>
      <c r="E1472">
        <v>642</v>
      </c>
      <c r="F1472" t="s">
        <v>4</v>
      </c>
    </row>
    <row r="1473" spans="1:6">
      <c r="A1473">
        <v>20201024</v>
      </c>
      <c r="B1473">
        <v>126.8428368</v>
      </c>
      <c r="C1473">
        <v>37.4677784</v>
      </c>
      <c r="D1473" t="s">
        <v>52</v>
      </c>
      <c r="E1473">
        <v>842</v>
      </c>
      <c r="F1473" t="s">
        <v>4</v>
      </c>
    </row>
    <row r="1474" spans="1:6">
      <c r="A1474">
        <v>20201024</v>
      </c>
      <c r="B1474">
        <v>126.8428368</v>
      </c>
      <c r="C1474">
        <v>37.4677784</v>
      </c>
      <c r="D1474" t="s">
        <v>155</v>
      </c>
      <c r="E1474">
        <v>713</v>
      </c>
      <c r="F1474" t="s">
        <v>4</v>
      </c>
    </row>
    <row r="1475" spans="1:6">
      <c r="A1475">
        <v>20201024</v>
      </c>
      <c r="B1475">
        <v>126.8428368</v>
      </c>
      <c r="C1475">
        <v>37.4677784</v>
      </c>
      <c r="D1475" t="s">
        <v>219</v>
      </c>
      <c r="E1475">
        <v>1141</v>
      </c>
      <c r="F1475" t="s">
        <v>4</v>
      </c>
    </row>
    <row r="1476" spans="1:6">
      <c r="A1476">
        <v>20201024</v>
      </c>
      <c r="B1476">
        <v>126.8428368</v>
      </c>
      <c r="C1476">
        <v>37.4677784</v>
      </c>
      <c r="D1476" t="s">
        <v>129</v>
      </c>
      <c r="E1476">
        <v>1104</v>
      </c>
      <c r="F1476" t="s">
        <v>4</v>
      </c>
    </row>
    <row r="1477" spans="1:6">
      <c r="A1477">
        <v>20201024</v>
      </c>
      <c r="B1477">
        <v>126.8428368</v>
      </c>
      <c r="C1477">
        <v>37.4677784</v>
      </c>
      <c r="D1477" t="s">
        <v>151</v>
      </c>
      <c r="E1477">
        <v>1114</v>
      </c>
      <c r="F1477" t="s">
        <v>4</v>
      </c>
    </row>
    <row r="1478" spans="1:6">
      <c r="A1478">
        <v>20201024</v>
      </c>
      <c r="B1478">
        <v>126.8428368</v>
      </c>
      <c r="C1478">
        <v>37.4677784</v>
      </c>
      <c r="D1478" t="s">
        <v>186</v>
      </c>
      <c r="E1478">
        <v>1362</v>
      </c>
      <c r="F1478" t="s">
        <v>4</v>
      </c>
    </row>
    <row r="1479" spans="1:6">
      <c r="A1479">
        <v>20201024</v>
      </c>
      <c r="B1479">
        <v>126.8428368</v>
      </c>
      <c r="C1479">
        <v>37.4677784</v>
      </c>
      <c r="D1479" t="s">
        <v>109</v>
      </c>
      <c r="E1479">
        <v>1400</v>
      </c>
      <c r="F1479" t="s">
        <v>4</v>
      </c>
    </row>
    <row r="1480" spans="1:6">
      <c r="A1480">
        <v>20201024</v>
      </c>
      <c r="B1480">
        <v>126.8428368</v>
      </c>
      <c r="C1480">
        <v>37.4677784</v>
      </c>
      <c r="D1480" t="s">
        <v>134</v>
      </c>
      <c r="E1480">
        <v>3750</v>
      </c>
      <c r="F1480" t="s">
        <v>4</v>
      </c>
    </row>
    <row r="1481" spans="1:6">
      <c r="A1481">
        <v>20201024</v>
      </c>
      <c r="B1481">
        <v>126.8428368</v>
      </c>
      <c r="C1481">
        <v>37.4677784</v>
      </c>
      <c r="D1481" t="s">
        <v>78</v>
      </c>
      <c r="E1481">
        <v>4919</v>
      </c>
      <c r="F1481" t="s">
        <v>4</v>
      </c>
    </row>
    <row r="1482" spans="1:6">
      <c r="A1482">
        <v>20201024</v>
      </c>
      <c r="B1482">
        <v>126.8428368</v>
      </c>
      <c r="C1482">
        <v>37.4677784</v>
      </c>
      <c r="D1482" t="s">
        <v>195</v>
      </c>
      <c r="E1482">
        <v>2648</v>
      </c>
      <c r="F1482" t="s">
        <v>4</v>
      </c>
    </row>
    <row r="1483" spans="1:6">
      <c r="A1483">
        <v>20201024</v>
      </c>
      <c r="B1483">
        <v>126.8428368</v>
      </c>
      <c r="C1483">
        <v>37.4677784</v>
      </c>
      <c r="D1483" t="s">
        <v>216</v>
      </c>
      <c r="E1483">
        <v>4573</v>
      </c>
      <c r="F1483" t="s">
        <v>4</v>
      </c>
    </row>
    <row r="1484" spans="1:6">
      <c r="A1484">
        <v>20200916</v>
      </c>
      <c r="B1484">
        <v>126.83793110000001</v>
      </c>
      <c r="C1484">
        <v>37.441797600000001</v>
      </c>
      <c r="D1484" t="s">
        <v>192</v>
      </c>
      <c r="E1484">
        <v>8221</v>
      </c>
      <c r="F1484" t="s">
        <v>4</v>
      </c>
    </row>
    <row r="1485" spans="1:6">
      <c r="A1485">
        <v>20201024</v>
      </c>
      <c r="B1485">
        <v>126.8428368</v>
      </c>
      <c r="C1485">
        <v>37.4677784</v>
      </c>
      <c r="D1485" t="s">
        <v>215</v>
      </c>
      <c r="E1485">
        <v>4715</v>
      </c>
      <c r="F1485" t="s">
        <v>4</v>
      </c>
    </row>
    <row r="1486" spans="1:6">
      <c r="A1486">
        <v>20201024</v>
      </c>
      <c r="B1486">
        <v>126.8428368</v>
      </c>
      <c r="C1486">
        <v>37.4677784</v>
      </c>
      <c r="D1486" t="s">
        <v>175</v>
      </c>
      <c r="E1486">
        <v>4065</v>
      </c>
      <c r="F1486" t="s">
        <v>4</v>
      </c>
    </row>
    <row r="1487" spans="1:6">
      <c r="A1487">
        <v>20201024</v>
      </c>
      <c r="B1487">
        <v>126.8428368</v>
      </c>
      <c r="C1487">
        <v>37.4677784</v>
      </c>
      <c r="D1487" t="s">
        <v>64</v>
      </c>
      <c r="E1487">
        <v>4348</v>
      </c>
      <c r="F1487" t="s">
        <v>4</v>
      </c>
    </row>
    <row r="1488" spans="1:6">
      <c r="A1488">
        <v>20201024</v>
      </c>
      <c r="B1488">
        <v>126.8428368</v>
      </c>
      <c r="C1488">
        <v>37.4677784</v>
      </c>
      <c r="D1488" t="s">
        <v>130</v>
      </c>
      <c r="E1488">
        <v>18225</v>
      </c>
      <c r="F1488" t="s">
        <v>4</v>
      </c>
    </row>
    <row r="1489" spans="1:6">
      <c r="A1489">
        <v>20201024</v>
      </c>
      <c r="B1489">
        <v>126.8428368</v>
      </c>
      <c r="C1489">
        <v>37.4677784</v>
      </c>
      <c r="D1489" t="s">
        <v>207</v>
      </c>
      <c r="E1489">
        <v>34378</v>
      </c>
      <c r="F1489" t="s">
        <v>4</v>
      </c>
    </row>
    <row r="1490" spans="1:6">
      <c r="A1490">
        <v>20201024</v>
      </c>
      <c r="B1490">
        <v>126.8428368</v>
      </c>
      <c r="C1490">
        <v>37.4677784</v>
      </c>
      <c r="D1490" t="s">
        <v>87</v>
      </c>
      <c r="E1490">
        <v>36615</v>
      </c>
      <c r="F1490" t="s">
        <v>4</v>
      </c>
    </row>
    <row r="1491" spans="1:6">
      <c r="A1491">
        <v>20201024</v>
      </c>
      <c r="B1491">
        <v>126.8663749</v>
      </c>
      <c r="C1491">
        <v>37.492704799999998</v>
      </c>
      <c r="D1491" t="s">
        <v>56</v>
      </c>
      <c r="E1491">
        <v>13</v>
      </c>
      <c r="F1491" t="s">
        <v>4</v>
      </c>
    </row>
    <row r="1492" spans="1:6">
      <c r="A1492">
        <v>20201024</v>
      </c>
      <c r="B1492">
        <v>126.8663749</v>
      </c>
      <c r="C1492">
        <v>37.492704799999998</v>
      </c>
      <c r="D1492" t="s">
        <v>172</v>
      </c>
      <c r="E1492">
        <v>31</v>
      </c>
      <c r="F1492" t="s">
        <v>4</v>
      </c>
    </row>
    <row r="1493" spans="1:6">
      <c r="A1493">
        <v>20201024</v>
      </c>
      <c r="B1493">
        <v>126.8663749</v>
      </c>
      <c r="C1493">
        <v>37.492704799999998</v>
      </c>
      <c r="D1493" t="s">
        <v>150</v>
      </c>
      <c r="E1493">
        <v>21</v>
      </c>
      <c r="F1493" t="s">
        <v>4</v>
      </c>
    </row>
    <row r="1494" spans="1:6">
      <c r="A1494">
        <v>20201024</v>
      </c>
      <c r="B1494">
        <v>126.8663749</v>
      </c>
      <c r="C1494">
        <v>37.492704799999998</v>
      </c>
      <c r="D1494" t="s">
        <v>158</v>
      </c>
      <c r="E1494">
        <v>21</v>
      </c>
      <c r="F1494" t="s">
        <v>4</v>
      </c>
    </row>
    <row r="1495" spans="1:6">
      <c r="A1495">
        <v>20201024</v>
      </c>
      <c r="B1495">
        <v>126.8663749</v>
      </c>
      <c r="C1495">
        <v>37.492704799999998</v>
      </c>
      <c r="D1495" t="s">
        <v>220</v>
      </c>
      <c r="E1495">
        <v>23</v>
      </c>
      <c r="F1495" t="s">
        <v>4</v>
      </c>
    </row>
    <row r="1496" spans="1:6">
      <c r="A1496">
        <v>20201024</v>
      </c>
      <c r="B1496">
        <v>126.8663749</v>
      </c>
      <c r="C1496">
        <v>37.492704799999998</v>
      </c>
      <c r="D1496" t="s">
        <v>43</v>
      </c>
      <c r="E1496">
        <v>46</v>
      </c>
      <c r="F1496" t="s">
        <v>4</v>
      </c>
    </row>
    <row r="1497" spans="1:6">
      <c r="A1497">
        <v>20201024</v>
      </c>
      <c r="B1497">
        <v>126.8663749</v>
      </c>
      <c r="C1497">
        <v>37.492704799999998</v>
      </c>
      <c r="D1497" t="s">
        <v>199</v>
      </c>
      <c r="E1497">
        <v>61</v>
      </c>
      <c r="F1497" t="s">
        <v>4</v>
      </c>
    </row>
    <row r="1498" spans="1:6">
      <c r="A1498">
        <v>20201024</v>
      </c>
      <c r="B1498">
        <v>126.8663749</v>
      </c>
      <c r="C1498">
        <v>37.492704799999998</v>
      </c>
      <c r="D1498" t="s">
        <v>206</v>
      </c>
      <c r="E1498">
        <v>66</v>
      </c>
      <c r="F1498" t="s">
        <v>4</v>
      </c>
    </row>
    <row r="1499" spans="1:6">
      <c r="A1499">
        <v>20201024</v>
      </c>
      <c r="B1499">
        <v>126.8663749</v>
      </c>
      <c r="C1499">
        <v>37.492704799999998</v>
      </c>
      <c r="D1499" t="s">
        <v>197</v>
      </c>
      <c r="E1499">
        <v>72</v>
      </c>
      <c r="F1499" t="s">
        <v>4</v>
      </c>
    </row>
    <row r="1500" spans="1:6">
      <c r="A1500">
        <v>20201024</v>
      </c>
      <c r="B1500">
        <v>126.8663749</v>
      </c>
      <c r="C1500">
        <v>37.492704799999998</v>
      </c>
      <c r="D1500" t="s">
        <v>166</v>
      </c>
      <c r="E1500">
        <v>176</v>
      </c>
      <c r="F1500" t="s">
        <v>4</v>
      </c>
    </row>
    <row r="1501" spans="1:6">
      <c r="A1501">
        <v>20201024</v>
      </c>
      <c r="B1501">
        <v>126.8663749</v>
      </c>
      <c r="C1501">
        <v>37.492704799999998</v>
      </c>
      <c r="D1501" t="s">
        <v>133</v>
      </c>
      <c r="E1501">
        <v>83</v>
      </c>
      <c r="F1501" t="s">
        <v>4</v>
      </c>
    </row>
    <row r="1502" spans="1:6">
      <c r="A1502">
        <v>20201024</v>
      </c>
      <c r="B1502">
        <v>126.8663749</v>
      </c>
      <c r="C1502">
        <v>37.492704799999998</v>
      </c>
      <c r="D1502" t="s">
        <v>34</v>
      </c>
      <c r="E1502">
        <v>91</v>
      </c>
      <c r="F1502" t="s">
        <v>4</v>
      </c>
    </row>
    <row r="1503" spans="1:6">
      <c r="A1503">
        <v>20201024</v>
      </c>
      <c r="B1503">
        <v>126.8663749</v>
      </c>
      <c r="C1503">
        <v>37.492704799999998</v>
      </c>
      <c r="D1503" t="s">
        <v>102</v>
      </c>
      <c r="E1503">
        <v>110</v>
      </c>
      <c r="F1503" t="s">
        <v>4</v>
      </c>
    </row>
    <row r="1504" spans="1:6">
      <c r="A1504">
        <v>20201024</v>
      </c>
      <c r="B1504">
        <v>126.8663749</v>
      </c>
      <c r="C1504">
        <v>37.492704799999998</v>
      </c>
      <c r="D1504" t="s">
        <v>60</v>
      </c>
      <c r="E1504">
        <v>113</v>
      </c>
      <c r="F1504" t="s">
        <v>4</v>
      </c>
    </row>
    <row r="1505" spans="1:6">
      <c r="A1505">
        <v>20201024</v>
      </c>
      <c r="B1505">
        <v>126.8772417</v>
      </c>
      <c r="C1505">
        <v>37.474826299999997</v>
      </c>
      <c r="D1505" t="s">
        <v>192</v>
      </c>
      <c r="E1505">
        <v>116</v>
      </c>
      <c r="F1505" t="s">
        <v>4</v>
      </c>
    </row>
    <row r="1506" spans="1:6">
      <c r="A1506">
        <v>20201024</v>
      </c>
      <c r="B1506">
        <v>126.8663749</v>
      </c>
      <c r="C1506">
        <v>37.492704799999998</v>
      </c>
      <c r="D1506" t="s">
        <v>132</v>
      </c>
      <c r="E1506">
        <v>166</v>
      </c>
      <c r="F1506" t="s">
        <v>4</v>
      </c>
    </row>
    <row r="1507" spans="1:6">
      <c r="A1507">
        <v>20201024</v>
      </c>
      <c r="B1507">
        <v>126.8663749</v>
      </c>
      <c r="C1507">
        <v>37.492704799999998</v>
      </c>
      <c r="D1507" t="s">
        <v>137</v>
      </c>
      <c r="E1507">
        <v>357</v>
      </c>
      <c r="F1507" t="s">
        <v>4</v>
      </c>
    </row>
    <row r="1508" spans="1:6">
      <c r="A1508">
        <v>20201024</v>
      </c>
      <c r="B1508">
        <v>126.8663749</v>
      </c>
      <c r="C1508">
        <v>37.492704799999998</v>
      </c>
      <c r="D1508" t="s">
        <v>84</v>
      </c>
      <c r="E1508">
        <v>372</v>
      </c>
      <c r="F1508" t="s">
        <v>4</v>
      </c>
    </row>
    <row r="1509" spans="1:6">
      <c r="A1509">
        <v>20201024</v>
      </c>
      <c r="B1509">
        <v>126.8663749</v>
      </c>
      <c r="C1509">
        <v>37.492704799999998</v>
      </c>
      <c r="D1509" t="s">
        <v>129</v>
      </c>
      <c r="E1509">
        <v>514</v>
      </c>
      <c r="F1509" t="s">
        <v>4</v>
      </c>
    </row>
    <row r="1510" spans="1:6">
      <c r="A1510">
        <v>20201024</v>
      </c>
      <c r="B1510">
        <v>126.8663749</v>
      </c>
      <c r="C1510">
        <v>37.492704799999998</v>
      </c>
      <c r="D1510" t="s">
        <v>146</v>
      </c>
      <c r="E1510">
        <v>420</v>
      </c>
      <c r="F1510" t="s">
        <v>4</v>
      </c>
    </row>
    <row r="1511" spans="1:6">
      <c r="A1511">
        <v>20201024</v>
      </c>
      <c r="B1511">
        <v>126.8663749</v>
      </c>
      <c r="C1511">
        <v>37.492704799999998</v>
      </c>
      <c r="D1511" t="s">
        <v>186</v>
      </c>
      <c r="E1511">
        <v>450</v>
      </c>
      <c r="F1511" t="s">
        <v>4</v>
      </c>
    </row>
    <row r="1512" spans="1:6">
      <c r="A1512">
        <v>20201024</v>
      </c>
      <c r="B1512">
        <v>126.8663749</v>
      </c>
      <c r="C1512">
        <v>37.492704799999998</v>
      </c>
      <c r="D1512" t="s">
        <v>134</v>
      </c>
      <c r="E1512">
        <v>1141</v>
      </c>
      <c r="F1512" t="s">
        <v>4</v>
      </c>
    </row>
    <row r="1513" spans="1:6">
      <c r="A1513">
        <v>20201024</v>
      </c>
      <c r="B1513">
        <v>126.8663749</v>
      </c>
      <c r="C1513">
        <v>37.492704799999998</v>
      </c>
      <c r="D1513" t="s">
        <v>198</v>
      </c>
      <c r="E1513">
        <v>664</v>
      </c>
      <c r="F1513" t="s">
        <v>4</v>
      </c>
    </row>
    <row r="1514" spans="1:6">
      <c r="A1514">
        <v>20201024</v>
      </c>
      <c r="B1514">
        <v>126.8663749</v>
      </c>
      <c r="C1514">
        <v>37.492704799999998</v>
      </c>
      <c r="D1514" t="s">
        <v>78</v>
      </c>
      <c r="E1514">
        <v>601</v>
      </c>
      <c r="F1514" t="s">
        <v>4</v>
      </c>
    </row>
    <row r="1515" spans="1:6">
      <c r="A1515">
        <v>20201024</v>
      </c>
      <c r="B1515">
        <v>126.8663749</v>
      </c>
      <c r="C1515">
        <v>37.492704799999998</v>
      </c>
      <c r="D1515" t="s">
        <v>144</v>
      </c>
      <c r="E1515">
        <v>571</v>
      </c>
      <c r="F1515" t="s">
        <v>4</v>
      </c>
    </row>
    <row r="1516" spans="1:6">
      <c r="A1516">
        <v>20201024</v>
      </c>
      <c r="B1516">
        <v>126.8663749</v>
      </c>
      <c r="C1516">
        <v>37.492704799999998</v>
      </c>
      <c r="D1516" t="s">
        <v>155</v>
      </c>
      <c r="E1516">
        <v>668</v>
      </c>
      <c r="F1516" t="s">
        <v>4</v>
      </c>
    </row>
    <row r="1517" spans="1:6">
      <c r="A1517">
        <v>20201024</v>
      </c>
      <c r="B1517">
        <v>126.8663749</v>
      </c>
      <c r="C1517">
        <v>37.492704799999998</v>
      </c>
      <c r="D1517" t="s">
        <v>219</v>
      </c>
      <c r="E1517">
        <v>718</v>
      </c>
      <c r="F1517" t="s">
        <v>4</v>
      </c>
    </row>
    <row r="1518" spans="1:6">
      <c r="A1518">
        <v>20201024</v>
      </c>
      <c r="B1518">
        <v>126.8663749</v>
      </c>
      <c r="C1518">
        <v>37.492704799999998</v>
      </c>
      <c r="D1518" t="s">
        <v>68</v>
      </c>
      <c r="E1518">
        <v>2012</v>
      </c>
      <c r="F1518" t="s">
        <v>4</v>
      </c>
    </row>
    <row r="1519" spans="1:6">
      <c r="A1519">
        <v>20201024</v>
      </c>
      <c r="B1519">
        <v>126.8663749</v>
      </c>
      <c r="C1519">
        <v>37.492704799999998</v>
      </c>
      <c r="D1519" t="s">
        <v>151</v>
      </c>
      <c r="E1519">
        <v>1328</v>
      </c>
      <c r="F1519" t="s">
        <v>4</v>
      </c>
    </row>
    <row r="1520" spans="1:6">
      <c r="A1520">
        <v>20201024</v>
      </c>
      <c r="B1520">
        <v>126.8663749</v>
      </c>
      <c r="C1520">
        <v>37.492704799999998</v>
      </c>
      <c r="D1520" t="s">
        <v>52</v>
      </c>
      <c r="E1520">
        <v>1542</v>
      </c>
      <c r="F1520" t="s">
        <v>4</v>
      </c>
    </row>
    <row r="1521" spans="1:6">
      <c r="A1521">
        <v>20201024</v>
      </c>
      <c r="B1521">
        <v>126.8663749</v>
      </c>
      <c r="C1521">
        <v>37.492704799999998</v>
      </c>
      <c r="D1521" t="s">
        <v>175</v>
      </c>
      <c r="E1521">
        <v>2059</v>
      </c>
      <c r="F1521" t="s">
        <v>4</v>
      </c>
    </row>
    <row r="1522" spans="1:6">
      <c r="A1522">
        <v>20201024</v>
      </c>
      <c r="B1522">
        <v>126.8663749</v>
      </c>
      <c r="C1522">
        <v>37.492704799999998</v>
      </c>
      <c r="D1522" t="s">
        <v>109</v>
      </c>
      <c r="E1522">
        <v>2513</v>
      </c>
      <c r="F1522" t="s">
        <v>4</v>
      </c>
    </row>
    <row r="1523" spans="1:6">
      <c r="A1523">
        <v>20201024</v>
      </c>
      <c r="B1523">
        <v>126.8663749</v>
      </c>
      <c r="C1523">
        <v>37.492704799999998</v>
      </c>
      <c r="D1523" t="s">
        <v>216</v>
      </c>
      <c r="E1523">
        <v>2886</v>
      </c>
      <c r="F1523" t="s">
        <v>4</v>
      </c>
    </row>
    <row r="1524" spans="1:6">
      <c r="A1524">
        <v>20201024</v>
      </c>
      <c r="B1524">
        <v>126.8663749</v>
      </c>
      <c r="C1524">
        <v>37.492704799999998</v>
      </c>
      <c r="D1524" t="s">
        <v>195</v>
      </c>
      <c r="E1524">
        <v>2970</v>
      </c>
      <c r="F1524" t="s">
        <v>4</v>
      </c>
    </row>
    <row r="1525" spans="1:6">
      <c r="A1525">
        <v>20201024</v>
      </c>
      <c r="B1525">
        <v>126.87358690000001</v>
      </c>
      <c r="C1525">
        <v>37.508467699999997</v>
      </c>
      <c r="D1525" t="s">
        <v>192</v>
      </c>
      <c r="E1525">
        <v>463</v>
      </c>
      <c r="F1525" t="s">
        <v>4</v>
      </c>
    </row>
    <row r="1526" spans="1:6">
      <c r="A1526">
        <v>20201024</v>
      </c>
      <c r="B1526">
        <v>126.8663749</v>
      </c>
      <c r="C1526">
        <v>37.492704799999998</v>
      </c>
      <c r="D1526" t="s">
        <v>64</v>
      </c>
      <c r="E1526">
        <v>3632</v>
      </c>
      <c r="F1526" t="s">
        <v>4</v>
      </c>
    </row>
    <row r="1527" spans="1:6">
      <c r="A1527">
        <v>20201024</v>
      </c>
      <c r="B1527">
        <v>126.8663749</v>
      </c>
      <c r="C1527">
        <v>37.492704799999998</v>
      </c>
      <c r="D1527" t="s">
        <v>72</v>
      </c>
      <c r="E1527">
        <v>4816</v>
      </c>
      <c r="F1527" t="s">
        <v>4</v>
      </c>
    </row>
    <row r="1528" spans="1:6">
      <c r="A1528">
        <v>20201024</v>
      </c>
      <c r="B1528">
        <v>126.8663749</v>
      </c>
      <c r="C1528">
        <v>37.492704799999998</v>
      </c>
      <c r="D1528" t="s">
        <v>215</v>
      </c>
      <c r="E1528">
        <v>8860</v>
      </c>
      <c r="F1528" t="s">
        <v>4</v>
      </c>
    </row>
    <row r="1529" spans="1:6">
      <c r="A1529">
        <v>20201024</v>
      </c>
      <c r="B1529">
        <v>126.8663749</v>
      </c>
      <c r="C1529">
        <v>37.492704799999998</v>
      </c>
      <c r="D1529" t="s">
        <v>130</v>
      </c>
      <c r="E1529">
        <v>31389</v>
      </c>
      <c r="F1529" t="s">
        <v>4</v>
      </c>
    </row>
    <row r="1530" spans="1:6">
      <c r="A1530">
        <v>20201024</v>
      </c>
      <c r="B1530">
        <v>126.8663749</v>
      </c>
      <c r="C1530">
        <v>37.492704799999998</v>
      </c>
      <c r="D1530" t="s">
        <v>207</v>
      </c>
      <c r="E1530">
        <v>27052</v>
      </c>
      <c r="F1530" t="s">
        <v>4</v>
      </c>
    </row>
    <row r="1531" spans="1:6">
      <c r="A1531">
        <v>20201024</v>
      </c>
      <c r="B1531">
        <v>126.8663749</v>
      </c>
      <c r="C1531">
        <v>37.492704799999998</v>
      </c>
      <c r="D1531" t="s">
        <v>87</v>
      </c>
      <c r="E1531">
        <v>58658</v>
      </c>
      <c r="F1531" t="s">
        <v>4</v>
      </c>
    </row>
    <row r="1532" spans="1:6">
      <c r="A1532">
        <v>20201024</v>
      </c>
      <c r="B1532">
        <v>126.82462289999999</v>
      </c>
      <c r="C1532">
        <v>37.470256399999997</v>
      </c>
      <c r="D1532" t="s">
        <v>164</v>
      </c>
      <c r="E1532">
        <v>15</v>
      </c>
      <c r="F1532" t="s">
        <v>4</v>
      </c>
    </row>
    <row r="1533" spans="1:6">
      <c r="A1533">
        <v>20201024</v>
      </c>
      <c r="B1533">
        <v>126.82462289999999</v>
      </c>
      <c r="C1533">
        <v>37.470256399999997</v>
      </c>
      <c r="D1533" t="s">
        <v>150</v>
      </c>
      <c r="E1533">
        <v>17</v>
      </c>
      <c r="F1533" t="s">
        <v>4</v>
      </c>
    </row>
    <row r="1534" spans="1:6">
      <c r="A1534">
        <v>20201024</v>
      </c>
      <c r="B1534">
        <v>126.82462289999999</v>
      </c>
      <c r="C1534">
        <v>37.470256399999997</v>
      </c>
      <c r="D1534" t="s">
        <v>56</v>
      </c>
      <c r="E1534">
        <v>18</v>
      </c>
      <c r="F1534" t="s">
        <v>4</v>
      </c>
    </row>
    <row r="1535" spans="1:6">
      <c r="A1535">
        <v>20201024</v>
      </c>
      <c r="B1535">
        <v>126.82462289999999</v>
      </c>
      <c r="C1535">
        <v>37.470256399999997</v>
      </c>
      <c r="D1535" t="s">
        <v>122</v>
      </c>
      <c r="E1535">
        <v>56</v>
      </c>
      <c r="F1535" t="s">
        <v>4</v>
      </c>
    </row>
    <row r="1536" spans="1:6">
      <c r="A1536">
        <v>20201024</v>
      </c>
      <c r="B1536">
        <v>126.82462289999999</v>
      </c>
      <c r="C1536">
        <v>37.470256399999997</v>
      </c>
      <c r="D1536" t="s">
        <v>206</v>
      </c>
      <c r="E1536">
        <v>87</v>
      </c>
      <c r="F1536" t="s">
        <v>4</v>
      </c>
    </row>
    <row r="1537" spans="1:6">
      <c r="A1537">
        <v>20201024</v>
      </c>
      <c r="B1537">
        <v>126.82462289999999</v>
      </c>
      <c r="C1537">
        <v>37.470256399999997</v>
      </c>
      <c r="D1537" t="s">
        <v>218</v>
      </c>
      <c r="E1537">
        <v>89</v>
      </c>
      <c r="F1537" t="s">
        <v>4</v>
      </c>
    </row>
    <row r="1538" spans="1:6">
      <c r="A1538">
        <v>20201024</v>
      </c>
      <c r="B1538">
        <v>126.82462289999999</v>
      </c>
      <c r="C1538">
        <v>37.470256399999997</v>
      </c>
      <c r="D1538" t="s">
        <v>95</v>
      </c>
      <c r="E1538">
        <v>99</v>
      </c>
      <c r="F1538" t="s">
        <v>4</v>
      </c>
    </row>
    <row r="1539" spans="1:6">
      <c r="A1539">
        <v>20201024</v>
      </c>
      <c r="B1539">
        <v>126.82462289999999</v>
      </c>
      <c r="C1539">
        <v>37.470256399999997</v>
      </c>
      <c r="D1539" t="s">
        <v>138</v>
      </c>
      <c r="E1539">
        <v>397</v>
      </c>
      <c r="F1539" t="s">
        <v>4</v>
      </c>
    </row>
    <row r="1540" spans="1:6">
      <c r="A1540">
        <v>20201024</v>
      </c>
      <c r="B1540">
        <v>126.82462289999999</v>
      </c>
      <c r="C1540">
        <v>37.470256399999997</v>
      </c>
      <c r="D1540" t="s">
        <v>220</v>
      </c>
      <c r="E1540">
        <v>201</v>
      </c>
      <c r="F1540" t="s">
        <v>4</v>
      </c>
    </row>
    <row r="1541" spans="1:6">
      <c r="A1541">
        <v>20201024</v>
      </c>
      <c r="B1541">
        <v>126.82462289999999</v>
      </c>
      <c r="C1541">
        <v>37.470256399999997</v>
      </c>
      <c r="D1541" t="s">
        <v>170</v>
      </c>
      <c r="E1541">
        <v>205</v>
      </c>
      <c r="F1541" t="s">
        <v>4</v>
      </c>
    </row>
    <row r="1542" spans="1:6">
      <c r="A1542">
        <v>20201024</v>
      </c>
      <c r="B1542">
        <v>126.83793110000001</v>
      </c>
      <c r="C1542">
        <v>37.441797600000001</v>
      </c>
      <c r="D1542" t="s">
        <v>192</v>
      </c>
      <c r="E1542">
        <v>6662</v>
      </c>
      <c r="F1542" t="s">
        <v>4</v>
      </c>
    </row>
    <row r="1543" spans="1:6">
      <c r="A1543">
        <v>20201024</v>
      </c>
      <c r="B1543">
        <v>126.82462289999999</v>
      </c>
      <c r="C1543">
        <v>37.470256399999997</v>
      </c>
      <c r="D1543" t="s">
        <v>130</v>
      </c>
      <c r="E1543">
        <v>496</v>
      </c>
      <c r="F1543" t="s">
        <v>4</v>
      </c>
    </row>
    <row r="1544" spans="1:6">
      <c r="A1544">
        <v>20201024</v>
      </c>
      <c r="B1544">
        <v>126.82462289999999</v>
      </c>
      <c r="C1544">
        <v>37.470256399999997</v>
      </c>
      <c r="D1544" t="s">
        <v>162</v>
      </c>
      <c r="E1544">
        <v>270</v>
      </c>
      <c r="F1544" t="s">
        <v>4</v>
      </c>
    </row>
    <row r="1545" spans="1:6">
      <c r="A1545">
        <v>20201024</v>
      </c>
      <c r="B1545">
        <v>126.82462289999999</v>
      </c>
      <c r="C1545">
        <v>37.470256399999997</v>
      </c>
      <c r="D1545" t="s">
        <v>195</v>
      </c>
      <c r="E1545">
        <v>389</v>
      </c>
      <c r="F1545" t="s">
        <v>4</v>
      </c>
    </row>
    <row r="1546" spans="1:6">
      <c r="A1546">
        <v>20201024</v>
      </c>
      <c r="B1546">
        <v>126.82462289999999</v>
      </c>
      <c r="C1546">
        <v>37.470256399999997</v>
      </c>
      <c r="D1546" t="s">
        <v>166</v>
      </c>
      <c r="E1546">
        <v>605</v>
      </c>
      <c r="F1546" t="s">
        <v>4</v>
      </c>
    </row>
    <row r="1547" spans="1:6">
      <c r="A1547">
        <v>20201024</v>
      </c>
      <c r="B1547">
        <v>126.8499561</v>
      </c>
      <c r="C1547">
        <v>37.481606900000003</v>
      </c>
      <c r="D1547" t="s">
        <v>192</v>
      </c>
      <c r="E1547">
        <v>3051</v>
      </c>
      <c r="F1547" t="s">
        <v>4</v>
      </c>
    </row>
    <row r="1548" spans="1:6">
      <c r="A1548">
        <v>20201024</v>
      </c>
      <c r="B1548">
        <v>126.82462289999999</v>
      </c>
      <c r="C1548">
        <v>37.470256399999997</v>
      </c>
      <c r="D1548" t="s">
        <v>158</v>
      </c>
      <c r="E1548">
        <v>866</v>
      </c>
      <c r="F1548" t="s">
        <v>4</v>
      </c>
    </row>
    <row r="1549" spans="1:6">
      <c r="A1549">
        <v>20201024</v>
      </c>
      <c r="B1549">
        <v>126.82462289999999</v>
      </c>
      <c r="C1549">
        <v>37.470256399999997</v>
      </c>
      <c r="D1549" t="s">
        <v>134</v>
      </c>
      <c r="E1549">
        <v>1517</v>
      </c>
      <c r="F1549" t="s">
        <v>4</v>
      </c>
    </row>
    <row r="1550" spans="1:6">
      <c r="A1550">
        <v>20201024</v>
      </c>
      <c r="B1550">
        <v>126.82462289999999</v>
      </c>
      <c r="C1550">
        <v>37.470256399999997</v>
      </c>
      <c r="D1550" t="s">
        <v>68</v>
      </c>
      <c r="E1550">
        <v>880</v>
      </c>
      <c r="F1550" t="s">
        <v>4</v>
      </c>
    </row>
    <row r="1551" spans="1:6">
      <c r="A1551">
        <v>20201024</v>
      </c>
      <c r="B1551">
        <v>126.82462289999999</v>
      </c>
      <c r="C1551">
        <v>37.470256399999997</v>
      </c>
      <c r="D1551" t="s">
        <v>151</v>
      </c>
      <c r="E1551">
        <v>941</v>
      </c>
      <c r="F1551" t="s">
        <v>4</v>
      </c>
    </row>
    <row r="1552" spans="1:6">
      <c r="A1552">
        <v>20201024</v>
      </c>
      <c r="B1552">
        <v>126.82462289999999</v>
      </c>
      <c r="C1552">
        <v>37.470256399999997</v>
      </c>
      <c r="D1552" t="s">
        <v>137</v>
      </c>
      <c r="E1552">
        <v>1544</v>
      </c>
      <c r="F1552" t="s">
        <v>4</v>
      </c>
    </row>
    <row r="1553" spans="1:8">
      <c r="A1553">
        <v>20201024</v>
      </c>
      <c r="B1553">
        <v>126.82462289999999</v>
      </c>
      <c r="C1553">
        <v>37.470256399999997</v>
      </c>
      <c r="D1553" t="s">
        <v>186</v>
      </c>
      <c r="E1553">
        <v>2073</v>
      </c>
      <c r="F1553" t="s">
        <v>4</v>
      </c>
    </row>
    <row r="1554" spans="1:8">
      <c r="A1554">
        <v>20201024</v>
      </c>
      <c r="B1554">
        <v>126.82462289999999</v>
      </c>
      <c r="C1554">
        <v>37.470256399999997</v>
      </c>
      <c r="D1554" t="s">
        <v>175</v>
      </c>
      <c r="E1554">
        <v>5277</v>
      </c>
      <c r="F1554" t="s">
        <v>4</v>
      </c>
    </row>
    <row r="1555" spans="1:8">
      <c r="A1555">
        <v>20201024</v>
      </c>
      <c r="B1555">
        <v>126.82462289999999</v>
      </c>
      <c r="C1555">
        <v>37.470256399999997</v>
      </c>
      <c r="D1555" t="s">
        <v>219</v>
      </c>
      <c r="E1555">
        <v>8977</v>
      </c>
      <c r="F1555" t="s">
        <v>4</v>
      </c>
    </row>
    <row r="1556" spans="1:8">
      <c r="A1556">
        <v>20201024</v>
      </c>
      <c r="B1556">
        <v>126.82462289999999</v>
      </c>
      <c r="C1556">
        <v>37.470256399999997</v>
      </c>
      <c r="D1556" t="s">
        <v>64</v>
      </c>
      <c r="E1556">
        <v>7789</v>
      </c>
      <c r="F1556" t="s">
        <v>4</v>
      </c>
      <c r="H1556" s="2"/>
    </row>
    <row r="1557" spans="1:8">
      <c r="A1557">
        <v>20201024</v>
      </c>
      <c r="B1557">
        <v>126.82462289999999</v>
      </c>
      <c r="C1557">
        <v>37.470256399999997</v>
      </c>
      <c r="D1557" t="s">
        <v>207</v>
      </c>
      <c r="E1557">
        <v>15425</v>
      </c>
      <c r="F1557" t="s">
        <v>4</v>
      </c>
    </row>
    <row r="1558" spans="1:8">
      <c r="A1558">
        <v>20201024</v>
      </c>
      <c r="B1558">
        <v>126.82462289999999</v>
      </c>
      <c r="C1558">
        <v>37.470256399999997</v>
      </c>
      <c r="D1558" t="s">
        <v>87</v>
      </c>
      <c r="E1558">
        <v>53450</v>
      </c>
      <c r="F1558" t="s">
        <v>4</v>
      </c>
    </row>
    <row r="1559" spans="1:8">
      <c r="A1559">
        <v>20201024</v>
      </c>
      <c r="B1559">
        <v>126.99657019999999</v>
      </c>
      <c r="C1559">
        <v>37.389118600000003</v>
      </c>
      <c r="D1559" t="s">
        <v>218</v>
      </c>
      <c r="E1559">
        <v>14</v>
      </c>
      <c r="F1559" t="s">
        <v>4</v>
      </c>
    </row>
    <row r="1560" spans="1:8">
      <c r="A1560">
        <v>20201024</v>
      </c>
      <c r="B1560">
        <v>126.99657019999999</v>
      </c>
      <c r="C1560">
        <v>37.389118600000003</v>
      </c>
      <c r="D1560" t="s">
        <v>87</v>
      </c>
      <c r="E1560">
        <v>38</v>
      </c>
      <c r="F1560" t="s">
        <v>4</v>
      </c>
    </row>
    <row r="1561" spans="1:8">
      <c r="A1561">
        <v>20201024</v>
      </c>
      <c r="B1561">
        <v>126.99657019999999</v>
      </c>
      <c r="C1561">
        <v>37.389118600000003</v>
      </c>
      <c r="D1561" t="s">
        <v>74</v>
      </c>
      <c r="E1561">
        <v>161</v>
      </c>
      <c r="F1561" t="s">
        <v>4</v>
      </c>
    </row>
    <row r="1562" spans="1:8">
      <c r="A1562">
        <v>20201024</v>
      </c>
      <c r="B1562">
        <v>126.8428368</v>
      </c>
      <c r="C1562">
        <v>37.4677784</v>
      </c>
      <c r="D1562" t="s">
        <v>192</v>
      </c>
      <c r="E1562">
        <v>3051</v>
      </c>
      <c r="F1562" t="s">
        <v>4</v>
      </c>
    </row>
    <row r="1563" spans="1:8">
      <c r="A1563">
        <v>20201024</v>
      </c>
      <c r="B1563">
        <v>126.99657019999999</v>
      </c>
      <c r="C1563">
        <v>37.389118600000003</v>
      </c>
      <c r="D1563" t="s">
        <v>207</v>
      </c>
      <c r="E1563">
        <v>178</v>
      </c>
      <c r="F1563" t="s">
        <v>4</v>
      </c>
    </row>
    <row r="1564" spans="1:8">
      <c r="A1564">
        <v>20201024</v>
      </c>
      <c r="B1564">
        <v>126.99657019999999</v>
      </c>
      <c r="C1564">
        <v>37.389118600000003</v>
      </c>
      <c r="D1564" t="s">
        <v>35</v>
      </c>
      <c r="E1564">
        <v>285</v>
      </c>
      <c r="F1564" t="s">
        <v>4</v>
      </c>
    </row>
    <row r="1565" spans="1:8">
      <c r="A1565">
        <v>20201024</v>
      </c>
      <c r="B1565">
        <v>126.8663749</v>
      </c>
      <c r="C1565">
        <v>37.492704799999998</v>
      </c>
      <c r="D1565" t="s">
        <v>192</v>
      </c>
      <c r="E1565">
        <v>3268</v>
      </c>
      <c r="F1565" t="s">
        <v>4</v>
      </c>
    </row>
    <row r="1566" spans="1:8">
      <c r="A1566">
        <v>20201024</v>
      </c>
      <c r="B1566">
        <v>126.99657019999999</v>
      </c>
      <c r="C1566">
        <v>37.389118600000003</v>
      </c>
      <c r="D1566" t="s">
        <v>220</v>
      </c>
      <c r="E1566">
        <v>688</v>
      </c>
      <c r="F1566" t="s">
        <v>4</v>
      </c>
    </row>
    <row r="1567" spans="1:8">
      <c r="A1567">
        <v>20201024</v>
      </c>
      <c r="B1567">
        <v>126.99657019999999</v>
      </c>
      <c r="C1567">
        <v>37.389118600000003</v>
      </c>
      <c r="D1567" t="s">
        <v>64</v>
      </c>
      <c r="E1567">
        <v>765</v>
      </c>
      <c r="F1567" t="s">
        <v>4</v>
      </c>
      <c r="H1567" s="2"/>
    </row>
    <row r="1568" spans="1:8">
      <c r="A1568">
        <v>20201024</v>
      </c>
      <c r="B1568">
        <v>126.99657019999999</v>
      </c>
      <c r="C1568">
        <v>37.389118600000003</v>
      </c>
      <c r="D1568" t="s">
        <v>137</v>
      </c>
      <c r="E1568">
        <v>2103</v>
      </c>
      <c r="F1568" t="s">
        <v>4</v>
      </c>
    </row>
    <row r="1569" spans="1:6">
      <c r="A1569">
        <v>20201024</v>
      </c>
      <c r="B1569">
        <v>126.99657019999999</v>
      </c>
      <c r="C1569">
        <v>37.389118600000003</v>
      </c>
      <c r="D1569" t="s">
        <v>198</v>
      </c>
      <c r="E1569">
        <v>4139</v>
      </c>
      <c r="F1569" t="s">
        <v>4</v>
      </c>
    </row>
    <row r="1570" spans="1:6">
      <c r="A1570">
        <v>20201024</v>
      </c>
      <c r="B1570">
        <v>126.99657019999999</v>
      </c>
      <c r="C1570">
        <v>37.389118600000003</v>
      </c>
      <c r="D1570" t="s">
        <v>219</v>
      </c>
      <c r="E1570">
        <v>8841</v>
      </c>
      <c r="F1570" t="s">
        <v>4</v>
      </c>
    </row>
    <row r="1571" spans="1:6">
      <c r="A1571">
        <v>20201024</v>
      </c>
      <c r="B1571">
        <v>126.99657019999999</v>
      </c>
      <c r="C1571">
        <v>37.389118600000003</v>
      </c>
      <c r="D1571" t="s">
        <v>175</v>
      </c>
      <c r="E1571">
        <v>10866</v>
      </c>
      <c r="F1571" t="s">
        <v>4</v>
      </c>
    </row>
    <row r="1572" spans="1:6">
      <c r="A1572">
        <v>20201024</v>
      </c>
      <c r="B1572">
        <v>126.99657019999999</v>
      </c>
      <c r="C1572">
        <v>37.389118600000003</v>
      </c>
      <c r="D1572" t="s">
        <v>147</v>
      </c>
      <c r="E1572">
        <v>38778</v>
      </c>
      <c r="F1572" t="s">
        <v>4</v>
      </c>
    </row>
    <row r="1573" spans="1:6">
      <c r="A1573">
        <v>20201024</v>
      </c>
      <c r="B1573">
        <v>126.9070155</v>
      </c>
      <c r="C1573">
        <v>37.385953200000003</v>
      </c>
      <c r="D1573" t="s">
        <v>218</v>
      </c>
      <c r="E1573">
        <v>10</v>
      </c>
      <c r="F1573" t="s">
        <v>4</v>
      </c>
    </row>
    <row r="1574" spans="1:6">
      <c r="A1574">
        <v>20201024</v>
      </c>
      <c r="B1574">
        <v>126.9070155</v>
      </c>
      <c r="C1574">
        <v>37.385953200000003</v>
      </c>
      <c r="D1574" t="s">
        <v>76</v>
      </c>
      <c r="E1574">
        <v>12</v>
      </c>
      <c r="F1574" t="s">
        <v>4</v>
      </c>
    </row>
    <row r="1575" spans="1:6">
      <c r="A1575">
        <v>20201024</v>
      </c>
      <c r="B1575">
        <v>126.8772417</v>
      </c>
      <c r="C1575">
        <v>37.474826299999997</v>
      </c>
      <c r="D1575" t="s">
        <v>194</v>
      </c>
      <c r="E1575">
        <v>94</v>
      </c>
      <c r="F1575" t="s">
        <v>4</v>
      </c>
    </row>
    <row r="1576" spans="1:6">
      <c r="A1576">
        <v>20200916</v>
      </c>
      <c r="B1576">
        <v>126.9866722</v>
      </c>
      <c r="C1576">
        <v>37.398721700000003</v>
      </c>
      <c r="D1576" t="s">
        <v>201</v>
      </c>
      <c r="E1576">
        <v>143</v>
      </c>
      <c r="F1576" t="s">
        <v>4</v>
      </c>
    </row>
    <row r="1577" spans="1:6">
      <c r="A1577">
        <v>20201024</v>
      </c>
      <c r="B1577">
        <v>126.9070155</v>
      </c>
      <c r="C1577">
        <v>37.385953200000003</v>
      </c>
      <c r="D1577" t="s">
        <v>181</v>
      </c>
      <c r="E1577">
        <v>63</v>
      </c>
      <c r="F1577" t="s">
        <v>4</v>
      </c>
    </row>
    <row r="1578" spans="1:6">
      <c r="A1578">
        <v>20201024</v>
      </c>
      <c r="B1578">
        <v>126.9070155</v>
      </c>
      <c r="C1578">
        <v>37.385953200000003</v>
      </c>
      <c r="D1578" t="s">
        <v>129</v>
      </c>
      <c r="E1578">
        <v>116</v>
      </c>
      <c r="F1578" t="s">
        <v>4</v>
      </c>
    </row>
    <row r="1579" spans="1:6">
      <c r="A1579">
        <v>20201024</v>
      </c>
      <c r="B1579">
        <v>126.99657019999999</v>
      </c>
      <c r="C1579">
        <v>37.389118600000003</v>
      </c>
      <c r="D1579" t="s">
        <v>203</v>
      </c>
      <c r="E1579">
        <v>167</v>
      </c>
      <c r="F1579" t="s">
        <v>4</v>
      </c>
    </row>
    <row r="1580" spans="1:6">
      <c r="A1580">
        <v>20201024</v>
      </c>
      <c r="B1580">
        <v>126.9070155</v>
      </c>
      <c r="C1580">
        <v>37.385953200000003</v>
      </c>
      <c r="D1580" t="s">
        <v>207</v>
      </c>
      <c r="E1580">
        <v>123</v>
      </c>
      <c r="F1580" t="s">
        <v>4</v>
      </c>
    </row>
    <row r="1581" spans="1:6">
      <c r="A1581">
        <v>20201024</v>
      </c>
      <c r="B1581">
        <v>126.9070155</v>
      </c>
      <c r="C1581">
        <v>37.385953200000003</v>
      </c>
      <c r="D1581" t="s">
        <v>130</v>
      </c>
      <c r="E1581">
        <v>164</v>
      </c>
      <c r="F1581" t="s">
        <v>4</v>
      </c>
    </row>
    <row r="1582" spans="1:6">
      <c r="A1582">
        <v>20201024</v>
      </c>
      <c r="B1582">
        <v>126.9070155</v>
      </c>
      <c r="C1582">
        <v>37.385953200000003</v>
      </c>
      <c r="D1582" t="s">
        <v>166</v>
      </c>
      <c r="E1582">
        <v>332</v>
      </c>
      <c r="F1582" t="s">
        <v>4</v>
      </c>
    </row>
    <row r="1583" spans="1:6">
      <c r="A1583">
        <v>20201024</v>
      </c>
      <c r="B1583">
        <v>126.9070155</v>
      </c>
      <c r="C1583">
        <v>37.385953200000003</v>
      </c>
      <c r="D1583" t="s">
        <v>172</v>
      </c>
      <c r="E1583">
        <v>288</v>
      </c>
      <c r="F1583" t="s">
        <v>4</v>
      </c>
    </row>
    <row r="1584" spans="1:6">
      <c r="A1584">
        <v>20201024</v>
      </c>
      <c r="B1584">
        <v>126.9070155</v>
      </c>
      <c r="C1584">
        <v>37.385953200000003</v>
      </c>
      <c r="D1584" t="s">
        <v>220</v>
      </c>
      <c r="E1584">
        <v>343</v>
      </c>
      <c r="F1584" t="s">
        <v>4</v>
      </c>
    </row>
    <row r="1585" spans="1:6">
      <c r="A1585">
        <v>20201024</v>
      </c>
      <c r="B1585">
        <v>126.9070155</v>
      </c>
      <c r="C1585">
        <v>37.385953200000003</v>
      </c>
      <c r="D1585" t="s">
        <v>91</v>
      </c>
      <c r="E1585">
        <v>369</v>
      </c>
      <c r="F1585" t="s">
        <v>4</v>
      </c>
    </row>
    <row r="1586" spans="1:6">
      <c r="A1586">
        <v>20201024</v>
      </c>
      <c r="B1586">
        <v>126.9070155</v>
      </c>
      <c r="C1586">
        <v>37.385953200000003</v>
      </c>
      <c r="D1586" t="s">
        <v>158</v>
      </c>
      <c r="E1586">
        <v>1273</v>
      </c>
      <c r="F1586" t="s">
        <v>4</v>
      </c>
    </row>
    <row r="1587" spans="1:6">
      <c r="A1587">
        <v>20201024</v>
      </c>
      <c r="B1587">
        <v>126.9070155</v>
      </c>
      <c r="C1587">
        <v>37.385953200000003</v>
      </c>
      <c r="D1587" t="s">
        <v>87</v>
      </c>
      <c r="E1587">
        <v>5221</v>
      </c>
      <c r="F1587" t="s">
        <v>4</v>
      </c>
    </row>
    <row r="1588" spans="1:6">
      <c r="A1588">
        <v>20201024</v>
      </c>
      <c r="B1588">
        <v>126.9070155</v>
      </c>
      <c r="C1588">
        <v>37.385953200000003</v>
      </c>
      <c r="D1588" t="s">
        <v>137</v>
      </c>
      <c r="E1588">
        <v>11322</v>
      </c>
      <c r="F1588" t="s">
        <v>4</v>
      </c>
    </row>
    <row r="1589" spans="1:6">
      <c r="A1589">
        <v>20201024</v>
      </c>
      <c r="B1589">
        <v>126.9070155</v>
      </c>
      <c r="C1589">
        <v>37.385953200000003</v>
      </c>
      <c r="D1589" t="s">
        <v>155</v>
      </c>
      <c r="E1589">
        <v>22547</v>
      </c>
      <c r="F1589" t="s">
        <v>4</v>
      </c>
    </row>
    <row r="1590" spans="1:6">
      <c r="A1590">
        <v>20201024</v>
      </c>
      <c r="B1590">
        <v>126.9070155</v>
      </c>
      <c r="C1590">
        <v>37.385953200000003</v>
      </c>
      <c r="D1590" t="s">
        <v>147</v>
      </c>
      <c r="E1590">
        <v>191166</v>
      </c>
      <c r="F1590" t="s">
        <v>4</v>
      </c>
    </row>
    <row r="1591" spans="1:6">
      <c r="A1591">
        <v>20201024</v>
      </c>
      <c r="B1591">
        <v>126.92050639999999</v>
      </c>
      <c r="C1591">
        <v>37.418606500000003</v>
      </c>
      <c r="D1591" t="s">
        <v>87</v>
      </c>
      <c r="E1591">
        <v>13</v>
      </c>
      <c r="F1591" t="s">
        <v>4</v>
      </c>
    </row>
    <row r="1592" spans="1:6">
      <c r="A1592">
        <v>20201024</v>
      </c>
      <c r="B1592">
        <v>126.970473</v>
      </c>
      <c r="C1592">
        <v>37.401905599999999</v>
      </c>
      <c r="D1592" t="s">
        <v>209</v>
      </c>
      <c r="E1592">
        <v>10</v>
      </c>
      <c r="F1592" t="s">
        <v>4</v>
      </c>
    </row>
    <row r="1593" spans="1:6">
      <c r="A1593">
        <v>20201024</v>
      </c>
      <c r="B1593">
        <v>126.92050639999999</v>
      </c>
      <c r="C1593">
        <v>37.418606500000003</v>
      </c>
      <c r="D1593" t="s">
        <v>43</v>
      </c>
      <c r="E1593">
        <v>33</v>
      </c>
      <c r="F1593" t="s">
        <v>4</v>
      </c>
    </row>
    <row r="1594" spans="1:6">
      <c r="A1594">
        <v>20201024</v>
      </c>
      <c r="B1594">
        <v>126.92050639999999</v>
      </c>
      <c r="C1594">
        <v>37.418606500000003</v>
      </c>
      <c r="D1594" t="s">
        <v>164</v>
      </c>
      <c r="E1594">
        <v>35</v>
      </c>
      <c r="F1594" t="s">
        <v>4</v>
      </c>
    </row>
    <row r="1595" spans="1:6">
      <c r="A1595">
        <v>20201024</v>
      </c>
      <c r="B1595">
        <v>126.92050639999999</v>
      </c>
      <c r="C1595">
        <v>37.418606500000003</v>
      </c>
      <c r="D1595" t="s">
        <v>207</v>
      </c>
      <c r="E1595">
        <v>475</v>
      </c>
      <c r="F1595" t="s">
        <v>4</v>
      </c>
    </row>
    <row r="1596" spans="1:6">
      <c r="A1596">
        <v>20201024</v>
      </c>
      <c r="B1596">
        <v>126.92050639999999</v>
      </c>
      <c r="C1596">
        <v>37.418606500000003</v>
      </c>
      <c r="D1596" t="s">
        <v>220</v>
      </c>
      <c r="E1596">
        <v>352</v>
      </c>
      <c r="F1596" t="s">
        <v>4</v>
      </c>
    </row>
    <row r="1597" spans="1:6">
      <c r="A1597">
        <v>20201024</v>
      </c>
      <c r="B1597">
        <v>126.92050639999999</v>
      </c>
      <c r="C1597">
        <v>37.418606500000003</v>
      </c>
      <c r="D1597" t="s">
        <v>74</v>
      </c>
      <c r="E1597">
        <v>751</v>
      </c>
      <c r="F1597" t="s">
        <v>4</v>
      </c>
    </row>
    <row r="1598" spans="1:6">
      <c r="A1598">
        <v>20201024</v>
      </c>
      <c r="B1598">
        <v>126.92050639999999</v>
      </c>
      <c r="C1598">
        <v>37.418606500000003</v>
      </c>
      <c r="D1598" t="s">
        <v>137</v>
      </c>
      <c r="E1598">
        <v>471</v>
      </c>
      <c r="F1598" t="s">
        <v>4</v>
      </c>
    </row>
    <row r="1599" spans="1:6">
      <c r="A1599">
        <v>20201024</v>
      </c>
      <c r="B1599">
        <v>126.92050639999999</v>
      </c>
      <c r="C1599">
        <v>37.418606500000003</v>
      </c>
      <c r="D1599" t="s">
        <v>138</v>
      </c>
      <c r="E1599">
        <v>731</v>
      </c>
      <c r="F1599" t="s">
        <v>4</v>
      </c>
    </row>
    <row r="1600" spans="1:6">
      <c r="A1600">
        <v>20201024</v>
      </c>
      <c r="B1600">
        <v>126.8772417</v>
      </c>
      <c r="C1600">
        <v>37.474826299999997</v>
      </c>
      <c r="D1600" t="s">
        <v>211</v>
      </c>
      <c r="E1600">
        <v>116</v>
      </c>
      <c r="F1600" t="s">
        <v>4</v>
      </c>
    </row>
    <row r="1601" spans="1:6">
      <c r="A1601">
        <v>20201024</v>
      </c>
      <c r="B1601">
        <v>126.92050639999999</v>
      </c>
      <c r="C1601">
        <v>37.418606500000003</v>
      </c>
      <c r="D1601" t="s">
        <v>158</v>
      </c>
      <c r="E1601">
        <v>1685</v>
      </c>
      <c r="F1601" t="s">
        <v>4</v>
      </c>
    </row>
    <row r="1602" spans="1:6">
      <c r="A1602">
        <v>20201024</v>
      </c>
      <c r="B1602">
        <v>126.8446659</v>
      </c>
      <c r="C1602">
        <v>37.420618699999999</v>
      </c>
      <c r="D1602" t="s">
        <v>213</v>
      </c>
      <c r="E1602">
        <v>10</v>
      </c>
      <c r="F1602" t="s">
        <v>4</v>
      </c>
    </row>
    <row r="1603" spans="1:6">
      <c r="A1603">
        <v>20201024</v>
      </c>
      <c r="B1603">
        <v>126.92050639999999</v>
      </c>
      <c r="C1603">
        <v>37.418606500000003</v>
      </c>
      <c r="D1603" t="s">
        <v>219</v>
      </c>
      <c r="E1603">
        <v>20168</v>
      </c>
      <c r="F1603" t="s">
        <v>4</v>
      </c>
    </row>
    <row r="1604" spans="1:6">
      <c r="A1604">
        <v>20201024</v>
      </c>
      <c r="B1604">
        <v>126.92050639999999</v>
      </c>
      <c r="C1604">
        <v>37.418606500000003</v>
      </c>
      <c r="D1604" t="s">
        <v>147</v>
      </c>
      <c r="E1604">
        <v>26972</v>
      </c>
      <c r="F1604" t="s">
        <v>4</v>
      </c>
    </row>
    <row r="1605" spans="1:6">
      <c r="A1605">
        <v>20201024</v>
      </c>
      <c r="B1605">
        <v>126.92050639999999</v>
      </c>
      <c r="C1605">
        <v>37.418606500000003</v>
      </c>
      <c r="D1605" t="s">
        <v>89</v>
      </c>
      <c r="E1605">
        <v>34617</v>
      </c>
      <c r="F1605" t="s">
        <v>4</v>
      </c>
    </row>
    <row r="1606" spans="1:6">
      <c r="A1606">
        <v>20201024</v>
      </c>
      <c r="B1606">
        <v>126.92050639999999</v>
      </c>
      <c r="C1606">
        <v>37.418606500000003</v>
      </c>
      <c r="D1606" t="s">
        <v>175</v>
      </c>
      <c r="E1606">
        <v>44976</v>
      </c>
      <c r="F1606" t="s">
        <v>4</v>
      </c>
    </row>
    <row r="1607" spans="1:6">
      <c r="A1607">
        <v>20201024</v>
      </c>
      <c r="B1607">
        <v>126.9350989</v>
      </c>
      <c r="C1607">
        <v>37.419096199999998</v>
      </c>
      <c r="D1607" t="s">
        <v>87</v>
      </c>
      <c r="E1607">
        <v>18</v>
      </c>
      <c r="F1607" t="s">
        <v>4</v>
      </c>
    </row>
    <row r="1608" spans="1:6">
      <c r="A1608">
        <v>20201024</v>
      </c>
      <c r="B1608">
        <v>126.8343934</v>
      </c>
      <c r="C1608">
        <v>37.4648574</v>
      </c>
      <c r="D1608" t="s">
        <v>213</v>
      </c>
      <c r="E1608">
        <v>16</v>
      </c>
      <c r="F1608" t="s">
        <v>4</v>
      </c>
    </row>
    <row r="1609" spans="1:6">
      <c r="A1609">
        <v>20201024</v>
      </c>
      <c r="B1609">
        <v>126.9350989</v>
      </c>
      <c r="C1609">
        <v>37.419096199999998</v>
      </c>
      <c r="D1609" t="s">
        <v>158</v>
      </c>
      <c r="E1609">
        <v>106</v>
      </c>
      <c r="F1609" t="s">
        <v>4</v>
      </c>
    </row>
    <row r="1610" spans="1:6">
      <c r="A1610">
        <v>20201024</v>
      </c>
      <c r="B1610">
        <v>126.9070155</v>
      </c>
      <c r="C1610">
        <v>37.385953200000003</v>
      </c>
      <c r="D1610" t="s">
        <v>223</v>
      </c>
      <c r="E1610">
        <v>31</v>
      </c>
      <c r="F1610" t="s">
        <v>4</v>
      </c>
    </row>
    <row r="1611" spans="1:6">
      <c r="A1611">
        <v>20201024</v>
      </c>
      <c r="B1611">
        <v>126.9350989</v>
      </c>
      <c r="C1611">
        <v>37.419096199999998</v>
      </c>
      <c r="D1611" t="s">
        <v>219</v>
      </c>
      <c r="E1611">
        <v>393</v>
      </c>
      <c r="F1611" t="s">
        <v>4</v>
      </c>
    </row>
    <row r="1612" spans="1:6">
      <c r="A1612">
        <v>20201024</v>
      </c>
      <c r="B1612">
        <v>126.9350989</v>
      </c>
      <c r="C1612">
        <v>37.419096199999998</v>
      </c>
      <c r="D1612" t="s">
        <v>216</v>
      </c>
      <c r="E1612">
        <v>457</v>
      </c>
      <c r="F1612" t="s">
        <v>4</v>
      </c>
    </row>
    <row r="1613" spans="1:6">
      <c r="A1613">
        <v>20201024</v>
      </c>
      <c r="B1613">
        <v>126.9350989</v>
      </c>
      <c r="C1613">
        <v>37.419096199999998</v>
      </c>
      <c r="D1613" t="s">
        <v>76</v>
      </c>
      <c r="E1613">
        <v>544</v>
      </c>
      <c r="F1613" t="s">
        <v>4</v>
      </c>
    </row>
    <row r="1614" spans="1:6">
      <c r="A1614">
        <v>20201024</v>
      </c>
      <c r="B1614">
        <v>126.9350989</v>
      </c>
      <c r="C1614">
        <v>37.419096199999998</v>
      </c>
      <c r="D1614" t="s">
        <v>56</v>
      </c>
      <c r="E1614">
        <v>985</v>
      </c>
      <c r="F1614" t="s">
        <v>4</v>
      </c>
    </row>
    <row r="1615" spans="1:6">
      <c r="A1615">
        <v>20201024</v>
      </c>
      <c r="B1615">
        <v>126.9350989</v>
      </c>
      <c r="C1615">
        <v>37.419096199999998</v>
      </c>
      <c r="D1615" t="s">
        <v>72</v>
      </c>
      <c r="E1615">
        <v>747</v>
      </c>
      <c r="F1615" t="s">
        <v>4</v>
      </c>
    </row>
    <row r="1616" spans="1:6">
      <c r="A1616">
        <v>20201024</v>
      </c>
      <c r="B1616">
        <v>126.9350989</v>
      </c>
      <c r="C1616">
        <v>37.419096199999998</v>
      </c>
      <c r="D1616" t="s">
        <v>207</v>
      </c>
      <c r="E1616">
        <v>1280</v>
      </c>
      <c r="F1616" t="s">
        <v>4</v>
      </c>
    </row>
    <row r="1617" spans="1:8">
      <c r="A1617">
        <v>20201024</v>
      </c>
      <c r="B1617">
        <v>126.9350989</v>
      </c>
      <c r="C1617">
        <v>37.419096199999998</v>
      </c>
      <c r="D1617" t="s">
        <v>64</v>
      </c>
      <c r="E1617">
        <v>1266</v>
      </c>
      <c r="F1617" t="s">
        <v>4</v>
      </c>
      <c r="H1617" s="2"/>
    </row>
    <row r="1618" spans="1:8">
      <c r="A1618">
        <v>20201024</v>
      </c>
      <c r="B1618">
        <v>126.9350989</v>
      </c>
      <c r="C1618">
        <v>37.419096199999998</v>
      </c>
      <c r="D1618" t="s">
        <v>170</v>
      </c>
      <c r="E1618">
        <v>5726</v>
      </c>
      <c r="F1618" t="s">
        <v>4</v>
      </c>
    </row>
    <row r="1619" spans="1:8">
      <c r="A1619">
        <v>20201024</v>
      </c>
      <c r="B1619">
        <v>126.9350989</v>
      </c>
      <c r="C1619">
        <v>37.419096199999998</v>
      </c>
      <c r="D1619" t="s">
        <v>89</v>
      </c>
      <c r="E1619">
        <v>12460</v>
      </c>
      <c r="F1619" t="s">
        <v>4</v>
      </c>
    </row>
    <row r="1620" spans="1:8">
      <c r="A1620">
        <v>20201024</v>
      </c>
      <c r="B1620">
        <v>126.9350989</v>
      </c>
      <c r="C1620">
        <v>37.419096199999998</v>
      </c>
      <c r="D1620" t="s">
        <v>147</v>
      </c>
      <c r="E1620">
        <v>134639</v>
      </c>
      <c r="F1620" t="s">
        <v>4</v>
      </c>
    </row>
    <row r="1621" spans="1:8">
      <c r="A1621">
        <v>20201024</v>
      </c>
      <c r="B1621">
        <v>126.9187098</v>
      </c>
      <c r="C1621">
        <v>37.431417699999997</v>
      </c>
      <c r="D1621" t="s">
        <v>56</v>
      </c>
      <c r="E1621">
        <v>11</v>
      </c>
      <c r="F1621" t="s">
        <v>4</v>
      </c>
    </row>
    <row r="1622" spans="1:8">
      <c r="A1622">
        <v>20201024</v>
      </c>
      <c r="B1622">
        <v>126.9187098</v>
      </c>
      <c r="C1622">
        <v>37.431417699999997</v>
      </c>
      <c r="D1622" t="s">
        <v>151</v>
      </c>
      <c r="E1622">
        <v>336</v>
      </c>
      <c r="F1622" t="s">
        <v>4</v>
      </c>
    </row>
    <row r="1623" spans="1:8">
      <c r="A1623">
        <v>20201024</v>
      </c>
      <c r="B1623">
        <v>126.9187098</v>
      </c>
      <c r="C1623">
        <v>37.431417699999997</v>
      </c>
      <c r="D1623" t="s">
        <v>158</v>
      </c>
      <c r="E1623">
        <v>599</v>
      </c>
      <c r="F1623" t="s">
        <v>4</v>
      </c>
    </row>
    <row r="1624" spans="1:8">
      <c r="A1624">
        <v>20201024</v>
      </c>
      <c r="B1624">
        <v>126.9187098</v>
      </c>
      <c r="C1624">
        <v>37.431417699999997</v>
      </c>
      <c r="D1624" t="s">
        <v>130</v>
      </c>
      <c r="E1624">
        <v>4031</v>
      </c>
      <c r="F1624" t="s">
        <v>4</v>
      </c>
    </row>
    <row r="1625" spans="1:8">
      <c r="A1625">
        <v>20201024</v>
      </c>
      <c r="B1625">
        <v>126.9187098</v>
      </c>
      <c r="C1625">
        <v>37.431417699999997</v>
      </c>
      <c r="D1625" t="s">
        <v>137</v>
      </c>
      <c r="E1625">
        <v>2606</v>
      </c>
      <c r="F1625" t="s">
        <v>4</v>
      </c>
    </row>
    <row r="1626" spans="1:8">
      <c r="A1626">
        <v>20201024</v>
      </c>
      <c r="B1626">
        <v>126.9187098</v>
      </c>
      <c r="C1626">
        <v>37.431417699999997</v>
      </c>
      <c r="D1626" t="s">
        <v>134</v>
      </c>
      <c r="E1626">
        <v>5583</v>
      </c>
      <c r="F1626" t="s">
        <v>4</v>
      </c>
    </row>
    <row r="1627" spans="1:8">
      <c r="A1627">
        <v>20201024</v>
      </c>
      <c r="B1627">
        <v>126.9187098</v>
      </c>
      <c r="C1627">
        <v>37.431417699999997</v>
      </c>
      <c r="D1627" t="s">
        <v>147</v>
      </c>
      <c r="E1627">
        <v>2745</v>
      </c>
      <c r="F1627" t="s">
        <v>4</v>
      </c>
    </row>
    <row r="1628" spans="1:8">
      <c r="A1628">
        <v>20201024</v>
      </c>
      <c r="B1628">
        <v>126.9187098</v>
      </c>
      <c r="C1628">
        <v>37.431417699999997</v>
      </c>
      <c r="D1628" t="s">
        <v>175</v>
      </c>
      <c r="E1628">
        <v>3234</v>
      </c>
      <c r="F1628" t="s">
        <v>4</v>
      </c>
    </row>
    <row r="1629" spans="1:8">
      <c r="A1629">
        <v>20201024</v>
      </c>
      <c r="B1629">
        <v>126.9187098</v>
      </c>
      <c r="C1629">
        <v>37.431417699999997</v>
      </c>
      <c r="D1629" t="s">
        <v>87</v>
      </c>
      <c r="E1629">
        <v>17736</v>
      </c>
      <c r="F1629" t="s">
        <v>4</v>
      </c>
    </row>
    <row r="1630" spans="1:8">
      <c r="A1630">
        <v>20201024</v>
      </c>
      <c r="B1630">
        <v>126.9187098</v>
      </c>
      <c r="C1630">
        <v>37.431417699999997</v>
      </c>
      <c r="D1630" t="s">
        <v>219</v>
      </c>
      <c r="E1630">
        <v>34906</v>
      </c>
      <c r="F1630" t="s">
        <v>4</v>
      </c>
    </row>
    <row r="1631" spans="1:8">
      <c r="A1631">
        <v>20201024</v>
      </c>
      <c r="B1631">
        <v>126.9187098</v>
      </c>
      <c r="C1631">
        <v>37.431417699999997</v>
      </c>
      <c r="D1631" t="s">
        <v>207</v>
      </c>
      <c r="E1631">
        <v>38408</v>
      </c>
      <c r="F1631" t="s">
        <v>4</v>
      </c>
    </row>
    <row r="1632" spans="1:8">
      <c r="A1632">
        <v>20201024</v>
      </c>
      <c r="B1632">
        <v>126.8343934</v>
      </c>
      <c r="C1632">
        <v>37.4648574</v>
      </c>
      <c r="D1632" t="s">
        <v>172</v>
      </c>
      <c r="E1632">
        <v>27</v>
      </c>
      <c r="F1632" t="s">
        <v>4</v>
      </c>
    </row>
    <row r="1633" spans="1:6">
      <c r="A1633">
        <v>20201024</v>
      </c>
      <c r="B1633">
        <v>126.8343934</v>
      </c>
      <c r="C1633">
        <v>37.4648574</v>
      </c>
      <c r="D1633" t="s">
        <v>150</v>
      </c>
      <c r="E1633">
        <v>94</v>
      </c>
      <c r="F1633" t="s">
        <v>4</v>
      </c>
    </row>
    <row r="1634" spans="1:6">
      <c r="A1634">
        <v>20201024</v>
      </c>
      <c r="B1634">
        <v>126.8343934</v>
      </c>
      <c r="C1634">
        <v>37.4648574</v>
      </c>
      <c r="D1634" t="s">
        <v>138</v>
      </c>
      <c r="E1634">
        <v>49</v>
      </c>
      <c r="F1634" t="s">
        <v>4</v>
      </c>
    </row>
    <row r="1635" spans="1:6">
      <c r="A1635">
        <v>20201024</v>
      </c>
      <c r="B1635">
        <v>126.8343934</v>
      </c>
      <c r="C1635">
        <v>37.4648574</v>
      </c>
      <c r="D1635" t="s">
        <v>220</v>
      </c>
      <c r="E1635">
        <v>64</v>
      </c>
      <c r="F1635" t="s">
        <v>4</v>
      </c>
    </row>
    <row r="1636" spans="1:6">
      <c r="A1636">
        <v>20201024</v>
      </c>
      <c r="B1636">
        <v>126.8343934</v>
      </c>
      <c r="C1636">
        <v>37.4648574</v>
      </c>
      <c r="D1636" t="s">
        <v>114</v>
      </c>
      <c r="E1636">
        <v>121</v>
      </c>
      <c r="F1636" t="s">
        <v>4</v>
      </c>
    </row>
    <row r="1637" spans="1:6">
      <c r="A1637">
        <v>20201024</v>
      </c>
      <c r="B1637">
        <v>126.8343934</v>
      </c>
      <c r="C1637">
        <v>37.4648574</v>
      </c>
      <c r="D1637" t="s">
        <v>199</v>
      </c>
      <c r="E1637">
        <v>128</v>
      </c>
      <c r="F1637" t="s">
        <v>4</v>
      </c>
    </row>
    <row r="1638" spans="1:6">
      <c r="A1638">
        <v>20201024</v>
      </c>
      <c r="B1638">
        <v>126.8343934</v>
      </c>
      <c r="C1638">
        <v>37.4648574</v>
      </c>
      <c r="D1638" t="s">
        <v>218</v>
      </c>
      <c r="E1638">
        <v>188</v>
      </c>
      <c r="F1638" t="s">
        <v>4</v>
      </c>
    </row>
    <row r="1639" spans="1:6">
      <c r="A1639">
        <v>20201024</v>
      </c>
      <c r="B1639">
        <v>126.8343934</v>
      </c>
      <c r="C1639">
        <v>37.4648574</v>
      </c>
      <c r="D1639" t="s">
        <v>76</v>
      </c>
      <c r="E1639">
        <v>183</v>
      </c>
      <c r="F1639" t="s">
        <v>4</v>
      </c>
    </row>
    <row r="1640" spans="1:6">
      <c r="A1640">
        <v>20201024</v>
      </c>
      <c r="B1640">
        <v>126.8343934</v>
      </c>
      <c r="C1640">
        <v>37.4648574</v>
      </c>
      <c r="D1640" t="s">
        <v>146</v>
      </c>
      <c r="E1640">
        <v>199</v>
      </c>
      <c r="F1640" t="s">
        <v>4</v>
      </c>
    </row>
    <row r="1641" spans="1:6">
      <c r="A1641">
        <v>20201024</v>
      </c>
      <c r="B1641">
        <v>126.8343934</v>
      </c>
      <c r="C1641">
        <v>37.4648574</v>
      </c>
      <c r="D1641" t="s">
        <v>155</v>
      </c>
      <c r="E1641">
        <v>193</v>
      </c>
      <c r="F1641" t="s">
        <v>4</v>
      </c>
    </row>
    <row r="1642" spans="1:6">
      <c r="A1642">
        <v>20201024</v>
      </c>
      <c r="B1642">
        <v>126.8343934</v>
      </c>
      <c r="C1642">
        <v>37.4648574</v>
      </c>
      <c r="D1642" t="s">
        <v>166</v>
      </c>
      <c r="E1642">
        <v>239</v>
      </c>
      <c r="F1642" t="s">
        <v>4</v>
      </c>
    </row>
    <row r="1643" spans="1:6">
      <c r="A1643">
        <v>20201024</v>
      </c>
      <c r="B1643">
        <v>126.8343934</v>
      </c>
      <c r="C1643">
        <v>37.4648574</v>
      </c>
      <c r="D1643" t="s">
        <v>34</v>
      </c>
      <c r="E1643">
        <v>404</v>
      </c>
      <c r="F1643" t="s">
        <v>4</v>
      </c>
    </row>
    <row r="1644" spans="1:6">
      <c r="A1644">
        <v>20201024</v>
      </c>
      <c r="B1644">
        <v>126.8343934</v>
      </c>
      <c r="C1644">
        <v>37.4648574</v>
      </c>
      <c r="D1644" t="s">
        <v>216</v>
      </c>
      <c r="E1644">
        <v>770</v>
      </c>
      <c r="F1644" t="s">
        <v>4</v>
      </c>
    </row>
    <row r="1645" spans="1:6">
      <c r="A1645">
        <v>20201024</v>
      </c>
      <c r="B1645">
        <v>126.8343934</v>
      </c>
      <c r="C1645">
        <v>37.4648574</v>
      </c>
      <c r="D1645" t="s">
        <v>147</v>
      </c>
      <c r="E1645">
        <v>723</v>
      </c>
      <c r="F1645" t="s">
        <v>4</v>
      </c>
    </row>
    <row r="1646" spans="1:6">
      <c r="A1646">
        <v>20201024</v>
      </c>
      <c r="B1646">
        <v>126.8343934</v>
      </c>
      <c r="C1646">
        <v>37.4648574</v>
      </c>
      <c r="D1646" t="s">
        <v>56</v>
      </c>
      <c r="E1646">
        <v>552</v>
      </c>
      <c r="F1646" t="s">
        <v>4</v>
      </c>
    </row>
    <row r="1647" spans="1:6">
      <c r="A1647">
        <v>20201024</v>
      </c>
      <c r="B1647">
        <v>126.8343934</v>
      </c>
      <c r="C1647">
        <v>37.4648574</v>
      </c>
      <c r="D1647" t="s">
        <v>78</v>
      </c>
      <c r="E1647">
        <v>821</v>
      </c>
      <c r="F1647" t="s">
        <v>4</v>
      </c>
    </row>
    <row r="1648" spans="1:6">
      <c r="A1648">
        <v>20201024</v>
      </c>
      <c r="B1648">
        <v>126.8343934</v>
      </c>
      <c r="C1648">
        <v>37.4648574</v>
      </c>
      <c r="D1648" t="s">
        <v>130</v>
      </c>
      <c r="E1648">
        <v>978</v>
      </c>
      <c r="F1648" t="s">
        <v>4</v>
      </c>
    </row>
    <row r="1649" spans="1:6">
      <c r="A1649">
        <v>20201024</v>
      </c>
      <c r="B1649">
        <v>126.8343934</v>
      </c>
      <c r="C1649">
        <v>37.4648574</v>
      </c>
      <c r="D1649" t="s">
        <v>137</v>
      </c>
      <c r="E1649">
        <v>945</v>
      </c>
      <c r="F1649" t="s">
        <v>4</v>
      </c>
    </row>
    <row r="1650" spans="1:6">
      <c r="A1650">
        <v>20201024</v>
      </c>
      <c r="B1650">
        <v>126.8343934</v>
      </c>
      <c r="C1650">
        <v>37.4648574</v>
      </c>
      <c r="D1650" t="s">
        <v>215</v>
      </c>
      <c r="E1650">
        <v>873</v>
      </c>
      <c r="F1650" t="s">
        <v>4</v>
      </c>
    </row>
    <row r="1651" spans="1:6">
      <c r="A1651">
        <v>20201024</v>
      </c>
      <c r="B1651">
        <v>126.8343934</v>
      </c>
      <c r="C1651">
        <v>37.4648574</v>
      </c>
      <c r="D1651" t="s">
        <v>195</v>
      </c>
      <c r="E1651">
        <v>945</v>
      </c>
      <c r="F1651" t="s">
        <v>4</v>
      </c>
    </row>
    <row r="1652" spans="1:6">
      <c r="A1652">
        <v>20201024</v>
      </c>
      <c r="B1652">
        <v>126.8343934</v>
      </c>
      <c r="C1652">
        <v>37.4648574</v>
      </c>
      <c r="D1652" t="s">
        <v>134</v>
      </c>
      <c r="E1652">
        <v>1360</v>
      </c>
      <c r="F1652" t="s">
        <v>4</v>
      </c>
    </row>
    <row r="1653" spans="1:6">
      <c r="A1653">
        <v>20201024</v>
      </c>
      <c r="B1653">
        <v>126.8343934</v>
      </c>
      <c r="C1653">
        <v>37.4648574</v>
      </c>
      <c r="D1653" t="s">
        <v>158</v>
      </c>
      <c r="E1653">
        <v>1186</v>
      </c>
      <c r="F1653" t="s">
        <v>4</v>
      </c>
    </row>
    <row r="1654" spans="1:6">
      <c r="A1654">
        <v>20201024</v>
      </c>
      <c r="B1654">
        <v>126.8343934</v>
      </c>
      <c r="C1654">
        <v>37.4648574</v>
      </c>
      <c r="D1654" t="s">
        <v>181</v>
      </c>
      <c r="E1654">
        <v>1252</v>
      </c>
      <c r="F1654" t="s">
        <v>4</v>
      </c>
    </row>
    <row r="1655" spans="1:6">
      <c r="A1655">
        <v>20201024</v>
      </c>
      <c r="B1655">
        <v>126.8343934</v>
      </c>
      <c r="C1655">
        <v>37.4648574</v>
      </c>
      <c r="D1655" t="s">
        <v>186</v>
      </c>
      <c r="E1655">
        <v>1403</v>
      </c>
      <c r="F1655" t="s">
        <v>4</v>
      </c>
    </row>
    <row r="1656" spans="1:6">
      <c r="A1656">
        <v>20201024</v>
      </c>
      <c r="B1656">
        <v>126.8343934</v>
      </c>
      <c r="C1656">
        <v>37.4648574</v>
      </c>
      <c r="D1656" t="s">
        <v>68</v>
      </c>
      <c r="E1656">
        <v>1399</v>
      </c>
      <c r="F1656" t="s">
        <v>4</v>
      </c>
    </row>
    <row r="1657" spans="1:6">
      <c r="A1657">
        <v>20201024</v>
      </c>
      <c r="B1657">
        <v>126.8343934</v>
      </c>
      <c r="C1657">
        <v>37.4648574</v>
      </c>
      <c r="D1657" t="s">
        <v>151</v>
      </c>
      <c r="E1657">
        <v>1655</v>
      </c>
      <c r="F1657" t="s">
        <v>4</v>
      </c>
    </row>
    <row r="1658" spans="1:6">
      <c r="A1658">
        <v>20201024</v>
      </c>
      <c r="B1658">
        <v>126.8343934</v>
      </c>
      <c r="C1658">
        <v>37.4648574</v>
      </c>
      <c r="D1658" t="s">
        <v>219</v>
      </c>
      <c r="E1658">
        <v>7162</v>
      </c>
      <c r="F1658" t="s">
        <v>4</v>
      </c>
    </row>
    <row r="1659" spans="1:6">
      <c r="A1659">
        <v>20201024</v>
      </c>
      <c r="B1659">
        <v>126.8343934</v>
      </c>
      <c r="C1659">
        <v>37.4648574</v>
      </c>
      <c r="D1659" t="s">
        <v>64</v>
      </c>
      <c r="E1659">
        <v>11746</v>
      </c>
      <c r="F1659" t="s">
        <v>4</v>
      </c>
    </row>
    <row r="1660" spans="1:6">
      <c r="A1660">
        <v>20201024</v>
      </c>
      <c r="B1660">
        <v>126.8343934</v>
      </c>
      <c r="C1660">
        <v>37.4648574</v>
      </c>
      <c r="D1660" t="s">
        <v>175</v>
      </c>
      <c r="E1660">
        <v>14499</v>
      </c>
      <c r="F1660" t="s">
        <v>4</v>
      </c>
    </row>
    <row r="1661" spans="1:6">
      <c r="A1661">
        <v>20201024</v>
      </c>
      <c r="B1661">
        <v>126.8343934</v>
      </c>
      <c r="C1661">
        <v>37.4648574</v>
      </c>
      <c r="D1661" t="s">
        <v>87</v>
      </c>
      <c r="E1661">
        <v>48077</v>
      </c>
      <c r="F1661" t="s">
        <v>4</v>
      </c>
    </row>
    <row r="1662" spans="1:6">
      <c r="A1662">
        <v>20201024</v>
      </c>
      <c r="B1662">
        <v>126.8343934</v>
      </c>
      <c r="C1662">
        <v>37.4648574</v>
      </c>
      <c r="D1662" t="s">
        <v>207</v>
      </c>
      <c r="E1662">
        <v>50579</v>
      </c>
      <c r="F1662" t="s">
        <v>4</v>
      </c>
    </row>
    <row r="1663" spans="1:6">
      <c r="A1663">
        <v>20201024</v>
      </c>
      <c r="B1663">
        <v>126.9506027</v>
      </c>
      <c r="C1663">
        <v>37.400644700000001</v>
      </c>
      <c r="D1663" t="s">
        <v>223</v>
      </c>
      <c r="E1663">
        <v>394</v>
      </c>
      <c r="F1663" t="s">
        <v>4</v>
      </c>
    </row>
    <row r="1664" spans="1:6">
      <c r="A1664">
        <v>20201024</v>
      </c>
      <c r="B1664">
        <v>126.970473</v>
      </c>
      <c r="C1664">
        <v>37.401905599999999</v>
      </c>
      <c r="D1664" t="s">
        <v>60</v>
      </c>
      <c r="E1664">
        <v>11</v>
      </c>
      <c r="F1664" t="s">
        <v>4</v>
      </c>
    </row>
    <row r="1665" spans="1:6">
      <c r="A1665">
        <v>20201024</v>
      </c>
      <c r="B1665">
        <v>126.970473</v>
      </c>
      <c r="C1665">
        <v>37.401905599999999</v>
      </c>
      <c r="D1665" t="s">
        <v>199</v>
      </c>
      <c r="E1665">
        <v>14</v>
      </c>
      <c r="F1665" t="s">
        <v>4</v>
      </c>
    </row>
    <row r="1666" spans="1:6">
      <c r="A1666">
        <v>20201024</v>
      </c>
      <c r="B1666">
        <v>126.970473</v>
      </c>
      <c r="C1666">
        <v>37.401905599999999</v>
      </c>
      <c r="D1666" t="s">
        <v>22</v>
      </c>
      <c r="E1666">
        <v>33</v>
      </c>
      <c r="F1666" t="s">
        <v>4</v>
      </c>
    </row>
    <row r="1667" spans="1:6">
      <c r="A1667">
        <v>20200916</v>
      </c>
      <c r="B1667">
        <v>126.9866722</v>
      </c>
      <c r="C1667">
        <v>37.398721700000003</v>
      </c>
      <c r="D1667" t="s">
        <v>223</v>
      </c>
      <c r="E1667">
        <v>91</v>
      </c>
      <c r="F1667" t="s">
        <v>4</v>
      </c>
    </row>
    <row r="1668" spans="1:6">
      <c r="A1668">
        <v>20201024</v>
      </c>
      <c r="B1668">
        <v>126.970473</v>
      </c>
      <c r="C1668">
        <v>37.401905599999999</v>
      </c>
      <c r="D1668" t="s">
        <v>158</v>
      </c>
      <c r="E1668">
        <v>54</v>
      </c>
      <c r="F1668" t="s">
        <v>4</v>
      </c>
    </row>
    <row r="1669" spans="1:6">
      <c r="A1669">
        <v>20201024</v>
      </c>
      <c r="B1669">
        <v>126.970473</v>
      </c>
      <c r="C1669">
        <v>37.401905599999999</v>
      </c>
      <c r="D1669" t="s">
        <v>130</v>
      </c>
      <c r="E1669">
        <v>263</v>
      </c>
      <c r="F1669" t="s">
        <v>4</v>
      </c>
    </row>
    <row r="1670" spans="1:6">
      <c r="A1670">
        <v>20201024</v>
      </c>
      <c r="B1670">
        <v>126.970473</v>
      </c>
      <c r="C1670">
        <v>37.401905599999999</v>
      </c>
      <c r="D1670" t="s">
        <v>34</v>
      </c>
      <c r="E1670">
        <v>159</v>
      </c>
      <c r="F1670" t="s">
        <v>4</v>
      </c>
    </row>
    <row r="1671" spans="1:6">
      <c r="A1671">
        <v>20201024</v>
      </c>
      <c r="B1671">
        <v>126.970473</v>
      </c>
      <c r="C1671">
        <v>37.401905599999999</v>
      </c>
      <c r="D1671" t="s">
        <v>198</v>
      </c>
      <c r="E1671">
        <v>210</v>
      </c>
      <c r="F1671" t="s">
        <v>4</v>
      </c>
    </row>
    <row r="1672" spans="1:6">
      <c r="A1672">
        <v>20201024</v>
      </c>
      <c r="B1672">
        <v>126.970473</v>
      </c>
      <c r="C1672">
        <v>37.401905599999999</v>
      </c>
      <c r="D1672" t="s">
        <v>151</v>
      </c>
      <c r="E1672">
        <v>257</v>
      </c>
      <c r="F1672" t="s">
        <v>4</v>
      </c>
    </row>
    <row r="1673" spans="1:6">
      <c r="A1673">
        <v>20201024</v>
      </c>
      <c r="B1673">
        <v>126.970473</v>
      </c>
      <c r="C1673">
        <v>37.401905599999999</v>
      </c>
      <c r="D1673" t="s">
        <v>170</v>
      </c>
      <c r="E1673">
        <v>386</v>
      </c>
      <c r="F1673" t="s">
        <v>4</v>
      </c>
    </row>
    <row r="1674" spans="1:6">
      <c r="A1674">
        <v>20201024</v>
      </c>
      <c r="B1674">
        <v>126.970473</v>
      </c>
      <c r="C1674">
        <v>37.401905599999999</v>
      </c>
      <c r="D1674" t="s">
        <v>195</v>
      </c>
      <c r="E1674">
        <v>1253</v>
      </c>
      <c r="F1674" t="s">
        <v>4</v>
      </c>
    </row>
    <row r="1675" spans="1:6">
      <c r="A1675">
        <v>20201024</v>
      </c>
      <c r="B1675">
        <v>126.970473</v>
      </c>
      <c r="C1675">
        <v>37.401905599999999</v>
      </c>
      <c r="D1675" t="s">
        <v>68</v>
      </c>
      <c r="E1675">
        <v>844</v>
      </c>
      <c r="F1675" t="s">
        <v>4</v>
      </c>
    </row>
    <row r="1676" spans="1:6">
      <c r="A1676">
        <v>20201024</v>
      </c>
      <c r="B1676">
        <v>126.970473</v>
      </c>
      <c r="C1676">
        <v>37.401905599999999</v>
      </c>
      <c r="D1676" t="s">
        <v>109</v>
      </c>
      <c r="E1676">
        <v>899</v>
      </c>
      <c r="F1676" t="s">
        <v>4</v>
      </c>
    </row>
    <row r="1677" spans="1:6">
      <c r="A1677">
        <v>20201024</v>
      </c>
      <c r="B1677">
        <v>126.970473</v>
      </c>
      <c r="C1677">
        <v>37.401905599999999</v>
      </c>
      <c r="D1677" t="s">
        <v>137</v>
      </c>
      <c r="E1677">
        <v>1208</v>
      </c>
      <c r="F1677" t="s">
        <v>4</v>
      </c>
    </row>
    <row r="1678" spans="1:6">
      <c r="A1678">
        <v>20201024</v>
      </c>
      <c r="B1678">
        <v>126.970473</v>
      </c>
      <c r="C1678">
        <v>37.401905599999999</v>
      </c>
      <c r="D1678" t="s">
        <v>155</v>
      </c>
      <c r="E1678">
        <v>1279</v>
      </c>
      <c r="F1678" t="s">
        <v>4</v>
      </c>
    </row>
    <row r="1679" spans="1:6">
      <c r="A1679">
        <v>20201024</v>
      </c>
      <c r="B1679">
        <v>126.970473</v>
      </c>
      <c r="C1679">
        <v>37.401905599999999</v>
      </c>
      <c r="D1679" t="s">
        <v>186</v>
      </c>
      <c r="E1679">
        <v>1339</v>
      </c>
      <c r="F1679" t="s">
        <v>4</v>
      </c>
    </row>
    <row r="1680" spans="1:6">
      <c r="A1680">
        <v>20201024</v>
      </c>
      <c r="B1680">
        <v>126.970473</v>
      </c>
      <c r="C1680">
        <v>37.401905599999999</v>
      </c>
      <c r="D1680" t="s">
        <v>76</v>
      </c>
      <c r="E1680">
        <v>1726</v>
      </c>
      <c r="F1680" t="s">
        <v>4</v>
      </c>
    </row>
    <row r="1681" spans="1:8">
      <c r="A1681">
        <v>20201024</v>
      </c>
      <c r="B1681">
        <v>126.970473</v>
      </c>
      <c r="C1681">
        <v>37.401905599999999</v>
      </c>
      <c r="D1681" t="s">
        <v>216</v>
      </c>
      <c r="E1681">
        <v>2341</v>
      </c>
      <c r="F1681" t="s">
        <v>4</v>
      </c>
    </row>
    <row r="1682" spans="1:8">
      <c r="A1682">
        <v>20201024</v>
      </c>
      <c r="B1682">
        <v>126.970473</v>
      </c>
      <c r="C1682">
        <v>37.401905599999999</v>
      </c>
      <c r="D1682" t="s">
        <v>64</v>
      </c>
      <c r="E1682">
        <v>2575</v>
      </c>
      <c r="F1682" t="s">
        <v>4</v>
      </c>
      <c r="H1682" s="2"/>
    </row>
    <row r="1683" spans="1:8">
      <c r="A1683">
        <v>20201024</v>
      </c>
      <c r="B1683">
        <v>126.970473</v>
      </c>
      <c r="C1683">
        <v>37.401905599999999</v>
      </c>
      <c r="D1683" t="s">
        <v>134</v>
      </c>
      <c r="E1683">
        <v>7443</v>
      </c>
      <c r="F1683" t="s">
        <v>4</v>
      </c>
    </row>
    <row r="1684" spans="1:8">
      <c r="A1684">
        <v>20201024</v>
      </c>
      <c r="B1684">
        <v>126.970473</v>
      </c>
      <c r="C1684">
        <v>37.401905599999999</v>
      </c>
      <c r="D1684" t="s">
        <v>56</v>
      </c>
      <c r="E1684">
        <v>6546</v>
      </c>
      <c r="F1684" t="s">
        <v>4</v>
      </c>
      <c r="H1684" s="8"/>
    </row>
    <row r="1685" spans="1:8">
      <c r="A1685">
        <v>20201024</v>
      </c>
      <c r="B1685">
        <v>126.970473</v>
      </c>
      <c r="C1685">
        <v>37.401905599999999</v>
      </c>
      <c r="D1685" t="s">
        <v>87</v>
      </c>
      <c r="E1685">
        <v>7378</v>
      </c>
      <c r="F1685" t="s">
        <v>4</v>
      </c>
    </row>
    <row r="1686" spans="1:8">
      <c r="A1686">
        <v>20201024</v>
      </c>
      <c r="B1686">
        <v>126.970473</v>
      </c>
      <c r="C1686">
        <v>37.401905599999999</v>
      </c>
      <c r="D1686" t="s">
        <v>175</v>
      </c>
      <c r="E1686">
        <v>15881</v>
      </c>
      <c r="F1686" t="s">
        <v>4</v>
      </c>
    </row>
    <row r="1687" spans="1:8">
      <c r="A1687">
        <v>20201024</v>
      </c>
      <c r="B1687">
        <v>126.970473</v>
      </c>
      <c r="C1687">
        <v>37.401905599999999</v>
      </c>
      <c r="D1687" t="s">
        <v>219</v>
      </c>
      <c r="E1687">
        <v>50288</v>
      </c>
      <c r="F1687" t="s">
        <v>4</v>
      </c>
    </row>
    <row r="1688" spans="1:8">
      <c r="A1688">
        <v>20201024</v>
      </c>
      <c r="B1688">
        <v>126.970473</v>
      </c>
      <c r="C1688">
        <v>37.401905599999999</v>
      </c>
      <c r="D1688" t="s">
        <v>207</v>
      </c>
      <c r="E1688">
        <v>39938</v>
      </c>
      <c r="F1688" t="s">
        <v>4</v>
      </c>
    </row>
    <row r="1689" spans="1:8">
      <c r="A1689">
        <v>20201024</v>
      </c>
      <c r="B1689">
        <v>126.9866722</v>
      </c>
      <c r="C1689">
        <v>37.398721700000003</v>
      </c>
      <c r="D1689" t="s">
        <v>220</v>
      </c>
      <c r="E1689">
        <v>15</v>
      </c>
      <c r="F1689" t="s">
        <v>4</v>
      </c>
    </row>
    <row r="1690" spans="1:8">
      <c r="A1690">
        <v>20201024</v>
      </c>
      <c r="B1690">
        <v>126.9070155</v>
      </c>
      <c r="C1690">
        <v>37.385953200000003</v>
      </c>
      <c r="D1690" t="s">
        <v>223</v>
      </c>
      <c r="E1690">
        <v>123</v>
      </c>
      <c r="F1690" t="s">
        <v>4</v>
      </c>
    </row>
    <row r="1691" spans="1:8">
      <c r="A1691">
        <v>20201024</v>
      </c>
      <c r="B1691">
        <v>126.9866722</v>
      </c>
      <c r="C1691">
        <v>37.398721700000003</v>
      </c>
      <c r="D1691" t="s">
        <v>150</v>
      </c>
      <c r="E1691">
        <v>19</v>
      </c>
      <c r="F1691" t="s">
        <v>4</v>
      </c>
    </row>
    <row r="1692" spans="1:8">
      <c r="A1692">
        <v>20201024</v>
      </c>
      <c r="B1692">
        <v>126.9866722</v>
      </c>
      <c r="C1692">
        <v>37.398721700000003</v>
      </c>
      <c r="D1692" t="s">
        <v>60</v>
      </c>
      <c r="E1692">
        <v>35</v>
      </c>
      <c r="F1692" t="s">
        <v>4</v>
      </c>
    </row>
    <row r="1693" spans="1:8">
      <c r="A1693">
        <v>20201024</v>
      </c>
      <c r="B1693">
        <v>126.9866722</v>
      </c>
      <c r="C1693">
        <v>37.398721700000003</v>
      </c>
      <c r="D1693" t="s">
        <v>43</v>
      </c>
      <c r="E1693">
        <v>55</v>
      </c>
      <c r="F1693" t="s">
        <v>4</v>
      </c>
    </row>
    <row r="1694" spans="1:8">
      <c r="A1694">
        <v>20201024</v>
      </c>
      <c r="B1694">
        <v>126.9866722</v>
      </c>
      <c r="C1694">
        <v>37.398721700000003</v>
      </c>
      <c r="D1694" t="s">
        <v>198</v>
      </c>
      <c r="E1694">
        <v>61</v>
      </c>
      <c r="F1694" t="s">
        <v>4</v>
      </c>
    </row>
    <row r="1695" spans="1:8">
      <c r="A1695">
        <v>20201024</v>
      </c>
      <c r="B1695">
        <v>126.9866722</v>
      </c>
      <c r="C1695">
        <v>37.398721700000003</v>
      </c>
      <c r="D1695" t="s">
        <v>158</v>
      </c>
      <c r="E1695">
        <v>64</v>
      </c>
      <c r="F1695" t="s">
        <v>4</v>
      </c>
    </row>
    <row r="1696" spans="1:8">
      <c r="A1696">
        <v>20201024</v>
      </c>
      <c r="B1696">
        <v>126.9866722</v>
      </c>
      <c r="C1696">
        <v>37.398721700000003</v>
      </c>
      <c r="D1696" t="s">
        <v>34</v>
      </c>
      <c r="E1696">
        <v>193</v>
      </c>
      <c r="F1696" t="s">
        <v>4</v>
      </c>
    </row>
    <row r="1697" spans="1:8">
      <c r="A1697">
        <v>20201024</v>
      </c>
      <c r="B1697">
        <v>126.9866722</v>
      </c>
      <c r="C1697">
        <v>37.398721700000003</v>
      </c>
      <c r="D1697" t="s">
        <v>76</v>
      </c>
      <c r="E1697">
        <v>327</v>
      </c>
      <c r="F1697" t="s">
        <v>4</v>
      </c>
    </row>
    <row r="1698" spans="1:8">
      <c r="A1698">
        <v>20201024</v>
      </c>
      <c r="B1698">
        <v>126.9866722</v>
      </c>
      <c r="C1698">
        <v>37.398721700000003</v>
      </c>
      <c r="D1698" t="s">
        <v>151</v>
      </c>
      <c r="E1698">
        <v>376</v>
      </c>
      <c r="F1698" t="s">
        <v>4</v>
      </c>
    </row>
    <row r="1699" spans="1:8">
      <c r="A1699">
        <v>20201024</v>
      </c>
      <c r="B1699">
        <v>126.9866722</v>
      </c>
      <c r="C1699">
        <v>37.398721700000003</v>
      </c>
      <c r="D1699" t="s">
        <v>137</v>
      </c>
      <c r="E1699">
        <v>739</v>
      </c>
      <c r="F1699" t="s">
        <v>4</v>
      </c>
    </row>
    <row r="1700" spans="1:8">
      <c r="A1700">
        <v>20201024</v>
      </c>
      <c r="B1700">
        <v>126.9866722</v>
      </c>
      <c r="C1700">
        <v>37.398721700000003</v>
      </c>
      <c r="D1700" t="s">
        <v>195</v>
      </c>
      <c r="E1700">
        <v>1077</v>
      </c>
      <c r="F1700" t="s">
        <v>4</v>
      </c>
    </row>
    <row r="1701" spans="1:8">
      <c r="A1701">
        <v>20201024</v>
      </c>
      <c r="B1701">
        <v>126.9866722</v>
      </c>
      <c r="C1701">
        <v>37.398721700000003</v>
      </c>
      <c r="D1701" t="s">
        <v>109</v>
      </c>
      <c r="E1701">
        <v>1676</v>
      </c>
      <c r="F1701" t="s">
        <v>4</v>
      </c>
    </row>
    <row r="1702" spans="1:8">
      <c r="A1702">
        <v>20201024</v>
      </c>
      <c r="B1702">
        <v>126.9866722</v>
      </c>
      <c r="C1702">
        <v>37.398721700000003</v>
      </c>
      <c r="D1702" t="s">
        <v>216</v>
      </c>
      <c r="E1702">
        <v>2540</v>
      </c>
      <c r="F1702" t="s">
        <v>4</v>
      </c>
    </row>
    <row r="1703" spans="1:8">
      <c r="A1703">
        <v>20201024</v>
      </c>
      <c r="B1703">
        <v>126.9866722</v>
      </c>
      <c r="C1703">
        <v>37.398721700000003</v>
      </c>
      <c r="D1703" t="s">
        <v>64</v>
      </c>
      <c r="E1703">
        <v>2273</v>
      </c>
      <c r="F1703" t="s">
        <v>4</v>
      </c>
      <c r="H1703" s="2"/>
    </row>
    <row r="1704" spans="1:8">
      <c r="A1704">
        <v>20201024</v>
      </c>
      <c r="B1704">
        <v>126.9866722</v>
      </c>
      <c r="C1704">
        <v>37.398721700000003</v>
      </c>
      <c r="D1704" t="s">
        <v>56</v>
      </c>
      <c r="E1704">
        <v>1984</v>
      </c>
      <c r="F1704" t="s">
        <v>4</v>
      </c>
      <c r="H1704" s="8"/>
    </row>
    <row r="1705" spans="1:8">
      <c r="A1705">
        <v>20201024</v>
      </c>
      <c r="B1705">
        <v>126.9866722</v>
      </c>
      <c r="C1705">
        <v>37.398721700000003</v>
      </c>
      <c r="D1705" t="s">
        <v>68</v>
      </c>
      <c r="E1705">
        <v>3113</v>
      </c>
      <c r="F1705" t="s">
        <v>4</v>
      </c>
    </row>
    <row r="1706" spans="1:8">
      <c r="A1706">
        <v>20201024</v>
      </c>
      <c r="B1706">
        <v>126.9866722</v>
      </c>
      <c r="C1706">
        <v>37.398721700000003</v>
      </c>
      <c r="D1706" t="s">
        <v>186</v>
      </c>
      <c r="E1706">
        <v>4938</v>
      </c>
      <c r="F1706" t="s">
        <v>4</v>
      </c>
    </row>
    <row r="1707" spans="1:8">
      <c r="A1707">
        <v>20201024</v>
      </c>
      <c r="B1707">
        <v>126.9866722</v>
      </c>
      <c r="C1707">
        <v>37.398721700000003</v>
      </c>
      <c r="D1707" t="s">
        <v>87</v>
      </c>
      <c r="E1707">
        <v>9912</v>
      </c>
      <c r="F1707" t="s">
        <v>4</v>
      </c>
    </row>
    <row r="1708" spans="1:8">
      <c r="A1708">
        <v>20201024</v>
      </c>
      <c r="B1708">
        <v>126.9866722</v>
      </c>
      <c r="C1708">
        <v>37.398721700000003</v>
      </c>
      <c r="D1708" t="s">
        <v>134</v>
      </c>
      <c r="E1708">
        <v>13032</v>
      </c>
      <c r="F1708" t="s">
        <v>4</v>
      </c>
    </row>
    <row r="1709" spans="1:8">
      <c r="A1709">
        <v>20201024</v>
      </c>
      <c r="B1709">
        <v>126.9866722</v>
      </c>
      <c r="C1709">
        <v>37.398721700000003</v>
      </c>
      <c r="D1709" t="s">
        <v>175</v>
      </c>
      <c r="E1709">
        <v>22019</v>
      </c>
      <c r="F1709" t="s">
        <v>4</v>
      </c>
    </row>
    <row r="1710" spans="1:8">
      <c r="A1710">
        <v>20201024</v>
      </c>
      <c r="B1710">
        <v>126.9866722</v>
      </c>
      <c r="C1710">
        <v>37.398721700000003</v>
      </c>
      <c r="D1710" t="s">
        <v>219</v>
      </c>
      <c r="E1710">
        <v>45485</v>
      </c>
      <c r="F1710" t="s">
        <v>4</v>
      </c>
    </row>
    <row r="1711" spans="1:8">
      <c r="A1711">
        <v>20201024</v>
      </c>
      <c r="B1711">
        <v>126.9866722</v>
      </c>
      <c r="C1711">
        <v>37.398721700000003</v>
      </c>
      <c r="D1711" t="s">
        <v>207</v>
      </c>
      <c r="E1711">
        <v>50594</v>
      </c>
      <c r="F1711" t="s">
        <v>4</v>
      </c>
    </row>
    <row r="1712" spans="1:8">
      <c r="A1712">
        <v>20201024</v>
      </c>
      <c r="B1712">
        <v>126.9506027</v>
      </c>
      <c r="C1712">
        <v>37.400644700000001</v>
      </c>
      <c r="D1712" t="s">
        <v>198</v>
      </c>
      <c r="E1712">
        <v>14</v>
      </c>
      <c r="F1712" t="s">
        <v>4</v>
      </c>
    </row>
    <row r="1713" spans="1:7">
      <c r="A1713">
        <v>20201024</v>
      </c>
      <c r="B1713">
        <v>126.9506027</v>
      </c>
      <c r="C1713">
        <v>37.400644700000001</v>
      </c>
      <c r="D1713" t="s">
        <v>87</v>
      </c>
      <c r="E1713">
        <v>16</v>
      </c>
      <c r="F1713" t="s">
        <v>4</v>
      </c>
    </row>
    <row r="1714" spans="1:7">
      <c r="A1714">
        <v>20201024</v>
      </c>
      <c r="B1714">
        <v>126.9506027</v>
      </c>
      <c r="C1714">
        <v>37.400644700000001</v>
      </c>
      <c r="D1714" t="s">
        <v>220</v>
      </c>
      <c r="E1714">
        <v>47</v>
      </c>
      <c r="F1714" t="s">
        <v>4</v>
      </c>
    </row>
    <row r="1715" spans="1:7">
      <c r="A1715">
        <v>20201024</v>
      </c>
      <c r="B1715">
        <v>126.9506027</v>
      </c>
      <c r="C1715">
        <v>37.400644700000001</v>
      </c>
      <c r="D1715" t="s">
        <v>216</v>
      </c>
      <c r="E1715">
        <v>678</v>
      </c>
      <c r="F1715" t="s">
        <v>4</v>
      </c>
    </row>
    <row r="1716" spans="1:7">
      <c r="A1716">
        <v>20201024</v>
      </c>
      <c r="B1716">
        <v>126.9506027</v>
      </c>
      <c r="C1716">
        <v>37.400644700000001</v>
      </c>
      <c r="D1716" t="s">
        <v>138</v>
      </c>
      <c r="E1716">
        <v>687</v>
      </c>
      <c r="F1716" t="s">
        <v>4</v>
      </c>
    </row>
    <row r="1717" spans="1:7">
      <c r="A1717">
        <v>20201024</v>
      </c>
      <c r="B1717">
        <v>126.9506027</v>
      </c>
      <c r="C1717">
        <v>37.400644700000001</v>
      </c>
      <c r="D1717" t="s">
        <v>223</v>
      </c>
      <c r="E1717">
        <v>4912</v>
      </c>
      <c r="F1717" t="s">
        <v>4</v>
      </c>
    </row>
    <row r="1718" spans="1:7">
      <c r="A1718">
        <v>20201024</v>
      </c>
      <c r="B1718">
        <v>126.9506027</v>
      </c>
      <c r="C1718">
        <v>37.400644700000001</v>
      </c>
      <c r="D1718" t="s">
        <v>158</v>
      </c>
      <c r="E1718">
        <v>2990</v>
      </c>
      <c r="F1718" t="s">
        <v>4</v>
      </c>
    </row>
    <row r="1719" spans="1:7">
      <c r="A1719">
        <v>20201024</v>
      </c>
      <c r="B1719">
        <v>126.8446659</v>
      </c>
      <c r="C1719">
        <v>37.420618699999999</v>
      </c>
      <c r="D1719" t="s">
        <v>225</v>
      </c>
      <c r="E1719">
        <v>48</v>
      </c>
      <c r="F1719" t="s">
        <v>4</v>
      </c>
      <c r="G1719" s="7"/>
    </row>
    <row r="1720" spans="1:7">
      <c r="A1720">
        <v>20201024</v>
      </c>
      <c r="B1720">
        <v>126.9506027</v>
      </c>
      <c r="C1720">
        <v>37.400644700000001</v>
      </c>
      <c r="D1720" t="s">
        <v>114</v>
      </c>
      <c r="E1720">
        <v>6135</v>
      </c>
      <c r="F1720" t="s">
        <v>4</v>
      </c>
    </row>
    <row r="1721" spans="1:7">
      <c r="A1721">
        <v>20201024</v>
      </c>
      <c r="B1721">
        <v>126.9506027</v>
      </c>
      <c r="C1721">
        <v>37.400644700000001</v>
      </c>
      <c r="D1721" t="s">
        <v>137</v>
      </c>
      <c r="E1721">
        <v>28473</v>
      </c>
      <c r="F1721" t="s">
        <v>4</v>
      </c>
    </row>
    <row r="1722" spans="1:7">
      <c r="A1722">
        <v>20201024</v>
      </c>
      <c r="B1722">
        <v>126.9506027</v>
      </c>
      <c r="C1722">
        <v>37.400644700000001</v>
      </c>
      <c r="D1722" t="s">
        <v>147</v>
      </c>
      <c r="E1722">
        <v>202827</v>
      </c>
      <c r="F1722" t="s">
        <v>4</v>
      </c>
    </row>
    <row r="1723" spans="1:7">
      <c r="A1723">
        <v>20201024</v>
      </c>
      <c r="B1723">
        <v>126.81713569999999</v>
      </c>
      <c r="C1723">
        <v>37.593306900000002</v>
      </c>
      <c r="D1723" s="2" t="s">
        <v>158</v>
      </c>
      <c r="E1723">
        <v>100</v>
      </c>
      <c r="F1723" t="s">
        <v>318</v>
      </c>
    </row>
    <row r="1724" spans="1:7">
      <c r="A1724">
        <v>20201024</v>
      </c>
      <c r="B1724">
        <v>126.7771357</v>
      </c>
      <c r="C1724">
        <v>37.593306900000002</v>
      </c>
      <c r="D1724" s="2" t="s">
        <v>177</v>
      </c>
      <c r="E1724">
        <v>100</v>
      </c>
      <c r="F1724" t="s">
        <v>318</v>
      </c>
    </row>
    <row r="1725" spans="1:7">
      <c r="A1725">
        <v>20201024</v>
      </c>
      <c r="B1725">
        <v>126.7471357</v>
      </c>
      <c r="C1725">
        <v>37.593306900000002</v>
      </c>
      <c r="D1725" s="2" t="s">
        <v>157</v>
      </c>
      <c r="E1725">
        <v>100</v>
      </c>
      <c r="F1725" t="s">
        <v>318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EAD2-88BA-7349-AB39-C6493B865A2B}">
  <dimension ref="A1:R1725"/>
  <sheetViews>
    <sheetView topLeftCell="A61" workbookViewId="0">
      <selection activeCell="B82" sqref="B82"/>
    </sheetView>
  </sheetViews>
  <sheetFormatPr baseColWidth="10" defaultRowHeight="18"/>
  <sheetData>
    <row r="1" spans="1:16">
      <c r="A1" t="s">
        <v>272</v>
      </c>
      <c r="B1" t="s">
        <v>0</v>
      </c>
      <c r="C1" t="s">
        <v>1</v>
      </c>
      <c r="D1" t="s">
        <v>273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306</v>
      </c>
    </row>
    <row r="2" spans="1:16">
      <c r="A2">
        <v>20200716</v>
      </c>
      <c r="B2">
        <v>126.9724018</v>
      </c>
      <c r="C2">
        <v>37.348161500000003</v>
      </c>
      <c r="D2" t="s">
        <v>274</v>
      </c>
      <c r="E2" s="9">
        <v>2.14</v>
      </c>
      <c r="F2" s="9">
        <v>478</v>
      </c>
      <c r="G2" s="9">
        <v>7.6</v>
      </c>
      <c r="H2" t="s">
        <v>3</v>
      </c>
      <c r="I2" t="s">
        <v>305</v>
      </c>
    </row>
    <row r="3" spans="1:16">
      <c r="A3">
        <v>20200716</v>
      </c>
      <c r="B3">
        <v>126.95619790000001</v>
      </c>
      <c r="C3">
        <v>37.363509200000003</v>
      </c>
      <c r="D3" t="s">
        <v>275</v>
      </c>
      <c r="E3" s="9">
        <v>3.1</v>
      </c>
      <c r="F3" s="9">
        <v>450</v>
      </c>
      <c r="G3" s="9">
        <v>8</v>
      </c>
      <c r="H3" t="s">
        <v>3</v>
      </c>
      <c r="I3" t="s">
        <v>305</v>
      </c>
    </row>
    <row r="4" spans="1:16">
      <c r="A4">
        <v>20200716</v>
      </c>
      <c r="B4">
        <v>126.94555939999999</v>
      </c>
      <c r="C4">
        <v>37.373177800000001</v>
      </c>
      <c r="D4" t="s">
        <v>276</v>
      </c>
      <c r="E4" s="9">
        <v>2.14</v>
      </c>
      <c r="F4" s="9">
        <v>478</v>
      </c>
      <c r="G4" s="9">
        <v>7.6</v>
      </c>
      <c r="H4" t="s">
        <v>3</v>
      </c>
      <c r="I4" t="s">
        <v>305</v>
      </c>
    </row>
    <row r="5" spans="1:16">
      <c r="A5">
        <v>20200716</v>
      </c>
      <c r="B5">
        <v>126.93147879999999</v>
      </c>
      <c r="C5">
        <v>37.397387999999999</v>
      </c>
      <c r="D5" t="s">
        <v>277</v>
      </c>
      <c r="E5" s="9">
        <v>2.14</v>
      </c>
      <c r="F5" s="9">
        <v>478</v>
      </c>
      <c r="G5" s="9">
        <v>7.6</v>
      </c>
      <c r="H5" t="s">
        <v>3</v>
      </c>
      <c r="I5" t="s">
        <v>305</v>
      </c>
      <c r="O5" s="1"/>
      <c r="P5" s="1"/>
    </row>
    <row r="6" spans="1:16">
      <c r="A6">
        <v>20200716</v>
      </c>
      <c r="B6">
        <v>126.91482120000001</v>
      </c>
      <c r="C6">
        <v>37.409803799999999</v>
      </c>
      <c r="D6" t="s">
        <v>278</v>
      </c>
      <c r="E6" s="9">
        <v>3</v>
      </c>
      <c r="F6" s="9">
        <v>511</v>
      </c>
      <c r="G6" s="9">
        <v>6.8</v>
      </c>
      <c r="H6" t="s">
        <v>3</v>
      </c>
      <c r="I6" t="s">
        <v>305</v>
      </c>
      <c r="O6" s="1"/>
      <c r="P6" s="1"/>
    </row>
    <row r="7" spans="1:16">
      <c r="A7">
        <v>20200716</v>
      </c>
      <c r="B7">
        <v>126.8960105</v>
      </c>
      <c r="C7">
        <v>37.403669399999998</v>
      </c>
      <c r="D7" t="s">
        <v>279</v>
      </c>
      <c r="E7" s="9">
        <v>2.14</v>
      </c>
      <c r="F7" s="9">
        <v>478</v>
      </c>
      <c r="G7" s="9">
        <v>7.6</v>
      </c>
      <c r="H7" t="s">
        <v>3</v>
      </c>
      <c r="I7" t="s">
        <v>305</v>
      </c>
      <c r="O7" s="1"/>
      <c r="P7" s="1"/>
    </row>
    <row r="8" spans="1:16">
      <c r="A8">
        <v>20200716</v>
      </c>
      <c r="B8">
        <v>126.89556140000001</v>
      </c>
      <c r="C8">
        <v>37.418411599999999</v>
      </c>
      <c r="D8" t="s">
        <v>280</v>
      </c>
      <c r="E8" s="9">
        <v>2.14</v>
      </c>
      <c r="F8" s="9">
        <v>478</v>
      </c>
      <c r="G8" s="9">
        <v>7.6</v>
      </c>
      <c r="H8" t="s">
        <v>3</v>
      </c>
      <c r="I8" t="s">
        <v>305</v>
      </c>
      <c r="O8" s="1"/>
      <c r="P8" s="1"/>
    </row>
    <row r="9" spans="1:16">
      <c r="A9">
        <v>20200716</v>
      </c>
      <c r="B9">
        <v>126.9007862</v>
      </c>
      <c r="C9">
        <v>37.438687899999998</v>
      </c>
      <c r="D9" t="s">
        <v>281</v>
      </c>
      <c r="E9" s="9">
        <v>2.14</v>
      </c>
      <c r="F9" s="9">
        <v>478</v>
      </c>
      <c r="G9" s="9">
        <v>7.6</v>
      </c>
      <c r="H9" t="s">
        <v>3</v>
      </c>
      <c r="I9" t="s">
        <v>305</v>
      </c>
      <c r="O9" s="1"/>
      <c r="P9" s="1"/>
    </row>
    <row r="10" spans="1:16">
      <c r="A10">
        <v>20200717</v>
      </c>
      <c r="B10">
        <v>126.9007862</v>
      </c>
      <c r="C10">
        <v>37.438687899999998</v>
      </c>
      <c r="D10" t="s">
        <v>281</v>
      </c>
      <c r="E10" s="9">
        <v>2.14</v>
      </c>
      <c r="F10" s="9">
        <v>478</v>
      </c>
      <c r="G10" s="9">
        <v>7.6</v>
      </c>
      <c r="H10" t="s">
        <v>3</v>
      </c>
      <c r="I10" t="s">
        <v>305</v>
      </c>
      <c r="O10" s="1"/>
      <c r="P10" s="1"/>
    </row>
    <row r="11" spans="1:16">
      <c r="A11">
        <v>20200717</v>
      </c>
      <c r="B11">
        <v>126.8910417</v>
      </c>
      <c r="C11">
        <v>37.458163800000001</v>
      </c>
      <c r="D11" t="s">
        <v>282</v>
      </c>
      <c r="E11" s="9">
        <v>2.14</v>
      </c>
      <c r="F11" s="9">
        <v>478</v>
      </c>
      <c r="G11" s="9">
        <v>7.6</v>
      </c>
      <c r="H11" t="s">
        <v>3</v>
      </c>
      <c r="I11" t="s">
        <v>305</v>
      </c>
      <c r="O11" s="1"/>
      <c r="P11" s="1"/>
    </row>
    <row r="12" spans="1:16">
      <c r="A12">
        <v>20200717</v>
      </c>
      <c r="B12">
        <v>126.8772417</v>
      </c>
      <c r="C12">
        <v>37.474826299999997</v>
      </c>
      <c r="D12" t="s">
        <v>283</v>
      </c>
      <c r="E12" s="9">
        <v>2.14</v>
      </c>
      <c r="F12" s="9">
        <v>478</v>
      </c>
      <c r="G12" s="9">
        <v>7.6</v>
      </c>
      <c r="H12" t="s">
        <v>3</v>
      </c>
      <c r="I12" t="s">
        <v>305</v>
      </c>
      <c r="O12" s="1"/>
      <c r="P12" s="1"/>
    </row>
    <row r="13" spans="1:16">
      <c r="A13">
        <v>20200717</v>
      </c>
      <c r="B13">
        <v>126.8771357</v>
      </c>
      <c r="C13">
        <v>37.553306900000003</v>
      </c>
      <c r="D13" t="s">
        <v>284</v>
      </c>
      <c r="E13" s="9">
        <v>2.14</v>
      </c>
      <c r="F13" s="9">
        <v>478</v>
      </c>
      <c r="G13" s="9">
        <v>7.6</v>
      </c>
      <c r="H13" t="s">
        <v>3</v>
      </c>
      <c r="I13" t="s">
        <v>305</v>
      </c>
      <c r="L13">
        <v>25</v>
      </c>
      <c r="O13" s="1"/>
      <c r="P13" s="1"/>
    </row>
    <row r="14" spans="1:16">
      <c r="A14">
        <v>20200717</v>
      </c>
      <c r="B14">
        <v>126.87060049999999</v>
      </c>
      <c r="C14">
        <v>37.492184199999997</v>
      </c>
      <c r="D14" t="s">
        <v>285</v>
      </c>
      <c r="E14" s="9">
        <v>2.14</v>
      </c>
      <c r="F14" s="9">
        <v>478</v>
      </c>
      <c r="G14" s="9">
        <v>7.6</v>
      </c>
      <c r="H14" t="s">
        <v>3</v>
      </c>
      <c r="I14" t="s">
        <v>305</v>
      </c>
      <c r="O14" s="1"/>
      <c r="P14" s="1"/>
    </row>
    <row r="15" spans="1:16">
      <c r="A15">
        <v>20200717</v>
      </c>
      <c r="B15">
        <v>126.87358690000001</v>
      </c>
      <c r="C15">
        <v>37.508467699999997</v>
      </c>
      <c r="D15" t="s">
        <v>286</v>
      </c>
      <c r="E15" s="9">
        <v>2.14</v>
      </c>
      <c r="F15" s="9">
        <v>478</v>
      </c>
      <c r="G15" s="9">
        <v>7.6</v>
      </c>
      <c r="H15" t="s">
        <v>3</v>
      </c>
      <c r="I15" t="s">
        <v>305</v>
      </c>
      <c r="O15" s="1"/>
      <c r="P15" s="1"/>
    </row>
    <row r="16" spans="1:16">
      <c r="A16">
        <v>20200717</v>
      </c>
      <c r="B16">
        <v>126.8446659</v>
      </c>
      <c r="C16">
        <v>37.420618699999999</v>
      </c>
      <c r="D16" t="s">
        <v>311</v>
      </c>
      <c r="E16" s="9">
        <v>2.14</v>
      </c>
      <c r="F16" s="9">
        <v>478</v>
      </c>
      <c r="G16" s="9">
        <v>7.6</v>
      </c>
      <c r="H16" t="s">
        <v>3</v>
      </c>
      <c r="I16" t="s">
        <v>305</v>
      </c>
      <c r="O16" s="1"/>
      <c r="P16" s="1"/>
    </row>
    <row r="17" spans="1:16">
      <c r="A17">
        <v>20200717</v>
      </c>
      <c r="B17">
        <v>126.8797805</v>
      </c>
      <c r="C17">
        <v>37.523914499999997</v>
      </c>
      <c r="D17" t="s">
        <v>287</v>
      </c>
      <c r="E17" s="9">
        <v>2.14</v>
      </c>
      <c r="F17" s="9">
        <v>478</v>
      </c>
      <c r="G17" s="9">
        <v>7.6</v>
      </c>
      <c r="H17" t="s">
        <v>3</v>
      </c>
      <c r="I17" t="s">
        <v>305</v>
      </c>
      <c r="O17" s="1"/>
      <c r="P17" s="1"/>
    </row>
    <row r="18" spans="1:16">
      <c r="A18">
        <v>20200717</v>
      </c>
      <c r="B18">
        <v>126.887135</v>
      </c>
      <c r="C18">
        <v>37.539645499999999</v>
      </c>
      <c r="D18" t="s">
        <v>288</v>
      </c>
      <c r="E18" s="9">
        <v>2.14</v>
      </c>
      <c r="F18" s="9">
        <v>478</v>
      </c>
      <c r="G18" s="9">
        <v>7.6</v>
      </c>
      <c r="H18" t="s">
        <v>3</v>
      </c>
      <c r="I18" t="s">
        <v>305</v>
      </c>
      <c r="O18" s="1"/>
      <c r="P18" s="1"/>
    </row>
    <row r="19" spans="1:16">
      <c r="A19">
        <v>20200717</v>
      </c>
      <c r="B19">
        <v>126.83793110000001</v>
      </c>
      <c r="C19">
        <v>37.441797600000001</v>
      </c>
      <c r="D19" t="s">
        <v>310</v>
      </c>
      <c r="E19" s="9">
        <v>2.14</v>
      </c>
      <c r="F19" s="9">
        <v>478</v>
      </c>
      <c r="G19" s="9">
        <v>7.6</v>
      </c>
      <c r="H19" t="s">
        <v>3</v>
      </c>
      <c r="I19" t="s">
        <v>305</v>
      </c>
      <c r="O19" s="1"/>
      <c r="P19" s="1"/>
    </row>
    <row r="20" spans="1:16">
      <c r="A20">
        <v>20200717</v>
      </c>
      <c r="B20">
        <v>126.9724018</v>
      </c>
      <c r="C20">
        <v>37.348161500000003</v>
      </c>
      <c r="D20" t="s">
        <v>274</v>
      </c>
      <c r="E20" s="9">
        <v>2.14</v>
      </c>
      <c r="F20" s="9">
        <v>478</v>
      </c>
      <c r="G20" s="9">
        <v>7.6</v>
      </c>
      <c r="H20" t="s">
        <v>3</v>
      </c>
      <c r="I20" t="s">
        <v>305</v>
      </c>
      <c r="O20" s="1"/>
      <c r="P20" s="1"/>
    </row>
    <row r="21" spans="1:16">
      <c r="A21">
        <v>20200717</v>
      </c>
      <c r="B21">
        <v>126.85185540000001</v>
      </c>
      <c r="C21">
        <v>37.406578799999998</v>
      </c>
      <c r="D21" t="s">
        <v>312</v>
      </c>
      <c r="E21" s="9">
        <v>2.14</v>
      </c>
      <c r="F21" s="9">
        <v>478</v>
      </c>
      <c r="G21" s="9">
        <v>7.6</v>
      </c>
      <c r="H21" t="s">
        <v>3</v>
      </c>
      <c r="I21" t="s">
        <v>305</v>
      </c>
      <c r="O21" s="1"/>
      <c r="P21" s="1"/>
    </row>
    <row r="22" spans="1:16">
      <c r="A22">
        <v>20200717</v>
      </c>
      <c r="B22">
        <v>126.99657019999999</v>
      </c>
      <c r="C22">
        <v>37.389118600000003</v>
      </c>
      <c r="D22" t="s">
        <v>289</v>
      </c>
      <c r="E22" s="9">
        <v>2.14</v>
      </c>
      <c r="F22" s="9">
        <v>478</v>
      </c>
      <c r="G22" s="9">
        <v>7.6</v>
      </c>
      <c r="H22" t="s">
        <v>3</v>
      </c>
      <c r="I22" t="s">
        <v>305</v>
      </c>
      <c r="O22" s="1"/>
      <c r="P22" s="1"/>
    </row>
    <row r="23" spans="1:16">
      <c r="A23">
        <v>20200717</v>
      </c>
      <c r="B23">
        <v>126.8499561</v>
      </c>
      <c r="C23">
        <v>37.481606900000003</v>
      </c>
      <c r="D23" t="s">
        <v>317</v>
      </c>
      <c r="E23" s="9">
        <v>2.14</v>
      </c>
      <c r="F23" s="9">
        <v>478</v>
      </c>
      <c r="G23" s="9">
        <v>7.6</v>
      </c>
      <c r="H23" t="s">
        <v>3</v>
      </c>
      <c r="I23" t="s">
        <v>305</v>
      </c>
      <c r="O23" s="1"/>
      <c r="P23" s="1"/>
    </row>
    <row r="24" spans="1:16">
      <c r="A24">
        <v>20200717</v>
      </c>
      <c r="B24">
        <v>126.8428368</v>
      </c>
      <c r="C24">
        <v>37.4677784</v>
      </c>
      <c r="D24" t="s">
        <v>309</v>
      </c>
      <c r="E24" s="9">
        <v>2.14</v>
      </c>
      <c r="F24" s="9">
        <v>478</v>
      </c>
      <c r="G24" s="9">
        <v>7.6</v>
      </c>
      <c r="H24" t="s">
        <v>3</v>
      </c>
      <c r="I24" t="s">
        <v>305</v>
      </c>
      <c r="O24" s="1"/>
      <c r="P24" s="1"/>
    </row>
    <row r="25" spans="1:16">
      <c r="A25">
        <v>20200718</v>
      </c>
      <c r="B25">
        <v>126.8428368</v>
      </c>
      <c r="C25">
        <v>37.4677784</v>
      </c>
      <c r="D25" t="s">
        <v>309</v>
      </c>
      <c r="E25" s="9">
        <v>2.14</v>
      </c>
      <c r="F25" s="9">
        <v>478</v>
      </c>
      <c r="G25" s="9">
        <v>7.6</v>
      </c>
      <c r="H25" t="s">
        <v>3</v>
      </c>
      <c r="I25" t="s">
        <v>305</v>
      </c>
      <c r="O25" s="1"/>
      <c r="P25" s="1"/>
    </row>
    <row r="26" spans="1:16">
      <c r="A26">
        <v>20200718</v>
      </c>
      <c r="B26">
        <v>126.8446659</v>
      </c>
      <c r="C26">
        <v>37.420618699999999</v>
      </c>
      <c r="D26" t="s">
        <v>311</v>
      </c>
      <c r="E26" s="9">
        <v>2.14</v>
      </c>
      <c r="F26" s="9">
        <v>478</v>
      </c>
      <c r="G26" s="9">
        <v>7.6</v>
      </c>
      <c r="H26" t="s">
        <v>3</v>
      </c>
      <c r="I26" t="s">
        <v>305</v>
      </c>
      <c r="O26" s="1"/>
      <c r="P26" s="1"/>
    </row>
    <row r="27" spans="1:16">
      <c r="A27">
        <v>20200718</v>
      </c>
      <c r="B27">
        <v>126.8772417</v>
      </c>
      <c r="C27">
        <v>37.474826299999997</v>
      </c>
      <c r="D27" t="s">
        <v>283</v>
      </c>
      <c r="E27" s="9">
        <v>2.14</v>
      </c>
      <c r="F27" s="9">
        <v>478</v>
      </c>
      <c r="G27" s="9">
        <v>7.6</v>
      </c>
      <c r="H27" t="s">
        <v>3</v>
      </c>
      <c r="I27" t="s">
        <v>305</v>
      </c>
      <c r="O27" s="1"/>
      <c r="P27" s="1"/>
    </row>
    <row r="28" spans="1:16">
      <c r="A28">
        <v>20200718</v>
      </c>
      <c r="B28">
        <v>126.8663749</v>
      </c>
      <c r="C28">
        <v>37.492704799999998</v>
      </c>
      <c r="D28" t="s">
        <v>290</v>
      </c>
      <c r="E28" s="9">
        <v>2.14</v>
      </c>
      <c r="F28" s="9">
        <v>478</v>
      </c>
      <c r="G28" s="9">
        <v>7.6</v>
      </c>
      <c r="H28" t="s">
        <v>3</v>
      </c>
      <c r="I28" t="s">
        <v>305</v>
      </c>
      <c r="O28" s="1"/>
      <c r="P28" s="1"/>
    </row>
    <row r="29" spans="1:16">
      <c r="A29">
        <v>20200718</v>
      </c>
      <c r="B29">
        <v>126.82462289999999</v>
      </c>
      <c r="C29">
        <v>37.470256399999997</v>
      </c>
      <c r="D29" t="s">
        <v>307</v>
      </c>
      <c r="E29" s="9">
        <v>2.14</v>
      </c>
      <c r="F29" s="9">
        <v>478</v>
      </c>
      <c r="G29" s="9">
        <v>7.6</v>
      </c>
      <c r="H29" t="s">
        <v>3</v>
      </c>
      <c r="I29" t="s">
        <v>305</v>
      </c>
      <c r="O29" s="1"/>
      <c r="P29" s="1"/>
    </row>
    <row r="30" spans="1:16">
      <c r="A30">
        <v>20200718</v>
      </c>
      <c r="B30">
        <v>126.8343934</v>
      </c>
      <c r="C30">
        <v>37.4648574</v>
      </c>
      <c r="D30" t="s">
        <v>308</v>
      </c>
      <c r="E30" s="9">
        <v>2.14</v>
      </c>
      <c r="F30" s="9">
        <v>478</v>
      </c>
      <c r="G30" s="9">
        <v>7.6</v>
      </c>
      <c r="H30" t="s">
        <v>3</v>
      </c>
      <c r="I30" t="s">
        <v>305</v>
      </c>
      <c r="O30" s="1"/>
      <c r="P30" s="1"/>
    </row>
    <row r="31" spans="1:16">
      <c r="A31">
        <v>20200718</v>
      </c>
      <c r="B31">
        <v>126.9187098</v>
      </c>
      <c r="C31">
        <v>37.431417699999997</v>
      </c>
      <c r="D31" t="s">
        <v>315</v>
      </c>
      <c r="E31" s="9">
        <v>2.14</v>
      </c>
      <c r="F31" s="9">
        <v>478</v>
      </c>
      <c r="G31" s="9">
        <v>7.6</v>
      </c>
      <c r="H31" t="s">
        <v>3</v>
      </c>
      <c r="I31" t="s">
        <v>305</v>
      </c>
      <c r="O31" s="1"/>
      <c r="P31" s="1"/>
    </row>
    <row r="32" spans="1:16">
      <c r="A32">
        <v>20200718</v>
      </c>
      <c r="B32">
        <v>126.9350989</v>
      </c>
      <c r="C32">
        <v>37.419096199999998</v>
      </c>
      <c r="D32" t="s">
        <v>314</v>
      </c>
      <c r="E32" s="9">
        <v>2.14</v>
      </c>
      <c r="F32" s="9">
        <v>478</v>
      </c>
      <c r="G32" s="9">
        <v>7.6</v>
      </c>
      <c r="H32" t="s">
        <v>3</v>
      </c>
      <c r="I32" t="s">
        <v>305</v>
      </c>
      <c r="O32" s="1"/>
      <c r="P32" s="1"/>
    </row>
    <row r="33" spans="1:16">
      <c r="A33">
        <v>20200718</v>
      </c>
      <c r="B33">
        <v>126.92050639999999</v>
      </c>
      <c r="C33">
        <v>37.418606500000003</v>
      </c>
      <c r="D33" t="s">
        <v>313</v>
      </c>
      <c r="E33" s="9">
        <v>2.14</v>
      </c>
      <c r="F33" s="9">
        <v>478</v>
      </c>
      <c r="G33" s="9">
        <v>7.6</v>
      </c>
      <c r="H33" t="s">
        <v>3</v>
      </c>
      <c r="I33" t="s">
        <v>305</v>
      </c>
      <c r="O33" s="1"/>
      <c r="P33" s="1"/>
    </row>
    <row r="34" spans="1:16">
      <c r="A34">
        <v>20200718</v>
      </c>
      <c r="B34">
        <v>126.83793110000001</v>
      </c>
      <c r="C34">
        <v>37.441797600000001</v>
      </c>
      <c r="D34" t="s">
        <v>310</v>
      </c>
      <c r="E34" s="9">
        <v>2.14</v>
      </c>
      <c r="F34" s="9">
        <v>478</v>
      </c>
      <c r="G34" s="9">
        <v>7.6</v>
      </c>
      <c r="H34" t="s">
        <v>3</v>
      </c>
      <c r="I34" t="s">
        <v>305</v>
      </c>
      <c r="O34" s="1"/>
      <c r="P34" s="1"/>
    </row>
    <row r="35" spans="1:16">
      <c r="A35">
        <v>20200718</v>
      </c>
      <c r="B35">
        <v>126.9070155</v>
      </c>
      <c r="C35">
        <v>37.385953200000003</v>
      </c>
      <c r="D35" t="s">
        <v>316</v>
      </c>
      <c r="E35" s="9">
        <v>2.14</v>
      </c>
      <c r="F35" s="9">
        <v>478</v>
      </c>
      <c r="G35" s="9">
        <v>7.6</v>
      </c>
      <c r="H35" t="s">
        <v>3</v>
      </c>
      <c r="I35" t="s">
        <v>305</v>
      </c>
      <c r="O35" s="1"/>
      <c r="P35" s="1"/>
    </row>
    <row r="36" spans="1:16">
      <c r="A36">
        <v>20200718</v>
      </c>
      <c r="B36">
        <v>126.99657019999999</v>
      </c>
      <c r="C36">
        <v>37.389118600000003</v>
      </c>
      <c r="D36" t="s">
        <v>289</v>
      </c>
      <c r="E36" s="9">
        <v>2.14</v>
      </c>
      <c r="F36" s="9">
        <v>478</v>
      </c>
      <c r="G36" s="9">
        <v>7.6</v>
      </c>
      <c r="H36" t="s">
        <v>3</v>
      </c>
      <c r="I36" t="s">
        <v>305</v>
      </c>
      <c r="O36" s="1"/>
      <c r="P36" s="1"/>
    </row>
    <row r="37" spans="1:16">
      <c r="A37">
        <v>20200718</v>
      </c>
      <c r="B37">
        <v>126.87060049999999</v>
      </c>
      <c r="C37">
        <v>37.492184199999997</v>
      </c>
      <c r="D37" t="s">
        <v>285</v>
      </c>
      <c r="E37" s="9">
        <v>2.14</v>
      </c>
      <c r="F37" s="9">
        <v>478</v>
      </c>
      <c r="G37" s="9">
        <v>7.6</v>
      </c>
      <c r="H37" t="s">
        <v>3</v>
      </c>
      <c r="I37" t="s">
        <v>305</v>
      </c>
      <c r="O37" s="1"/>
      <c r="P37" s="1"/>
    </row>
    <row r="38" spans="1:16">
      <c r="A38">
        <v>20200718</v>
      </c>
      <c r="B38">
        <v>126.970473</v>
      </c>
      <c r="C38">
        <v>37.401905599999999</v>
      </c>
      <c r="D38" t="s">
        <v>291</v>
      </c>
      <c r="E38" s="9">
        <v>2.14</v>
      </c>
      <c r="F38" s="9">
        <v>478</v>
      </c>
      <c r="G38" s="9">
        <v>7.6</v>
      </c>
      <c r="H38" t="s">
        <v>3</v>
      </c>
      <c r="I38" t="s">
        <v>305</v>
      </c>
      <c r="O38" s="1"/>
      <c r="P38" s="1"/>
    </row>
    <row r="39" spans="1:16">
      <c r="A39">
        <v>20200718</v>
      </c>
      <c r="B39">
        <v>126.9866722</v>
      </c>
      <c r="C39">
        <v>37.398721700000003</v>
      </c>
      <c r="D39" t="s">
        <v>292</v>
      </c>
      <c r="E39" s="9">
        <v>2.14</v>
      </c>
      <c r="F39" s="9">
        <v>478</v>
      </c>
      <c r="G39" s="9">
        <v>7.6</v>
      </c>
      <c r="H39" t="s">
        <v>3</v>
      </c>
      <c r="I39" t="s">
        <v>305</v>
      </c>
      <c r="O39" s="1"/>
      <c r="P39" s="1"/>
    </row>
    <row r="40" spans="1:16">
      <c r="A40">
        <v>20200718</v>
      </c>
      <c r="B40">
        <v>126.9506027</v>
      </c>
      <c r="C40">
        <v>37.400644700000001</v>
      </c>
      <c r="D40" t="s">
        <v>293</v>
      </c>
      <c r="E40" s="9">
        <v>2.14</v>
      </c>
      <c r="F40" s="9">
        <v>478</v>
      </c>
      <c r="G40" s="9">
        <v>7.6</v>
      </c>
      <c r="H40" t="s">
        <v>3</v>
      </c>
      <c r="I40" t="s">
        <v>305</v>
      </c>
      <c r="O40" s="1"/>
      <c r="P40" s="1"/>
    </row>
    <row r="41" spans="1:16">
      <c r="A41">
        <v>20200718</v>
      </c>
      <c r="B41">
        <v>126.9724018</v>
      </c>
      <c r="C41">
        <v>37.348161500000003</v>
      </c>
      <c r="D41" t="s">
        <v>274</v>
      </c>
      <c r="E41" s="9">
        <v>2.14</v>
      </c>
      <c r="F41" s="9">
        <v>478</v>
      </c>
      <c r="G41" s="9">
        <v>7.6</v>
      </c>
      <c r="H41" t="s">
        <v>3</v>
      </c>
      <c r="I41" t="s">
        <v>305</v>
      </c>
      <c r="O41" s="1"/>
      <c r="P41" s="1"/>
    </row>
    <row r="42" spans="1:16">
      <c r="A42">
        <v>20200718</v>
      </c>
      <c r="B42">
        <v>126.85185540000001</v>
      </c>
      <c r="C42">
        <v>37.406578799999998</v>
      </c>
      <c r="D42" t="s">
        <v>312</v>
      </c>
      <c r="E42" s="9">
        <v>2.14</v>
      </c>
      <c r="F42" s="9">
        <v>478</v>
      </c>
      <c r="G42" s="9">
        <v>7.6</v>
      </c>
      <c r="H42" t="s">
        <v>3</v>
      </c>
      <c r="I42" t="s">
        <v>305</v>
      </c>
      <c r="O42" s="1"/>
      <c r="P42" s="1"/>
    </row>
    <row r="43" spans="1:16">
      <c r="A43">
        <v>20200916</v>
      </c>
      <c r="B43">
        <v>126.9724018</v>
      </c>
      <c r="C43">
        <v>37.348161500000003</v>
      </c>
      <c r="D43" t="s">
        <v>274</v>
      </c>
      <c r="E43" s="9">
        <v>2.14</v>
      </c>
      <c r="F43" s="9">
        <v>478</v>
      </c>
      <c r="G43" s="9">
        <v>7.6</v>
      </c>
      <c r="H43" t="s">
        <v>3</v>
      </c>
      <c r="I43" t="s">
        <v>305</v>
      </c>
      <c r="O43" s="1"/>
      <c r="P43" s="1"/>
    </row>
    <row r="44" spans="1:16">
      <c r="A44">
        <v>20200916</v>
      </c>
      <c r="B44">
        <v>126.93147879999999</v>
      </c>
      <c r="C44">
        <v>37.397387999999999</v>
      </c>
      <c r="D44" t="s">
        <v>277</v>
      </c>
      <c r="E44" s="9">
        <v>2.14</v>
      </c>
      <c r="F44" s="9">
        <v>478</v>
      </c>
      <c r="G44" s="9">
        <v>7.6</v>
      </c>
      <c r="H44" t="s">
        <v>3</v>
      </c>
      <c r="I44" t="s">
        <v>305</v>
      </c>
      <c r="O44" s="1"/>
      <c r="P44" s="1"/>
    </row>
    <row r="45" spans="1:16">
      <c r="A45">
        <v>20200916</v>
      </c>
      <c r="B45">
        <v>126.87358690000001</v>
      </c>
      <c r="C45">
        <v>37.508467699999997</v>
      </c>
      <c r="D45" t="s">
        <v>286</v>
      </c>
      <c r="E45" s="9">
        <v>2.14</v>
      </c>
      <c r="F45" s="9">
        <v>478</v>
      </c>
      <c r="G45" s="9">
        <v>7.6</v>
      </c>
      <c r="H45" t="s">
        <v>3</v>
      </c>
      <c r="I45" t="s">
        <v>305</v>
      </c>
      <c r="O45" s="1"/>
      <c r="P45" s="1"/>
    </row>
    <row r="46" spans="1:16">
      <c r="A46">
        <v>20201024</v>
      </c>
      <c r="B46">
        <v>126.95619790000001</v>
      </c>
      <c r="C46">
        <v>37.363509200000003</v>
      </c>
      <c r="D46" t="s">
        <v>275</v>
      </c>
      <c r="E46" s="9">
        <v>2.14</v>
      </c>
      <c r="F46" s="9">
        <v>478</v>
      </c>
      <c r="G46" s="9">
        <v>7.6</v>
      </c>
      <c r="H46" t="s">
        <v>3</v>
      </c>
      <c r="I46" t="s">
        <v>305</v>
      </c>
      <c r="O46" s="1"/>
      <c r="P46" s="1"/>
    </row>
    <row r="47" spans="1:16">
      <c r="A47">
        <v>20200916</v>
      </c>
      <c r="B47">
        <v>126.85185540000001</v>
      </c>
      <c r="C47">
        <v>37.406578799999998</v>
      </c>
      <c r="D47" t="s">
        <v>312</v>
      </c>
      <c r="E47" s="9">
        <v>2.14</v>
      </c>
      <c r="F47" s="9">
        <v>478</v>
      </c>
      <c r="G47" s="9">
        <v>7.6</v>
      </c>
      <c r="H47" t="s">
        <v>3</v>
      </c>
      <c r="I47" t="s">
        <v>305</v>
      </c>
      <c r="O47" s="1"/>
      <c r="P47" s="1"/>
    </row>
    <row r="48" spans="1:16">
      <c r="A48">
        <v>20201024</v>
      </c>
      <c r="B48">
        <v>126.94555939999999</v>
      </c>
      <c r="C48">
        <v>37.373177800000001</v>
      </c>
      <c r="D48" t="s">
        <v>276</v>
      </c>
      <c r="E48" s="9">
        <v>2.14</v>
      </c>
      <c r="F48" s="9">
        <v>478</v>
      </c>
      <c r="G48" s="9">
        <v>7.6</v>
      </c>
      <c r="H48" t="s">
        <v>3</v>
      </c>
      <c r="I48" t="s">
        <v>305</v>
      </c>
      <c r="O48" s="1"/>
      <c r="P48" s="1"/>
    </row>
    <row r="49" spans="1:16">
      <c r="A49">
        <v>20201024</v>
      </c>
      <c r="B49">
        <v>126.9070155</v>
      </c>
      <c r="C49">
        <v>37.385953200000003</v>
      </c>
      <c r="D49" t="s">
        <v>316</v>
      </c>
      <c r="E49" s="9">
        <v>2.14</v>
      </c>
      <c r="F49" s="9">
        <v>478</v>
      </c>
      <c r="G49" s="9">
        <v>7.6</v>
      </c>
      <c r="H49" t="s">
        <v>3</v>
      </c>
      <c r="I49" t="s">
        <v>305</v>
      </c>
      <c r="O49" s="1"/>
      <c r="P49" s="1"/>
    </row>
    <row r="50" spans="1:16">
      <c r="A50">
        <v>20200916</v>
      </c>
      <c r="B50">
        <v>126.83793110000001</v>
      </c>
      <c r="C50">
        <v>37.441797600000001</v>
      </c>
      <c r="D50" t="s">
        <v>310</v>
      </c>
      <c r="E50" s="9">
        <v>2.14</v>
      </c>
      <c r="F50" s="9">
        <v>478</v>
      </c>
      <c r="G50" s="9">
        <v>7.6</v>
      </c>
      <c r="H50" t="s">
        <v>3</v>
      </c>
      <c r="I50" t="s">
        <v>305</v>
      </c>
      <c r="O50" s="1"/>
      <c r="P50" s="1"/>
    </row>
    <row r="51" spans="1:16">
      <c r="A51">
        <v>20200916</v>
      </c>
      <c r="B51">
        <v>126.8771357</v>
      </c>
      <c r="C51">
        <v>37.553306900000003</v>
      </c>
      <c r="D51" t="s">
        <v>284</v>
      </c>
      <c r="E51" s="9">
        <v>2.14</v>
      </c>
      <c r="F51" s="9">
        <v>478</v>
      </c>
      <c r="G51" s="9">
        <v>7.6</v>
      </c>
      <c r="H51" t="s">
        <v>3</v>
      </c>
      <c r="I51" t="s">
        <v>305</v>
      </c>
      <c r="O51" s="1"/>
      <c r="P51" s="1"/>
    </row>
    <row r="52" spans="1:16">
      <c r="A52">
        <v>20200916</v>
      </c>
      <c r="B52">
        <v>126.9187098</v>
      </c>
      <c r="C52">
        <v>37.431417699999997</v>
      </c>
      <c r="D52" t="s">
        <v>315</v>
      </c>
      <c r="E52" s="9">
        <v>2.14</v>
      </c>
      <c r="F52" s="9">
        <v>478</v>
      </c>
      <c r="G52" s="9">
        <v>7.6</v>
      </c>
      <c r="H52" t="s">
        <v>3</v>
      </c>
      <c r="I52" t="s">
        <v>305</v>
      </c>
      <c r="O52" s="1"/>
      <c r="P52" s="1"/>
    </row>
    <row r="53" spans="1:16">
      <c r="A53">
        <v>20200916</v>
      </c>
      <c r="B53">
        <v>126.92050639999999</v>
      </c>
      <c r="C53">
        <v>37.418606500000003</v>
      </c>
      <c r="D53" t="s">
        <v>313</v>
      </c>
      <c r="E53" s="9">
        <v>2.14</v>
      </c>
      <c r="F53" s="9">
        <v>478</v>
      </c>
      <c r="G53" s="9">
        <v>7.6</v>
      </c>
      <c r="H53" t="s">
        <v>3</v>
      </c>
      <c r="I53" t="s">
        <v>305</v>
      </c>
      <c r="O53" s="1"/>
      <c r="P53" s="1"/>
    </row>
    <row r="54" spans="1:16">
      <c r="A54">
        <v>20200916</v>
      </c>
      <c r="B54">
        <v>126.99657019999999</v>
      </c>
      <c r="C54">
        <v>37.389118600000003</v>
      </c>
      <c r="D54" t="s">
        <v>289</v>
      </c>
      <c r="E54" s="9">
        <v>2.14</v>
      </c>
      <c r="F54" s="9">
        <v>478</v>
      </c>
      <c r="G54" s="9">
        <v>7.6</v>
      </c>
      <c r="H54" t="s">
        <v>3</v>
      </c>
      <c r="I54" t="s">
        <v>305</v>
      </c>
      <c r="O54" s="1"/>
      <c r="P54" s="1"/>
    </row>
    <row r="55" spans="1:16">
      <c r="A55">
        <v>20201024</v>
      </c>
      <c r="B55">
        <v>126.8960105</v>
      </c>
      <c r="C55">
        <v>37.403669399999998</v>
      </c>
      <c r="D55" t="s">
        <v>279</v>
      </c>
      <c r="E55" s="9">
        <v>2.14</v>
      </c>
      <c r="F55" s="9">
        <v>478</v>
      </c>
      <c r="G55" s="9">
        <v>7.6</v>
      </c>
      <c r="H55" t="s">
        <v>3</v>
      </c>
      <c r="I55" t="s">
        <v>305</v>
      </c>
      <c r="O55" s="1"/>
      <c r="P55" s="1"/>
    </row>
    <row r="56" spans="1:16">
      <c r="A56">
        <v>20201024</v>
      </c>
      <c r="B56">
        <v>126.89556140000001</v>
      </c>
      <c r="C56">
        <v>37.418411599999999</v>
      </c>
      <c r="D56" t="s">
        <v>280</v>
      </c>
      <c r="E56" s="9">
        <v>2.14</v>
      </c>
      <c r="F56" s="9">
        <v>478</v>
      </c>
      <c r="G56" s="9">
        <v>7.6</v>
      </c>
      <c r="H56" t="s">
        <v>3</v>
      </c>
      <c r="I56" t="s">
        <v>305</v>
      </c>
      <c r="O56" s="1"/>
      <c r="P56" s="1"/>
    </row>
    <row r="57" spans="1:16">
      <c r="A57">
        <v>20200916</v>
      </c>
      <c r="B57">
        <v>126.9866722</v>
      </c>
      <c r="C57">
        <v>37.398721700000003</v>
      </c>
      <c r="D57" t="s">
        <v>292</v>
      </c>
      <c r="E57" s="9">
        <v>2.14</v>
      </c>
      <c r="F57" s="9">
        <v>478</v>
      </c>
      <c r="G57" s="9">
        <v>7.6</v>
      </c>
      <c r="H57" t="s">
        <v>3</v>
      </c>
      <c r="I57" t="s">
        <v>305</v>
      </c>
      <c r="O57" s="1"/>
      <c r="P57" s="1"/>
    </row>
    <row r="58" spans="1:16">
      <c r="A58">
        <v>20201024</v>
      </c>
      <c r="B58">
        <v>126.9007862</v>
      </c>
      <c r="C58">
        <v>37.438687899999998</v>
      </c>
      <c r="D58" t="s">
        <v>281</v>
      </c>
      <c r="E58" s="9">
        <v>2.14</v>
      </c>
      <c r="F58" s="9">
        <v>478</v>
      </c>
      <c r="G58" s="9">
        <v>7.6</v>
      </c>
      <c r="H58" t="s">
        <v>3</v>
      </c>
      <c r="I58" t="s">
        <v>305</v>
      </c>
      <c r="O58" s="1"/>
      <c r="P58" s="1"/>
    </row>
    <row r="59" spans="1:16">
      <c r="A59">
        <v>20201024</v>
      </c>
      <c r="B59">
        <v>126.8772417</v>
      </c>
      <c r="C59">
        <v>37.474826299999997</v>
      </c>
      <c r="D59" t="s">
        <v>283</v>
      </c>
      <c r="E59" s="9">
        <v>2.14</v>
      </c>
      <c r="F59" s="9">
        <v>478</v>
      </c>
      <c r="G59" s="9">
        <v>7.6</v>
      </c>
      <c r="H59" t="s">
        <v>3</v>
      </c>
      <c r="I59" t="s">
        <v>305</v>
      </c>
      <c r="O59" s="1"/>
      <c r="P59" s="1"/>
    </row>
    <row r="60" spans="1:16">
      <c r="A60">
        <v>20201024</v>
      </c>
      <c r="B60">
        <v>126.82462289999999</v>
      </c>
      <c r="C60">
        <v>37.470256399999997</v>
      </c>
      <c r="D60" t="s">
        <v>307</v>
      </c>
      <c r="E60" s="9">
        <v>2.14</v>
      </c>
      <c r="F60" s="9">
        <v>478</v>
      </c>
      <c r="G60" s="9">
        <v>7.6</v>
      </c>
      <c r="H60" t="s">
        <v>3</v>
      </c>
      <c r="I60" t="s">
        <v>305</v>
      </c>
      <c r="O60" s="1"/>
      <c r="P60" s="1"/>
    </row>
    <row r="61" spans="1:16">
      <c r="A61">
        <v>20201024</v>
      </c>
      <c r="B61">
        <v>126.9724018</v>
      </c>
      <c r="C61">
        <v>37.348161500000003</v>
      </c>
      <c r="D61" t="s">
        <v>274</v>
      </c>
      <c r="E61" s="9">
        <v>2.14</v>
      </c>
      <c r="F61" s="9">
        <v>478</v>
      </c>
      <c r="G61" s="9">
        <v>7.6</v>
      </c>
      <c r="H61" t="s">
        <v>3</v>
      </c>
      <c r="I61" t="s">
        <v>305</v>
      </c>
      <c r="O61" s="1"/>
      <c r="P61" s="1"/>
    </row>
    <row r="62" spans="1:16">
      <c r="A62">
        <v>20201024</v>
      </c>
      <c r="B62">
        <v>126.92050639999999</v>
      </c>
      <c r="C62">
        <v>37.418606500000003</v>
      </c>
      <c r="D62" t="s">
        <v>313</v>
      </c>
      <c r="E62" s="9">
        <v>2.14</v>
      </c>
      <c r="F62" s="9">
        <v>478</v>
      </c>
      <c r="G62" s="9">
        <v>7.6</v>
      </c>
      <c r="H62" t="s">
        <v>3</v>
      </c>
      <c r="I62" t="s">
        <v>305</v>
      </c>
      <c r="O62" s="1"/>
      <c r="P62" s="1"/>
    </row>
    <row r="63" spans="1:16">
      <c r="A63">
        <v>20201024</v>
      </c>
      <c r="B63">
        <v>126.9506027</v>
      </c>
      <c r="C63">
        <v>37.400644700000001</v>
      </c>
      <c r="D63" t="s">
        <v>293</v>
      </c>
      <c r="E63" s="9">
        <v>2.14</v>
      </c>
      <c r="F63" s="9">
        <v>478</v>
      </c>
      <c r="G63" s="9">
        <v>7.6</v>
      </c>
      <c r="H63" t="s">
        <v>3</v>
      </c>
      <c r="I63" t="s">
        <v>305</v>
      </c>
      <c r="O63" s="1"/>
      <c r="P63" s="1"/>
    </row>
    <row r="64" spans="1:16">
      <c r="A64">
        <v>20201024</v>
      </c>
      <c r="B64">
        <v>126.93147879999999</v>
      </c>
      <c r="C64">
        <v>37.397387999999999</v>
      </c>
      <c r="D64" t="s">
        <v>277</v>
      </c>
      <c r="E64" s="9">
        <v>2.14</v>
      </c>
      <c r="F64" s="9">
        <v>478</v>
      </c>
      <c r="G64" s="9">
        <v>7.6</v>
      </c>
      <c r="H64" t="s">
        <v>3</v>
      </c>
      <c r="I64" t="s">
        <v>305</v>
      </c>
      <c r="O64" s="1"/>
      <c r="P64" s="1"/>
    </row>
    <row r="65" spans="1:16">
      <c r="A65">
        <v>20201024</v>
      </c>
      <c r="B65">
        <v>126.91482120000001</v>
      </c>
      <c r="C65">
        <v>37.409803799999999</v>
      </c>
      <c r="D65" t="s">
        <v>278</v>
      </c>
      <c r="E65" s="9">
        <v>2.14</v>
      </c>
      <c r="F65" s="9">
        <v>478</v>
      </c>
      <c r="G65" s="9">
        <v>7.6</v>
      </c>
      <c r="H65" t="s">
        <v>3</v>
      </c>
      <c r="I65" t="s">
        <v>305</v>
      </c>
      <c r="O65" s="1"/>
      <c r="P65" s="1"/>
    </row>
    <row r="66" spans="1:16">
      <c r="A66">
        <v>20201024</v>
      </c>
      <c r="B66">
        <v>126.9350989</v>
      </c>
      <c r="C66">
        <v>37.419096199999998</v>
      </c>
      <c r="D66" t="s">
        <v>314</v>
      </c>
      <c r="E66" s="9">
        <v>2.14</v>
      </c>
      <c r="F66" s="9">
        <v>478</v>
      </c>
      <c r="G66" s="9">
        <v>7.6</v>
      </c>
      <c r="H66" t="s">
        <v>3</v>
      </c>
      <c r="I66" t="s">
        <v>305</v>
      </c>
      <c r="O66" s="1"/>
      <c r="P66" s="1"/>
    </row>
    <row r="67" spans="1:16">
      <c r="A67">
        <v>20201024</v>
      </c>
      <c r="B67">
        <v>126.970473</v>
      </c>
      <c r="C67">
        <v>37.401905599999999</v>
      </c>
      <c r="D67" t="s">
        <v>291</v>
      </c>
      <c r="E67" s="9">
        <v>2.14</v>
      </c>
      <c r="F67" s="9">
        <v>478</v>
      </c>
      <c r="G67" s="9">
        <v>7.6</v>
      </c>
      <c r="H67" t="s">
        <v>3</v>
      </c>
      <c r="I67" t="s">
        <v>305</v>
      </c>
      <c r="O67" s="1"/>
      <c r="P67" s="1"/>
    </row>
    <row r="68" spans="1:16">
      <c r="A68">
        <v>20201024</v>
      </c>
      <c r="B68">
        <v>126.9866722</v>
      </c>
      <c r="C68">
        <v>37.398721700000003</v>
      </c>
      <c r="D68" t="s">
        <v>292</v>
      </c>
      <c r="E68" s="9">
        <v>2.14</v>
      </c>
      <c r="F68" s="9">
        <v>478</v>
      </c>
      <c r="G68" s="9">
        <v>7.6</v>
      </c>
      <c r="H68" t="s">
        <v>3</v>
      </c>
      <c r="I68" t="s">
        <v>305</v>
      </c>
      <c r="O68" s="1"/>
      <c r="P68" s="1"/>
    </row>
    <row r="69" spans="1:16">
      <c r="A69">
        <v>20201024</v>
      </c>
      <c r="B69">
        <v>126.8910417</v>
      </c>
      <c r="C69">
        <v>37.458163800000001</v>
      </c>
      <c r="D69" t="s">
        <v>282</v>
      </c>
      <c r="E69" s="9">
        <v>2.14</v>
      </c>
      <c r="F69" s="9">
        <v>478</v>
      </c>
      <c r="G69" s="9">
        <v>7.6</v>
      </c>
      <c r="H69" t="s">
        <v>3</v>
      </c>
      <c r="I69" t="s">
        <v>305</v>
      </c>
      <c r="O69" s="1"/>
      <c r="P69" s="1"/>
    </row>
    <row r="70" spans="1:16">
      <c r="A70">
        <v>20201024</v>
      </c>
      <c r="B70">
        <v>126.87358690000001</v>
      </c>
      <c r="C70">
        <v>37.508467699999997</v>
      </c>
      <c r="D70" t="s">
        <v>286</v>
      </c>
      <c r="E70" s="9">
        <v>2.14</v>
      </c>
      <c r="F70" s="9">
        <v>478</v>
      </c>
      <c r="G70" s="9">
        <v>7.6</v>
      </c>
      <c r="H70" t="s">
        <v>3</v>
      </c>
      <c r="I70" t="s">
        <v>305</v>
      </c>
      <c r="O70" s="1"/>
      <c r="P70" s="1"/>
    </row>
    <row r="71" spans="1:16">
      <c r="A71">
        <v>20201024</v>
      </c>
      <c r="B71">
        <v>126.99657019999999</v>
      </c>
      <c r="C71">
        <v>37.389118600000003</v>
      </c>
      <c r="D71" t="s">
        <v>289</v>
      </c>
      <c r="E71" s="9">
        <v>2.14</v>
      </c>
      <c r="F71" s="9">
        <v>478</v>
      </c>
      <c r="G71" s="9">
        <v>7.6</v>
      </c>
      <c r="H71" t="s">
        <v>3</v>
      </c>
      <c r="I71" t="s">
        <v>305</v>
      </c>
      <c r="O71" s="1"/>
      <c r="P71" s="1"/>
    </row>
    <row r="72" spans="1:16">
      <c r="A72">
        <v>20201024</v>
      </c>
      <c r="B72">
        <v>126.87060049999999</v>
      </c>
      <c r="C72">
        <v>37.492184199999997</v>
      </c>
      <c r="D72" t="s">
        <v>285</v>
      </c>
      <c r="E72" s="9">
        <v>2.14</v>
      </c>
      <c r="F72" s="9">
        <v>478</v>
      </c>
      <c r="G72" s="9">
        <v>7.6</v>
      </c>
      <c r="H72" t="s">
        <v>3</v>
      </c>
      <c r="I72" t="s">
        <v>305</v>
      </c>
      <c r="O72" s="1"/>
      <c r="P72" s="1"/>
    </row>
    <row r="73" spans="1:16">
      <c r="A73">
        <v>20201024</v>
      </c>
      <c r="B73">
        <v>126.8797805</v>
      </c>
      <c r="C73">
        <v>37.523914499999997</v>
      </c>
      <c r="D73" t="s">
        <v>287</v>
      </c>
      <c r="E73" s="9">
        <v>2.14</v>
      </c>
      <c r="F73" s="9">
        <v>478</v>
      </c>
      <c r="G73" s="9">
        <v>7.6</v>
      </c>
      <c r="H73" t="s">
        <v>3</v>
      </c>
      <c r="I73" t="s">
        <v>305</v>
      </c>
      <c r="O73" s="1"/>
      <c r="P73" s="1"/>
    </row>
    <row r="74" spans="1:16">
      <c r="A74">
        <v>20201024</v>
      </c>
      <c r="B74">
        <v>126.887135</v>
      </c>
      <c r="C74">
        <v>37.539645499999999</v>
      </c>
      <c r="D74" t="s">
        <v>288</v>
      </c>
      <c r="E74" s="9">
        <v>2.14</v>
      </c>
      <c r="F74" s="9">
        <v>478</v>
      </c>
      <c r="G74" s="9">
        <v>7.6</v>
      </c>
      <c r="H74" t="s">
        <v>3</v>
      </c>
      <c r="I74" t="s">
        <v>305</v>
      </c>
      <c r="O74" s="1"/>
      <c r="P74" s="1"/>
    </row>
    <row r="75" spans="1:16">
      <c r="A75">
        <v>20201024</v>
      </c>
      <c r="B75">
        <v>126.8771357</v>
      </c>
      <c r="C75">
        <v>37.553306900000003</v>
      </c>
      <c r="D75" t="s">
        <v>284</v>
      </c>
      <c r="E75" s="9">
        <v>2.14</v>
      </c>
      <c r="F75" s="9">
        <v>478</v>
      </c>
      <c r="G75" s="9">
        <v>7.6</v>
      </c>
      <c r="H75" t="s">
        <v>3</v>
      </c>
      <c r="I75" t="s">
        <v>305</v>
      </c>
      <c r="O75" s="1"/>
      <c r="P75" s="1"/>
    </row>
    <row r="76" spans="1:16">
      <c r="A76">
        <v>20201024</v>
      </c>
      <c r="B76">
        <v>126.85185540000001</v>
      </c>
      <c r="C76">
        <v>37.406578799999998</v>
      </c>
      <c r="D76" t="s">
        <v>312</v>
      </c>
      <c r="E76" s="9">
        <v>2.14</v>
      </c>
      <c r="F76" s="9">
        <v>478</v>
      </c>
      <c r="G76" s="9">
        <v>7.6</v>
      </c>
      <c r="H76" t="s">
        <v>3</v>
      </c>
      <c r="I76" t="s">
        <v>305</v>
      </c>
      <c r="O76" s="1"/>
      <c r="P76" s="1"/>
    </row>
    <row r="77" spans="1:16">
      <c r="A77">
        <v>20201024</v>
      </c>
      <c r="B77">
        <v>126.8446659</v>
      </c>
      <c r="C77">
        <v>37.420618699999999</v>
      </c>
      <c r="D77" t="s">
        <v>311</v>
      </c>
      <c r="E77" s="9">
        <v>2.14</v>
      </c>
      <c r="F77" s="9">
        <v>478</v>
      </c>
      <c r="G77" s="9">
        <v>7.6</v>
      </c>
      <c r="H77" t="s">
        <v>3</v>
      </c>
      <c r="I77" t="s">
        <v>305</v>
      </c>
      <c r="O77" s="1"/>
      <c r="P77" s="1"/>
    </row>
    <row r="78" spans="1:16">
      <c r="A78">
        <v>20201024</v>
      </c>
      <c r="B78">
        <v>126.8343934</v>
      </c>
      <c r="C78">
        <v>37.4648574</v>
      </c>
      <c r="D78" t="s">
        <v>308</v>
      </c>
      <c r="E78" s="9">
        <v>2.14</v>
      </c>
      <c r="F78" s="9">
        <v>478</v>
      </c>
      <c r="G78" s="9">
        <v>7.6</v>
      </c>
      <c r="H78" t="s">
        <v>3</v>
      </c>
      <c r="I78" t="s">
        <v>305</v>
      </c>
      <c r="O78" s="1"/>
      <c r="P78" s="1"/>
    </row>
    <row r="79" spans="1:16">
      <c r="A79">
        <v>20201024</v>
      </c>
      <c r="B79">
        <v>126.83793110000001</v>
      </c>
      <c r="C79">
        <v>37.441797600000001</v>
      </c>
      <c r="D79" t="s">
        <v>310</v>
      </c>
      <c r="E79" s="9">
        <v>2.14</v>
      </c>
      <c r="F79" s="9">
        <v>478</v>
      </c>
      <c r="G79" s="9">
        <v>7.6</v>
      </c>
      <c r="H79" t="s">
        <v>3</v>
      </c>
      <c r="I79" t="s">
        <v>305</v>
      </c>
      <c r="O79" s="1"/>
      <c r="P79" s="1"/>
    </row>
    <row r="80" spans="1:16">
      <c r="A80">
        <v>20201024</v>
      </c>
      <c r="B80">
        <v>126.8428368</v>
      </c>
      <c r="C80">
        <v>37.4677784</v>
      </c>
      <c r="D80" t="s">
        <v>309</v>
      </c>
      <c r="E80" s="9">
        <v>2.14</v>
      </c>
      <c r="F80" s="9">
        <v>478</v>
      </c>
      <c r="G80" s="9">
        <v>7.6</v>
      </c>
      <c r="H80" t="s">
        <v>3</v>
      </c>
      <c r="I80" t="s">
        <v>305</v>
      </c>
      <c r="O80" s="1"/>
      <c r="P80" s="1"/>
    </row>
    <row r="81" spans="1:16">
      <c r="A81">
        <v>20201024</v>
      </c>
      <c r="B81">
        <v>126.8499561</v>
      </c>
      <c r="C81">
        <v>37.481606900000003</v>
      </c>
      <c r="D81" t="s">
        <v>317</v>
      </c>
      <c r="E81" s="9">
        <v>2.14</v>
      </c>
      <c r="F81" s="9">
        <v>478</v>
      </c>
      <c r="G81" s="9">
        <v>7.6</v>
      </c>
      <c r="H81" t="s">
        <v>3</v>
      </c>
      <c r="I81" t="s">
        <v>305</v>
      </c>
      <c r="O81" s="1"/>
      <c r="P81" s="1"/>
    </row>
    <row r="82" spans="1:16">
      <c r="A82">
        <v>20201024</v>
      </c>
      <c r="B82">
        <v>126.8663749</v>
      </c>
      <c r="C82">
        <v>37.492704799999998</v>
      </c>
      <c r="D82" t="s">
        <v>290</v>
      </c>
      <c r="E82" s="9">
        <v>2.14</v>
      </c>
      <c r="F82" s="9">
        <v>478</v>
      </c>
      <c r="G82" s="9">
        <v>7.6</v>
      </c>
      <c r="H82" t="s">
        <v>3</v>
      </c>
      <c r="I82" t="s">
        <v>305</v>
      </c>
      <c r="O82" s="1"/>
      <c r="P82" s="1"/>
    </row>
    <row r="83" spans="1:16">
      <c r="A83">
        <v>20201024</v>
      </c>
      <c r="B83">
        <v>126.9187098</v>
      </c>
      <c r="C83">
        <v>37.431417699999997</v>
      </c>
      <c r="D83" t="s">
        <v>315</v>
      </c>
      <c r="E83" s="9">
        <v>2.14</v>
      </c>
      <c r="F83" s="9">
        <v>478</v>
      </c>
      <c r="G83" s="9">
        <v>7.6</v>
      </c>
      <c r="H83" t="s">
        <v>3</v>
      </c>
      <c r="I83" t="s">
        <v>305</v>
      </c>
      <c r="O83" s="1"/>
      <c r="P83" s="1"/>
    </row>
    <row r="84" spans="1:16">
      <c r="A84">
        <v>20201024</v>
      </c>
      <c r="B84">
        <v>126.81713569999999</v>
      </c>
      <c r="C84">
        <v>37.593306900000002</v>
      </c>
      <c r="D84" t="s">
        <v>319</v>
      </c>
      <c r="E84" s="11">
        <v>2.14</v>
      </c>
      <c r="F84" s="11">
        <v>478</v>
      </c>
      <c r="G84" s="11">
        <v>7.6</v>
      </c>
      <c r="H84" t="s">
        <v>318</v>
      </c>
      <c r="I84" t="s">
        <v>305</v>
      </c>
      <c r="O84" s="1"/>
      <c r="P84" s="1"/>
    </row>
    <row r="85" spans="1:16">
      <c r="A85">
        <v>20201024</v>
      </c>
      <c r="B85">
        <v>126.7771357</v>
      </c>
      <c r="C85">
        <v>37.593306900000002</v>
      </c>
      <c r="D85" t="s">
        <v>320</v>
      </c>
      <c r="E85" s="11">
        <v>2.14</v>
      </c>
      <c r="F85" s="11">
        <v>478</v>
      </c>
      <c r="G85" s="11">
        <v>7.6</v>
      </c>
      <c r="H85" t="s">
        <v>318</v>
      </c>
      <c r="I85" t="s">
        <v>305</v>
      </c>
      <c r="O85" s="1"/>
      <c r="P85" s="1"/>
    </row>
    <row r="86" spans="1:16">
      <c r="A86">
        <v>20201024</v>
      </c>
      <c r="B86">
        <v>126.7471357</v>
      </c>
      <c r="C86">
        <v>37.593306900000002</v>
      </c>
      <c r="D86" t="s">
        <v>321</v>
      </c>
      <c r="E86" s="11">
        <v>2.14</v>
      </c>
      <c r="F86" s="11">
        <v>478</v>
      </c>
      <c r="G86" s="11">
        <v>7.6</v>
      </c>
      <c r="H86" t="s">
        <v>318</v>
      </c>
      <c r="I86" t="s">
        <v>305</v>
      </c>
      <c r="O86" s="1"/>
      <c r="P86" s="1"/>
    </row>
    <row r="87" spans="1:16">
      <c r="O87" s="1"/>
      <c r="P87" s="1"/>
    </row>
    <row r="88" spans="1:16">
      <c r="O88" s="1"/>
      <c r="P88" s="1"/>
    </row>
    <row r="89" spans="1:16">
      <c r="O89" s="1"/>
      <c r="P89" s="1"/>
    </row>
    <row r="90" spans="1:16">
      <c r="O90" s="1"/>
      <c r="P90" s="1"/>
    </row>
    <row r="91" spans="1:16">
      <c r="O91" s="1"/>
      <c r="P91" s="1"/>
    </row>
    <row r="92" spans="1:16">
      <c r="O92" s="1"/>
      <c r="P92" s="1"/>
    </row>
    <row r="93" spans="1:16">
      <c r="O93" s="1"/>
      <c r="P93" s="1"/>
    </row>
    <row r="94" spans="1:16">
      <c r="O94" s="1"/>
      <c r="P94" s="1"/>
    </row>
    <row r="95" spans="1:16">
      <c r="O95" s="1"/>
      <c r="P95" s="1"/>
    </row>
    <row r="96" spans="1:16">
      <c r="O96" s="1"/>
      <c r="P96" s="1"/>
    </row>
    <row r="97" spans="15:16">
      <c r="O97" s="1"/>
      <c r="P97" s="1"/>
    </row>
    <row r="98" spans="15:16">
      <c r="O98" s="1"/>
      <c r="P98" s="1"/>
    </row>
    <row r="99" spans="15:16">
      <c r="O99" s="1"/>
      <c r="P99" s="1"/>
    </row>
    <row r="100" spans="15:16">
      <c r="O100" s="1"/>
      <c r="P100" s="1"/>
    </row>
    <row r="101" spans="15:16">
      <c r="O101" s="1"/>
      <c r="P101" s="1"/>
    </row>
    <row r="102" spans="15:16">
      <c r="O102" s="1"/>
      <c r="P102" s="1"/>
    </row>
    <row r="103" spans="15:16">
      <c r="O103" s="1"/>
      <c r="P103" s="1"/>
    </row>
    <row r="104" spans="15:16">
      <c r="O104" s="1"/>
      <c r="P104" s="1"/>
    </row>
    <row r="105" spans="15:16">
      <c r="O105" s="1"/>
      <c r="P105" s="1"/>
    </row>
    <row r="106" spans="15:16">
      <c r="O106" s="1"/>
      <c r="P106" s="1"/>
    </row>
    <row r="107" spans="15:16">
      <c r="O107" s="1"/>
      <c r="P107" s="1"/>
    </row>
    <row r="108" spans="15:16">
      <c r="O108" s="1"/>
      <c r="P108" s="1"/>
    </row>
    <row r="109" spans="15:16">
      <c r="O109" s="1"/>
      <c r="P109" s="1"/>
    </row>
    <row r="110" spans="15:16">
      <c r="O110" s="1"/>
      <c r="P110" s="1"/>
    </row>
    <row r="111" spans="15:16">
      <c r="O111" s="1"/>
      <c r="P111" s="1"/>
    </row>
    <row r="112" spans="15:16">
      <c r="O112" s="1"/>
      <c r="P112" s="1"/>
    </row>
    <row r="113" spans="15:16">
      <c r="O113" s="1"/>
      <c r="P113" s="1"/>
    </row>
    <row r="114" spans="15:16">
      <c r="O114" s="1"/>
      <c r="P114" s="1"/>
    </row>
    <row r="115" spans="15:16">
      <c r="O115" s="1"/>
      <c r="P115" s="1"/>
    </row>
    <row r="116" spans="15:16">
      <c r="O116" s="1"/>
      <c r="P116" s="1"/>
    </row>
    <row r="117" spans="15:16">
      <c r="O117" s="1"/>
      <c r="P117" s="1"/>
    </row>
    <row r="118" spans="15:16">
      <c r="O118" s="1"/>
      <c r="P118" s="1"/>
    </row>
    <row r="119" spans="15:16">
      <c r="O119" s="1"/>
      <c r="P119" s="1"/>
    </row>
    <row r="120" spans="15:16">
      <c r="O120" s="1"/>
      <c r="P120" s="1"/>
    </row>
    <row r="121" spans="15:16">
      <c r="O121" s="1"/>
      <c r="P121" s="1"/>
    </row>
    <row r="122" spans="15:16">
      <c r="O122" s="1"/>
      <c r="P122" s="1"/>
    </row>
    <row r="123" spans="15:16">
      <c r="O123" s="1"/>
      <c r="P123" s="1"/>
    </row>
    <row r="124" spans="15:16">
      <c r="O124" s="1"/>
      <c r="P124" s="1"/>
    </row>
    <row r="125" spans="15:16">
      <c r="O125" s="1"/>
      <c r="P125" s="1"/>
    </row>
    <row r="126" spans="15:16">
      <c r="O126" s="1"/>
      <c r="P126" s="1"/>
    </row>
    <row r="127" spans="15:16">
      <c r="O127" s="1"/>
      <c r="P127" s="1"/>
    </row>
    <row r="128" spans="15:16">
      <c r="O128" s="1"/>
      <c r="P128" s="1"/>
    </row>
    <row r="129" spans="15:16">
      <c r="O129" s="1"/>
      <c r="P129" s="1"/>
    </row>
    <row r="130" spans="15:16">
      <c r="O130" s="1"/>
      <c r="P130" s="1"/>
    </row>
    <row r="131" spans="15:16">
      <c r="O131" s="1"/>
      <c r="P131" s="1"/>
    </row>
    <row r="132" spans="15:16">
      <c r="O132" s="1"/>
      <c r="P132" s="1"/>
    </row>
    <row r="133" spans="15:16">
      <c r="O133" s="1"/>
      <c r="P133" s="1"/>
    </row>
    <row r="134" spans="15:16">
      <c r="O134" s="1"/>
      <c r="P134" s="1"/>
    </row>
    <row r="135" spans="15:16">
      <c r="O135" s="1"/>
      <c r="P135" s="1"/>
    </row>
    <row r="136" spans="15:16">
      <c r="O136" s="1"/>
      <c r="P136" s="1"/>
    </row>
    <row r="137" spans="15:16">
      <c r="O137" s="1"/>
      <c r="P137" s="1"/>
    </row>
    <row r="138" spans="15:16">
      <c r="O138" s="1"/>
      <c r="P138" s="1"/>
    </row>
    <row r="139" spans="15:16">
      <c r="O139" s="1"/>
      <c r="P139" s="1"/>
    </row>
    <row r="140" spans="15:16">
      <c r="O140" s="1"/>
      <c r="P140" s="1"/>
    </row>
    <row r="141" spans="15:16">
      <c r="O141" s="1"/>
      <c r="P141" s="1"/>
    </row>
    <row r="142" spans="15:16">
      <c r="O142" s="1"/>
      <c r="P142" s="1"/>
    </row>
    <row r="143" spans="15:16">
      <c r="O143" s="1"/>
      <c r="P143" s="1"/>
    </row>
    <row r="144" spans="15:16">
      <c r="O144" s="1"/>
      <c r="P144" s="1"/>
    </row>
    <row r="145" spans="15:16">
      <c r="O145" s="1"/>
      <c r="P145" s="1"/>
    </row>
    <row r="146" spans="15:16">
      <c r="O146" s="1"/>
      <c r="P146" s="1"/>
    </row>
    <row r="147" spans="15:16">
      <c r="O147" s="1"/>
      <c r="P147" s="1"/>
    </row>
    <row r="148" spans="15:16">
      <c r="O148" s="1"/>
      <c r="P148" s="1"/>
    </row>
    <row r="149" spans="15:16">
      <c r="O149" s="1"/>
      <c r="P149" s="1"/>
    </row>
    <row r="150" spans="15:16">
      <c r="O150" s="1"/>
      <c r="P150" s="1"/>
    </row>
    <row r="151" spans="15:16">
      <c r="O151" s="1"/>
      <c r="P151" s="1"/>
    </row>
    <row r="152" spans="15:16">
      <c r="O152" s="1"/>
      <c r="P152" s="1"/>
    </row>
    <row r="153" spans="15:16">
      <c r="O153" s="1"/>
      <c r="P153" s="1"/>
    </row>
    <row r="154" spans="15:16">
      <c r="O154" s="1"/>
      <c r="P154" s="1"/>
    </row>
    <row r="155" spans="15:16">
      <c r="O155" s="1"/>
      <c r="P155" s="1"/>
    </row>
    <row r="156" spans="15:16">
      <c r="O156" s="1"/>
      <c r="P156" s="1"/>
    </row>
    <row r="157" spans="15:16">
      <c r="O157" s="1"/>
      <c r="P157" s="1"/>
    </row>
    <row r="158" spans="15:16">
      <c r="O158" s="1"/>
      <c r="P158" s="1"/>
    </row>
    <row r="159" spans="15:16">
      <c r="O159" s="1"/>
      <c r="P159" s="1"/>
    </row>
    <row r="160" spans="15:16">
      <c r="O160" s="1"/>
      <c r="P160" s="1"/>
    </row>
    <row r="161" spans="15:16">
      <c r="O161" s="1"/>
      <c r="P161" s="1"/>
    </row>
    <row r="162" spans="15:16">
      <c r="O162" s="1"/>
      <c r="P162" s="1"/>
    </row>
    <row r="163" spans="15:16">
      <c r="O163" s="1"/>
      <c r="P163" s="1"/>
    </row>
    <row r="164" spans="15:16">
      <c r="O164" s="1"/>
      <c r="P164" s="1"/>
    </row>
    <row r="165" spans="15:16">
      <c r="O165" s="1"/>
      <c r="P165" s="1"/>
    </row>
    <row r="166" spans="15:16">
      <c r="O166" s="1"/>
      <c r="P166" s="1"/>
    </row>
    <row r="167" spans="15:16">
      <c r="O167" s="1"/>
      <c r="P167" s="1"/>
    </row>
    <row r="168" spans="15:16">
      <c r="O168" s="1"/>
      <c r="P168" s="1"/>
    </row>
    <row r="169" spans="15:16">
      <c r="O169" s="1"/>
      <c r="P169" s="1"/>
    </row>
    <row r="170" spans="15:16">
      <c r="O170" s="1"/>
      <c r="P170" s="1"/>
    </row>
    <row r="171" spans="15:16">
      <c r="O171" s="1"/>
      <c r="P171" s="1"/>
    </row>
    <row r="172" spans="15:16">
      <c r="O172" s="1"/>
      <c r="P172" s="1"/>
    </row>
    <row r="173" spans="15:16">
      <c r="O173" s="1"/>
      <c r="P173" s="1"/>
    </row>
    <row r="174" spans="15:16">
      <c r="O174" s="1"/>
      <c r="P174" s="1"/>
    </row>
    <row r="175" spans="15:16">
      <c r="O175" s="1"/>
      <c r="P175" s="1"/>
    </row>
    <row r="176" spans="15:16">
      <c r="O176" s="1"/>
      <c r="P176" s="1"/>
    </row>
    <row r="177" spans="15:16">
      <c r="O177" s="1"/>
      <c r="P177" s="1"/>
    </row>
    <row r="178" spans="15:16">
      <c r="O178" s="1"/>
      <c r="P178" s="1"/>
    </row>
    <row r="179" spans="15:16">
      <c r="O179" s="1"/>
      <c r="P179" s="1"/>
    </row>
    <row r="180" spans="15:16">
      <c r="O180" s="1"/>
      <c r="P180" s="1"/>
    </row>
    <row r="181" spans="15:16">
      <c r="O181" s="1"/>
      <c r="P181" s="1"/>
    </row>
    <row r="182" spans="15:16">
      <c r="O182" s="1"/>
      <c r="P182" s="1"/>
    </row>
    <row r="183" spans="15:16">
      <c r="O183" s="1"/>
      <c r="P183" s="1"/>
    </row>
    <row r="184" spans="15:16">
      <c r="O184" s="1"/>
      <c r="P184" s="1"/>
    </row>
    <row r="185" spans="15:16">
      <c r="O185" s="1"/>
      <c r="P185" s="1"/>
    </row>
    <row r="186" spans="15:16">
      <c r="O186" s="1"/>
      <c r="P186" s="1"/>
    </row>
    <row r="187" spans="15:16">
      <c r="O187" s="1"/>
      <c r="P187" s="1"/>
    </row>
    <row r="188" spans="15:16">
      <c r="O188" s="1"/>
      <c r="P188" s="1"/>
    </row>
    <row r="189" spans="15:16">
      <c r="O189" s="1"/>
      <c r="P189" s="1"/>
    </row>
    <row r="190" spans="15:16">
      <c r="O190" s="1"/>
      <c r="P190" s="1"/>
    </row>
    <row r="191" spans="15:16">
      <c r="O191" s="1"/>
      <c r="P191" s="1"/>
    </row>
    <row r="192" spans="15:16">
      <c r="O192" s="1"/>
      <c r="P192" s="1"/>
    </row>
    <row r="193" spans="15:16">
      <c r="O193" s="1"/>
      <c r="P193" s="1"/>
    </row>
    <row r="194" spans="15:16">
      <c r="O194" s="1"/>
      <c r="P194" s="1"/>
    </row>
    <row r="195" spans="15:16">
      <c r="O195" s="1"/>
      <c r="P195" s="1"/>
    </row>
    <row r="196" spans="15:16">
      <c r="O196" s="1"/>
      <c r="P196" s="1"/>
    </row>
    <row r="197" spans="15:16">
      <c r="O197" s="1"/>
      <c r="P197" s="1"/>
    </row>
    <row r="198" spans="15:16">
      <c r="O198" s="1"/>
      <c r="P198" s="1"/>
    </row>
    <row r="199" spans="15:16">
      <c r="O199" s="1"/>
      <c r="P199" s="1"/>
    </row>
    <row r="200" spans="15:16">
      <c r="O200" s="1"/>
      <c r="P200" s="1"/>
    </row>
    <row r="201" spans="15:16">
      <c r="O201" s="1"/>
      <c r="P201" s="1"/>
    </row>
    <row r="202" spans="15:16">
      <c r="O202" s="1"/>
      <c r="P202" s="1"/>
    </row>
    <row r="203" spans="15:16">
      <c r="O203" s="1"/>
      <c r="P203" s="1"/>
    </row>
    <row r="204" spans="15:16">
      <c r="O204" s="1"/>
      <c r="P204" s="1"/>
    </row>
    <row r="205" spans="15:16">
      <c r="O205" s="1"/>
      <c r="P205" s="1"/>
    </row>
    <row r="206" spans="15:16">
      <c r="O206" s="1"/>
      <c r="P206" s="1"/>
    </row>
    <row r="207" spans="15:16">
      <c r="O207" s="1"/>
      <c r="P207" s="1"/>
    </row>
    <row r="208" spans="15:16">
      <c r="O208" s="1"/>
      <c r="P208" s="1"/>
    </row>
    <row r="209" spans="15:16">
      <c r="O209" s="1"/>
      <c r="P209" s="1"/>
    </row>
    <row r="210" spans="15:16">
      <c r="O210" s="1"/>
      <c r="P210" s="1"/>
    </row>
    <row r="211" spans="15:16">
      <c r="O211" s="1"/>
      <c r="P211" s="1"/>
    </row>
    <row r="212" spans="15:16">
      <c r="O212" s="1"/>
      <c r="P212" s="1"/>
    </row>
    <row r="213" spans="15:16">
      <c r="O213" s="1"/>
      <c r="P213" s="1"/>
    </row>
    <row r="214" spans="15:16">
      <c r="O214" s="1"/>
      <c r="P214" s="1"/>
    </row>
    <row r="215" spans="15:16">
      <c r="O215" s="1"/>
      <c r="P215" s="1"/>
    </row>
    <row r="216" spans="15:16">
      <c r="O216" s="1"/>
      <c r="P216" s="1"/>
    </row>
    <row r="217" spans="15:16">
      <c r="O217" s="1"/>
      <c r="P217" s="1"/>
    </row>
    <row r="218" spans="15:16">
      <c r="O218" s="1"/>
      <c r="P218" s="1"/>
    </row>
    <row r="219" spans="15:16">
      <c r="O219" s="1"/>
      <c r="P219" s="1"/>
    </row>
    <row r="220" spans="15:16">
      <c r="O220" s="1"/>
      <c r="P220" s="1"/>
    </row>
    <row r="221" spans="15:16">
      <c r="O221" s="1"/>
      <c r="P221" s="1"/>
    </row>
    <row r="222" spans="15:16">
      <c r="O222" s="1"/>
      <c r="P222" s="1"/>
    </row>
    <row r="223" spans="15:16">
      <c r="O223" s="1"/>
      <c r="P223" s="1"/>
    </row>
    <row r="224" spans="15:16">
      <c r="O224" s="1"/>
      <c r="P224" s="1"/>
    </row>
    <row r="225" spans="15:16">
      <c r="O225" s="1"/>
      <c r="P225" s="1"/>
    </row>
    <row r="226" spans="15:16">
      <c r="O226" s="1"/>
      <c r="P226" s="1"/>
    </row>
    <row r="227" spans="15:16">
      <c r="O227" s="1"/>
      <c r="P227" s="1"/>
    </row>
    <row r="228" spans="15:16">
      <c r="O228" s="1"/>
      <c r="P228" s="1"/>
    </row>
    <row r="229" spans="15:16">
      <c r="O229" s="1"/>
      <c r="P229" s="1"/>
    </row>
    <row r="230" spans="15:16">
      <c r="O230" s="1"/>
      <c r="P230" s="1"/>
    </row>
    <row r="231" spans="15:16">
      <c r="O231" s="1"/>
      <c r="P231" s="1"/>
    </row>
    <row r="232" spans="15:16">
      <c r="O232" s="1"/>
      <c r="P232" s="1"/>
    </row>
    <row r="233" spans="15:16">
      <c r="O233" s="1"/>
      <c r="P233" s="1"/>
    </row>
    <row r="234" spans="15:16">
      <c r="O234" s="1"/>
      <c r="P234" s="1"/>
    </row>
    <row r="235" spans="15:16">
      <c r="O235" s="1"/>
      <c r="P235" s="1"/>
    </row>
    <row r="236" spans="15:16">
      <c r="O236" s="1"/>
      <c r="P236" s="1"/>
    </row>
    <row r="237" spans="15:16">
      <c r="O237" s="1"/>
      <c r="P237" s="1"/>
    </row>
    <row r="238" spans="15:16">
      <c r="O238" s="1"/>
      <c r="P238" s="1"/>
    </row>
    <row r="239" spans="15:16">
      <c r="O239" s="1"/>
      <c r="P239" s="1"/>
    </row>
    <row r="240" spans="15:16">
      <c r="O240" s="1"/>
      <c r="P240" s="1"/>
    </row>
    <row r="241" spans="15:16">
      <c r="O241" s="1"/>
      <c r="P241" s="1"/>
    </row>
    <row r="242" spans="15:16">
      <c r="O242" s="1"/>
      <c r="P242" s="1"/>
    </row>
    <row r="243" spans="15:16">
      <c r="O243" s="1"/>
      <c r="P243" s="1"/>
    </row>
    <row r="244" spans="15:16">
      <c r="O244" s="1"/>
      <c r="P244" s="1"/>
    </row>
    <row r="245" spans="15:16">
      <c r="O245" s="1"/>
      <c r="P245" s="1"/>
    </row>
    <row r="246" spans="15:16">
      <c r="O246" s="1"/>
      <c r="P246" s="1"/>
    </row>
    <row r="247" spans="15:16">
      <c r="O247" s="1"/>
      <c r="P247" s="1"/>
    </row>
    <row r="248" spans="15:16">
      <c r="O248" s="1"/>
      <c r="P248" s="1"/>
    </row>
    <row r="249" spans="15:16">
      <c r="O249" s="1"/>
      <c r="P249" s="1"/>
    </row>
    <row r="250" spans="15:16">
      <c r="O250" s="1"/>
      <c r="P250" s="1"/>
    </row>
    <row r="251" spans="15:16">
      <c r="O251" s="1"/>
      <c r="P251" s="1"/>
    </row>
    <row r="252" spans="15:16">
      <c r="O252" s="1"/>
      <c r="P252" s="1"/>
    </row>
    <row r="253" spans="15:16">
      <c r="O253" s="1"/>
      <c r="P253" s="1"/>
    </row>
    <row r="254" spans="15:16">
      <c r="O254" s="1"/>
      <c r="P254" s="1"/>
    </row>
    <row r="255" spans="15:16">
      <c r="O255" s="1"/>
      <c r="P255" s="1"/>
    </row>
    <row r="256" spans="15:16">
      <c r="O256" s="1"/>
      <c r="P256" s="1"/>
    </row>
    <row r="257" spans="15:16">
      <c r="O257" s="1"/>
      <c r="P257" s="1"/>
    </row>
    <row r="258" spans="15:16">
      <c r="O258" s="1"/>
      <c r="P258" s="1"/>
    </row>
    <row r="259" spans="15:16">
      <c r="O259" s="1"/>
      <c r="P259" s="1"/>
    </row>
    <row r="260" spans="15:16">
      <c r="O260" s="1"/>
      <c r="P260" s="1"/>
    </row>
    <row r="261" spans="15:16">
      <c r="O261" s="1"/>
      <c r="P261" s="1"/>
    </row>
    <row r="262" spans="15:16">
      <c r="O262" s="1"/>
      <c r="P262" s="1"/>
    </row>
    <row r="263" spans="15:16">
      <c r="O263" s="1"/>
      <c r="P263" s="1"/>
    </row>
    <row r="264" spans="15:16">
      <c r="O264" s="1"/>
      <c r="P264" s="1"/>
    </row>
    <row r="265" spans="15:16">
      <c r="O265" s="1"/>
      <c r="P265" s="1"/>
    </row>
    <row r="266" spans="15:16">
      <c r="O266" s="1"/>
      <c r="P266" s="1"/>
    </row>
    <row r="267" spans="15:16">
      <c r="O267" s="1"/>
      <c r="P267" s="1"/>
    </row>
    <row r="268" spans="15:16">
      <c r="O268" s="1"/>
      <c r="P268" s="1"/>
    </row>
    <row r="269" spans="15:16">
      <c r="O269" s="1"/>
      <c r="P269" s="1"/>
    </row>
    <row r="270" spans="15:16">
      <c r="O270" s="1"/>
      <c r="P270" s="1"/>
    </row>
    <row r="271" spans="15:16">
      <c r="O271" s="1"/>
      <c r="P271" s="1"/>
    </row>
    <row r="272" spans="15:16">
      <c r="O272" s="1"/>
      <c r="P272" s="1"/>
    </row>
    <row r="273" spans="15:16">
      <c r="O273" s="1"/>
      <c r="P273" s="1"/>
    </row>
    <row r="274" spans="15:16">
      <c r="O274" s="1"/>
      <c r="P274" s="1"/>
    </row>
    <row r="275" spans="15:16">
      <c r="O275" s="1"/>
      <c r="P275" s="1"/>
    </row>
    <row r="276" spans="15:16">
      <c r="O276" s="1"/>
      <c r="P276" s="1"/>
    </row>
    <row r="277" spans="15:16">
      <c r="O277" s="1"/>
      <c r="P277" s="1"/>
    </row>
    <row r="278" spans="15:16">
      <c r="O278" s="1"/>
      <c r="P278" s="1"/>
    </row>
    <row r="279" spans="15:16">
      <c r="O279" s="1"/>
      <c r="P279" s="1"/>
    </row>
    <row r="280" spans="15:16">
      <c r="O280" s="1"/>
      <c r="P280" s="1"/>
    </row>
    <row r="281" spans="15:16">
      <c r="O281" s="1"/>
      <c r="P281" s="1"/>
    </row>
    <row r="282" spans="15:16">
      <c r="O282" s="1"/>
      <c r="P282" s="1"/>
    </row>
    <row r="283" spans="15:16">
      <c r="O283" s="1"/>
      <c r="P283" s="1"/>
    </row>
    <row r="284" spans="15:16">
      <c r="O284" s="1"/>
      <c r="P284" s="1"/>
    </row>
    <row r="285" spans="15:16">
      <c r="O285" s="1"/>
      <c r="P285" s="1"/>
    </row>
    <row r="286" spans="15:16">
      <c r="O286" s="1"/>
      <c r="P286" s="1"/>
    </row>
    <row r="287" spans="15:16">
      <c r="O287" s="1"/>
      <c r="P287" s="1"/>
    </row>
    <row r="288" spans="15:16">
      <c r="O288" s="1"/>
      <c r="P288" s="1"/>
    </row>
    <row r="289" spans="15:16">
      <c r="O289" s="1"/>
      <c r="P289" s="1"/>
    </row>
    <row r="290" spans="15:16">
      <c r="O290" s="1"/>
      <c r="P290" s="1"/>
    </row>
    <row r="291" spans="15:16">
      <c r="O291" s="1"/>
      <c r="P291" s="1"/>
    </row>
    <row r="292" spans="15:16">
      <c r="O292" s="1"/>
      <c r="P292" s="1"/>
    </row>
    <row r="293" spans="15:16">
      <c r="O293" s="1"/>
      <c r="P293" s="1"/>
    </row>
    <row r="294" spans="15:16">
      <c r="O294" s="1"/>
      <c r="P294" s="1"/>
    </row>
    <row r="295" spans="15:16">
      <c r="O295" s="1"/>
      <c r="P295" s="1"/>
    </row>
    <row r="296" spans="15:16">
      <c r="O296" s="1"/>
      <c r="P296" s="1"/>
    </row>
    <row r="297" spans="15:16">
      <c r="O297" s="1"/>
      <c r="P297" s="1"/>
    </row>
    <row r="298" spans="15:16">
      <c r="O298" s="1"/>
      <c r="P298" s="1"/>
    </row>
    <row r="299" spans="15:16">
      <c r="O299" s="1"/>
      <c r="P299" s="1"/>
    </row>
    <row r="300" spans="15:16">
      <c r="O300" s="1"/>
      <c r="P300" s="1"/>
    </row>
    <row r="301" spans="15:16">
      <c r="O301" s="1"/>
      <c r="P301" s="1"/>
    </row>
    <row r="302" spans="15:16">
      <c r="O302" s="1"/>
      <c r="P302" s="1"/>
    </row>
    <row r="303" spans="15:16">
      <c r="O303" s="1"/>
      <c r="P303" s="1"/>
    </row>
    <row r="304" spans="15:16">
      <c r="O304" s="1"/>
      <c r="P304" s="1"/>
    </row>
    <row r="305" spans="15:16">
      <c r="O305" s="1"/>
      <c r="P305" s="1"/>
    </row>
    <row r="306" spans="15:16">
      <c r="O306" s="1"/>
      <c r="P306" s="1"/>
    </row>
    <row r="307" spans="15:16">
      <c r="O307" s="1"/>
      <c r="P307" s="1"/>
    </row>
    <row r="308" spans="15:16">
      <c r="O308" s="1"/>
      <c r="P308" s="1"/>
    </row>
    <row r="309" spans="15:16">
      <c r="O309" s="1"/>
      <c r="P309" s="1"/>
    </row>
    <row r="310" spans="15:16">
      <c r="O310" s="1"/>
      <c r="P310" s="1"/>
    </row>
    <row r="311" spans="15:16">
      <c r="O311" s="1"/>
      <c r="P311" s="1"/>
    </row>
    <row r="312" spans="15:16">
      <c r="O312" s="1"/>
      <c r="P312" s="1"/>
    </row>
    <row r="313" spans="15:16">
      <c r="O313" s="1"/>
      <c r="P313" s="1"/>
    </row>
    <row r="314" spans="15:16">
      <c r="O314" s="1"/>
      <c r="P314" s="1"/>
    </row>
    <row r="315" spans="15:16">
      <c r="O315" s="1"/>
      <c r="P315" s="1"/>
    </row>
    <row r="316" spans="15:16">
      <c r="O316" s="1"/>
      <c r="P316" s="1"/>
    </row>
    <row r="317" spans="15:16">
      <c r="O317" s="1"/>
      <c r="P317" s="1"/>
    </row>
    <row r="318" spans="15:16">
      <c r="O318" s="1"/>
      <c r="P318" s="1"/>
    </row>
    <row r="319" spans="15:16">
      <c r="O319" s="1"/>
      <c r="P319" s="1"/>
    </row>
    <row r="320" spans="15:16">
      <c r="O320" s="1"/>
      <c r="P320" s="1"/>
    </row>
    <row r="321" spans="15:16">
      <c r="O321" s="1"/>
      <c r="P321" s="1"/>
    </row>
    <row r="322" spans="15:16">
      <c r="O322" s="1"/>
      <c r="P322" s="1"/>
    </row>
    <row r="323" spans="15:16">
      <c r="O323" s="1"/>
      <c r="P323" s="1"/>
    </row>
    <row r="324" spans="15:16">
      <c r="O324" s="1"/>
      <c r="P324" s="1"/>
    </row>
    <row r="325" spans="15:16">
      <c r="O325" s="1"/>
      <c r="P325" s="1"/>
    </row>
    <row r="326" spans="15:16">
      <c r="O326" s="1"/>
      <c r="P326" s="1"/>
    </row>
    <row r="327" spans="15:16">
      <c r="O327" s="1"/>
      <c r="P327" s="1"/>
    </row>
    <row r="328" spans="15:16">
      <c r="O328" s="1"/>
      <c r="P328" s="1"/>
    </row>
    <row r="329" spans="15:16">
      <c r="O329" s="1"/>
      <c r="P329" s="1"/>
    </row>
    <row r="330" spans="15:16">
      <c r="O330" s="1"/>
      <c r="P330" s="1"/>
    </row>
    <row r="331" spans="15:16">
      <c r="O331" s="1"/>
      <c r="P331" s="1"/>
    </row>
    <row r="332" spans="15:16">
      <c r="O332" s="1"/>
      <c r="P332" s="1"/>
    </row>
    <row r="333" spans="15:16">
      <c r="O333" s="1"/>
      <c r="P333" s="1"/>
    </row>
    <row r="334" spans="15:16">
      <c r="O334" s="1"/>
      <c r="P334" s="1"/>
    </row>
    <row r="335" spans="15:16">
      <c r="O335" s="1"/>
      <c r="P335" s="1"/>
    </row>
    <row r="336" spans="15:16">
      <c r="O336" s="1"/>
      <c r="P336" s="1"/>
    </row>
    <row r="337" spans="15:16">
      <c r="O337" s="1"/>
      <c r="P337" s="1"/>
    </row>
    <row r="338" spans="15:16">
      <c r="O338" s="1"/>
      <c r="P338" s="1"/>
    </row>
    <row r="339" spans="15:16">
      <c r="O339" s="1"/>
      <c r="P339" s="1"/>
    </row>
    <row r="340" spans="15:16">
      <c r="O340" s="1"/>
      <c r="P340" s="1"/>
    </row>
    <row r="341" spans="15:16">
      <c r="O341" s="1"/>
      <c r="P341" s="1"/>
    </row>
    <row r="342" spans="15:16">
      <c r="O342" s="1"/>
      <c r="P342" s="1"/>
    </row>
    <row r="343" spans="15:16">
      <c r="O343" s="1"/>
      <c r="P343" s="1"/>
    </row>
    <row r="344" spans="15:16">
      <c r="O344" s="1"/>
      <c r="P344" s="1"/>
    </row>
    <row r="345" spans="15:16">
      <c r="O345" s="1"/>
      <c r="P345" s="1"/>
    </row>
    <row r="346" spans="15:16">
      <c r="O346" s="1"/>
      <c r="P346" s="1"/>
    </row>
    <row r="347" spans="15:16">
      <c r="O347" s="1"/>
      <c r="P347" s="1"/>
    </row>
    <row r="348" spans="15:16">
      <c r="O348" s="1"/>
      <c r="P348" s="1"/>
    </row>
    <row r="349" spans="15:16">
      <c r="O349" s="1"/>
      <c r="P349" s="1"/>
    </row>
    <row r="350" spans="15:16">
      <c r="O350" s="1"/>
      <c r="P350" s="1"/>
    </row>
    <row r="351" spans="15:16">
      <c r="O351" s="1"/>
      <c r="P351" s="1"/>
    </row>
    <row r="352" spans="15:16">
      <c r="O352" s="1"/>
      <c r="P352" s="1"/>
    </row>
    <row r="353" spans="15:16">
      <c r="O353" s="1"/>
      <c r="P353" s="1"/>
    </row>
    <row r="354" spans="15:16">
      <c r="O354" s="1"/>
      <c r="P354" s="1"/>
    </row>
    <row r="355" spans="15:16">
      <c r="O355" s="1"/>
      <c r="P355" s="1"/>
    </row>
    <row r="356" spans="15:16">
      <c r="O356" s="1"/>
      <c r="P356" s="1"/>
    </row>
    <row r="357" spans="15:16">
      <c r="O357" s="1"/>
      <c r="P357" s="1"/>
    </row>
    <row r="358" spans="15:16">
      <c r="O358" s="1"/>
      <c r="P358" s="1"/>
    </row>
    <row r="359" spans="15:16">
      <c r="O359" s="1"/>
      <c r="P359" s="1"/>
    </row>
    <row r="360" spans="15:16">
      <c r="O360" s="1"/>
      <c r="P360" s="1"/>
    </row>
    <row r="361" spans="15:16">
      <c r="O361" s="1"/>
      <c r="P361" s="1"/>
    </row>
    <row r="362" spans="15:16">
      <c r="O362" s="1"/>
      <c r="P362" s="1"/>
    </row>
    <row r="363" spans="15:16">
      <c r="O363" s="1"/>
      <c r="P363" s="1"/>
    </row>
    <row r="364" spans="15:16">
      <c r="O364" s="1"/>
      <c r="P364" s="1"/>
    </row>
    <row r="365" spans="15:16">
      <c r="O365" s="1"/>
      <c r="P365" s="1"/>
    </row>
    <row r="366" spans="15:16">
      <c r="O366" s="1"/>
      <c r="P366" s="1"/>
    </row>
    <row r="367" spans="15:16">
      <c r="O367" s="1"/>
      <c r="P367" s="1"/>
    </row>
    <row r="368" spans="15:16">
      <c r="O368" s="1"/>
      <c r="P368" s="1"/>
    </row>
    <row r="369" spans="15:16">
      <c r="O369" s="1"/>
      <c r="P369" s="1"/>
    </row>
    <row r="370" spans="15:16">
      <c r="O370" s="1"/>
      <c r="P370" s="1"/>
    </row>
    <row r="371" spans="15:16">
      <c r="O371" s="1"/>
      <c r="P371" s="1"/>
    </row>
    <row r="372" spans="15:16">
      <c r="O372" s="1"/>
      <c r="P372" s="1"/>
    </row>
    <row r="373" spans="15:16">
      <c r="O373" s="1"/>
      <c r="P373" s="1"/>
    </row>
    <row r="374" spans="15:16">
      <c r="O374" s="1"/>
      <c r="P374" s="1"/>
    </row>
    <row r="375" spans="15:16">
      <c r="O375" s="1"/>
      <c r="P375" s="1"/>
    </row>
    <row r="376" spans="15:16">
      <c r="O376" s="1"/>
      <c r="P376" s="1"/>
    </row>
    <row r="377" spans="15:16">
      <c r="O377" s="1"/>
      <c r="P377" s="1"/>
    </row>
    <row r="378" spans="15:16">
      <c r="O378" s="1"/>
      <c r="P378" s="1"/>
    </row>
    <row r="379" spans="15:16">
      <c r="O379" s="1"/>
      <c r="P379" s="1"/>
    </row>
    <row r="380" spans="15:16">
      <c r="O380" s="1"/>
      <c r="P380" s="1"/>
    </row>
    <row r="381" spans="15:16">
      <c r="O381" s="1"/>
      <c r="P381" s="1"/>
    </row>
    <row r="382" spans="15:16">
      <c r="O382" s="1"/>
      <c r="P382" s="1"/>
    </row>
    <row r="383" spans="15:16">
      <c r="O383" s="1"/>
      <c r="P383" s="1"/>
    </row>
    <row r="384" spans="15:16">
      <c r="O384" s="1"/>
      <c r="P384" s="1"/>
    </row>
    <row r="385" spans="15:16">
      <c r="O385" s="1"/>
      <c r="P385" s="1"/>
    </row>
    <row r="386" spans="15:16">
      <c r="O386" s="1"/>
      <c r="P386" s="1"/>
    </row>
    <row r="387" spans="15:16">
      <c r="O387" s="1"/>
      <c r="P387" s="1"/>
    </row>
    <row r="388" spans="15:16">
      <c r="O388" s="1"/>
      <c r="P388" s="1"/>
    </row>
    <row r="389" spans="15:16">
      <c r="O389" s="1"/>
      <c r="P389" s="1"/>
    </row>
    <row r="390" spans="15:16">
      <c r="O390" s="1"/>
      <c r="P390" s="1"/>
    </row>
    <row r="391" spans="15:16">
      <c r="O391" s="1"/>
      <c r="P391" s="1"/>
    </row>
    <row r="392" spans="15:16">
      <c r="O392" s="1"/>
      <c r="P392" s="1"/>
    </row>
    <row r="393" spans="15:16">
      <c r="O393" s="1"/>
      <c r="P393" s="1"/>
    </row>
    <row r="394" spans="15:16">
      <c r="O394" s="1"/>
      <c r="P394" s="1"/>
    </row>
    <row r="395" spans="15:16">
      <c r="O395" s="1"/>
      <c r="P395" s="1"/>
    </row>
    <row r="396" spans="15:16">
      <c r="O396" s="1"/>
      <c r="P396" s="1"/>
    </row>
    <row r="397" spans="15:16">
      <c r="O397" s="1"/>
      <c r="P397" s="1"/>
    </row>
    <row r="398" spans="15:16">
      <c r="O398" s="1"/>
      <c r="P398" s="1"/>
    </row>
    <row r="399" spans="15:16">
      <c r="O399" s="1"/>
      <c r="P399" s="1"/>
    </row>
    <row r="400" spans="15:16">
      <c r="O400" s="1"/>
      <c r="P400" s="1"/>
    </row>
    <row r="401" spans="15:16">
      <c r="O401" s="1"/>
      <c r="P401" s="1"/>
    </row>
    <row r="402" spans="15:16">
      <c r="O402" s="1"/>
      <c r="P402" s="1"/>
    </row>
    <row r="403" spans="15:16">
      <c r="O403" s="1"/>
      <c r="P403" s="1"/>
    </row>
    <row r="404" spans="15:16">
      <c r="O404" s="1"/>
      <c r="P404" s="1"/>
    </row>
    <row r="405" spans="15:16">
      <c r="O405" s="1"/>
      <c r="P405" s="1"/>
    </row>
    <row r="406" spans="15:16">
      <c r="O406" s="1"/>
      <c r="P406" s="1"/>
    </row>
    <row r="407" spans="15:16">
      <c r="O407" s="1"/>
      <c r="P407" s="1"/>
    </row>
    <row r="408" spans="15:16">
      <c r="O408" s="1"/>
      <c r="P408" s="1"/>
    </row>
    <row r="409" spans="15:16">
      <c r="O409" s="1"/>
      <c r="P409" s="1"/>
    </row>
    <row r="410" spans="15:16">
      <c r="O410" s="1"/>
      <c r="P410" s="1"/>
    </row>
    <row r="411" spans="15:16">
      <c r="O411" s="1"/>
      <c r="P411" s="1"/>
    </row>
    <row r="412" spans="15:16">
      <c r="O412" s="1"/>
      <c r="P412" s="1"/>
    </row>
    <row r="413" spans="15:16">
      <c r="O413" s="1"/>
      <c r="P413" s="1"/>
    </row>
    <row r="414" spans="15:16">
      <c r="O414" s="1"/>
      <c r="P414" s="1"/>
    </row>
    <row r="415" spans="15:16">
      <c r="O415" s="1"/>
      <c r="P415" s="1"/>
    </row>
    <row r="416" spans="15:16">
      <c r="O416" s="1"/>
      <c r="P416" s="1"/>
    </row>
    <row r="417" spans="15:16">
      <c r="O417" s="1"/>
      <c r="P417" s="1"/>
    </row>
    <row r="418" spans="15:16">
      <c r="O418" s="1"/>
      <c r="P418" s="1"/>
    </row>
    <row r="419" spans="15:16">
      <c r="O419" s="1"/>
      <c r="P419" s="1"/>
    </row>
    <row r="420" spans="15:16">
      <c r="O420" s="1"/>
      <c r="P420" s="1"/>
    </row>
    <row r="421" spans="15:16">
      <c r="O421" s="1"/>
      <c r="P421" s="1"/>
    </row>
    <row r="422" spans="15:16">
      <c r="O422" s="1"/>
      <c r="P422" s="1"/>
    </row>
    <row r="423" spans="15:16">
      <c r="O423" s="1"/>
      <c r="P423" s="1"/>
    </row>
    <row r="424" spans="15:16">
      <c r="O424" s="1"/>
      <c r="P424" s="1"/>
    </row>
    <row r="425" spans="15:16">
      <c r="O425" s="1"/>
      <c r="P425" s="1"/>
    </row>
    <row r="426" spans="15:16">
      <c r="O426" s="1"/>
      <c r="P426" s="1"/>
    </row>
    <row r="427" spans="15:16">
      <c r="O427" s="1"/>
      <c r="P427" s="1"/>
    </row>
    <row r="428" spans="15:16">
      <c r="O428" s="1"/>
      <c r="P428" s="1"/>
    </row>
    <row r="429" spans="15:16">
      <c r="O429" s="1"/>
      <c r="P429" s="1"/>
    </row>
    <row r="430" spans="15:16">
      <c r="O430" s="1"/>
      <c r="P430" s="1"/>
    </row>
    <row r="431" spans="15:16">
      <c r="O431" s="1"/>
      <c r="P431" s="1"/>
    </row>
    <row r="432" spans="15:16">
      <c r="O432" s="1"/>
      <c r="P432" s="1"/>
    </row>
    <row r="433" spans="15:16">
      <c r="O433" s="1"/>
      <c r="P433" s="1"/>
    </row>
    <row r="434" spans="15:16">
      <c r="O434" s="1"/>
      <c r="P434" s="1"/>
    </row>
    <row r="435" spans="15:16">
      <c r="O435" s="1"/>
      <c r="P435" s="1"/>
    </row>
    <row r="436" spans="15:16">
      <c r="O436" s="1"/>
      <c r="P436" s="1"/>
    </row>
    <row r="437" spans="15:16">
      <c r="O437" s="1"/>
      <c r="P437" s="1"/>
    </row>
    <row r="438" spans="15:16">
      <c r="O438" s="1"/>
      <c r="P438" s="1"/>
    </row>
    <row r="439" spans="15:16">
      <c r="O439" s="1"/>
      <c r="P439" s="1"/>
    </row>
    <row r="440" spans="15:16">
      <c r="O440" s="1"/>
      <c r="P440" s="1"/>
    </row>
    <row r="441" spans="15:16">
      <c r="O441" s="1"/>
      <c r="P441" s="1"/>
    </row>
    <row r="442" spans="15:16">
      <c r="O442" s="1"/>
      <c r="P442" s="1"/>
    </row>
    <row r="443" spans="15:16">
      <c r="O443" s="1"/>
      <c r="P443" s="1"/>
    </row>
    <row r="444" spans="15:16">
      <c r="O444" s="1"/>
      <c r="P444" s="1"/>
    </row>
    <row r="445" spans="15:16">
      <c r="O445" s="1"/>
      <c r="P445" s="1"/>
    </row>
    <row r="446" spans="15:16">
      <c r="O446" s="1"/>
      <c r="P446" s="1"/>
    </row>
    <row r="447" spans="15:16">
      <c r="O447" s="1"/>
      <c r="P447" s="1"/>
    </row>
    <row r="448" spans="15:16">
      <c r="O448" s="1"/>
      <c r="P448" s="1"/>
    </row>
    <row r="449" spans="15:16">
      <c r="O449" s="1"/>
      <c r="P449" s="1"/>
    </row>
    <row r="450" spans="15:16">
      <c r="O450" s="1"/>
      <c r="P450" s="1"/>
    </row>
    <row r="451" spans="15:16">
      <c r="O451" s="1"/>
      <c r="P451" s="1"/>
    </row>
    <row r="452" spans="15:16">
      <c r="O452" s="1"/>
      <c r="P452" s="1"/>
    </row>
    <row r="453" spans="15:16">
      <c r="O453" s="1"/>
      <c r="P453" s="1"/>
    </row>
    <row r="454" spans="15:16">
      <c r="O454" s="1"/>
      <c r="P454" s="1"/>
    </row>
    <row r="455" spans="15:16">
      <c r="O455" s="1"/>
      <c r="P455" s="1"/>
    </row>
    <row r="456" spans="15:16">
      <c r="O456" s="1"/>
      <c r="P456" s="1"/>
    </row>
    <row r="457" spans="15:16">
      <c r="O457" s="1"/>
      <c r="P457" s="1"/>
    </row>
    <row r="458" spans="15:16">
      <c r="O458" s="1"/>
      <c r="P458" s="1"/>
    </row>
    <row r="459" spans="15:16">
      <c r="O459" s="1"/>
      <c r="P459" s="1"/>
    </row>
    <row r="460" spans="15:16">
      <c r="O460" s="1"/>
      <c r="P460" s="1"/>
    </row>
    <row r="461" spans="15:16">
      <c r="O461" s="1"/>
      <c r="P461" s="1"/>
    </row>
    <row r="462" spans="15:16">
      <c r="O462" s="1"/>
      <c r="P462" s="1"/>
    </row>
    <row r="463" spans="15:16">
      <c r="O463" s="1"/>
      <c r="P463" s="1"/>
    </row>
    <row r="464" spans="15:16">
      <c r="O464" s="1"/>
      <c r="P464" s="1"/>
    </row>
    <row r="465" spans="15:16">
      <c r="O465" s="1"/>
      <c r="P465" s="1"/>
    </row>
    <row r="466" spans="15:16">
      <c r="O466" s="1"/>
      <c r="P466" s="1"/>
    </row>
    <row r="467" spans="15:16">
      <c r="O467" s="1"/>
      <c r="P467" s="1"/>
    </row>
    <row r="468" spans="15:16">
      <c r="O468" s="1"/>
      <c r="P468" s="1"/>
    </row>
    <row r="469" spans="15:16">
      <c r="O469" s="1"/>
      <c r="P469" s="1"/>
    </row>
    <row r="470" spans="15:16">
      <c r="O470" s="1"/>
      <c r="P470" s="1"/>
    </row>
    <row r="471" spans="15:16">
      <c r="O471" s="1"/>
      <c r="P471" s="1"/>
    </row>
    <row r="472" spans="15:16">
      <c r="O472" s="1"/>
      <c r="P472" s="1"/>
    </row>
    <row r="473" spans="15:16">
      <c r="O473" s="1"/>
      <c r="P473" s="1"/>
    </row>
    <row r="474" spans="15:16">
      <c r="O474" s="1"/>
      <c r="P474" s="1"/>
    </row>
    <row r="475" spans="15:16">
      <c r="O475" s="1"/>
      <c r="P475" s="1"/>
    </row>
    <row r="476" spans="15:16">
      <c r="O476" s="1"/>
      <c r="P476" s="1"/>
    </row>
    <row r="477" spans="15:16">
      <c r="O477" s="1"/>
      <c r="P477" s="1"/>
    </row>
    <row r="478" spans="15:16">
      <c r="O478" s="1"/>
      <c r="P478" s="1"/>
    </row>
    <row r="479" spans="15:16">
      <c r="O479" s="1"/>
      <c r="P479" s="1"/>
    </row>
    <row r="480" spans="15:16">
      <c r="O480" s="1"/>
      <c r="P480" s="1"/>
    </row>
    <row r="481" spans="15:16">
      <c r="O481" s="1"/>
      <c r="P481" s="1"/>
    </row>
    <row r="482" spans="15:16">
      <c r="O482" s="1"/>
      <c r="P482" s="1"/>
    </row>
    <row r="483" spans="15:16">
      <c r="O483" s="1"/>
      <c r="P483" s="1"/>
    </row>
    <row r="484" spans="15:16">
      <c r="O484" s="1"/>
      <c r="P484" s="1"/>
    </row>
    <row r="485" spans="15:16">
      <c r="O485" s="1"/>
      <c r="P485" s="1"/>
    </row>
    <row r="486" spans="15:16">
      <c r="O486" s="1"/>
      <c r="P486" s="1"/>
    </row>
    <row r="487" spans="15:16">
      <c r="O487" s="1"/>
      <c r="P487" s="1"/>
    </row>
    <row r="488" spans="15:16">
      <c r="O488" s="1"/>
      <c r="P488" s="1"/>
    </row>
    <row r="489" spans="15:16">
      <c r="O489" s="1"/>
      <c r="P489" s="1"/>
    </row>
    <row r="490" spans="15:16">
      <c r="O490" s="1"/>
      <c r="P490" s="1"/>
    </row>
    <row r="491" spans="15:16">
      <c r="O491" s="1"/>
      <c r="P491" s="1"/>
    </row>
    <row r="492" spans="15:16">
      <c r="O492" s="1"/>
      <c r="P492" s="1"/>
    </row>
    <row r="493" spans="15:16">
      <c r="O493" s="1"/>
      <c r="P493" s="1"/>
    </row>
    <row r="494" spans="15:16">
      <c r="O494" s="1"/>
      <c r="P494" s="1"/>
    </row>
    <row r="495" spans="15:16">
      <c r="O495" s="1"/>
      <c r="P495" s="1"/>
    </row>
    <row r="496" spans="15:16">
      <c r="O496" s="1"/>
      <c r="P496" s="1"/>
    </row>
    <row r="497" spans="15:16">
      <c r="O497" s="1"/>
      <c r="P497" s="1"/>
    </row>
    <row r="498" spans="15:16">
      <c r="O498" s="1"/>
      <c r="P498" s="1"/>
    </row>
    <row r="499" spans="15:16">
      <c r="O499" s="1"/>
      <c r="P499" s="1"/>
    </row>
    <row r="500" spans="15:16">
      <c r="O500" s="1"/>
      <c r="P500" s="1"/>
    </row>
    <row r="501" spans="15:16">
      <c r="O501" s="1"/>
      <c r="P501" s="1"/>
    </row>
    <row r="502" spans="15:16">
      <c r="O502" s="1"/>
      <c r="P502" s="1"/>
    </row>
    <row r="503" spans="15:16">
      <c r="O503" s="1"/>
      <c r="P503" s="1"/>
    </row>
    <row r="504" spans="15:16">
      <c r="O504" s="1"/>
      <c r="P504" s="1"/>
    </row>
    <row r="505" spans="15:16">
      <c r="O505" s="1"/>
      <c r="P505" s="1"/>
    </row>
    <row r="506" spans="15:16">
      <c r="O506" s="1"/>
      <c r="P506" s="1"/>
    </row>
    <row r="507" spans="15:16">
      <c r="O507" s="1"/>
      <c r="P507" s="1"/>
    </row>
    <row r="508" spans="15:16">
      <c r="O508" s="1"/>
      <c r="P508" s="1"/>
    </row>
    <row r="509" spans="15:16">
      <c r="O509" s="1"/>
      <c r="P509" s="1"/>
    </row>
    <row r="510" spans="15:16">
      <c r="O510" s="1"/>
      <c r="P510" s="1"/>
    </row>
    <row r="511" spans="15:16">
      <c r="O511" s="1"/>
      <c r="P511" s="1"/>
    </row>
    <row r="512" spans="15:16">
      <c r="O512" s="1"/>
      <c r="P512" s="1"/>
    </row>
    <row r="513" spans="15:16">
      <c r="O513" s="1"/>
      <c r="P513" s="1"/>
    </row>
    <row r="514" spans="15:16">
      <c r="O514" s="1"/>
      <c r="P514" s="1"/>
    </row>
    <row r="515" spans="15:16">
      <c r="O515" s="1"/>
      <c r="P515" s="1"/>
    </row>
    <row r="516" spans="15:16">
      <c r="O516" s="1"/>
      <c r="P516" s="1"/>
    </row>
    <row r="517" spans="15:16">
      <c r="O517" s="1"/>
      <c r="P517" s="1"/>
    </row>
    <row r="518" spans="15:16">
      <c r="O518" s="1"/>
      <c r="P518" s="1"/>
    </row>
    <row r="519" spans="15:16">
      <c r="O519" s="1"/>
      <c r="P519" s="1"/>
    </row>
    <row r="520" spans="15:16">
      <c r="O520" s="1"/>
      <c r="P520" s="1"/>
    </row>
    <row r="521" spans="15:16">
      <c r="O521" s="1"/>
      <c r="P521" s="1"/>
    </row>
    <row r="522" spans="15:16">
      <c r="O522" s="1"/>
      <c r="P522" s="1"/>
    </row>
    <row r="523" spans="15:16">
      <c r="O523" s="1"/>
      <c r="P523" s="1"/>
    </row>
    <row r="524" spans="15:16">
      <c r="O524" s="1"/>
      <c r="P524" s="1"/>
    </row>
    <row r="525" spans="15:16">
      <c r="O525" s="1"/>
      <c r="P525" s="1"/>
    </row>
    <row r="526" spans="15:16">
      <c r="O526" s="1"/>
      <c r="P526" s="1"/>
    </row>
    <row r="527" spans="15:16">
      <c r="O527" s="1"/>
      <c r="P527" s="1"/>
    </row>
    <row r="528" spans="15:16">
      <c r="O528" s="1"/>
      <c r="P528" s="1"/>
    </row>
    <row r="529" spans="15:16">
      <c r="O529" s="1"/>
      <c r="P529" s="1"/>
    </row>
    <row r="530" spans="15:16">
      <c r="O530" s="1"/>
      <c r="P530" s="1"/>
    </row>
    <row r="531" spans="15:16">
      <c r="O531" s="1"/>
      <c r="P531" s="1"/>
    </row>
    <row r="532" spans="15:16">
      <c r="O532" s="1"/>
      <c r="P532" s="1"/>
    </row>
    <row r="533" spans="15:16">
      <c r="O533" s="1"/>
      <c r="P533" s="1"/>
    </row>
    <row r="534" spans="15:16">
      <c r="O534" s="1"/>
      <c r="P534" s="1"/>
    </row>
    <row r="535" spans="15:16">
      <c r="O535" s="1"/>
      <c r="P535" s="1"/>
    </row>
    <row r="536" spans="15:16">
      <c r="O536" s="1"/>
      <c r="P536" s="1"/>
    </row>
    <row r="537" spans="15:16">
      <c r="O537" s="1"/>
      <c r="P537" s="1"/>
    </row>
    <row r="538" spans="15:16">
      <c r="O538" s="1"/>
      <c r="P538" s="1"/>
    </row>
    <row r="539" spans="15:16">
      <c r="O539" s="1"/>
      <c r="P539" s="1"/>
    </row>
    <row r="540" spans="15:16">
      <c r="O540" s="1"/>
      <c r="P540" s="1"/>
    </row>
    <row r="541" spans="15:16">
      <c r="O541" s="1"/>
      <c r="P541" s="1"/>
    </row>
    <row r="542" spans="15:16">
      <c r="O542" s="1"/>
      <c r="P542" s="1"/>
    </row>
    <row r="543" spans="15:16">
      <c r="O543" s="1"/>
      <c r="P543" s="1"/>
    </row>
    <row r="544" spans="15:16">
      <c r="O544" s="1"/>
      <c r="P544" s="1"/>
    </row>
    <row r="545" spans="15:16">
      <c r="O545" s="1"/>
      <c r="P545" s="1"/>
    </row>
    <row r="546" spans="15:16">
      <c r="O546" s="1"/>
      <c r="P546" s="1"/>
    </row>
    <row r="547" spans="15:16">
      <c r="O547" s="1"/>
      <c r="P547" s="1"/>
    </row>
    <row r="548" spans="15:16">
      <c r="O548" s="1"/>
      <c r="P548" s="1"/>
    </row>
    <row r="549" spans="15:16">
      <c r="O549" s="1"/>
      <c r="P549" s="1"/>
    </row>
    <row r="550" spans="15:16">
      <c r="O550" s="1"/>
      <c r="P550" s="1"/>
    </row>
    <row r="551" spans="15:16">
      <c r="O551" s="1"/>
      <c r="P551" s="1"/>
    </row>
    <row r="552" spans="15:16">
      <c r="O552" s="1"/>
      <c r="P552" s="1"/>
    </row>
    <row r="553" spans="15:16">
      <c r="O553" s="1"/>
      <c r="P553" s="1"/>
    </row>
    <row r="554" spans="15:16">
      <c r="O554" s="1"/>
      <c r="P554" s="1"/>
    </row>
    <row r="555" spans="15:16">
      <c r="O555" s="1"/>
      <c r="P555" s="1"/>
    </row>
    <row r="556" spans="15:16">
      <c r="O556" s="1"/>
      <c r="P556" s="1"/>
    </row>
    <row r="557" spans="15:16">
      <c r="O557" s="1"/>
      <c r="P557" s="1"/>
    </row>
    <row r="558" spans="15:16">
      <c r="O558" s="1"/>
      <c r="P558" s="1"/>
    </row>
    <row r="559" spans="15:16">
      <c r="O559" s="1"/>
      <c r="P559" s="1"/>
    </row>
    <row r="560" spans="15:16">
      <c r="O560" s="1"/>
      <c r="P560" s="1"/>
    </row>
    <row r="561" spans="15:16">
      <c r="O561" s="1"/>
      <c r="P561" s="1"/>
    </row>
    <row r="562" spans="15:16">
      <c r="O562" s="1"/>
      <c r="P562" s="1"/>
    </row>
    <row r="563" spans="15:16">
      <c r="O563" s="1"/>
      <c r="P563" s="1"/>
    </row>
    <row r="564" spans="15:16">
      <c r="O564" s="1"/>
      <c r="P564" s="1"/>
    </row>
    <row r="565" spans="15:16">
      <c r="O565" s="1"/>
      <c r="P565" s="1"/>
    </row>
    <row r="566" spans="15:16">
      <c r="O566" s="1"/>
      <c r="P566" s="1"/>
    </row>
    <row r="567" spans="15:16">
      <c r="O567" s="1"/>
      <c r="P567" s="1"/>
    </row>
    <row r="568" spans="15:16">
      <c r="O568" s="1"/>
      <c r="P568" s="1"/>
    </row>
    <row r="569" spans="15:16">
      <c r="O569" s="1"/>
      <c r="P569" s="1"/>
    </row>
    <row r="570" spans="15:16">
      <c r="O570" s="1"/>
      <c r="P570" s="1"/>
    </row>
    <row r="571" spans="15:16">
      <c r="O571" s="1"/>
      <c r="P571" s="1"/>
    </row>
    <row r="572" spans="15:16">
      <c r="O572" s="1"/>
      <c r="P572" s="1"/>
    </row>
    <row r="573" spans="15:16">
      <c r="O573" s="1"/>
      <c r="P573" s="1"/>
    </row>
    <row r="574" spans="15:16">
      <c r="O574" s="1"/>
      <c r="P574" s="1"/>
    </row>
    <row r="575" spans="15:16">
      <c r="O575" s="1"/>
      <c r="P575" s="1"/>
    </row>
    <row r="576" spans="15:16">
      <c r="O576" s="1"/>
      <c r="P576" s="1"/>
    </row>
    <row r="577" spans="15:16">
      <c r="O577" s="1"/>
      <c r="P577" s="1"/>
    </row>
    <row r="578" spans="15:16">
      <c r="O578" s="1"/>
      <c r="P578" s="1"/>
    </row>
    <row r="579" spans="15:16">
      <c r="O579" s="1"/>
      <c r="P579" s="1"/>
    </row>
    <row r="580" spans="15:16">
      <c r="O580" s="1"/>
      <c r="P580" s="1"/>
    </row>
    <row r="581" spans="15:16">
      <c r="O581" s="1"/>
      <c r="P581" s="1"/>
    </row>
    <row r="582" spans="15:16">
      <c r="O582" s="1"/>
      <c r="P582" s="1"/>
    </row>
    <row r="583" spans="15:16">
      <c r="O583" s="1"/>
      <c r="P583" s="1"/>
    </row>
    <row r="584" spans="15:16">
      <c r="O584" s="1"/>
      <c r="P584" s="1"/>
    </row>
    <row r="585" spans="15:16">
      <c r="O585" s="1"/>
      <c r="P585" s="1"/>
    </row>
    <row r="586" spans="15:16">
      <c r="O586" s="1"/>
      <c r="P586" s="1"/>
    </row>
    <row r="587" spans="15:16">
      <c r="O587" s="1"/>
      <c r="P587" s="1"/>
    </row>
    <row r="588" spans="15:16">
      <c r="O588" s="1"/>
      <c r="P588" s="1"/>
    </row>
    <row r="589" spans="15:16">
      <c r="O589" s="1"/>
      <c r="P589" s="1"/>
    </row>
    <row r="590" spans="15:16">
      <c r="O590" s="1"/>
      <c r="P590" s="1"/>
    </row>
    <row r="591" spans="15:16">
      <c r="O591" s="1"/>
      <c r="P591" s="1"/>
    </row>
    <row r="592" spans="15:16">
      <c r="O592" s="1"/>
      <c r="P592" s="1"/>
    </row>
    <row r="593" spans="15:16">
      <c r="O593" s="1"/>
      <c r="P593" s="1"/>
    </row>
    <row r="594" spans="15:16">
      <c r="O594" s="1"/>
      <c r="P594" s="1"/>
    </row>
    <row r="595" spans="15:16">
      <c r="O595" s="1"/>
      <c r="P595" s="1"/>
    </row>
    <row r="596" spans="15:16">
      <c r="O596" s="1"/>
      <c r="P596" s="1"/>
    </row>
    <row r="597" spans="15:16">
      <c r="O597" s="1"/>
      <c r="P597" s="1"/>
    </row>
    <row r="598" spans="15:16">
      <c r="O598" s="1"/>
      <c r="P598" s="1"/>
    </row>
    <row r="599" spans="15:16">
      <c r="O599" s="1"/>
      <c r="P599" s="1"/>
    </row>
    <row r="600" spans="15:16">
      <c r="O600" s="1"/>
      <c r="P600" s="1"/>
    </row>
    <row r="601" spans="15:16">
      <c r="O601" s="1"/>
      <c r="P601" s="1"/>
    </row>
    <row r="602" spans="15:16">
      <c r="O602" s="1"/>
      <c r="P602" s="1"/>
    </row>
    <row r="603" spans="15:16">
      <c r="O603" s="1"/>
      <c r="P603" s="1"/>
    </row>
    <row r="604" spans="15:16">
      <c r="O604" s="1"/>
      <c r="P604" s="1"/>
    </row>
    <row r="605" spans="15:16">
      <c r="O605" s="1"/>
      <c r="P605" s="1"/>
    </row>
    <row r="606" spans="15:16">
      <c r="O606" s="1"/>
      <c r="P606" s="1"/>
    </row>
    <row r="607" spans="15:16">
      <c r="O607" s="1"/>
      <c r="P607" s="1"/>
    </row>
    <row r="608" spans="15:16">
      <c r="O608" s="1"/>
      <c r="P608" s="1"/>
    </row>
    <row r="609" spans="15:16">
      <c r="O609" s="1"/>
      <c r="P609" s="1"/>
    </row>
    <row r="610" spans="15:16">
      <c r="O610" s="1"/>
      <c r="P610" s="1"/>
    </row>
    <row r="611" spans="15:16">
      <c r="O611" s="1"/>
      <c r="P611" s="1"/>
    </row>
    <row r="612" spans="15:16">
      <c r="O612" s="1"/>
      <c r="P612" s="1"/>
    </row>
    <row r="613" spans="15:16">
      <c r="O613" s="1"/>
      <c r="P613" s="1"/>
    </row>
    <row r="614" spans="15:16">
      <c r="O614" s="1"/>
      <c r="P614" s="1"/>
    </row>
    <row r="615" spans="15:16">
      <c r="O615" s="1"/>
      <c r="P615" s="1"/>
    </row>
    <row r="616" spans="15:16">
      <c r="O616" s="1"/>
      <c r="P616" s="1"/>
    </row>
    <row r="617" spans="15:16">
      <c r="O617" s="1"/>
      <c r="P617" s="1"/>
    </row>
    <row r="618" spans="15:16">
      <c r="O618" s="1"/>
      <c r="P618" s="1"/>
    </row>
    <row r="619" spans="15:16">
      <c r="O619" s="1"/>
      <c r="P619" s="1"/>
    </row>
    <row r="620" spans="15:16">
      <c r="O620" s="1"/>
      <c r="P620" s="1"/>
    </row>
    <row r="621" spans="15:16">
      <c r="O621" s="1"/>
      <c r="P621" s="1"/>
    </row>
    <row r="622" spans="15:16">
      <c r="O622" s="1"/>
      <c r="P622" s="1"/>
    </row>
    <row r="623" spans="15:16">
      <c r="O623" s="1"/>
      <c r="P623" s="1"/>
    </row>
    <row r="624" spans="15:16">
      <c r="O624" s="1"/>
      <c r="P624" s="1"/>
    </row>
    <row r="625" spans="15:16">
      <c r="O625" s="1"/>
      <c r="P625" s="1"/>
    </row>
    <row r="626" spans="15:16">
      <c r="O626" s="1"/>
      <c r="P626" s="1"/>
    </row>
    <row r="627" spans="15:16">
      <c r="O627" s="1"/>
      <c r="P627" s="1"/>
    </row>
    <row r="628" spans="15:16">
      <c r="O628" s="1"/>
      <c r="P628" s="1"/>
    </row>
    <row r="629" spans="15:16">
      <c r="O629" s="1"/>
      <c r="P629" s="1"/>
    </row>
    <row r="630" spans="15:16">
      <c r="O630" s="1"/>
      <c r="P630" s="1"/>
    </row>
    <row r="631" spans="15:16">
      <c r="O631" s="1"/>
      <c r="P631" s="1"/>
    </row>
    <row r="632" spans="15:16">
      <c r="O632" s="1"/>
      <c r="P632" s="1"/>
    </row>
    <row r="633" spans="15:16">
      <c r="O633" s="1"/>
      <c r="P633" s="1"/>
    </row>
    <row r="634" spans="15:16">
      <c r="O634" s="1"/>
      <c r="P634" s="1"/>
    </row>
    <row r="635" spans="15:16">
      <c r="O635" s="1"/>
      <c r="P635" s="1"/>
    </row>
    <row r="636" spans="15:16">
      <c r="O636" s="1"/>
      <c r="P636" s="1"/>
    </row>
    <row r="637" spans="15:16">
      <c r="O637" s="1"/>
      <c r="P637" s="1"/>
    </row>
    <row r="638" spans="15:16">
      <c r="O638" s="1"/>
      <c r="P638" s="1"/>
    </row>
    <row r="639" spans="15:16">
      <c r="O639" s="1"/>
      <c r="P639" s="1"/>
    </row>
    <row r="640" spans="15:16">
      <c r="O640" s="1"/>
      <c r="P640" s="1"/>
    </row>
    <row r="641" spans="15:16">
      <c r="O641" s="1"/>
      <c r="P641" s="1"/>
    </row>
    <row r="642" spans="15:16">
      <c r="O642" s="1"/>
      <c r="P642" s="1"/>
    </row>
    <row r="643" spans="15:16">
      <c r="O643" s="1"/>
      <c r="P643" s="1"/>
    </row>
    <row r="644" spans="15:16">
      <c r="O644" s="1"/>
      <c r="P644" s="1"/>
    </row>
    <row r="645" spans="15:16">
      <c r="O645" s="1"/>
      <c r="P645" s="1"/>
    </row>
    <row r="646" spans="15:16">
      <c r="O646" s="1"/>
      <c r="P646" s="1"/>
    </row>
    <row r="647" spans="15:16">
      <c r="O647" s="1"/>
      <c r="P647" s="1"/>
    </row>
    <row r="648" spans="15:16">
      <c r="O648" s="1"/>
      <c r="P648" s="1"/>
    </row>
    <row r="649" spans="15:16">
      <c r="O649" s="1"/>
      <c r="P649" s="1"/>
    </row>
    <row r="650" spans="15:16">
      <c r="O650" s="1"/>
      <c r="P650" s="1"/>
    </row>
    <row r="651" spans="15:16">
      <c r="O651" s="1"/>
      <c r="P651" s="1"/>
    </row>
    <row r="652" spans="15:16">
      <c r="O652" s="1"/>
      <c r="P652" s="1"/>
    </row>
    <row r="653" spans="15:16">
      <c r="O653" s="1"/>
      <c r="P653" s="1"/>
    </row>
    <row r="654" spans="15:16">
      <c r="O654" s="1"/>
      <c r="P654" s="1"/>
    </row>
    <row r="655" spans="15:16">
      <c r="O655" s="1"/>
      <c r="P655" s="1"/>
    </row>
    <row r="656" spans="15:16">
      <c r="O656" s="1"/>
      <c r="P656" s="1"/>
    </row>
    <row r="657" spans="15:16">
      <c r="O657" s="1"/>
      <c r="P657" s="1"/>
    </row>
    <row r="658" spans="15:16">
      <c r="O658" s="1"/>
      <c r="P658" s="1"/>
    </row>
    <row r="659" spans="15:16">
      <c r="O659" s="1"/>
      <c r="P659" s="1"/>
    </row>
    <row r="660" spans="15:16">
      <c r="O660" s="1"/>
      <c r="P660" s="1"/>
    </row>
    <row r="661" spans="15:16">
      <c r="O661" s="1"/>
      <c r="P661" s="1"/>
    </row>
    <row r="662" spans="15:16">
      <c r="O662" s="1"/>
      <c r="P662" s="1"/>
    </row>
    <row r="663" spans="15:16">
      <c r="O663" s="1"/>
      <c r="P663" s="1"/>
    </row>
    <row r="664" spans="15:16">
      <c r="O664" s="1"/>
      <c r="P664" s="1"/>
    </row>
    <row r="665" spans="15:16">
      <c r="O665" s="1"/>
      <c r="P665" s="1"/>
    </row>
    <row r="666" spans="15:16">
      <c r="O666" s="1"/>
      <c r="P666" s="1"/>
    </row>
    <row r="667" spans="15:16">
      <c r="O667" s="1"/>
      <c r="P667" s="1"/>
    </row>
    <row r="668" spans="15:16">
      <c r="O668" s="1"/>
      <c r="P668" s="1"/>
    </row>
    <row r="669" spans="15:16">
      <c r="O669" s="1"/>
      <c r="P669" s="1"/>
    </row>
    <row r="670" spans="15:16">
      <c r="O670" s="1"/>
      <c r="P670" s="1"/>
    </row>
    <row r="671" spans="15:16">
      <c r="O671" s="1"/>
      <c r="P671" s="1"/>
    </row>
    <row r="672" spans="15:16">
      <c r="O672" s="1"/>
      <c r="P672" s="1"/>
    </row>
    <row r="673" spans="15:18">
      <c r="O673" s="1"/>
      <c r="P673" s="1"/>
    </row>
    <row r="674" spans="15:18">
      <c r="O674" s="1"/>
      <c r="P674" s="1"/>
    </row>
    <row r="675" spans="15:18">
      <c r="O675" s="1"/>
      <c r="P675" s="1"/>
    </row>
    <row r="676" spans="15:18">
      <c r="O676" s="1"/>
      <c r="P676" s="1"/>
    </row>
    <row r="677" spans="15:18">
      <c r="O677" s="1"/>
      <c r="P677" s="1"/>
    </row>
    <row r="678" spans="15:18">
      <c r="O678" s="1"/>
      <c r="P678" s="1"/>
    </row>
    <row r="679" spans="15:18">
      <c r="O679" s="1"/>
      <c r="P679" s="1"/>
    </row>
    <row r="680" spans="15:18">
      <c r="O680" s="1"/>
      <c r="P680" s="1"/>
    </row>
    <row r="681" spans="15:18">
      <c r="O681" s="1"/>
      <c r="P681" s="1"/>
    </row>
    <row r="682" spans="15:18">
      <c r="O682" s="1"/>
      <c r="P682" s="1"/>
    </row>
    <row r="683" spans="15:18">
      <c r="O683" s="1"/>
      <c r="P683" s="1"/>
    </row>
    <row r="684" spans="15:18">
      <c r="O684" s="1"/>
      <c r="P684" s="1"/>
    </row>
    <row r="685" spans="15:18">
      <c r="O685" s="1"/>
      <c r="P685" s="1"/>
    </row>
    <row r="686" spans="15:18">
      <c r="O686" s="1"/>
      <c r="P686" s="1"/>
      <c r="R686" s="6"/>
    </row>
    <row r="687" spans="15:18">
      <c r="O687" s="1"/>
      <c r="P687" s="1"/>
    </row>
    <row r="688" spans="15:18">
      <c r="O688" s="1"/>
      <c r="P688" s="1"/>
    </row>
    <row r="689" spans="15:16">
      <c r="O689" s="1"/>
      <c r="P689" s="1"/>
    </row>
    <row r="690" spans="15:16">
      <c r="O690" s="1"/>
      <c r="P690" s="1"/>
    </row>
    <row r="691" spans="15:16">
      <c r="O691" s="1"/>
      <c r="P691" s="1"/>
    </row>
    <row r="692" spans="15:16">
      <c r="O692" s="1"/>
      <c r="P692" s="1"/>
    </row>
    <row r="693" spans="15:16">
      <c r="O693" s="1"/>
      <c r="P693" s="1"/>
    </row>
    <row r="694" spans="15:16">
      <c r="O694" s="1"/>
      <c r="P694" s="1"/>
    </row>
    <row r="695" spans="15:16">
      <c r="O695" s="1"/>
      <c r="P695" s="1"/>
    </row>
    <row r="696" spans="15:16">
      <c r="O696" s="1"/>
      <c r="P696" s="1"/>
    </row>
    <row r="697" spans="15:16">
      <c r="O697" s="1"/>
      <c r="P697" s="1"/>
    </row>
    <row r="698" spans="15:16">
      <c r="O698" s="1"/>
      <c r="P698" s="1"/>
    </row>
    <row r="699" spans="15:16">
      <c r="O699" s="1"/>
      <c r="P699" s="1"/>
    </row>
    <row r="700" spans="15:16">
      <c r="O700" s="1"/>
      <c r="P700" s="1"/>
    </row>
    <row r="701" spans="15:16">
      <c r="O701" s="1"/>
      <c r="P701" s="1"/>
    </row>
    <row r="702" spans="15:16">
      <c r="O702" s="1"/>
      <c r="P702" s="1"/>
    </row>
    <row r="703" spans="15:16">
      <c r="O703" s="1"/>
      <c r="P703" s="1"/>
    </row>
    <row r="704" spans="15:16">
      <c r="O704" s="1"/>
      <c r="P704" s="1"/>
    </row>
    <row r="705" spans="15:16">
      <c r="O705" s="1"/>
      <c r="P705" s="1"/>
    </row>
    <row r="706" spans="15:16">
      <c r="O706" s="1"/>
      <c r="P706" s="1"/>
    </row>
    <row r="707" spans="15:16">
      <c r="O707" s="1"/>
      <c r="P707" s="1"/>
    </row>
    <row r="708" spans="15:16">
      <c r="O708" s="1"/>
      <c r="P708" s="1"/>
    </row>
    <row r="709" spans="15:16">
      <c r="O709" s="1"/>
      <c r="P709" s="1"/>
    </row>
    <row r="710" spans="15:16">
      <c r="O710" s="1"/>
      <c r="P710" s="1"/>
    </row>
    <row r="711" spans="15:16">
      <c r="O711" s="1"/>
      <c r="P711" s="1"/>
    </row>
    <row r="712" spans="15:16">
      <c r="O712" s="1"/>
      <c r="P712" s="1"/>
    </row>
    <row r="713" spans="15:16">
      <c r="O713" s="1"/>
      <c r="P713" s="1"/>
    </row>
    <row r="714" spans="15:16">
      <c r="O714" s="1"/>
      <c r="P714" s="1"/>
    </row>
    <row r="715" spans="15:16">
      <c r="O715" s="1"/>
      <c r="P715" s="1"/>
    </row>
    <row r="716" spans="15:16">
      <c r="O716" s="1"/>
      <c r="P716" s="1"/>
    </row>
    <row r="717" spans="15:16">
      <c r="O717" s="1"/>
      <c r="P717" s="1"/>
    </row>
    <row r="718" spans="15:16">
      <c r="O718" s="1"/>
      <c r="P718" s="1"/>
    </row>
    <row r="719" spans="15:16">
      <c r="O719" s="1"/>
      <c r="P719" s="1"/>
    </row>
    <row r="720" spans="15:16">
      <c r="O720" s="1"/>
      <c r="P720" s="1"/>
    </row>
    <row r="721" spans="15:16">
      <c r="O721" s="1"/>
      <c r="P721" s="1"/>
    </row>
    <row r="722" spans="15:16">
      <c r="O722" s="1"/>
      <c r="P722" s="1"/>
    </row>
    <row r="723" spans="15:16">
      <c r="O723" s="1"/>
      <c r="P723" s="1"/>
    </row>
    <row r="724" spans="15:16">
      <c r="O724" s="1"/>
      <c r="P724" s="1"/>
    </row>
    <row r="725" spans="15:16">
      <c r="O725" s="1"/>
      <c r="P725" s="1"/>
    </row>
    <row r="726" spans="15:16">
      <c r="O726" s="1"/>
      <c r="P726" s="1"/>
    </row>
    <row r="727" spans="15:16">
      <c r="O727" s="1"/>
      <c r="P727" s="1"/>
    </row>
    <row r="728" spans="15:16">
      <c r="O728" s="1"/>
      <c r="P728" s="1"/>
    </row>
    <row r="729" spans="15:16">
      <c r="O729" s="1"/>
      <c r="P729" s="1"/>
    </row>
    <row r="730" spans="15:16">
      <c r="O730" s="1"/>
      <c r="P730" s="1"/>
    </row>
    <row r="731" spans="15:16">
      <c r="O731" s="1"/>
      <c r="P731" s="1"/>
    </row>
    <row r="732" spans="15:16">
      <c r="O732" s="1"/>
      <c r="P732" s="1"/>
    </row>
    <row r="733" spans="15:16">
      <c r="O733" s="1"/>
      <c r="P733" s="1"/>
    </row>
    <row r="734" spans="15:16">
      <c r="O734" s="1"/>
      <c r="P734" s="1"/>
    </row>
    <row r="735" spans="15:16">
      <c r="O735" s="1"/>
      <c r="P735" s="1"/>
    </row>
    <row r="736" spans="15:16">
      <c r="O736" s="1"/>
      <c r="P736" s="1"/>
    </row>
    <row r="737" spans="15:16">
      <c r="O737" s="1"/>
      <c r="P737" s="1"/>
    </row>
    <row r="738" spans="15:16">
      <c r="O738" s="1"/>
      <c r="P738" s="1"/>
    </row>
    <row r="739" spans="15:16">
      <c r="O739" s="1"/>
      <c r="P739" s="1"/>
    </row>
    <row r="740" spans="15:16">
      <c r="O740" s="1"/>
      <c r="P740" s="1"/>
    </row>
    <row r="741" spans="15:16">
      <c r="O741" s="1"/>
      <c r="P741" s="1"/>
    </row>
    <row r="742" spans="15:16">
      <c r="O742" s="1"/>
      <c r="P742" s="1"/>
    </row>
    <row r="743" spans="15:16">
      <c r="O743" s="1"/>
      <c r="P743" s="1"/>
    </row>
    <row r="744" spans="15:16">
      <c r="O744" s="1"/>
      <c r="P744" s="1"/>
    </row>
    <row r="745" spans="15:16">
      <c r="O745" s="1"/>
      <c r="P745" s="1"/>
    </row>
    <row r="746" spans="15:16">
      <c r="O746" s="1"/>
      <c r="P746" s="1"/>
    </row>
    <row r="747" spans="15:16">
      <c r="O747" s="1"/>
      <c r="P747" s="1"/>
    </row>
    <row r="748" spans="15:16">
      <c r="O748" s="1"/>
      <c r="P748" s="1"/>
    </row>
    <row r="749" spans="15:16">
      <c r="O749" s="1"/>
      <c r="P749" s="1"/>
    </row>
    <row r="750" spans="15:16">
      <c r="O750" s="1"/>
      <c r="P750" s="1"/>
    </row>
    <row r="751" spans="15:16">
      <c r="O751" s="1"/>
      <c r="P751" s="1"/>
    </row>
    <row r="752" spans="15:16">
      <c r="O752" s="1"/>
      <c r="P752" s="1"/>
    </row>
    <row r="753" spans="15:16">
      <c r="O753" s="1"/>
      <c r="P753" s="1"/>
    </row>
    <row r="754" spans="15:16">
      <c r="O754" s="1"/>
      <c r="P754" s="1"/>
    </row>
    <row r="755" spans="15:16">
      <c r="O755" s="1"/>
      <c r="P755" s="1"/>
    </row>
    <row r="756" spans="15:16">
      <c r="O756" s="1"/>
      <c r="P756" s="1"/>
    </row>
    <row r="757" spans="15:16">
      <c r="O757" s="1"/>
      <c r="P757" s="1"/>
    </row>
    <row r="758" spans="15:16">
      <c r="O758" s="1"/>
      <c r="P758" s="1"/>
    </row>
    <row r="759" spans="15:16">
      <c r="O759" s="1"/>
      <c r="P759" s="1"/>
    </row>
    <row r="760" spans="15:16">
      <c r="O760" s="1"/>
      <c r="P760" s="1"/>
    </row>
    <row r="761" spans="15:16">
      <c r="O761" s="1"/>
      <c r="P761" s="1"/>
    </row>
    <row r="762" spans="15:16">
      <c r="O762" s="1"/>
      <c r="P762" s="1"/>
    </row>
    <row r="763" spans="15:16">
      <c r="O763" s="1"/>
      <c r="P763" s="1"/>
    </row>
    <row r="764" spans="15:16">
      <c r="O764" s="1"/>
      <c r="P764" s="1"/>
    </row>
    <row r="765" spans="15:16">
      <c r="O765" s="1"/>
      <c r="P765" s="1"/>
    </row>
    <row r="766" spans="15:16">
      <c r="O766" s="1"/>
      <c r="P766" s="1"/>
    </row>
    <row r="767" spans="15:16">
      <c r="O767" s="1"/>
      <c r="P767" s="1"/>
    </row>
    <row r="768" spans="15:16">
      <c r="O768" s="1"/>
      <c r="P768" s="1"/>
    </row>
    <row r="769" spans="15:16">
      <c r="O769" s="1"/>
      <c r="P769" s="1"/>
    </row>
    <row r="770" spans="15:16">
      <c r="O770" s="1"/>
      <c r="P770" s="1"/>
    </row>
    <row r="771" spans="15:16">
      <c r="O771" s="1"/>
      <c r="P771" s="1"/>
    </row>
    <row r="772" spans="15:16">
      <c r="O772" s="1"/>
      <c r="P772" s="1"/>
    </row>
    <row r="773" spans="15:16">
      <c r="O773" s="1"/>
      <c r="P773" s="1"/>
    </row>
    <row r="774" spans="15:16">
      <c r="O774" s="1"/>
      <c r="P774" s="1"/>
    </row>
    <row r="775" spans="15:16">
      <c r="O775" s="1"/>
      <c r="P775" s="1"/>
    </row>
    <row r="776" spans="15:16">
      <c r="O776" s="1"/>
      <c r="P776" s="1"/>
    </row>
    <row r="777" spans="15:16">
      <c r="O777" s="1"/>
      <c r="P777" s="1"/>
    </row>
    <row r="778" spans="15:16">
      <c r="O778" s="1"/>
      <c r="P778" s="1"/>
    </row>
    <row r="779" spans="15:16">
      <c r="O779" s="1"/>
      <c r="P779" s="1"/>
    </row>
    <row r="780" spans="15:16">
      <c r="O780" s="1"/>
      <c r="P780" s="1"/>
    </row>
    <row r="781" spans="15:16">
      <c r="O781" s="1"/>
      <c r="P781" s="1"/>
    </row>
    <row r="782" spans="15:16">
      <c r="O782" s="1"/>
      <c r="P782" s="1"/>
    </row>
    <row r="783" spans="15:16">
      <c r="O783" s="1"/>
      <c r="P783" s="1"/>
    </row>
    <row r="784" spans="15:16">
      <c r="O784" s="1"/>
      <c r="P784" s="1"/>
    </row>
    <row r="785" spans="15:16">
      <c r="O785" s="1"/>
      <c r="P785" s="1"/>
    </row>
    <row r="786" spans="15:16">
      <c r="O786" s="1"/>
      <c r="P786" s="1"/>
    </row>
    <row r="787" spans="15:16">
      <c r="O787" s="1"/>
      <c r="P787" s="1"/>
    </row>
    <row r="788" spans="15:16">
      <c r="O788" s="1"/>
      <c r="P788" s="1"/>
    </row>
    <row r="789" spans="15:16">
      <c r="O789" s="1"/>
      <c r="P789" s="1"/>
    </row>
    <row r="790" spans="15:16">
      <c r="O790" s="1"/>
      <c r="P790" s="1"/>
    </row>
    <row r="791" spans="15:16">
      <c r="O791" s="1"/>
      <c r="P791" s="1"/>
    </row>
    <row r="792" spans="15:16">
      <c r="O792" s="1"/>
      <c r="P792" s="1"/>
    </row>
    <row r="793" spans="15:16">
      <c r="O793" s="1"/>
      <c r="P793" s="1"/>
    </row>
    <row r="794" spans="15:16">
      <c r="O794" s="1"/>
      <c r="P794" s="1"/>
    </row>
    <row r="795" spans="15:16">
      <c r="O795" s="1"/>
      <c r="P795" s="1"/>
    </row>
    <row r="796" spans="15:16">
      <c r="O796" s="1"/>
      <c r="P796" s="1"/>
    </row>
    <row r="797" spans="15:16">
      <c r="O797" s="1"/>
      <c r="P797" s="1"/>
    </row>
    <row r="798" spans="15:16">
      <c r="O798" s="1"/>
      <c r="P798" s="1"/>
    </row>
    <row r="799" spans="15:16">
      <c r="O799" s="1"/>
      <c r="P799" s="1"/>
    </row>
    <row r="800" spans="15:16">
      <c r="O800" s="1"/>
      <c r="P800" s="1"/>
    </row>
    <row r="801" spans="15:16">
      <c r="O801" s="1"/>
      <c r="P801" s="1"/>
    </row>
    <row r="802" spans="15:16">
      <c r="O802" s="1"/>
      <c r="P802" s="1"/>
    </row>
    <row r="803" spans="15:16">
      <c r="O803" s="1"/>
      <c r="P803" s="1"/>
    </row>
    <row r="804" spans="15:16">
      <c r="O804" s="1"/>
      <c r="P804" s="1"/>
    </row>
    <row r="805" spans="15:16">
      <c r="O805" s="1"/>
      <c r="P805" s="1"/>
    </row>
    <row r="806" spans="15:16">
      <c r="O806" s="1"/>
      <c r="P806" s="1"/>
    </row>
    <row r="807" spans="15:16">
      <c r="O807" s="1"/>
      <c r="P807" s="1"/>
    </row>
    <row r="808" spans="15:16">
      <c r="O808" s="1"/>
      <c r="P808" s="1"/>
    </row>
    <row r="809" spans="15:16">
      <c r="O809" s="1"/>
      <c r="P809" s="1"/>
    </row>
    <row r="810" spans="15:16">
      <c r="O810" s="1"/>
      <c r="P810" s="1"/>
    </row>
    <row r="811" spans="15:16">
      <c r="O811" s="1"/>
      <c r="P811" s="1"/>
    </row>
    <row r="812" spans="15:16">
      <c r="O812" s="1"/>
      <c r="P812" s="1"/>
    </row>
    <row r="813" spans="15:16">
      <c r="O813" s="1"/>
      <c r="P813" s="1"/>
    </row>
    <row r="814" spans="15:16">
      <c r="O814" s="1"/>
      <c r="P814" s="1"/>
    </row>
    <row r="815" spans="15:16">
      <c r="O815" s="1"/>
      <c r="P815" s="1"/>
    </row>
    <row r="816" spans="15:16">
      <c r="O816" s="1"/>
      <c r="P816" s="1"/>
    </row>
    <row r="817" spans="15:16">
      <c r="O817" s="1"/>
      <c r="P817" s="1"/>
    </row>
    <row r="818" spans="15:16">
      <c r="O818" s="1"/>
      <c r="P818" s="1"/>
    </row>
    <row r="819" spans="15:16">
      <c r="O819" s="1"/>
      <c r="P819" s="1"/>
    </row>
    <row r="820" spans="15:16">
      <c r="O820" s="1"/>
      <c r="P820" s="1"/>
    </row>
    <row r="821" spans="15:16">
      <c r="O821" s="1"/>
      <c r="P821" s="1"/>
    </row>
    <row r="822" spans="15:16">
      <c r="O822" s="1"/>
      <c r="P822" s="1"/>
    </row>
    <row r="823" spans="15:16">
      <c r="O823" s="1"/>
      <c r="P823" s="1"/>
    </row>
    <row r="824" spans="15:16">
      <c r="O824" s="1"/>
      <c r="P824" s="1"/>
    </row>
    <row r="825" spans="15:16">
      <c r="O825" s="1"/>
      <c r="P825" s="1"/>
    </row>
    <row r="826" spans="15:16">
      <c r="O826" s="1"/>
      <c r="P826" s="1"/>
    </row>
    <row r="827" spans="15:16">
      <c r="O827" s="1"/>
      <c r="P827" s="1"/>
    </row>
    <row r="828" spans="15:16">
      <c r="O828" s="1"/>
      <c r="P828" s="1"/>
    </row>
    <row r="829" spans="15:16">
      <c r="O829" s="1"/>
      <c r="P829" s="1"/>
    </row>
    <row r="830" spans="15:16">
      <c r="O830" s="1"/>
      <c r="P830" s="1"/>
    </row>
    <row r="831" spans="15:16">
      <c r="O831" s="1"/>
      <c r="P831" s="1"/>
    </row>
    <row r="832" spans="15:16">
      <c r="O832" s="1"/>
      <c r="P832" s="1"/>
    </row>
    <row r="833" spans="15:16">
      <c r="O833" s="1"/>
      <c r="P833" s="1"/>
    </row>
    <row r="834" spans="15:16">
      <c r="O834" s="1"/>
      <c r="P834" s="1"/>
    </row>
    <row r="835" spans="15:16">
      <c r="O835" s="1"/>
      <c r="P835" s="1"/>
    </row>
    <row r="836" spans="15:16">
      <c r="O836" s="1"/>
      <c r="P836" s="1"/>
    </row>
    <row r="837" spans="15:16">
      <c r="O837" s="1"/>
      <c r="P837" s="1"/>
    </row>
    <row r="838" spans="15:16">
      <c r="O838" s="1"/>
      <c r="P838" s="1"/>
    </row>
    <row r="839" spans="15:16">
      <c r="O839" s="1"/>
      <c r="P839" s="1"/>
    </row>
    <row r="840" spans="15:16">
      <c r="O840" s="1"/>
      <c r="P840" s="1"/>
    </row>
    <row r="841" spans="15:16">
      <c r="O841" s="1"/>
      <c r="P841" s="1"/>
    </row>
    <row r="842" spans="15:16">
      <c r="O842" s="1"/>
      <c r="P842" s="1"/>
    </row>
    <row r="843" spans="15:16">
      <c r="O843" s="1"/>
      <c r="P843" s="1"/>
    </row>
    <row r="844" spans="15:16">
      <c r="O844" s="1"/>
      <c r="P844" s="1"/>
    </row>
    <row r="845" spans="15:16">
      <c r="O845" s="1"/>
      <c r="P845" s="1"/>
    </row>
    <row r="846" spans="15:16">
      <c r="O846" s="1"/>
      <c r="P846" s="1"/>
    </row>
    <row r="847" spans="15:16">
      <c r="O847" s="1"/>
      <c r="P847" s="1"/>
    </row>
    <row r="848" spans="15:16">
      <c r="O848" s="1"/>
      <c r="P848" s="1"/>
    </row>
    <row r="849" spans="15:16">
      <c r="O849" s="1"/>
      <c r="P849" s="1"/>
    </row>
    <row r="850" spans="15:16">
      <c r="O850" s="1"/>
      <c r="P850" s="1"/>
    </row>
    <row r="851" spans="15:16">
      <c r="O851" s="1"/>
      <c r="P851" s="1"/>
    </row>
    <row r="852" spans="15:16">
      <c r="O852" s="1"/>
      <c r="P852" s="1"/>
    </row>
    <row r="853" spans="15:16">
      <c r="O853" s="1"/>
      <c r="P853" s="1"/>
    </row>
    <row r="854" spans="15:16">
      <c r="O854" s="1"/>
      <c r="P854" s="1"/>
    </row>
    <row r="855" spans="15:16">
      <c r="O855" s="1"/>
      <c r="P855" s="1"/>
    </row>
    <row r="856" spans="15:16">
      <c r="O856" s="1"/>
      <c r="P856" s="1"/>
    </row>
    <row r="857" spans="15:16">
      <c r="O857" s="1"/>
      <c r="P857" s="1"/>
    </row>
    <row r="858" spans="15:16">
      <c r="O858" s="1"/>
      <c r="P858" s="1"/>
    </row>
    <row r="859" spans="15:16">
      <c r="O859" s="1"/>
      <c r="P859" s="1"/>
    </row>
    <row r="860" spans="15:16">
      <c r="O860" s="1"/>
      <c r="P860" s="1"/>
    </row>
    <row r="861" spans="15:16">
      <c r="O861" s="1"/>
      <c r="P861" s="1"/>
    </row>
    <row r="862" spans="15:16">
      <c r="O862" s="1"/>
      <c r="P862" s="1"/>
    </row>
    <row r="863" spans="15:16">
      <c r="O863" s="1"/>
      <c r="P863" s="1"/>
    </row>
    <row r="864" spans="15:16">
      <c r="O864" s="1"/>
      <c r="P864" s="1"/>
    </row>
    <row r="865" spans="15:16">
      <c r="O865" s="1"/>
      <c r="P865" s="1"/>
    </row>
    <row r="866" spans="15:16">
      <c r="O866" s="1"/>
      <c r="P866" s="1"/>
    </row>
    <row r="867" spans="15:16">
      <c r="O867" s="1"/>
      <c r="P867" s="1"/>
    </row>
    <row r="868" spans="15:16">
      <c r="O868" s="1"/>
      <c r="P868" s="1"/>
    </row>
    <row r="869" spans="15:16">
      <c r="O869" s="1"/>
      <c r="P869" s="1"/>
    </row>
    <row r="870" spans="15:16">
      <c r="O870" s="1"/>
      <c r="P870" s="1"/>
    </row>
    <row r="871" spans="15:16">
      <c r="O871" s="1"/>
      <c r="P871" s="1"/>
    </row>
    <row r="872" spans="15:16">
      <c r="O872" s="1"/>
      <c r="P872" s="1"/>
    </row>
    <row r="873" spans="15:16">
      <c r="O873" s="1"/>
      <c r="P873" s="1"/>
    </row>
    <row r="874" spans="15:16">
      <c r="O874" s="1"/>
      <c r="P874" s="1"/>
    </row>
    <row r="875" spans="15:16">
      <c r="O875" s="1"/>
      <c r="P875" s="1"/>
    </row>
    <row r="876" spans="15:16">
      <c r="O876" s="1"/>
      <c r="P876" s="1"/>
    </row>
    <row r="877" spans="15:16">
      <c r="O877" s="1"/>
      <c r="P877" s="1"/>
    </row>
    <row r="878" spans="15:16">
      <c r="O878" s="1"/>
      <c r="P878" s="1"/>
    </row>
    <row r="879" spans="15:16">
      <c r="O879" s="1"/>
      <c r="P879" s="1"/>
    </row>
    <row r="880" spans="15:16">
      <c r="O880" s="1"/>
      <c r="P880" s="1"/>
    </row>
    <row r="881" spans="15:16">
      <c r="O881" s="1"/>
      <c r="P881" s="1"/>
    </row>
    <row r="882" spans="15:16">
      <c r="O882" s="1"/>
      <c r="P882" s="1"/>
    </row>
    <row r="883" spans="15:16">
      <c r="O883" s="1"/>
      <c r="P883" s="1"/>
    </row>
    <row r="884" spans="15:16">
      <c r="O884" s="1"/>
      <c r="P884" s="1"/>
    </row>
    <row r="885" spans="15:16">
      <c r="O885" s="1"/>
      <c r="P885" s="1"/>
    </row>
    <row r="886" spans="15:16">
      <c r="O886" s="1"/>
      <c r="P886" s="1"/>
    </row>
    <row r="887" spans="15:16">
      <c r="O887" s="1"/>
      <c r="P887" s="1"/>
    </row>
    <row r="888" spans="15:16">
      <c r="O888" s="1"/>
      <c r="P888" s="1"/>
    </row>
    <row r="889" spans="15:16">
      <c r="O889" s="1"/>
      <c r="P889" s="1"/>
    </row>
    <row r="890" spans="15:16">
      <c r="O890" s="1"/>
      <c r="P890" s="1"/>
    </row>
    <row r="891" spans="15:16">
      <c r="O891" s="1"/>
      <c r="P891" s="1"/>
    </row>
    <row r="892" spans="15:16">
      <c r="O892" s="1"/>
      <c r="P892" s="1"/>
    </row>
    <row r="893" spans="15:16">
      <c r="O893" s="1"/>
      <c r="P893" s="1"/>
    </row>
    <row r="894" spans="15:16">
      <c r="O894" s="1"/>
      <c r="P894" s="1"/>
    </row>
    <row r="895" spans="15:16">
      <c r="O895" s="1"/>
      <c r="P895" s="1"/>
    </row>
    <row r="896" spans="15:16">
      <c r="O896" s="1"/>
      <c r="P896" s="1"/>
    </row>
    <row r="897" spans="15:16">
      <c r="O897" s="1"/>
      <c r="P897" s="1"/>
    </row>
    <row r="898" spans="15:16">
      <c r="O898" s="1"/>
      <c r="P898" s="1"/>
    </row>
    <row r="899" spans="15:16">
      <c r="O899" s="1"/>
      <c r="P899" s="1"/>
    </row>
    <row r="900" spans="15:16">
      <c r="O900" s="1"/>
      <c r="P900" s="1"/>
    </row>
    <row r="901" spans="15:16">
      <c r="O901" s="1"/>
      <c r="P901" s="1"/>
    </row>
    <row r="902" spans="15:16">
      <c r="O902" s="1"/>
      <c r="P902" s="1"/>
    </row>
    <row r="903" spans="15:16">
      <c r="O903" s="1"/>
      <c r="P903" s="1"/>
    </row>
    <row r="904" spans="15:16">
      <c r="O904" s="1"/>
      <c r="P904" s="1"/>
    </row>
    <row r="905" spans="15:16">
      <c r="O905" s="1"/>
      <c r="P905" s="1"/>
    </row>
    <row r="906" spans="15:16">
      <c r="O906" s="1"/>
      <c r="P906" s="1"/>
    </row>
    <row r="907" spans="15:16">
      <c r="O907" s="1"/>
      <c r="P907" s="1"/>
    </row>
    <row r="908" spans="15:16">
      <c r="O908" s="1"/>
      <c r="P908" s="1"/>
    </row>
    <row r="909" spans="15:16">
      <c r="O909" s="1"/>
      <c r="P909" s="1"/>
    </row>
    <row r="910" spans="15:16">
      <c r="O910" s="1"/>
      <c r="P910" s="1"/>
    </row>
    <row r="911" spans="15:16">
      <c r="O911" s="1"/>
      <c r="P911" s="1"/>
    </row>
    <row r="912" spans="15:16">
      <c r="O912" s="1"/>
      <c r="P912" s="1"/>
    </row>
    <row r="913" spans="15:16">
      <c r="O913" s="1"/>
      <c r="P913" s="1"/>
    </row>
    <row r="914" spans="15:16">
      <c r="O914" s="1"/>
      <c r="P914" s="1"/>
    </row>
    <row r="915" spans="15:16">
      <c r="O915" s="1"/>
      <c r="P915" s="1"/>
    </row>
    <row r="916" spans="15:16">
      <c r="O916" s="1"/>
      <c r="P916" s="1"/>
    </row>
    <row r="917" spans="15:16">
      <c r="O917" s="1"/>
      <c r="P917" s="1"/>
    </row>
    <row r="918" spans="15:16">
      <c r="O918" s="1"/>
      <c r="P918" s="1"/>
    </row>
    <row r="919" spans="15:16">
      <c r="O919" s="1"/>
      <c r="P919" s="1"/>
    </row>
    <row r="920" spans="15:16">
      <c r="O920" s="1"/>
      <c r="P920" s="1"/>
    </row>
    <row r="921" spans="15:16">
      <c r="O921" s="1"/>
      <c r="P921" s="1"/>
    </row>
    <row r="922" spans="15:16">
      <c r="O922" s="1"/>
      <c r="P922" s="1"/>
    </row>
    <row r="923" spans="15:16">
      <c r="O923" s="1"/>
      <c r="P923" s="1"/>
    </row>
    <row r="924" spans="15:16">
      <c r="O924" s="1"/>
      <c r="P924" s="1"/>
    </row>
    <row r="925" spans="15:16">
      <c r="O925" s="1"/>
      <c r="P925" s="1"/>
    </row>
    <row r="926" spans="15:16">
      <c r="O926" s="1"/>
      <c r="P926" s="1"/>
    </row>
    <row r="927" spans="15:16">
      <c r="O927" s="1"/>
      <c r="P927" s="1"/>
    </row>
    <row r="928" spans="15:16">
      <c r="O928" s="1"/>
      <c r="P928" s="1"/>
    </row>
    <row r="929" spans="15:16">
      <c r="O929" s="1"/>
      <c r="P929" s="1"/>
    </row>
    <row r="930" spans="15:16">
      <c r="O930" s="1"/>
      <c r="P930" s="1"/>
    </row>
    <row r="931" spans="15:16">
      <c r="O931" s="1"/>
      <c r="P931" s="1"/>
    </row>
    <row r="932" spans="15:16">
      <c r="O932" s="1"/>
      <c r="P932" s="1"/>
    </row>
    <row r="933" spans="15:16">
      <c r="O933" s="1"/>
      <c r="P933" s="1"/>
    </row>
    <row r="934" spans="15:16">
      <c r="O934" s="1"/>
      <c r="P934" s="1"/>
    </row>
    <row r="935" spans="15:16">
      <c r="O935" s="1"/>
      <c r="P935" s="1"/>
    </row>
    <row r="936" spans="15:16">
      <c r="O936" s="1"/>
      <c r="P936" s="1"/>
    </row>
    <row r="937" spans="15:16">
      <c r="O937" s="1"/>
      <c r="P937" s="1"/>
    </row>
    <row r="938" spans="15:16">
      <c r="O938" s="1"/>
      <c r="P938" s="1"/>
    </row>
    <row r="939" spans="15:16">
      <c r="O939" s="1"/>
      <c r="P939" s="1"/>
    </row>
    <row r="940" spans="15:16">
      <c r="O940" s="1"/>
      <c r="P940" s="1"/>
    </row>
    <row r="941" spans="15:16">
      <c r="O941" s="1"/>
      <c r="P941" s="1"/>
    </row>
    <row r="942" spans="15:16">
      <c r="O942" s="1"/>
      <c r="P942" s="1"/>
    </row>
    <row r="943" spans="15:16">
      <c r="O943" s="1"/>
      <c r="P943" s="1"/>
    </row>
    <row r="944" spans="15:16">
      <c r="O944" s="1"/>
      <c r="P944" s="1"/>
    </row>
    <row r="945" spans="15:16">
      <c r="O945" s="1"/>
      <c r="P945" s="1"/>
    </row>
    <row r="946" spans="15:16">
      <c r="O946" s="1"/>
      <c r="P946" s="1"/>
    </row>
    <row r="947" spans="15:16">
      <c r="O947" s="1"/>
      <c r="P947" s="1"/>
    </row>
    <row r="948" spans="15:16">
      <c r="O948" s="1"/>
      <c r="P948" s="1"/>
    </row>
    <row r="949" spans="15:16">
      <c r="O949" s="1"/>
      <c r="P949" s="1"/>
    </row>
    <row r="950" spans="15:16">
      <c r="O950" s="1"/>
      <c r="P950" s="1"/>
    </row>
    <row r="951" spans="15:16">
      <c r="O951" s="1"/>
      <c r="P951" s="1"/>
    </row>
    <row r="952" spans="15:16">
      <c r="O952" s="1"/>
      <c r="P952" s="1"/>
    </row>
    <row r="953" spans="15:16">
      <c r="O953" s="1"/>
      <c r="P953" s="1"/>
    </row>
    <row r="954" spans="15:16">
      <c r="O954" s="1"/>
      <c r="P954" s="1"/>
    </row>
    <row r="955" spans="15:16">
      <c r="O955" s="1"/>
      <c r="P955" s="1"/>
    </row>
    <row r="956" spans="15:16">
      <c r="O956" s="1"/>
      <c r="P956" s="1"/>
    </row>
    <row r="957" spans="15:16">
      <c r="O957" s="1"/>
      <c r="P957" s="1"/>
    </row>
    <row r="958" spans="15:16">
      <c r="O958" s="1"/>
      <c r="P958" s="1"/>
    </row>
    <row r="959" spans="15:16">
      <c r="O959" s="1"/>
      <c r="P959" s="1"/>
    </row>
    <row r="960" spans="15:16">
      <c r="O960" s="1"/>
      <c r="P960" s="1"/>
    </row>
    <row r="961" spans="15:16">
      <c r="O961" s="1"/>
      <c r="P961" s="1"/>
    </row>
    <row r="962" spans="15:16">
      <c r="O962" s="1"/>
      <c r="P962" s="1"/>
    </row>
    <row r="963" spans="15:16">
      <c r="O963" s="1"/>
      <c r="P963" s="1"/>
    </row>
    <row r="964" spans="15:16">
      <c r="O964" s="1"/>
      <c r="P964" s="1"/>
    </row>
    <row r="965" spans="15:16">
      <c r="O965" s="1"/>
      <c r="P965" s="1"/>
    </row>
    <row r="966" spans="15:16">
      <c r="O966" s="1"/>
      <c r="P966" s="1"/>
    </row>
    <row r="967" spans="15:16">
      <c r="O967" s="1"/>
      <c r="P967" s="1"/>
    </row>
    <row r="968" spans="15:16">
      <c r="O968" s="1"/>
      <c r="P968" s="1"/>
    </row>
    <row r="969" spans="15:16">
      <c r="O969" s="1"/>
      <c r="P969" s="1"/>
    </row>
    <row r="970" spans="15:16">
      <c r="O970" s="1"/>
      <c r="P970" s="1"/>
    </row>
    <row r="971" spans="15:16">
      <c r="O971" s="1"/>
      <c r="P971" s="1"/>
    </row>
    <row r="972" spans="15:16">
      <c r="O972" s="1"/>
      <c r="P972" s="1"/>
    </row>
    <row r="973" spans="15:16">
      <c r="O973" s="1"/>
      <c r="P973" s="1"/>
    </row>
    <row r="974" spans="15:16">
      <c r="O974" s="1"/>
      <c r="P974" s="1"/>
    </row>
    <row r="975" spans="15:16">
      <c r="O975" s="1"/>
      <c r="P975" s="1"/>
    </row>
    <row r="976" spans="15:16">
      <c r="O976" s="1"/>
      <c r="P976" s="1"/>
    </row>
    <row r="977" spans="15:16">
      <c r="O977" s="1"/>
      <c r="P977" s="1"/>
    </row>
    <row r="978" spans="15:16">
      <c r="O978" s="1"/>
      <c r="P978" s="1"/>
    </row>
    <row r="979" spans="15:16">
      <c r="O979" s="1"/>
      <c r="P979" s="1"/>
    </row>
    <row r="980" spans="15:16">
      <c r="O980" s="1"/>
      <c r="P980" s="1"/>
    </row>
    <row r="981" spans="15:16">
      <c r="O981" s="1"/>
      <c r="P981" s="1"/>
    </row>
    <row r="982" spans="15:16">
      <c r="O982" s="1"/>
      <c r="P982" s="1"/>
    </row>
    <row r="983" spans="15:16">
      <c r="O983" s="1"/>
      <c r="P983" s="1"/>
    </row>
    <row r="984" spans="15:16">
      <c r="O984" s="1"/>
      <c r="P984" s="1"/>
    </row>
    <row r="985" spans="15:16">
      <c r="O985" s="1"/>
      <c r="P985" s="1"/>
    </row>
    <row r="986" spans="15:16">
      <c r="O986" s="1"/>
      <c r="P986" s="1"/>
    </row>
    <row r="987" spans="15:16">
      <c r="O987" s="1"/>
      <c r="P987" s="1"/>
    </row>
    <row r="988" spans="15:16">
      <c r="O988" s="1"/>
      <c r="P988" s="1"/>
    </row>
    <row r="989" spans="15:16">
      <c r="O989" s="1"/>
      <c r="P989" s="1"/>
    </row>
    <row r="990" spans="15:16">
      <c r="O990" s="1"/>
      <c r="P990" s="1"/>
    </row>
    <row r="991" spans="15:16">
      <c r="O991" s="1"/>
      <c r="P991" s="1"/>
    </row>
    <row r="992" spans="15:16">
      <c r="O992" s="1"/>
      <c r="P992" s="1"/>
    </row>
    <row r="993" spans="15:16">
      <c r="O993" s="1"/>
      <c r="P993" s="1"/>
    </row>
    <row r="994" spans="15:16">
      <c r="O994" s="1"/>
      <c r="P994" s="1"/>
    </row>
    <row r="995" spans="15:16">
      <c r="O995" s="1"/>
      <c r="P995" s="1"/>
    </row>
    <row r="996" spans="15:16">
      <c r="O996" s="1"/>
      <c r="P996" s="1"/>
    </row>
    <row r="997" spans="15:16">
      <c r="O997" s="1"/>
      <c r="P997" s="1"/>
    </row>
    <row r="998" spans="15:16">
      <c r="O998" s="1"/>
      <c r="P998" s="1"/>
    </row>
    <row r="999" spans="15:16">
      <c r="O999" s="1"/>
      <c r="P999" s="1"/>
    </row>
    <row r="1000" spans="15:16">
      <c r="O1000" s="1"/>
      <c r="P1000" s="1"/>
    </row>
    <row r="1001" spans="15:16">
      <c r="O1001" s="1"/>
      <c r="P1001" s="1"/>
    </row>
    <row r="1002" spans="15:16">
      <c r="O1002" s="1"/>
      <c r="P1002" s="1"/>
    </row>
    <row r="1003" spans="15:16">
      <c r="O1003" s="1"/>
      <c r="P1003" s="1"/>
    </row>
    <row r="1004" spans="15:16">
      <c r="O1004" s="1"/>
      <c r="P1004" s="1"/>
    </row>
    <row r="1005" spans="15:16">
      <c r="O1005" s="1"/>
      <c r="P1005" s="1"/>
    </row>
    <row r="1006" spans="15:16">
      <c r="O1006" s="1"/>
      <c r="P1006" s="1"/>
    </row>
    <row r="1007" spans="15:16">
      <c r="O1007" s="1"/>
      <c r="P1007" s="1"/>
    </row>
    <row r="1008" spans="15:16">
      <c r="O1008" s="1"/>
      <c r="P1008" s="1"/>
    </row>
    <row r="1009" spans="15:16">
      <c r="O1009" s="1"/>
      <c r="P1009" s="1"/>
    </row>
    <row r="1010" spans="15:16">
      <c r="O1010" s="1"/>
      <c r="P1010" s="1"/>
    </row>
    <row r="1011" spans="15:16">
      <c r="O1011" s="1"/>
      <c r="P1011" s="1"/>
    </row>
    <row r="1012" spans="15:16">
      <c r="O1012" s="1"/>
      <c r="P1012" s="1"/>
    </row>
    <row r="1013" spans="15:16">
      <c r="O1013" s="1"/>
      <c r="P1013" s="1"/>
    </row>
    <row r="1014" spans="15:16">
      <c r="O1014" s="1"/>
      <c r="P1014" s="1"/>
    </row>
    <row r="1015" spans="15:16">
      <c r="O1015" s="1"/>
      <c r="P1015" s="1"/>
    </row>
    <row r="1016" spans="15:16">
      <c r="O1016" s="1"/>
      <c r="P1016" s="1"/>
    </row>
    <row r="1017" spans="15:16">
      <c r="O1017" s="1"/>
      <c r="P1017" s="1"/>
    </row>
    <row r="1018" spans="15:16">
      <c r="O1018" s="1"/>
      <c r="P1018" s="1"/>
    </row>
    <row r="1019" spans="15:16">
      <c r="O1019" s="1"/>
      <c r="P1019" s="1"/>
    </row>
    <row r="1020" spans="15:16">
      <c r="O1020" s="1"/>
      <c r="P1020" s="1"/>
    </row>
    <row r="1021" spans="15:16">
      <c r="O1021" s="1"/>
      <c r="P1021" s="1"/>
    </row>
    <row r="1022" spans="15:16">
      <c r="O1022" s="1"/>
      <c r="P1022" s="1"/>
    </row>
    <row r="1023" spans="15:16">
      <c r="O1023" s="1"/>
      <c r="P1023" s="1"/>
    </row>
    <row r="1024" spans="15:16">
      <c r="O1024" s="1"/>
      <c r="P1024" s="1"/>
    </row>
    <row r="1025" spans="15:16">
      <c r="O1025" s="1"/>
      <c r="P1025" s="1"/>
    </row>
    <row r="1026" spans="15:16">
      <c r="O1026" s="1"/>
      <c r="P1026" s="1"/>
    </row>
    <row r="1027" spans="15:16">
      <c r="O1027" s="1"/>
      <c r="P1027" s="1"/>
    </row>
    <row r="1028" spans="15:16">
      <c r="O1028" s="1"/>
      <c r="P1028" s="1"/>
    </row>
    <row r="1029" spans="15:16">
      <c r="O1029" s="1"/>
      <c r="P1029" s="1"/>
    </row>
    <row r="1030" spans="15:16">
      <c r="O1030" s="1"/>
      <c r="P1030" s="1"/>
    </row>
    <row r="1031" spans="15:16">
      <c r="O1031" s="1"/>
      <c r="P1031" s="1"/>
    </row>
    <row r="1032" spans="15:16">
      <c r="O1032" s="1"/>
      <c r="P1032" s="1"/>
    </row>
    <row r="1033" spans="15:16">
      <c r="O1033" s="1"/>
      <c r="P1033" s="1"/>
    </row>
    <row r="1034" spans="15:16">
      <c r="O1034" s="1"/>
      <c r="P1034" s="1"/>
    </row>
    <row r="1035" spans="15:16">
      <c r="O1035" s="1"/>
      <c r="P1035" s="1"/>
    </row>
    <row r="1036" spans="15:16">
      <c r="O1036" s="1"/>
      <c r="P1036" s="1"/>
    </row>
    <row r="1037" spans="15:16">
      <c r="O1037" s="1"/>
      <c r="P1037" s="1"/>
    </row>
    <row r="1038" spans="15:16">
      <c r="O1038" s="1"/>
      <c r="P1038" s="1"/>
    </row>
    <row r="1039" spans="15:16">
      <c r="O1039" s="1"/>
      <c r="P1039" s="1"/>
    </row>
    <row r="1040" spans="15:16">
      <c r="O1040" s="1"/>
      <c r="P1040" s="1"/>
    </row>
    <row r="1041" spans="15:16">
      <c r="O1041" s="1"/>
      <c r="P1041" s="1"/>
    </row>
    <row r="1042" spans="15:16">
      <c r="O1042" s="1"/>
      <c r="P1042" s="1"/>
    </row>
    <row r="1043" spans="15:16">
      <c r="O1043" s="1"/>
      <c r="P1043" s="1"/>
    </row>
    <row r="1044" spans="15:16">
      <c r="O1044" s="1"/>
      <c r="P1044" s="1"/>
    </row>
    <row r="1045" spans="15:16">
      <c r="O1045" s="1"/>
      <c r="P1045" s="1"/>
    </row>
    <row r="1046" spans="15:16">
      <c r="O1046" s="1"/>
      <c r="P1046" s="1"/>
    </row>
    <row r="1047" spans="15:16">
      <c r="O1047" s="1"/>
      <c r="P1047" s="1"/>
    </row>
    <row r="1048" spans="15:16">
      <c r="O1048" s="1"/>
      <c r="P1048" s="1"/>
    </row>
    <row r="1049" spans="15:16">
      <c r="O1049" s="1"/>
      <c r="P1049" s="1"/>
    </row>
    <row r="1050" spans="15:16">
      <c r="O1050" s="1"/>
      <c r="P1050" s="1"/>
    </row>
    <row r="1051" spans="15:16">
      <c r="O1051" s="1"/>
      <c r="P1051" s="1"/>
    </row>
    <row r="1052" spans="15:16">
      <c r="O1052" s="1"/>
      <c r="P1052" s="1"/>
    </row>
    <row r="1053" spans="15:16">
      <c r="O1053" s="1"/>
      <c r="P1053" s="1"/>
    </row>
    <row r="1054" spans="15:16">
      <c r="O1054" s="1"/>
      <c r="P1054" s="1"/>
    </row>
    <row r="1055" spans="15:16">
      <c r="O1055" s="1"/>
      <c r="P1055" s="1"/>
    </row>
    <row r="1056" spans="15:16">
      <c r="O1056" s="1"/>
      <c r="P1056" s="1"/>
    </row>
    <row r="1057" spans="15:16">
      <c r="O1057" s="1"/>
      <c r="P1057" s="1"/>
    </row>
    <row r="1058" spans="15:16">
      <c r="O1058" s="1"/>
      <c r="P1058" s="1"/>
    </row>
    <row r="1059" spans="15:16">
      <c r="O1059" s="1"/>
      <c r="P1059" s="1"/>
    </row>
    <row r="1060" spans="15:16">
      <c r="O1060" s="1"/>
      <c r="P1060" s="1"/>
    </row>
    <row r="1061" spans="15:16">
      <c r="O1061" s="1"/>
      <c r="P1061" s="1"/>
    </row>
    <row r="1062" spans="15:16">
      <c r="O1062" s="1"/>
      <c r="P1062" s="1"/>
    </row>
    <row r="1063" spans="15:16">
      <c r="O1063" s="1"/>
      <c r="P1063" s="1"/>
    </row>
    <row r="1064" spans="15:16">
      <c r="O1064" s="1"/>
      <c r="P1064" s="1"/>
    </row>
    <row r="1065" spans="15:16">
      <c r="O1065" s="1"/>
      <c r="P1065" s="1"/>
    </row>
    <row r="1066" spans="15:16">
      <c r="O1066" s="1"/>
      <c r="P1066" s="1"/>
    </row>
    <row r="1067" spans="15:16">
      <c r="O1067" s="1"/>
      <c r="P1067" s="1"/>
    </row>
    <row r="1068" spans="15:16">
      <c r="O1068" s="1"/>
      <c r="P1068" s="1"/>
    </row>
    <row r="1069" spans="15:16">
      <c r="O1069" s="1"/>
      <c r="P1069" s="1"/>
    </row>
    <row r="1070" spans="15:16">
      <c r="O1070" s="1"/>
      <c r="P1070" s="1"/>
    </row>
    <row r="1071" spans="15:16">
      <c r="O1071" s="1"/>
      <c r="P1071" s="1"/>
    </row>
    <row r="1072" spans="15:16">
      <c r="O1072" s="1"/>
      <c r="P1072" s="1"/>
    </row>
    <row r="1073" spans="15:16">
      <c r="O1073" s="1"/>
      <c r="P1073" s="1"/>
    </row>
    <row r="1074" spans="15:16">
      <c r="O1074" s="1"/>
      <c r="P1074" s="1"/>
    </row>
    <row r="1075" spans="15:16">
      <c r="O1075" s="1"/>
      <c r="P1075" s="1"/>
    </row>
    <row r="1076" spans="15:16">
      <c r="O1076" s="1"/>
      <c r="P1076" s="1"/>
    </row>
    <row r="1077" spans="15:16">
      <c r="O1077" s="1"/>
      <c r="P1077" s="1"/>
    </row>
    <row r="1078" spans="15:16">
      <c r="O1078" s="1"/>
      <c r="P1078" s="1"/>
    </row>
    <row r="1079" spans="15:16">
      <c r="O1079" s="1"/>
      <c r="P1079" s="1"/>
    </row>
    <row r="1080" spans="15:16">
      <c r="O1080" s="1"/>
      <c r="P1080" s="1"/>
    </row>
    <row r="1081" spans="15:16">
      <c r="O1081" s="1"/>
      <c r="P1081" s="1"/>
    </row>
    <row r="1082" spans="15:16">
      <c r="O1082" s="1"/>
      <c r="P1082" s="1"/>
    </row>
    <row r="1083" spans="15:16">
      <c r="O1083" s="1"/>
      <c r="P1083" s="1"/>
    </row>
    <row r="1084" spans="15:16">
      <c r="O1084" s="1"/>
      <c r="P1084" s="1"/>
    </row>
    <row r="1085" spans="15:16">
      <c r="O1085" s="1"/>
      <c r="P1085" s="1"/>
    </row>
    <row r="1086" spans="15:16">
      <c r="O1086" s="1"/>
      <c r="P1086" s="1"/>
    </row>
    <row r="1087" spans="15:16">
      <c r="O1087" s="1"/>
      <c r="P1087" s="1"/>
    </row>
    <row r="1088" spans="15:16">
      <c r="O1088" s="1"/>
      <c r="P1088" s="1"/>
    </row>
    <row r="1089" spans="15:16">
      <c r="O1089" s="1"/>
      <c r="P1089" s="1"/>
    </row>
    <row r="1090" spans="15:16">
      <c r="O1090" s="1"/>
      <c r="P1090" s="1"/>
    </row>
    <row r="1091" spans="15:16">
      <c r="O1091" s="1"/>
      <c r="P1091" s="1"/>
    </row>
    <row r="1092" spans="15:16">
      <c r="O1092" s="1"/>
      <c r="P1092" s="1"/>
    </row>
    <row r="1093" spans="15:16">
      <c r="O1093" s="1"/>
      <c r="P1093" s="1"/>
    </row>
    <row r="1094" spans="15:16">
      <c r="O1094" s="1"/>
      <c r="P1094" s="1"/>
    </row>
    <row r="1095" spans="15:16">
      <c r="O1095" s="1"/>
      <c r="P1095" s="1"/>
    </row>
    <row r="1096" spans="15:16">
      <c r="O1096" s="1"/>
      <c r="P1096" s="1"/>
    </row>
    <row r="1097" spans="15:16">
      <c r="O1097" s="1"/>
      <c r="P1097" s="1"/>
    </row>
    <row r="1098" spans="15:16">
      <c r="O1098" s="1"/>
      <c r="P1098" s="1"/>
    </row>
    <row r="1099" spans="15:16">
      <c r="O1099" s="1"/>
      <c r="P1099" s="1"/>
    </row>
    <row r="1100" spans="15:16">
      <c r="O1100" s="1"/>
      <c r="P1100" s="1"/>
    </row>
    <row r="1101" spans="15:16">
      <c r="O1101" s="1"/>
      <c r="P1101" s="1"/>
    </row>
    <row r="1102" spans="15:16">
      <c r="O1102" s="1"/>
      <c r="P1102" s="1"/>
    </row>
    <row r="1103" spans="15:16">
      <c r="O1103" s="1"/>
      <c r="P1103" s="1"/>
    </row>
    <row r="1104" spans="15:16">
      <c r="O1104" s="1"/>
      <c r="P1104" s="1"/>
    </row>
    <row r="1105" spans="15:16">
      <c r="O1105" s="1"/>
      <c r="P1105" s="1"/>
    </row>
    <row r="1106" spans="15:16">
      <c r="O1106" s="1"/>
      <c r="P1106" s="1"/>
    </row>
    <row r="1107" spans="15:16">
      <c r="O1107" s="1"/>
      <c r="P1107" s="1"/>
    </row>
    <row r="1108" spans="15:16">
      <c r="O1108" s="1"/>
      <c r="P1108" s="1"/>
    </row>
    <row r="1109" spans="15:16">
      <c r="O1109" s="1"/>
      <c r="P1109" s="1"/>
    </row>
    <row r="1110" spans="15:16">
      <c r="O1110" s="1"/>
      <c r="P1110" s="1"/>
    </row>
    <row r="1111" spans="15:16">
      <c r="O1111" s="1"/>
      <c r="P1111" s="1"/>
    </row>
    <row r="1112" spans="15:16">
      <c r="O1112" s="1"/>
      <c r="P1112" s="1"/>
    </row>
    <row r="1113" spans="15:16">
      <c r="O1113" s="1"/>
      <c r="P1113" s="1"/>
    </row>
    <row r="1114" spans="15:16">
      <c r="O1114" s="1"/>
      <c r="P1114" s="1"/>
    </row>
    <row r="1115" spans="15:16">
      <c r="O1115" s="1"/>
      <c r="P1115" s="1"/>
    </row>
    <row r="1116" spans="15:16">
      <c r="O1116" s="1"/>
      <c r="P1116" s="1"/>
    </row>
    <row r="1117" spans="15:16">
      <c r="O1117" s="1"/>
      <c r="P1117" s="1"/>
    </row>
    <row r="1118" spans="15:16">
      <c r="O1118" s="1"/>
      <c r="P1118" s="1"/>
    </row>
    <row r="1119" spans="15:16">
      <c r="O1119" s="1"/>
      <c r="P1119" s="1"/>
    </row>
    <row r="1120" spans="15:16">
      <c r="O1120" s="1"/>
      <c r="P1120" s="1"/>
    </row>
    <row r="1121" spans="15:16">
      <c r="O1121" s="1"/>
      <c r="P1121" s="1"/>
    </row>
    <row r="1122" spans="15:16">
      <c r="O1122" s="1"/>
      <c r="P1122" s="1"/>
    </row>
    <row r="1123" spans="15:16">
      <c r="O1123" s="1"/>
      <c r="P1123" s="1"/>
    </row>
    <row r="1124" spans="15:16">
      <c r="O1124" s="1"/>
      <c r="P1124" s="1"/>
    </row>
    <row r="1125" spans="15:16">
      <c r="O1125" s="1"/>
      <c r="P1125" s="1"/>
    </row>
    <row r="1126" spans="15:16">
      <c r="O1126" s="1"/>
      <c r="P1126" s="1"/>
    </row>
    <row r="1127" spans="15:16">
      <c r="O1127" s="1"/>
      <c r="P1127" s="1"/>
    </row>
    <row r="1128" spans="15:16">
      <c r="O1128" s="1"/>
      <c r="P1128" s="1"/>
    </row>
    <row r="1129" spans="15:16">
      <c r="O1129" s="1"/>
      <c r="P1129" s="1"/>
    </row>
    <row r="1130" spans="15:16">
      <c r="O1130" s="1"/>
      <c r="P1130" s="1"/>
    </row>
    <row r="1131" spans="15:16">
      <c r="O1131" s="1"/>
      <c r="P1131" s="1"/>
    </row>
    <row r="1132" spans="15:16">
      <c r="O1132" s="1"/>
      <c r="P1132" s="1"/>
    </row>
    <row r="1133" spans="15:16">
      <c r="O1133" s="1"/>
      <c r="P1133" s="1"/>
    </row>
    <row r="1134" spans="15:16">
      <c r="O1134" s="1"/>
      <c r="P1134" s="1"/>
    </row>
    <row r="1135" spans="15:16">
      <c r="O1135" s="1"/>
      <c r="P1135" s="1"/>
    </row>
    <row r="1136" spans="15:16">
      <c r="O1136" s="1"/>
      <c r="P1136" s="1"/>
    </row>
    <row r="1137" spans="15:16">
      <c r="O1137" s="1"/>
      <c r="P1137" s="1"/>
    </row>
    <row r="1138" spans="15:16">
      <c r="O1138" s="1"/>
      <c r="P1138" s="1"/>
    </row>
    <row r="1139" spans="15:16">
      <c r="O1139" s="1"/>
      <c r="P1139" s="1"/>
    </row>
    <row r="1140" spans="15:16">
      <c r="O1140" s="1"/>
      <c r="P1140" s="1"/>
    </row>
    <row r="1141" spans="15:16">
      <c r="O1141" s="1"/>
      <c r="P1141" s="1"/>
    </row>
    <row r="1142" spans="15:16">
      <c r="O1142" s="1"/>
      <c r="P1142" s="1"/>
    </row>
    <row r="1143" spans="15:16">
      <c r="O1143" s="1"/>
      <c r="P1143" s="1"/>
    </row>
    <row r="1144" spans="15:16">
      <c r="O1144" s="1"/>
      <c r="P1144" s="1"/>
    </row>
    <row r="1145" spans="15:16">
      <c r="O1145" s="1"/>
      <c r="P1145" s="1"/>
    </row>
    <row r="1146" spans="15:16">
      <c r="O1146" s="1"/>
      <c r="P1146" s="1"/>
    </row>
    <row r="1147" spans="15:16">
      <c r="O1147" s="1"/>
      <c r="P1147" s="1"/>
    </row>
    <row r="1148" spans="15:16">
      <c r="O1148" s="1"/>
      <c r="P1148" s="1"/>
    </row>
    <row r="1149" spans="15:16">
      <c r="O1149" s="1"/>
      <c r="P1149" s="1"/>
    </row>
    <row r="1150" spans="15:16">
      <c r="O1150" s="1"/>
      <c r="P1150" s="1"/>
    </row>
    <row r="1151" spans="15:16">
      <c r="O1151" s="1"/>
      <c r="P1151" s="1"/>
    </row>
    <row r="1152" spans="15:16">
      <c r="O1152" s="1"/>
      <c r="P1152" s="1"/>
    </row>
    <row r="1153" spans="15:18">
      <c r="O1153" s="1"/>
      <c r="P1153" s="1"/>
    </row>
    <row r="1154" spans="15:18">
      <c r="O1154" s="1"/>
      <c r="P1154" s="1"/>
    </row>
    <row r="1155" spans="15:18">
      <c r="O1155" s="1"/>
      <c r="P1155" s="1"/>
    </row>
    <row r="1156" spans="15:18">
      <c r="O1156" s="1"/>
      <c r="P1156" s="1"/>
    </row>
    <row r="1157" spans="15:18">
      <c r="O1157" s="1"/>
      <c r="P1157" s="1"/>
    </row>
    <row r="1158" spans="15:18">
      <c r="O1158" s="1"/>
      <c r="P1158" s="1"/>
    </row>
    <row r="1159" spans="15:18">
      <c r="O1159" s="1"/>
      <c r="P1159" s="1"/>
      <c r="R1159" s="6"/>
    </row>
    <row r="1160" spans="15:18">
      <c r="O1160" s="1"/>
      <c r="P1160" s="1"/>
    </row>
    <row r="1161" spans="15:18">
      <c r="O1161" s="1"/>
      <c r="P1161" s="1"/>
    </row>
    <row r="1162" spans="15:18">
      <c r="O1162" s="1"/>
      <c r="P1162" s="1"/>
    </row>
    <row r="1163" spans="15:18">
      <c r="O1163" s="1"/>
      <c r="P1163" s="1"/>
    </row>
    <row r="1164" spans="15:18">
      <c r="O1164" s="1"/>
      <c r="P1164" s="1"/>
    </row>
    <row r="1165" spans="15:18">
      <c r="O1165" s="1"/>
      <c r="P1165" s="1"/>
    </row>
    <row r="1166" spans="15:18">
      <c r="O1166" s="1"/>
      <c r="P1166" s="1"/>
    </row>
    <row r="1167" spans="15:18">
      <c r="O1167" s="1"/>
      <c r="P1167" s="1"/>
    </row>
    <row r="1168" spans="15:18">
      <c r="O1168" s="1"/>
      <c r="P1168" s="1"/>
    </row>
    <row r="1169" spans="15:16">
      <c r="O1169" s="1"/>
      <c r="P1169" s="1"/>
    </row>
    <row r="1170" spans="15:16">
      <c r="O1170" s="1"/>
      <c r="P1170" s="1"/>
    </row>
    <row r="1171" spans="15:16">
      <c r="O1171" s="1"/>
      <c r="P1171" s="1"/>
    </row>
    <row r="1172" spans="15:16">
      <c r="O1172" s="1"/>
      <c r="P1172" s="1"/>
    </row>
    <row r="1173" spans="15:16">
      <c r="O1173" s="1"/>
      <c r="P1173" s="1"/>
    </row>
    <row r="1174" spans="15:16">
      <c r="O1174" s="1"/>
      <c r="P1174" s="1"/>
    </row>
    <row r="1175" spans="15:16">
      <c r="O1175" s="1"/>
      <c r="P1175" s="1"/>
    </row>
    <row r="1176" spans="15:16">
      <c r="O1176" s="1"/>
      <c r="P1176" s="1"/>
    </row>
    <row r="1177" spans="15:16">
      <c r="O1177" s="1"/>
      <c r="P1177" s="1"/>
    </row>
    <row r="1178" spans="15:16">
      <c r="O1178" s="1"/>
      <c r="P1178" s="1"/>
    </row>
    <row r="1179" spans="15:16">
      <c r="O1179" s="1"/>
      <c r="P1179" s="1"/>
    </row>
    <row r="1180" spans="15:16">
      <c r="O1180" s="1"/>
      <c r="P1180" s="1"/>
    </row>
    <row r="1181" spans="15:16">
      <c r="O1181" s="1"/>
      <c r="P1181" s="1"/>
    </row>
    <row r="1182" spans="15:16">
      <c r="O1182" s="1"/>
      <c r="P1182" s="1"/>
    </row>
    <row r="1183" spans="15:16">
      <c r="O1183" s="1"/>
      <c r="P1183" s="1"/>
    </row>
    <row r="1184" spans="15:16">
      <c r="O1184" s="1"/>
      <c r="P1184" s="1"/>
    </row>
    <row r="1185" spans="15:16">
      <c r="O1185" s="1"/>
      <c r="P1185" s="1"/>
    </row>
    <row r="1186" spans="15:16">
      <c r="O1186" s="1"/>
      <c r="P1186" s="1"/>
    </row>
    <row r="1187" spans="15:16">
      <c r="O1187" s="1"/>
      <c r="P1187" s="1"/>
    </row>
    <row r="1188" spans="15:16">
      <c r="O1188" s="1"/>
      <c r="P1188" s="1"/>
    </row>
    <row r="1189" spans="15:16">
      <c r="O1189" s="1"/>
      <c r="P1189" s="1"/>
    </row>
    <row r="1190" spans="15:16">
      <c r="O1190" s="1"/>
      <c r="P1190" s="1"/>
    </row>
    <row r="1191" spans="15:16">
      <c r="O1191" s="1"/>
      <c r="P1191" s="1"/>
    </row>
    <row r="1192" spans="15:16">
      <c r="O1192" s="1"/>
      <c r="P1192" s="1"/>
    </row>
    <row r="1193" spans="15:16">
      <c r="O1193" s="1"/>
      <c r="P1193" s="1"/>
    </row>
    <row r="1194" spans="15:16">
      <c r="O1194" s="1"/>
      <c r="P1194" s="1"/>
    </row>
    <row r="1195" spans="15:16">
      <c r="O1195" s="1"/>
      <c r="P1195" s="1"/>
    </row>
    <row r="1196" spans="15:16">
      <c r="O1196" s="1"/>
      <c r="P1196" s="1"/>
    </row>
    <row r="1197" spans="15:16">
      <c r="O1197" s="1"/>
      <c r="P1197" s="1"/>
    </row>
    <row r="1198" spans="15:16">
      <c r="O1198" s="1"/>
      <c r="P1198" s="1"/>
    </row>
    <row r="1199" spans="15:16">
      <c r="O1199" s="1"/>
      <c r="P1199" s="1"/>
    </row>
    <row r="1200" spans="15:16">
      <c r="O1200" s="1"/>
      <c r="P1200" s="1"/>
    </row>
    <row r="1201" spans="15:16">
      <c r="O1201" s="1"/>
      <c r="P1201" s="1"/>
    </row>
    <row r="1202" spans="15:16">
      <c r="O1202" s="1"/>
      <c r="P1202" s="1"/>
    </row>
    <row r="1203" spans="15:16">
      <c r="O1203" s="1"/>
      <c r="P1203" s="1"/>
    </row>
    <row r="1204" spans="15:16">
      <c r="O1204" s="1"/>
      <c r="P1204" s="1"/>
    </row>
    <row r="1205" spans="15:16">
      <c r="O1205" s="1"/>
      <c r="P1205" s="1"/>
    </row>
    <row r="1206" spans="15:16">
      <c r="O1206" s="1"/>
      <c r="P1206" s="1"/>
    </row>
    <row r="1207" spans="15:16">
      <c r="O1207" s="1"/>
      <c r="P1207" s="1"/>
    </row>
    <row r="1208" spans="15:16">
      <c r="O1208" s="1"/>
      <c r="P1208" s="1"/>
    </row>
    <row r="1209" spans="15:16">
      <c r="O1209" s="1"/>
      <c r="P1209" s="1"/>
    </row>
    <row r="1210" spans="15:16">
      <c r="O1210" s="1"/>
      <c r="P1210" s="1"/>
    </row>
    <row r="1211" spans="15:16">
      <c r="O1211" s="1"/>
      <c r="P1211" s="1"/>
    </row>
    <row r="1212" spans="15:16">
      <c r="O1212" s="1"/>
      <c r="P1212" s="1"/>
    </row>
    <row r="1213" spans="15:16">
      <c r="O1213" s="1"/>
      <c r="P1213" s="1"/>
    </row>
    <row r="1214" spans="15:16">
      <c r="O1214" s="1"/>
      <c r="P1214" s="1"/>
    </row>
    <row r="1215" spans="15:16">
      <c r="O1215" s="1"/>
      <c r="P1215" s="1"/>
    </row>
    <row r="1216" spans="15:16">
      <c r="O1216" s="1"/>
      <c r="P1216" s="1"/>
    </row>
    <row r="1217" spans="15:16">
      <c r="O1217" s="1"/>
      <c r="P1217" s="1"/>
    </row>
    <row r="1218" spans="15:16">
      <c r="O1218" s="1"/>
      <c r="P1218" s="1"/>
    </row>
    <row r="1219" spans="15:16">
      <c r="O1219" s="1"/>
      <c r="P1219" s="1"/>
    </row>
    <row r="1220" spans="15:16">
      <c r="O1220" s="1"/>
      <c r="P1220" s="1"/>
    </row>
    <row r="1221" spans="15:16">
      <c r="O1221" s="1"/>
      <c r="P1221" s="1"/>
    </row>
    <row r="1222" spans="15:16">
      <c r="O1222" s="1"/>
      <c r="P1222" s="1"/>
    </row>
    <row r="1223" spans="15:16">
      <c r="O1223" s="1"/>
      <c r="P1223" s="1"/>
    </row>
    <row r="1224" spans="15:16">
      <c r="O1224" s="1"/>
      <c r="P1224" s="1"/>
    </row>
    <row r="1225" spans="15:16">
      <c r="O1225" s="1"/>
      <c r="P1225" s="1"/>
    </row>
    <row r="1226" spans="15:16">
      <c r="O1226" s="1"/>
      <c r="P1226" s="1"/>
    </row>
    <row r="1227" spans="15:16">
      <c r="O1227" s="1"/>
      <c r="P1227" s="1"/>
    </row>
    <row r="1228" spans="15:16">
      <c r="O1228" s="1"/>
      <c r="P1228" s="1"/>
    </row>
    <row r="1229" spans="15:16">
      <c r="O1229" s="1"/>
      <c r="P1229" s="1"/>
    </row>
    <row r="1230" spans="15:16">
      <c r="O1230" s="1"/>
      <c r="P1230" s="1"/>
    </row>
    <row r="1231" spans="15:16">
      <c r="O1231" s="1"/>
      <c r="P1231" s="1"/>
    </row>
    <row r="1232" spans="15:16">
      <c r="O1232" s="1"/>
      <c r="P1232" s="1"/>
    </row>
    <row r="1233" spans="15:16">
      <c r="O1233" s="1"/>
      <c r="P1233" s="1"/>
    </row>
    <row r="1234" spans="15:16">
      <c r="O1234" s="1"/>
      <c r="P1234" s="1"/>
    </row>
    <row r="1235" spans="15:16">
      <c r="O1235" s="1"/>
      <c r="P1235" s="1"/>
    </row>
    <row r="1236" spans="15:16">
      <c r="O1236" s="1"/>
      <c r="P1236" s="1"/>
    </row>
    <row r="1237" spans="15:16">
      <c r="O1237" s="1"/>
      <c r="P1237" s="1"/>
    </row>
    <row r="1238" spans="15:16">
      <c r="O1238" s="1"/>
      <c r="P1238" s="1"/>
    </row>
    <row r="1239" spans="15:16">
      <c r="O1239" s="1"/>
      <c r="P1239" s="1"/>
    </row>
    <row r="1240" spans="15:16">
      <c r="O1240" s="1"/>
      <c r="P1240" s="1"/>
    </row>
    <row r="1241" spans="15:16">
      <c r="O1241" s="1"/>
      <c r="P1241" s="1"/>
    </row>
    <row r="1242" spans="15:16">
      <c r="O1242" s="1"/>
      <c r="P1242" s="1"/>
    </row>
    <row r="1243" spans="15:16">
      <c r="O1243" s="1"/>
      <c r="P1243" s="1"/>
    </row>
    <row r="1244" spans="15:16">
      <c r="O1244" s="1"/>
      <c r="P1244" s="1"/>
    </row>
    <row r="1245" spans="15:16">
      <c r="O1245" s="1"/>
      <c r="P1245" s="1"/>
    </row>
    <row r="1246" spans="15:16">
      <c r="O1246" s="1"/>
      <c r="P1246" s="1"/>
    </row>
    <row r="1247" spans="15:16">
      <c r="O1247" s="1"/>
      <c r="P1247" s="1"/>
    </row>
    <row r="1248" spans="15:16">
      <c r="O1248" s="1"/>
      <c r="P1248" s="1"/>
    </row>
    <row r="1249" spans="15:16">
      <c r="O1249" s="1"/>
      <c r="P1249" s="1"/>
    </row>
    <row r="1250" spans="15:16">
      <c r="O1250" s="1"/>
      <c r="P1250" s="1"/>
    </row>
    <row r="1251" spans="15:16">
      <c r="O1251" s="1"/>
      <c r="P1251" s="1"/>
    </row>
    <row r="1252" spans="15:16">
      <c r="O1252" s="1"/>
      <c r="P1252" s="1"/>
    </row>
    <row r="1253" spans="15:16">
      <c r="O1253" s="1"/>
      <c r="P1253" s="1"/>
    </row>
    <row r="1254" spans="15:16">
      <c r="O1254" s="1"/>
      <c r="P1254" s="1"/>
    </row>
    <row r="1255" spans="15:16">
      <c r="O1255" s="1"/>
      <c r="P1255" s="1"/>
    </row>
    <row r="1256" spans="15:16">
      <c r="O1256" s="1"/>
      <c r="P1256" s="1"/>
    </row>
    <row r="1257" spans="15:16">
      <c r="O1257" s="1"/>
      <c r="P1257" s="1"/>
    </row>
    <row r="1258" spans="15:16">
      <c r="O1258" s="1"/>
      <c r="P1258" s="1"/>
    </row>
    <row r="1259" spans="15:16">
      <c r="O1259" s="1"/>
      <c r="P1259" s="1"/>
    </row>
    <row r="1260" spans="15:16">
      <c r="O1260" s="1"/>
      <c r="P1260" s="1"/>
    </row>
    <row r="1261" spans="15:16">
      <c r="O1261" s="1"/>
      <c r="P1261" s="1"/>
    </row>
    <row r="1262" spans="15:16">
      <c r="O1262" s="1"/>
      <c r="P1262" s="1"/>
    </row>
    <row r="1263" spans="15:16">
      <c r="O1263" s="1"/>
      <c r="P1263" s="1"/>
    </row>
    <row r="1264" spans="15:16">
      <c r="O1264" s="1"/>
      <c r="P1264" s="1"/>
    </row>
    <row r="1265" spans="15:16">
      <c r="O1265" s="1"/>
      <c r="P1265" s="1"/>
    </row>
    <row r="1266" spans="15:16">
      <c r="O1266" s="1"/>
      <c r="P1266" s="1"/>
    </row>
    <row r="1267" spans="15:16">
      <c r="O1267" s="1"/>
      <c r="P1267" s="1"/>
    </row>
    <row r="1268" spans="15:16">
      <c r="O1268" s="1"/>
      <c r="P1268" s="1"/>
    </row>
    <row r="1269" spans="15:16">
      <c r="O1269" s="1"/>
      <c r="P1269" s="1"/>
    </row>
    <row r="1270" spans="15:16">
      <c r="O1270" s="1"/>
      <c r="P1270" s="1"/>
    </row>
    <row r="1271" spans="15:16">
      <c r="O1271" s="1"/>
      <c r="P1271" s="1"/>
    </row>
    <row r="1272" spans="15:16">
      <c r="O1272" s="1"/>
      <c r="P1272" s="1"/>
    </row>
    <row r="1273" spans="15:16">
      <c r="O1273" s="1"/>
      <c r="P1273" s="1"/>
    </row>
    <row r="1274" spans="15:16">
      <c r="O1274" s="1"/>
      <c r="P1274" s="1"/>
    </row>
    <row r="1275" spans="15:16">
      <c r="O1275" s="1"/>
      <c r="P1275" s="1"/>
    </row>
    <row r="1276" spans="15:16">
      <c r="O1276" s="1"/>
      <c r="P1276" s="1"/>
    </row>
    <row r="1277" spans="15:16">
      <c r="O1277" s="1"/>
      <c r="P1277" s="1"/>
    </row>
    <row r="1278" spans="15:16">
      <c r="O1278" s="1"/>
      <c r="P1278" s="1"/>
    </row>
    <row r="1279" spans="15:16">
      <c r="O1279" s="1"/>
      <c r="P1279" s="1"/>
    </row>
    <row r="1280" spans="15:16">
      <c r="O1280" s="1"/>
      <c r="P1280" s="1"/>
    </row>
    <row r="1281" spans="15:16">
      <c r="O1281" s="1"/>
      <c r="P1281" s="1"/>
    </row>
    <row r="1282" spans="15:16">
      <c r="O1282" s="1"/>
      <c r="P1282" s="1"/>
    </row>
    <row r="1283" spans="15:16">
      <c r="O1283" s="1"/>
      <c r="P1283" s="1"/>
    </row>
    <row r="1284" spans="15:16">
      <c r="O1284" s="1"/>
      <c r="P1284" s="1"/>
    </row>
    <row r="1285" spans="15:16">
      <c r="O1285" s="1"/>
      <c r="P1285" s="1"/>
    </row>
    <row r="1286" spans="15:16">
      <c r="O1286" s="1"/>
      <c r="P1286" s="1"/>
    </row>
    <row r="1287" spans="15:16">
      <c r="O1287" s="1"/>
      <c r="P1287" s="1"/>
    </row>
    <row r="1288" spans="15:16">
      <c r="O1288" s="1"/>
      <c r="P1288" s="1"/>
    </row>
    <row r="1289" spans="15:16">
      <c r="O1289" s="1"/>
      <c r="P1289" s="1"/>
    </row>
    <row r="1290" spans="15:16">
      <c r="O1290" s="1"/>
      <c r="P1290" s="1"/>
    </row>
    <row r="1291" spans="15:16">
      <c r="O1291" s="1"/>
      <c r="P1291" s="1"/>
    </row>
    <row r="1292" spans="15:16">
      <c r="O1292" s="1"/>
      <c r="P1292" s="1"/>
    </row>
    <row r="1293" spans="15:16">
      <c r="O1293" s="1"/>
      <c r="P1293" s="1"/>
    </row>
    <row r="1294" spans="15:16">
      <c r="O1294" s="1"/>
      <c r="P1294" s="1"/>
    </row>
    <row r="1295" spans="15:16">
      <c r="O1295" s="1"/>
      <c r="P1295" s="1"/>
    </row>
    <row r="1296" spans="15:16">
      <c r="O1296" s="1"/>
      <c r="P1296" s="1"/>
    </row>
    <row r="1297" spans="15:16">
      <c r="O1297" s="1"/>
      <c r="P1297" s="1"/>
    </row>
    <row r="1298" spans="15:16">
      <c r="O1298" s="1"/>
      <c r="P1298" s="1"/>
    </row>
    <row r="1299" spans="15:16">
      <c r="O1299" s="1"/>
      <c r="P1299" s="1"/>
    </row>
    <row r="1300" spans="15:16">
      <c r="O1300" s="1"/>
      <c r="P1300" s="1"/>
    </row>
    <row r="1301" spans="15:16">
      <c r="O1301" s="1"/>
      <c r="P1301" s="1"/>
    </row>
    <row r="1302" spans="15:16">
      <c r="O1302" s="1"/>
      <c r="P1302" s="1"/>
    </row>
    <row r="1303" spans="15:16">
      <c r="O1303" s="1"/>
      <c r="P1303" s="1"/>
    </row>
    <row r="1304" spans="15:16">
      <c r="O1304" s="1"/>
      <c r="P1304" s="1"/>
    </row>
    <row r="1305" spans="15:16">
      <c r="O1305" s="1"/>
      <c r="P1305" s="1"/>
    </row>
    <row r="1306" spans="15:16">
      <c r="O1306" s="1"/>
      <c r="P1306" s="1"/>
    </row>
    <row r="1307" spans="15:16">
      <c r="O1307" s="1"/>
      <c r="P1307" s="1"/>
    </row>
    <row r="1308" spans="15:16">
      <c r="O1308" s="1"/>
      <c r="P1308" s="1"/>
    </row>
    <row r="1309" spans="15:16">
      <c r="O1309" s="1"/>
      <c r="P1309" s="1"/>
    </row>
    <row r="1310" spans="15:16">
      <c r="O1310" s="1"/>
      <c r="P1310" s="1"/>
    </row>
    <row r="1311" spans="15:16">
      <c r="O1311" s="1"/>
      <c r="P1311" s="1"/>
    </row>
    <row r="1312" spans="15:16">
      <c r="O1312" s="1"/>
      <c r="P1312" s="1"/>
    </row>
    <row r="1313" spans="15:16">
      <c r="O1313" s="1"/>
      <c r="P1313" s="1"/>
    </row>
    <row r="1314" spans="15:16">
      <c r="O1314" s="1"/>
      <c r="P1314" s="1"/>
    </row>
    <row r="1315" spans="15:16">
      <c r="O1315" s="1"/>
      <c r="P1315" s="1"/>
    </row>
    <row r="1316" spans="15:16">
      <c r="O1316" s="1"/>
      <c r="P1316" s="1"/>
    </row>
    <row r="1317" spans="15:16">
      <c r="O1317" s="1"/>
      <c r="P1317" s="1"/>
    </row>
    <row r="1318" spans="15:16">
      <c r="O1318" s="1"/>
      <c r="P1318" s="1"/>
    </row>
    <row r="1319" spans="15:16">
      <c r="O1319" s="1"/>
      <c r="P1319" s="1"/>
    </row>
    <row r="1320" spans="15:16">
      <c r="O1320" s="1"/>
      <c r="P1320" s="1"/>
    </row>
    <row r="1321" spans="15:16">
      <c r="O1321" s="1"/>
      <c r="P1321" s="1"/>
    </row>
    <row r="1322" spans="15:16">
      <c r="O1322" s="1"/>
      <c r="P1322" s="1"/>
    </row>
    <row r="1323" spans="15:16">
      <c r="O1323" s="1"/>
      <c r="P1323" s="1"/>
    </row>
    <row r="1324" spans="15:16">
      <c r="O1324" s="1"/>
      <c r="P1324" s="1"/>
    </row>
    <row r="1325" spans="15:16">
      <c r="O1325" s="1"/>
      <c r="P1325" s="1"/>
    </row>
    <row r="1326" spans="15:16">
      <c r="O1326" s="1"/>
      <c r="P1326" s="1"/>
    </row>
    <row r="1327" spans="15:16">
      <c r="O1327" s="1"/>
      <c r="P1327" s="1"/>
    </row>
    <row r="1328" spans="15:16">
      <c r="O1328" s="1"/>
      <c r="P1328" s="1"/>
    </row>
    <row r="1329" spans="15:16">
      <c r="O1329" s="1"/>
      <c r="P1329" s="1"/>
    </row>
    <row r="1330" spans="15:16">
      <c r="O1330" s="1"/>
      <c r="P1330" s="1"/>
    </row>
    <row r="1331" spans="15:16">
      <c r="O1331" s="1"/>
      <c r="P1331" s="1"/>
    </row>
    <row r="1332" spans="15:16">
      <c r="O1332" s="1"/>
      <c r="P1332" s="1"/>
    </row>
    <row r="1333" spans="15:16">
      <c r="O1333" s="1"/>
      <c r="P1333" s="1"/>
    </row>
    <row r="1334" spans="15:16">
      <c r="O1334" s="1"/>
      <c r="P1334" s="1"/>
    </row>
    <row r="1335" spans="15:16">
      <c r="O1335" s="1"/>
      <c r="P1335" s="1"/>
    </row>
    <row r="1336" spans="15:16">
      <c r="O1336" s="1"/>
      <c r="P1336" s="1"/>
    </row>
    <row r="1337" spans="15:16">
      <c r="O1337" s="1"/>
      <c r="P1337" s="1"/>
    </row>
    <row r="1338" spans="15:16">
      <c r="O1338" s="1"/>
      <c r="P1338" s="1"/>
    </row>
    <row r="1339" spans="15:16">
      <c r="O1339" s="1"/>
      <c r="P1339" s="1"/>
    </row>
    <row r="1340" spans="15:16">
      <c r="O1340" s="1"/>
      <c r="P1340" s="1"/>
    </row>
    <row r="1341" spans="15:16">
      <c r="O1341" s="1"/>
      <c r="P1341" s="1"/>
    </row>
    <row r="1342" spans="15:16">
      <c r="O1342" s="1"/>
      <c r="P1342" s="1"/>
    </row>
    <row r="1343" spans="15:16">
      <c r="O1343" s="1"/>
      <c r="P1343" s="1"/>
    </row>
    <row r="1344" spans="15:16">
      <c r="O1344" s="1"/>
      <c r="P1344" s="1"/>
    </row>
    <row r="1345" spans="15:16">
      <c r="O1345" s="1"/>
      <c r="P1345" s="1"/>
    </row>
    <row r="1346" spans="15:16">
      <c r="O1346" s="1"/>
      <c r="P1346" s="1"/>
    </row>
    <row r="1347" spans="15:16">
      <c r="O1347" s="1"/>
      <c r="P1347" s="1"/>
    </row>
    <row r="1348" spans="15:16">
      <c r="O1348" s="1"/>
      <c r="P1348" s="1"/>
    </row>
    <row r="1349" spans="15:16">
      <c r="O1349" s="1"/>
      <c r="P1349" s="1"/>
    </row>
    <row r="1350" spans="15:16">
      <c r="O1350" s="1"/>
      <c r="P1350" s="1"/>
    </row>
    <row r="1351" spans="15:16">
      <c r="O1351" s="1"/>
      <c r="P1351" s="1"/>
    </row>
    <row r="1352" spans="15:16">
      <c r="O1352" s="1"/>
      <c r="P1352" s="1"/>
    </row>
    <row r="1353" spans="15:16">
      <c r="O1353" s="1"/>
      <c r="P1353" s="1"/>
    </row>
    <row r="1354" spans="15:16">
      <c r="O1354" s="1"/>
      <c r="P1354" s="1"/>
    </row>
    <row r="1355" spans="15:16">
      <c r="O1355" s="1"/>
      <c r="P1355" s="1"/>
    </row>
    <row r="1356" spans="15:16">
      <c r="O1356" s="1"/>
      <c r="P1356" s="1"/>
    </row>
    <row r="1357" spans="15:16">
      <c r="O1357" s="1"/>
      <c r="P1357" s="1"/>
    </row>
    <row r="1358" spans="15:16">
      <c r="O1358" s="1"/>
      <c r="P1358" s="1"/>
    </row>
    <row r="1359" spans="15:16">
      <c r="O1359" s="1"/>
      <c r="P1359" s="1"/>
    </row>
    <row r="1360" spans="15:16">
      <c r="O1360" s="1"/>
      <c r="P1360" s="1"/>
    </row>
    <row r="1361" spans="15:16">
      <c r="O1361" s="1"/>
      <c r="P1361" s="1"/>
    </row>
    <row r="1362" spans="15:16">
      <c r="O1362" s="1"/>
      <c r="P1362" s="1"/>
    </row>
    <row r="1363" spans="15:16">
      <c r="O1363" s="1"/>
      <c r="P1363" s="1"/>
    </row>
    <row r="1364" spans="15:16">
      <c r="O1364" s="1"/>
      <c r="P1364" s="1"/>
    </row>
    <row r="1365" spans="15:16">
      <c r="O1365" s="1"/>
      <c r="P1365" s="1"/>
    </row>
    <row r="1366" spans="15:16">
      <c r="O1366" s="1"/>
      <c r="P1366" s="1"/>
    </row>
    <row r="1367" spans="15:16">
      <c r="O1367" s="1"/>
      <c r="P1367" s="1"/>
    </row>
    <row r="1368" spans="15:16">
      <c r="O1368" s="1"/>
      <c r="P1368" s="1"/>
    </row>
    <row r="1369" spans="15:16">
      <c r="O1369" s="1"/>
      <c r="P1369" s="1"/>
    </row>
    <row r="1370" spans="15:16">
      <c r="O1370" s="1"/>
      <c r="P1370" s="1"/>
    </row>
    <row r="1371" spans="15:16">
      <c r="O1371" s="1"/>
      <c r="P1371" s="1"/>
    </row>
    <row r="1372" spans="15:16">
      <c r="O1372" s="1"/>
      <c r="P1372" s="1"/>
    </row>
    <row r="1373" spans="15:16">
      <c r="O1373" s="1"/>
      <c r="P1373" s="1"/>
    </row>
    <row r="1374" spans="15:16">
      <c r="O1374" s="1"/>
      <c r="P1374" s="1"/>
    </row>
    <row r="1375" spans="15:16">
      <c r="O1375" s="1"/>
      <c r="P1375" s="1"/>
    </row>
    <row r="1376" spans="15:16">
      <c r="O1376" s="1"/>
      <c r="P1376" s="1"/>
    </row>
    <row r="1377" spans="15:16">
      <c r="O1377" s="1"/>
      <c r="P1377" s="1"/>
    </row>
    <row r="1378" spans="15:16">
      <c r="O1378" s="1"/>
      <c r="P1378" s="1"/>
    </row>
    <row r="1379" spans="15:16">
      <c r="O1379" s="1"/>
      <c r="P1379" s="1"/>
    </row>
    <row r="1380" spans="15:16">
      <c r="O1380" s="1"/>
      <c r="P1380" s="1"/>
    </row>
    <row r="1381" spans="15:16">
      <c r="O1381" s="1"/>
      <c r="P1381" s="1"/>
    </row>
    <row r="1382" spans="15:16">
      <c r="O1382" s="1"/>
      <c r="P1382" s="1"/>
    </row>
    <row r="1383" spans="15:16">
      <c r="O1383" s="1"/>
      <c r="P1383" s="1"/>
    </row>
    <row r="1384" spans="15:16">
      <c r="O1384" s="1"/>
      <c r="P1384" s="1"/>
    </row>
    <row r="1385" spans="15:16">
      <c r="O1385" s="1"/>
      <c r="P1385" s="1"/>
    </row>
    <row r="1386" spans="15:16">
      <c r="O1386" s="1"/>
      <c r="P1386" s="1"/>
    </row>
    <row r="1387" spans="15:16">
      <c r="O1387" s="1"/>
      <c r="P1387" s="1"/>
    </row>
    <row r="1388" spans="15:16">
      <c r="O1388" s="1"/>
      <c r="P1388" s="1"/>
    </row>
    <row r="1389" spans="15:16">
      <c r="O1389" s="1"/>
      <c r="P1389" s="1"/>
    </row>
    <row r="1390" spans="15:16">
      <c r="O1390" s="1"/>
      <c r="P1390" s="1"/>
    </row>
    <row r="1391" spans="15:16">
      <c r="O1391" s="1"/>
      <c r="P1391" s="1"/>
    </row>
    <row r="1392" spans="15:16">
      <c r="O1392" s="1"/>
      <c r="P1392" s="1"/>
    </row>
    <row r="1393" spans="15:16">
      <c r="O1393" s="1"/>
      <c r="P1393" s="1"/>
    </row>
    <row r="1394" spans="15:16">
      <c r="O1394" s="1"/>
      <c r="P1394" s="1"/>
    </row>
    <row r="1395" spans="15:16">
      <c r="O1395" s="1"/>
      <c r="P1395" s="1"/>
    </row>
    <row r="1396" spans="15:16">
      <c r="O1396" s="1"/>
      <c r="P1396" s="1"/>
    </row>
    <row r="1397" spans="15:16">
      <c r="O1397" s="1"/>
      <c r="P1397" s="1"/>
    </row>
    <row r="1398" spans="15:16">
      <c r="O1398" s="1"/>
      <c r="P1398" s="1"/>
    </row>
    <row r="1399" spans="15:16">
      <c r="O1399" s="1"/>
      <c r="P1399" s="1"/>
    </row>
    <row r="1400" spans="15:16">
      <c r="O1400" s="1"/>
      <c r="P1400" s="1"/>
    </row>
    <row r="1401" spans="15:16">
      <c r="O1401" s="1"/>
      <c r="P1401" s="1"/>
    </row>
    <row r="1402" spans="15:16">
      <c r="O1402" s="1"/>
      <c r="P1402" s="1"/>
    </row>
    <row r="1403" spans="15:16">
      <c r="O1403" s="1"/>
      <c r="P1403" s="1"/>
    </row>
    <row r="1404" spans="15:16">
      <c r="O1404" s="1"/>
      <c r="P1404" s="1"/>
    </row>
    <row r="1405" spans="15:16">
      <c r="O1405" s="1"/>
      <c r="P1405" s="1"/>
    </row>
    <row r="1406" spans="15:16">
      <c r="O1406" s="1"/>
      <c r="P1406" s="1"/>
    </row>
    <row r="1407" spans="15:16">
      <c r="O1407" s="1"/>
      <c r="P1407" s="1"/>
    </row>
    <row r="1408" spans="15:16">
      <c r="O1408" s="1"/>
      <c r="P1408" s="1"/>
    </row>
    <row r="1409" spans="15:16">
      <c r="O1409" s="1"/>
      <c r="P1409" s="1"/>
    </row>
    <row r="1410" spans="15:16">
      <c r="O1410" s="1"/>
      <c r="P1410" s="1"/>
    </row>
    <row r="1411" spans="15:16">
      <c r="O1411" s="1"/>
      <c r="P1411" s="1"/>
    </row>
    <row r="1412" spans="15:16">
      <c r="O1412" s="1"/>
      <c r="P1412" s="1"/>
    </row>
    <row r="1413" spans="15:16">
      <c r="O1413" s="1"/>
      <c r="P1413" s="1"/>
    </row>
    <row r="1414" spans="15:16">
      <c r="O1414" s="1"/>
      <c r="P1414" s="1"/>
    </row>
    <row r="1415" spans="15:16">
      <c r="O1415" s="1"/>
      <c r="P1415" s="1"/>
    </row>
    <row r="1416" spans="15:16">
      <c r="O1416" s="1"/>
      <c r="P1416" s="1"/>
    </row>
    <row r="1417" spans="15:16">
      <c r="O1417" s="1"/>
      <c r="P1417" s="1"/>
    </row>
    <row r="1418" spans="15:16">
      <c r="O1418" s="1"/>
      <c r="P1418" s="1"/>
    </row>
    <row r="1419" spans="15:16">
      <c r="O1419" s="1"/>
      <c r="P1419" s="1"/>
    </row>
    <row r="1420" spans="15:16">
      <c r="O1420" s="1"/>
      <c r="P1420" s="1"/>
    </row>
    <row r="1421" spans="15:16">
      <c r="O1421" s="1"/>
      <c r="P1421" s="1"/>
    </row>
    <row r="1422" spans="15:16">
      <c r="O1422" s="1"/>
      <c r="P1422" s="1"/>
    </row>
    <row r="1423" spans="15:16">
      <c r="O1423" s="1"/>
      <c r="P1423" s="1"/>
    </row>
    <row r="1424" spans="15:16">
      <c r="O1424" s="1"/>
      <c r="P1424" s="1"/>
    </row>
    <row r="1425" spans="15:16">
      <c r="O1425" s="1"/>
      <c r="P1425" s="1"/>
    </row>
    <row r="1426" spans="15:16">
      <c r="O1426" s="1"/>
      <c r="P1426" s="1"/>
    </row>
    <row r="1427" spans="15:16">
      <c r="O1427" s="1"/>
      <c r="P1427" s="1"/>
    </row>
    <row r="1428" spans="15:16">
      <c r="O1428" s="1"/>
      <c r="P1428" s="1"/>
    </row>
    <row r="1429" spans="15:16">
      <c r="O1429" s="1"/>
      <c r="P1429" s="1"/>
    </row>
    <row r="1430" spans="15:16">
      <c r="O1430" s="1"/>
      <c r="P1430" s="1"/>
    </row>
    <row r="1431" spans="15:16">
      <c r="O1431" s="1"/>
      <c r="P1431" s="1"/>
    </row>
    <row r="1432" spans="15:16">
      <c r="O1432" s="1"/>
      <c r="P1432" s="1"/>
    </row>
    <row r="1433" spans="15:16">
      <c r="O1433" s="1"/>
      <c r="P1433" s="1"/>
    </row>
    <row r="1434" spans="15:16">
      <c r="O1434" s="1"/>
      <c r="P1434" s="1"/>
    </row>
    <row r="1435" spans="15:16">
      <c r="O1435" s="1"/>
      <c r="P1435" s="1"/>
    </row>
    <row r="1436" spans="15:16">
      <c r="O1436" s="1"/>
      <c r="P1436" s="1"/>
    </row>
    <row r="1437" spans="15:16">
      <c r="O1437" s="1"/>
      <c r="P1437" s="1"/>
    </row>
    <row r="1438" spans="15:16">
      <c r="O1438" s="1"/>
      <c r="P1438" s="1"/>
    </row>
    <row r="1439" spans="15:16">
      <c r="O1439" s="1"/>
      <c r="P1439" s="1"/>
    </row>
    <row r="1440" spans="15:16">
      <c r="O1440" s="1"/>
      <c r="P1440" s="1"/>
    </row>
    <row r="1441" spans="15:16">
      <c r="O1441" s="1"/>
      <c r="P1441" s="1"/>
    </row>
    <row r="1442" spans="15:16">
      <c r="O1442" s="1"/>
      <c r="P1442" s="1"/>
    </row>
    <row r="1443" spans="15:16">
      <c r="O1443" s="1"/>
      <c r="P1443" s="1"/>
    </row>
    <row r="1444" spans="15:16">
      <c r="O1444" s="1"/>
      <c r="P1444" s="1"/>
    </row>
    <row r="1445" spans="15:16">
      <c r="O1445" s="1"/>
      <c r="P1445" s="1"/>
    </row>
    <row r="1446" spans="15:16">
      <c r="O1446" s="1"/>
      <c r="P1446" s="1"/>
    </row>
    <row r="1447" spans="15:16">
      <c r="O1447" s="1"/>
      <c r="P1447" s="1"/>
    </row>
    <row r="1448" spans="15:16">
      <c r="O1448" s="1"/>
      <c r="P1448" s="1"/>
    </row>
    <row r="1449" spans="15:16">
      <c r="O1449" s="1"/>
      <c r="P1449" s="1"/>
    </row>
    <row r="1450" spans="15:16">
      <c r="O1450" s="1"/>
      <c r="P1450" s="1"/>
    </row>
    <row r="1451" spans="15:16">
      <c r="O1451" s="1"/>
      <c r="P1451" s="1"/>
    </row>
    <row r="1452" spans="15:16">
      <c r="O1452" s="1"/>
      <c r="P1452" s="1"/>
    </row>
    <row r="1453" spans="15:16">
      <c r="O1453" s="1"/>
      <c r="P1453" s="1"/>
    </row>
    <row r="1454" spans="15:16">
      <c r="O1454" s="1"/>
      <c r="P1454" s="1"/>
    </row>
    <row r="1455" spans="15:16">
      <c r="O1455" s="1"/>
      <c r="P1455" s="1"/>
    </row>
    <row r="1456" spans="15:16">
      <c r="O1456" s="1"/>
      <c r="P1456" s="1"/>
    </row>
    <row r="1457" spans="15:16">
      <c r="O1457" s="1"/>
      <c r="P1457" s="1"/>
    </row>
    <row r="1458" spans="15:16">
      <c r="O1458" s="1"/>
      <c r="P1458" s="1"/>
    </row>
    <row r="1459" spans="15:16">
      <c r="O1459" s="1"/>
      <c r="P1459" s="1"/>
    </row>
    <row r="1460" spans="15:16">
      <c r="O1460" s="1"/>
      <c r="P1460" s="1"/>
    </row>
    <row r="1461" spans="15:16">
      <c r="O1461" s="1"/>
      <c r="P1461" s="1"/>
    </row>
    <row r="1462" spans="15:16">
      <c r="O1462" s="1"/>
      <c r="P1462" s="1"/>
    </row>
    <row r="1463" spans="15:16">
      <c r="O1463" s="1"/>
      <c r="P1463" s="1"/>
    </row>
    <row r="1464" spans="15:16">
      <c r="O1464" s="1"/>
      <c r="P1464" s="1"/>
    </row>
    <row r="1465" spans="15:16">
      <c r="O1465" s="1"/>
      <c r="P1465" s="1"/>
    </row>
    <row r="1466" spans="15:16">
      <c r="O1466" s="1"/>
      <c r="P1466" s="1"/>
    </row>
    <row r="1467" spans="15:16">
      <c r="O1467" s="1"/>
      <c r="P1467" s="1"/>
    </row>
    <row r="1468" spans="15:16">
      <c r="O1468" s="1"/>
      <c r="P1468" s="1"/>
    </row>
    <row r="1469" spans="15:16">
      <c r="O1469" s="1"/>
      <c r="P1469" s="1"/>
    </row>
    <row r="1470" spans="15:16">
      <c r="O1470" s="1"/>
      <c r="P1470" s="1"/>
    </row>
    <row r="1471" spans="15:16">
      <c r="O1471" s="1"/>
      <c r="P1471" s="1"/>
    </row>
    <row r="1472" spans="15:16">
      <c r="O1472" s="1"/>
      <c r="P1472" s="1"/>
    </row>
    <row r="1473" spans="15:16">
      <c r="O1473" s="1"/>
      <c r="P1473" s="1"/>
    </row>
    <row r="1474" spans="15:16">
      <c r="O1474" s="1"/>
      <c r="P1474" s="1"/>
    </row>
    <row r="1475" spans="15:16">
      <c r="O1475" s="1"/>
      <c r="P1475" s="1"/>
    </row>
    <row r="1476" spans="15:16">
      <c r="O1476" s="1"/>
      <c r="P1476" s="1"/>
    </row>
    <row r="1477" spans="15:16">
      <c r="O1477" s="1"/>
      <c r="P1477" s="1"/>
    </row>
    <row r="1478" spans="15:16">
      <c r="O1478" s="1"/>
      <c r="P1478" s="1"/>
    </row>
    <row r="1479" spans="15:16">
      <c r="O1479" s="1"/>
      <c r="P1479" s="1"/>
    </row>
    <row r="1480" spans="15:16">
      <c r="O1480" s="1"/>
      <c r="P1480" s="1"/>
    </row>
    <row r="1481" spans="15:16">
      <c r="O1481" s="1"/>
      <c r="P1481" s="1"/>
    </row>
    <row r="1482" spans="15:16">
      <c r="O1482" s="1"/>
      <c r="P1482" s="1"/>
    </row>
    <row r="1483" spans="15:16">
      <c r="O1483" s="1"/>
      <c r="P1483" s="1"/>
    </row>
    <row r="1484" spans="15:16">
      <c r="O1484" s="1"/>
      <c r="P1484" s="1"/>
    </row>
    <row r="1485" spans="15:16">
      <c r="O1485" s="1"/>
      <c r="P1485" s="1"/>
    </row>
    <row r="1486" spans="15:16">
      <c r="O1486" s="1"/>
      <c r="P1486" s="1"/>
    </row>
    <row r="1487" spans="15:16">
      <c r="O1487" s="1"/>
      <c r="P1487" s="1"/>
    </row>
    <row r="1488" spans="15:16">
      <c r="O1488" s="1"/>
      <c r="P1488" s="1"/>
    </row>
    <row r="1489" spans="15:16">
      <c r="O1489" s="1"/>
      <c r="P1489" s="1"/>
    </row>
    <row r="1490" spans="15:16">
      <c r="O1490" s="1"/>
      <c r="P1490" s="1"/>
    </row>
    <row r="1491" spans="15:16">
      <c r="O1491" s="1"/>
      <c r="P1491" s="1"/>
    </row>
    <row r="1492" spans="15:16">
      <c r="O1492" s="1"/>
      <c r="P1492" s="1"/>
    </row>
    <row r="1493" spans="15:16">
      <c r="O1493" s="1"/>
      <c r="P1493" s="1"/>
    </row>
    <row r="1494" spans="15:16">
      <c r="O1494" s="1"/>
      <c r="P1494" s="1"/>
    </row>
    <row r="1495" spans="15:16">
      <c r="O1495" s="1"/>
      <c r="P1495" s="1"/>
    </row>
    <row r="1496" spans="15:16">
      <c r="O1496" s="1"/>
      <c r="P1496" s="1"/>
    </row>
    <row r="1497" spans="15:16">
      <c r="O1497" s="1"/>
      <c r="P1497" s="1"/>
    </row>
    <row r="1498" spans="15:16">
      <c r="O1498" s="1"/>
      <c r="P1498" s="1"/>
    </row>
    <row r="1499" spans="15:16">
      <c r="O1499" s="1"/>
      <c r="P1499" s="1"/>
    </row>
    <row r="1500" spans="15:16">
      <c r="O1500" s="1"/>
      <c r="P1500" s="1"/>
    </row>
    <row r="1501" spans="15:16">
      <c r="O1501" s="1"/>
      <c r="P1501" s="1"/>
    </row>
    <row r="1502" spans="15:16">
      <c r="O1502" s="1"/>
      <c r="P1502" s="1"/>
    </row>
    <row r="1503" spans="15:16">
      <c r="O1503" s="1"/>
      <c r="P1503" s="1"/>
    </row>
    <row r="1504" spans="15:16">
      <c r="O1504" s="1"/>
      <c r="P1504" s="1"/>
    </row>
    <row r="1505" spans="15:16">
      <c r="O1505" s="1"/>
      <c r="P1505" s="1"/>
    </row>
    <row r="1506" spans="15:16">
      <c r="O1506" s="1"/>
      <c r="P1506" s="1"/>
    </row>
    <row r="1507" spans="15:16">
      <c r="O1507" s="1"/>
      <c r="P1507" s="1"/>
    </row>
    <row r="1508" spans="15:16">
      <c r="O1508" s="1"/>
      <c r="P1508" s="1"/>
    </row>
    <row r="1509" spans="15:16">
      <c r="O1509" s="1"/>
      <c r="P1509" s="1"/>
    </row>
    <row r="1510" spans="15:16">
      <c r="O1510" s="1"/>
      <c r="P1510" s="1"/>
    </row>
    <row r="1511" spans="15:16">
      <c r="O1511" s="1"/>
      <c r="P1511" s="1"/>
    </row>
    <row r="1512" spans="15:16">
      <c r="O1512" s="1"/>
      <c r="P1512" s="1"/>
    </row>
    <row r="1513" spans="15:16">
      <c r="O1513" s="1"/>
      <c r="P1513" s="1"/>
    </row>
    <row r="1514" spans="15:16">
      <c r="O1514" s="1"/>
      <c r="P1514" s="1"/>
    </row>
    <row r="1515" spans="15:16">
      <c r="O1515" s="1"/>
      <c r="P1515" s="1"/>
    </row>
    <row r="1516" spans="15:16">
      <c r="O1516" s="1"/>
      <c r="P1516" s="1"/>
    </row>
    <row r="1517" spans="15:16">
      <c r="O1517" s="1"/>
      <c r="P1517" s="1"/>
    </row>
    <row r="1518" spans="15:16">
      <c r="O1518" s="1"/>
      <c r="P1518" s="1"/>
    </row>
    <row r="1519" spans="15:16">
      <c r="O1519" s="1"/>
      <c r="P1519" s="1"/>
    </row>
    <row r="1520" spans="15:16">
      <c r="O1520" s="1"/>
      <c r="P1520" s="1"/>
    </row>
    <row r="1521" spans="15:16">
      <c r="O1521" s="1"/>
      <c r="P1521" s="1"/>
    </row>
    <row r="1522" spans="15:16">
      <c r="O1522" s="1"/>
      <c r="P1522" s="1"/>
    </row>
    <row r="1523" spans="15:16">
      <c r="O1523" s="1"/>
      <c r="P1523" s="1"/>
    </row>
    <row r="1524" spans="15:16">
      <c r="O1524" s="1"/>
      <c r="P1524" s="1"/>
    </row>
    <row r="1525" spans="15:16">
      <c r="O1525" s="1"/>
      <c r="P1525" s="1"/>
    </row>
    <row r="1526" spans="15:16">
      <c r="O1526" s="1"/>
      <c r="P1526" s="1"/>
    </row>
    <row r="1527" spans="15:16">
      <c r="O1527" s="1"/>
      <c r="P1527" s="1"/>
    </row>
    <row r="1528" spans="15:16">
      <c r="O1528" s="1"/>
      <c r="P1528" s="1"/>
    </row>
    <row r="1529" spans="15:16">
      <c r="O1529" s="1"/>
      <c r="P1529" s="1"/>
    </row>
    <row r="1530" spans="15:16">
      <c r="O1530" s="1"/>
      <c r="P1530" s="1"/>
    </row>
    <row r="1531" spans="15:16">
      <c r="O1531" s="1"/>
      <c r="P1531" s="1"/>
    </row>
    <row r="1532" spans="15:16">
      <c r="O1532" s="1"/>
      <c r="P1532" s="1"/>
    </row>
    <row r="1533" spans="15:16">
      <c r="O1533" s="1"/>
      <c r="P1533" s="1"/>
    </row>
    <row r="1534" spans="15:16">
      <c r="O1534" s="1"/>
      <c r="P1534" s="1"/>
    </row>
    <row r="1535" spans="15:16">
      <c r="O1535" s="1"/>
      <c r="P1535" s="1"/>
    </row>
    <row r="1536" spans="15:16">
      <c r="O1536" s="1"/>
      <c r="P1536" s="1"/>
    </row>
    <row r="1537" spans="15:16">
      <c r="O1537" s="1"/>
      <c r="P1537" s="1"/>
    </row>
    <row r="1538" spans="15:16">
      <c r="O1538" s="1"/>
      <c r="P1538" s="1"/>
    </row>
    <row r="1539" spans="15:16">
      <c r="O1539" s="1"/>
      <c r="P1539" s="1"/>
    </row>
    <row r="1540" spans="15:16">
      <c r="O1540" s="1"/>
      <c r="P1540" s="1"/>
    </row>
    <row r="1541" spans="15:16">
      <c r="O1541" s="1"/>
      <c r="P1541" s="1"/>
    </row>
    <row r="1542" spans="15:16">
      <c r="O1542" s="1"/>
      <c r="P1542" s="1"/>
    </row>
    <row r="1543" spans="15:16">
      <c r="O1543" s="1"/>
      <c r="P1543" s="1"/>
    </row>
    <row r="1544" spans="15:16">
      <c r="O1544" s="1"/>
      <c r="P1544" s="1"/>
    </row>
    <row r="1545" spans="15:16">
      <c r="O1545" s="1"/>
      <c r="P1545" s="1"/>
    </row>
    <row r="1546" spans="15:16">
      <c r="O1546" s="1"/>
      <c r="P1546" s="1"/>
    </row>
    <row r="1547" spans="15:16">
      <c r="O1547" s="1"/>
      <c r="P1547" s="1"/>
    </row>
    <row r="1548" spans="15:16">
      <c r="O1548" s="1"/>
      <c r="P1548" s="1"/>
    </row>
    <row r="1549" spans="15:16">
      <c r="O1549" s="1"/>
      <c r="P1549" s="1"/>
    </row>
    <row r="1550" spans="15:16">
      <c r="O1550" s="1"/>
      <c r="P1550" s="1"/>
    </row>
    <row r="1551" spans="15:16">
      <c r="O1551" s="1"/>
      <c r="P1551" s="1"/>
    </row>
    <row r="1552" spans="15:16">
      <c r="O1552" s="1"/>
      <c r="P1552" s="1"/>
    </row>
    <row r="1553" spans="15:16">
      <c r="O1553" s="1"/>
      <c r="P1553" s="1"/>
    </row>
    <row r="1554" spans="15:16">
      <c r="O1554" s="1"/>
      <c r="P1554" s="1"/>
    </row>
    <row r="1555" spans="15:16">
      <c r="O1555" s="1"/>
      <c r="P1555" s="1"/>
    </row>
    <row r="1556" spans="15:16">
      <c r="O1556" s="1"/>
      <c r="P1556" s="1"/>
    </row>
    <row r="1557" spans="15:16">
      <c r="O1557" s="1"/>
      <c r="P1557" s="1"/>
    </row>
    <row r="1558" spans="15:16">
      <c r="O1558" s="1"/>
      <c r="P1558" s="1"/>
    </row>
    <row r="1559" spans="15:16">
      <c r="O1559" s="1"/>
      <c r="P1559" s="1"/>
    </row>
    <row r="1560" spans="15:16">
      <c r="O1560" s="1"/>
      <c r="P1560" s="1"/>
    </row>
    <row r="1561" spans="15:16">
      <c r="O1561" s="1"/>
      <c r="P1561" s="1"/>
    </row>
    <row r="1562" spans="15:16">
      <c r="O1562" s="1"/>
      <c r="P1562" s="1"/>
    </row>
    <row r="1563" spans="15:16">
      <c r="O1563" s="1"/>
      <c r="P1563" s="1"/>
    </row>
    <row r="1564" spans="15:16">
      <c r="O1564" s="1"/>
      <c r="P1564" s="1"/>
    </row>
    <row r="1565" spans="15:16">
      <c r="O1565" s="1"/>
      <c r="P1565" s="1"/>
    </row>
    <row r="1566" spans="15:16">
      <c r="O1566" s="1"/>
      <c r="P1566" s="1"/>
    </row>
    <row r="1567" spans="15:16">
      <c r="O1567" s="1"/>
      <c r="P1567" s="1"/>
    </row>
    <row r="1568" spans="15:16">
      <c r="O1568" s="1"/>
      <c r="P1568" s="1"/>
    </row>
    <row r="1569" spans="15:16">
      <c r="O1569" s="1"/>
      <c r="P1569" s="1"/>
    </row>
    <row r="1570" spans="15:16">
      <c r="O1570" s="1"/>
      <c r="P1570" s="1"/>
    </row>
    <row r="1571" spans="15:16">
      <c r="O1571" s="1"/>
      <c r="P1571" s="1"/>
    </row>
    <row r="1572" spans="15:16">
      <c r="O1572" s="1"/>
      <c r="P1572" s="1"/>
    </row>
    <row r="1573" spans="15:16">
      <c r="O1573" s="1"/>
      <c r="P1573" s="1"/>
    </row>
    <row r="1574" spans="15:16">
      <c r="O1574" s="1"/>
      <c r="P1574" s="1"/>
    </row>
    <row r="1575" spans="15:16">
      <c r="O1575" s="1"/>
      <c r="P1575" s="1"/>
    </row>
    <row r="1576" spans="15:16">
      <c r="O1576" s="1"/>
      <c r="P1576" s="1"/>
    </row>
    <row r="1577" spans="15:16">
      <c r="O1577" s="1"/>
      <c r="P1577" s="1"/>
    </row>
    <row r="1578" spans="15:16">
      <c r="O1578" s="1"/>
      <c r="P1578" s="1"/>
    </row>
    <row r="1579" spans="15:16">
      <c r="O1579" s="1"/>
      <c r="P1579" s="1"/>
    </row>
    <row r="1580" spans="15:16">
      <c r="O1580" s="1"/>
      <c r="P1580" s="1"/>
    </row>
    <row r="1581" spans="15:16">
      <c r="O1581" s="1"/>
      <c r="P1581" s="1"/>
    </row>
    <row r="1582" spans="15:16">
      <c r="O1582" s="1"/>
      <c r="P1582" s="1"/>
    </row>
    <row r="1583" spans="15:16">
      <c r="O1583" s="1"/>
      <c r="P1583" s="1"/>
    </row>
    <row r="1584" spans="15:16">
      <c r="O1584" s="1"/>
      <c r="P1584" s="1"/>
    </row>
    <row r="1585" spans="15:16">
      <c r="O1585" s="1"/>
      <c r="P1585" s="1"/>
    </row>
    <row r="1586" spans="15:16">
      <c r="O1586" s="1"/>
      <c r="P1586" s="1"/>
    </row>
    <row r="1587" spans="15:16">
      <c r="O1587" s="1"/>
      <c r="P1587" s="1"/>
    </row>
    <row r="1588" spans="15:16">
      <c r="O1588" s="1"/>
      <c r="P1588" s="1"/>
    </row>
    <row r="1589" spans="15:16">
      <c r="O1589" s="1"/>
      <c r="P1589" s="1"/>
    </row>
    <row r="1590" spans="15:16">
      <c r="O1590" s="1"/>
      <c r="P1590" s="1"/>
    </row>
    <row r="1591" spans="15:16">
      <c r="O1591" s="1"/>
      <c r="P1591" s="1"/>
    </row>
    <row r="1592" spans="15:16">
      <c r="O1592" s="1"/>
      <c r="P1592" s="1"/>
    </row>
    <row r="1593" spans="15:16">
      <c r="O1593" s="1"/>
      <c r="P1593" s="1"/>
    </row>
    <row r="1594" spans="15:16">
      <c r="O1594" s="1"/>
      <c r="P1594" s="1"/>
    </row>
    <row r="1595" spans="15:16">
      <c r="O1595" s="1"/>
      <c r="P1595" s="1"/>
    </row>
    <row r="1596" spans="15:16">
      <c r="O1596" s="1"/>
      <c r="P1596" s="1"/>
    </row>
    <row r="1597" spans="15:16">
      <c r="O1597" s="1"/>
      <c r="P1597" s="1"/>
    </row>
    <row r="1598" spans="15:16">
      <c r="O1598" s="1"/>
      <c r="P1598" s="1"/>
    </row>
    <row r="1599" spans="15:16">
      <c r="O1599" s="1"/>
      <c r="P1599" s="1"/>
    </row>
    <row r="1600" spans="15:16">
      <c r="O1600" s="1"/>
      <c r="P1600" s="1"/>
    </row>
    <row r="1601" spans="15:16">
      <c r="O1601" s="1"/>
      <c r="P1601" s="1"/>
    </row>
    <row r="1602" spans="15:16">
      <c r="O1602" s="1"/>
      <c r="P1602" s="1"/>
    </row>
    <row r="1603" spans="15:16">
      <c r="O1603" s="1"/>
      <c r="P1603" s="1"/>
    </row>
    <row r="1604" spans="15:16">
      <c r="O1604" s="1"/>
      <c r="P1604" s="1"/>
    </row>
    <row r="1605" spans="15:16">
      <c r="O1605" s="1"/>
      <c r="P1605" s="1"/>
    </row>
    <row r="1606" spans="15:16">
      <c r="O1606" s="1"/>
      <c r="P1606" s="1"/>
    </row>
    <row r="1607" spans="15:16">
      <c r="O1607" s="1"/>
      <c r="P1607" s="1"/>
    </row>
    <row r="1608" spans="15:16">
      <c r="O1608" s="1"/>
      <c r="P1608" s="1"/>
    </row>
    <row r="1609" spans="15:16">
      <c r="O1609" s="1"/>
      <c r="P1609" s="1"/>
    </row>
    <row r="1610" spans="15:16">
      <c r="O1610" s="1"/>
      <c r="P1610" s="1"/>
    </row>
    <row r="1611" spans="15:16">
      <c r="O1611" s="1"/>
      <c r="P1611" s="1"/>
    </row>
    <row r="1612" spans="15:16">
      <c r="O1612" s="1"/>
      <c r="P1612" s="1"/>
    </row>
    <row r="1613" spans="15:16">
      <c r="O1613" s="1"/>
      <c r="P1613" s="1"/>
    </row>
    <row r="1614" spans="15:16">
      <c r="O1614" s="1"/>
      <c r="P1614" s="1"/>
    </row>
    <row r="1615" spans="15:16">
      <c r="O1615" s="1"/>
      <c r="P1615" s="1"/>
    </row>
    <row r="1616" spans="15:16">
      <c r="O1616" s="1"/>
      <c r="P1616" s="1"/>
    </row>
    <row r="1617" spans="15:16">
      <c r="O1617" s="1"/>
      <c r="P1617" s="1"/>
    </row>
    <row r="1618" spans="15:16">
      <c r="O1618" s="1"/>
      <c r="P1618" s="1"/>
    </row>
    <row r="1619" spans="15:16">
      <c r="O1619" s="1"/>
      <c r="P1619" s="1"/>
    </row>
    <row r="1620" spans="15:16">
      <c r="O1620" s="1"/>
      <c r="P1620" s="1"/>
    </row>
    <row r="1621" spans="15:16">
      <c r="O1621" s="1"/>
      <c r="P1621" s="1"/>
    </row>
    <row r="1622" spans="15:16">
      <c r="O1622" s="1"/>
      <c r="P1622" s="1"/>
    </row>
    <row r="1623" spans="15:16">
      <c r="O1623" s="1"/>
      <c r="P1623" s="1"/>
    </row>
    <row r="1624" spans="15:16">
      <c r="O1624" s="1"/>
      <c r="P1624" s="1"/>
    </row>
    <row r="1625" spans="15:16">
      <c r="O1625" s="1"/>
      <c r="P1625" s="1"/>
    </row>
    <row r="1626" spans="15:16">
      <c r="O1626" s="1"/>
      <c r="P1626" s="1"/>
    </row>
    <row r="1627" spans="15:16">
      <c r="O1627" s="1"/>
      <c r="P1627" s="1"/>
    </row>
    <row r="1628" spans="15:16">
      <c r="O1628" s="1"/>
      <c r="P1628" s="1"/>
    </row>
    <row r="1629" spans="15:16">
      <c r="O1629" s="1"/>
      <c r="P1629" s="1"/>
    </row>
    <row r="1630" spans="15:16">
      <c r="O1630" s="1"/>
      <c r="P1630" s="1"/>
    </row>
    <row r="1631" spans="15:16">
      <c r="O1631" s="1"/>
      <c r="P1631" s="1"/>
    </row>
    <row r="1632" spans="15:16">
      <c r="O1632" s="1"/>
      <c r="P1632" s="1"/>
    </row>
    <row r="1633" spans="15:16">
      <c r="O1633" s="1"/>
      <c r="P1633" s="1"/>
    </row>
    <row r="1634" spans="15:16">
      <c r="O1634" s="1"/>
      <c r="P1634" s="1"/>
    </row>
    <row r="1635" spans="15:16">
      <c r="O1635" s="1"/>
      <c r="P1635" s="1"/>
    </row>
    <row r="1636" spans="15:16">
      <c r="O1636" s="1"/>
      <c r="P1636" s="1"/>
    </row>
    <row r="1637" spans="15:16">
      <c r="O1637" s="1"/>
      <c r="P1637" s="1"/>
    </row>
    <row r="1638" spans="15:16">
      <c r="O1638" s="1"/>
      <c r="P1638" s="1"/>
    </row>
    <row r="1639" spans="15:16">
      <c r="O1639" s="1"/>
      <c r="P1639" s="1"/>
    </row>
    <row r="1640" spans="15:16">
      <c r="O1640" s="1"/>
      <c r="P1640" s="1"/>
    </row>
    <row r="1641" spans="15:16">
      <c r="O1641" s="1"/>
      <c r="P1641" s="1"/>
    </row>
    <row r="1642" spans="15:16">
      <c r="O1642" s="1"/>
      <c r="P1642" s="1"/>
    </row>
    <row r="1643" spans="15:16">
      <c r="O1643" s="1"/>
      <c r="P1643" s="1"/>
    </row>
    <row r="1644" spans="15:16">
      <c r="O1644" s="1"/>
      <c r="P1644" s="1"/>
    </row>
    <row r="1645" spans="15:16">
      <c r="O1645" s="1"/>
      <c r="P1645" s="1"/>
    </row>
    <row r="1646" spans="15:16">
      <c r="O1646" s="1"/>
      <c r="P1646" s="1"/>
    </row>
    <row r="1647" spans="15:16">
      <c r="O1647" s="1"/>
      <c r="P1647" s="1"/>
    </row>
    <row r="1648" spans="15:16">
      <c r="O1648" s="1"/>
      <c r="P1648" s="1"/>
    </row>
    <row r="1649" spans="15:16">
      <c r="O1649" s="1"/>
      <c r="P1649" s="1"/>
    </row>
    <row r="1650" spans="15:16">
      <c r="O1650" s="1"/>
      <c r="P1650" s="1"/>
    </row>
    <row r="1651" spans="15:16">
      <c r="O1651" s="1"/>
      <c r="P1651" s="1"/>
    </row>
    <row r="1652" spans="15:16">
      <c r="O1652" s="1"/>
      <c r="P1652" s="1"/>
    </row>
    <row r="1653" spans="15:16">
      <c r="O1653" s="1"/>
      <c r="P1653" s="1"/>
    </row>
    <row r="1654" spans="15:16">
      <c r="O1654" s="1"/>
      <c r="P1654" s="1"/>
    </row>
    <row r="1655" spans="15:16">
      <c r="O1655" s="1"/>
      <c r="P1655" s="1"/>
    </row>
    <row r="1656" spans="15:16">
      <c r="O1656" s="1"/>
      <c r="P1656" s="1"/>
    </row>
    <row r="1657" spans="15:16">
      <c r="O1657" s="1"/>
      <c r="P1657" s="1"/>
    </row>
    <row r="1658" spans="15:16">
      <c r="O1658" s="1"/>
      <c r="P1658" s="1"/>
    </row>
    <row r="1659" spans="15:16">
      <c r="O1659" s="1"/>
      <c r="P1659" s="1"/>
    </row>
    <row r="1660" spans="15:16">
      <c r="O1660" s="1"/>
      <c r="P1660" s="1"/>
    </row>
    <row r="1661" spans="15:16">
      <c r="O1661" s="1"/>
      <c r="P1661" s="1"/>
    </row>
    <row r="1662" spans="15:16">
      <c r="O1662" s="1"/>
      <c r="P1662" s="1"/>
    </row>
    <row r="1663" spans="15:16">
      <c r="O1663" s="1"/>
      <c r="P1663" s="1"/>
    </row>
    <row r="1664" spans="15:16">
      <c r="O1664" s="1"/>
      <c r="P1664" s="1"/>
    </row>
    <row r="1665" spans="15:16">
      <c r="O1665" s="1"/>
      <c r="P1665" s="1"/>
    </row>
    <row r="1666" spans="15:16">
      <c r="O1666" s="1"/>
      <c r="P1666" s="1"/>
    </row>
    <row r="1667" spans="15:16">
      <c r="O1667" s="1"/>
      <c r="P1667" s="1"/>
    </row>
    <row r="1668" spans="15:16">
      <c r="O1668" s="1"/>
      <c r="P1668" s="1"/>
    </row>
    <row r="1669" spans="15:16">
      <c r="O1669" s="1"/>
      <c r="P1669" s="1"/>
    </row>
    <row r="1670" spans="15:16">
      <c r="O1670" s="1"/>
      <c r="P1670" s="1"/>
    </row>
    <row r="1671" spans="15:16">
      <c r="O1671" s="1"/>
      <c r="P1671" s="1"/>
    </row>
    <row r="1672" spans="15:16">
      <c r="O1672" s="1"/>
      <c r="P1672" s="1"/>
    </row>
    <row r="1673" spans="15:16">
      <c r="O1673" s="1"/>
      <c r="P1673" s="1"/>
    </row>
    <row r="1674" spans="15:16">
      <c r="O1674" s="1"/>
      <c r="P1674" s="1"/>
    </row>
    <row r="1675" spans="15:16">
      <c r="O1675" s="1"/>
      <c r="P1675" s="1"/>
    </row>
    <row r="1676" spans="15:16">
      <c r="O1676" s="1"/>
      <c r="P1676" s="1"/>
    </row>
    <row r="1677" spans="15:16">
      <c r="O1677" s="1"/>
      <c r="P1677" s="1"/>
    </row>
    <row r="1678" spans="15:16">
      <c r="O1678" s="1"/>
      <c r="P1678" s="1"/>
    </row>
    <row r="1679" spans="15:16">
      <c r="O1679" s="1"/>
      <c r="P1679" s="1"/>
    </row>
    <row r="1680" spans="15:16">
      <c r="O1680" s="1"/>
      <c r="P1680" s="1"/>
    </row>
    <row r="1681" spans="15:16">
      <c r="O1681" s="1"/>
      <c r="P1681" s="1"/>
    </row>
    <row r="1682" spans="15:16">
      <c r="O1682" s="1"/>
      <c r="P1682" s="1"/>
    </row>
    <row r="1683" spans="15:16">
      <c r="O1683" s="1"/>
      <c r="P1683" s="1"/>
    </row>
    <row r="1684" spans="15:16">
      <c r="O1684" s="1"/>
      <c r="P1684" s="1"/>
    </row>
    <row r="1685" spans="15:16">
      <c r="O1685" s="1"/>
      <c r="P1685" s="1"/>
    </row>
    <row r="1686" spans="15:16">
      <c r="O1686" s="1"/>
      <c r="P1686" s="1"/>
    </row>
    <row r="1687" spans="15:16">
      <c r="O1687" s="1"/>
      <c r="P1687" s="1"/>
    </row>
    <row r="1688" spans="15:16">
      <c r="O1688" s="1"/>
      <c r="P1688" s="1"/>
    </row>
    <row r="1689" spans="15:16">
      <c r="O1689" s="1"/>
      <c r="P1689" s="1"/>
    </row>
    <row r="1690" spans="15:16">
      <c r="O1690" s="1"/>
      <c r="P1690" s="1"/>
    </row>
    <row r="1691" spans="15:16">
      <c r="O1691" s="1"/>
      <c r="P1691" s="1"/>
    </row>
    <row r="1692" spans="15:16">
      <c r="O1692" s="1"/>
      <c r="P1692" s="1"/>
    </row>
    <row r="1693" spans="15:16">
      <c r="O1693" s="1"/>
      <c r="P1693" s="1"/>
    </row>
    <row r="1694" spans="15:16">
      <c r="O1694" s="1"/>
      <c r="P1694" s="1"/>
    </row>
    <row r="1695" spans="15:16">
      <c r="O1695" s="1"/>
      <c r="P1695" s="1"/>
    </row>
    <row r="1696" spans="15:16">
      <c r="O1696" s="1"/>
      <c r="P1696" s="1"/>
    </row>
    <row r="1697" spans="15:16">
      <c r="O1697" s="1"/>
      <c r="P1697" s="1"/>
    </row>
    <row r="1698" spans="15:16">
      <c r="O1698" s="1"/>
      <c r="P1698" s="1"/>
    </row>
    <row r="1699" spans="15:16">
      <c r="O1699" s="1"/>
      <c r="P1699" s="1"/>
    </row>
    <row r="1700" spans="15:16">
      <c r="O1700" s="1"/>
      <c r="P1700" s="1"/>
    </row>
    <row r="1701" spans="15:16">
      <c r="O1701" s="1"/>
      <c r="P1701" s="1"/>
    </row>
    <row r="1702" spans="15:16">
      <c r="O1702" s="1"/>
      <c r="P1702" s="1"/>
    </row>
    <row r="1703" spans="15:16">
      <c r="O1703" s="1"/>
      <c r="P1703" s="1"/>
    </row>
    <row r="1704" spans="15:16">
      <c r="O1704" s="1"/>
      <c r="P1704" s="1"/>
    </row>
    <row r="1705" spans="15:16">
      <c r="O1705" s="1"/>
      <c r="P1705" s="1"/>
    </row>
    <row r="1706" spans="15:16">
      <c r="O1706" s="1"/>
      <c r="P1706" s="1"/>
    </row>
    <row r="1707" spans="15:16">
      <c r="O1707" s="1"/>
      <c r="P1707" s="1"/>
    </row>
    <row r="1708" spans="15:16">
      <c r="O1708" s="1"/>
      <c r="P1708" s="1"/>
    </row>
    <row r="1709" spans="15:16">
      <c r="O1709" s="1"/>
      <c r="P1709" s="1"/>
    </row>
    <row r="1710" spans="15:16">
      <c r="O1710" s="1"/>
      <c r="P1710" s="1"/>
    </row>
    <row r="1711" spans="15:16">
      <c r="O1711" s="1"/>
      <c r="P1711" s="1"/>
    </row>
    <row r="1712" spans="15:16">
      <c r="O1712" s="1"/>
      <c r="P1712" s="1"/>
    </row>
    <row r="1713" spans="15:18">
      <c r="O1713" s="1"/>
      <c r="P1713" s="1"/>
    </row>
    <row r="1714" spans="15:18">
      <c r="O1714" s="1"/>
      <c r="P1714" s="1"/>
    </row>
    <row r="1715" spans="15:18">
      <c r="O1715" s="1"/>
      <c r="P1715" s="1"/>
    </row>
    <row r="1716" spans="15:18">
      <c r="O1716" s="1"/>
      <c r="P1716" s="1"/>
    </row>
    <row r="1717" spans="15:18">
      <c r="O1717" s="1"/>
      <c r="P1717" s="1"/>
    </row>
    <row r="1718" spans="15:18">
      <c r="O1718" s="1"/>
      <c r="P1718" s="1"/>
    </row>
    <row r="1719" spans="15:18">
      <c r="O1719" s="1"/>
      <c r="P1719" s="1"/>
    </row>
    <row r="1720" spans="15:18">
      <c r="O1720" s="1"/>
      <c r="P1720" s="1"/>
    </row>
    <row r="1721" spans="15:18">
      <c r="O1721" s="1"/>
      <c r="P1721" s="1"/>
    </row>
    <row r="1722" spans="15:18">
      <c r="O1722" s="1"/>
      <c r="P1722" s="1"/>
      <c r="R1722" s="7"/>
    </row>
    <row r="1723" spans="15:18">
      <c r="O1723" s="1"/>
      <c r="P1723" s="1"/>
    </row>
    <row r="1724" spans="15:18">
      <c r="O1724" s="1"/>
      <c r="P1724" s="1"/>
    </row>
    <row r="1725" spans="15:18">
      <c r="O1725" s="1"/>
      <c r="P172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60E15-72B2-3E44-B507-6F4C4CAA1158}">
  <dimension ref="A1:E143"/>
  <sheetViews>
    <sheetView topLeftCell="A69" workbookViewId="0">
      <selection activeCell="B97" sqref="B97"/>
    </sheetView>
  </sheetViews>
  <sheetFormatPr baseColWidth="10" defaultColWidth="7.5703125" defaultRowHeight="18"/>
  <cols>
    <col min="1" max="2" width="33.7109375" style="2" bestFit="1" customWidth="1"/>
    <col min="3" max="3" width="13.85546875" style="2" customWidth="1"/>
    <col min="4" max="4" width="13.85546875" style="2" bestFit="1" customWidth="1"/>
    <col min="5" max="16384" width="7.5703125" style="2"/>
  </cols>
  <sheetData>
    <row r="1" spans="1:5">
      <c r="A1" s="3" t="s">
        <v>39</v>
      </c>
      <c r="B1" s="3" t="s">
        <v>40</v>
      </c>
      <c r="C1" s="4" t="s">
        <v>227</v>
      </c>
      <c r="D1" s="5"/>
      <c r="E1" s="9" t="s">
        <v>271</v>
      </c>
    </row>
    <row r="2" spans="1:5">
      <c r="A2" s="2" t="s">
        <v>228</v>
      </c>
      <c r="B2" s="2" t="s">
        <v>41</v>
      </c>
      <c r="C2" s="2" t="s">
        <v>6</v>
      </c>
      <c r="E2" s="10" t="s">
        <v>294</v>
      </c>
    </row>
    <row r="3" spans="1:5">
      <c r="A3" s="2" t="s">
        <v>229</v>
      </c>
      <c r="B3" s="2" t="s">
        <v>42</v>
      </c>
      <c r="C3" s="2" t="s">
        <v>6</v>
      </c>
    </row>
    <row r="4" spans="1:5">
      <c r="A4" s="2" t="s">
        <v>230</v>
      </c>
      <c r="B4" s="2" t="s">
        <v>34</v>
      </c>
      <c r="C4" s="2" t="s">
        <v>6</v>
      </c>
    </row>
    <row r="5" spans="1:5">
      <c r="A5" s="2" t="s">
        <v>231</v>
      </c>
      <c r="B5" s="2" t="s">
        <v>43</v>
      </c>
      <c r="C5" s="2" t="s">
        <v>6</v>
      </c>
    </row>
    <row r="6" spans="1:5">
      <c r="A6" s="2" t="s">
        <v>240</v>
      </c>
      <c r="B6" s="2" t="s">
        <v>44</v>
      </c>
      <c r="C6" s="2" t="s">
        <v>6</v>
      </c>
    </row>
    <row r="7" spans="1:5">
      <c r="A7" s="2" t="s">
        <v>241</v>
      </c>
      <c r="B7" s="2" t="s">
        <v>22</v>
      </c>
      <c r="C7" s="2" t="s">
        <v>6</v>
      </c>
    </row>
    <row r="8" spans="1:5">
      <c r="A8" s="2" t="s">
        <v>232</v>
      </c>
      <c r="B8" s="2" t="s">
        <v>45</v>
      </c>
      <c r="C8" s="2" t="s">
        <v>6</v>
      </c>
    </row>
    <row r="9" spans="1:5">
      <c r="A9" s="2" t="s">
        <v>242</v>
      </c>
      <c r="B9" s="2" t="s">
        <v>46</v>
      </c>
      <c r="C9" s="2" t="s">
        <v>6</v>
      </c>
    </row>
    <row r="10" spans="1:5">
      <c r="A10" s="2" t="s">
        <v>243</v>
      </c>
      <c r="B10" s="2" t="s">
        <v>47</v>
      </c>
      <c r="C10" s="2" t="s">
        <v>6</v>
      </c>
    </row>
    <row r="11" spans="1:5">
      <c r="A11" s="2" t="s">
        <v>233</v>
      </c>
      <c r="B11" s="2" t="s">
        <v>48</v>
      </c>
      <c r="C11" s="2" t="s">
        <v>6</v>
      </c>
    </row>
    <row r="12" spans="1:5">
      <c r="A12" s="2" t="s">
        <v>234</v>
      </c>
      <c r="B12" s="2" t="s">
        <v>49</v>
      </c>
      <c r="C12" s="2" t="s">
        <v>6</v>
      </c>
    </row>
    <row r="13" spans="1:5">
      <c r="A13" s="2" t="s">
        <v>244</v>
      </c>
      <c r="B13" s="2" t="s">
        <v>50</v>
      </c>
      <c r="C13" s="2" t="s">
        <v>6</v>
      </c>
    </row>
    <row r="14" spans="1:5">
      <c r="A14" s="2" t="s">
        <v>235</v>
      </c>
      <c r="B14" s="2" t="s">
        <v>35</v>
      </c>
      <c r="C14" s="2" t="s">
        <v>6</v>
      </c>
    </row>
    <row r="15" spans="1:5">
      <c r="A15" s="2" t="s">
        <v>245</v>
      </c>
      <c r="B15" s="2" t="s">
        <v>51</v>
      </c>
      <c r="C15" s="2" t="s">
        <v>6</v>
      </c>
    </row>
    <row r="16" spans="1:5">
      <c r="A16" s="2" t="s">
        <v>236</v>
      </c>
      <c r="B16" s="2" t="s">
        <v>52</v>
      </c>
      <c r="C16" s="2" t="s">
        <v>6</v>
      </c>
    </row>
    <row r="17" spans="1:3">
      <c r="A17" s="2" t="s">
        <v>246</v>
      </c>
      <c r="B17" s="2" t="s">
        <v>53</v>
      </c>
      <c r="C17" s="2" t="s">
        <v>6</v>
      </c>
    </row>
    <row r="18" spans="1:3">
      <c r="A18" s="2" t="s">
        <v>247</v>
      </c>
      <c r="B18" s="2" t="s">
        <v>249</v>
      </c>
      <c r="C18" s="2" t="s">
        <v>6</v>
      </c>
    </row>
    <row r="19" spans="1:3">
      <c r="A19" s="2" t="s">
        <v>251</v>
      </c>
      <c r="B19" s="2" t="s">
        <v>54</v>
      </c>
      <c r="C19" s="2" t="s">
        <v>6</v>
      </c>
    </row>
    <row r="20" spans="1:3">
      <c r="A20" s="2" t="s">
        <v>265</v>
      </c>
      <c r="B20" s="2" t="s">
        <v>55</v>
      </c>
      <c r="C20" s="2" t="s">
        <v>6</v>
      </c>
    </row>
    <row r="21" spans="1:3">
      <c r="A21" s="2" t="s">
        <v>250</v>
      </c>
      <c r="B21" s="2" t="s">
        <v>56</v>
      </c>
      <c r="C21" s="2" t="s">
        <v>6</v>
      </c>
    </row>
    <row r="22" spans="1:3">
      <c r="A22" s="2" t="s">
        <v>252</v>
      </c>
      <c r="B22" s="2" t="s">
        <v>57</v>
      </c>
      <c r="C22" s="2" t="s">
        <v>6</v>
      </c>
    </row>
    <row r="23" spans="1:3">
      <c r="A23" s="2" t="s">
        <v>237</v>
      </c>
      <c r="B23" s="2" t="s">
        <v>15</v>
      </c>
      <c r="C23" s="2" t="s">
        <v>6</v>
      </c>
    </row>
    <row r="24" spans="1:3">
      <c r="A24" s="2" t="s">
        <v>238</v>
      </c>
      <c r="B24" s="2" t="s">
        <v>58</v>
      </c>
      <c r="C24" s="2" t="s">
        <v>6</v>
      </c>
    </row>
    <row r="25" spans="1:3">
      <c r="A25" s="2" t="s">
        <v>253</v>
      </c>
      <c r="B25" s="2" t="s">
        <v>59</v>
      </c>
      <c r="C25" s="2" t="s">
        <v>6</v>
      </c>
    </row>
    <row r="26" spans="1:3">
      <c r="A26" s="2" t="s">
        <v>254</v>
      </c>
      <c r="B26" s="2" t="s">
        <v>60</v>
      </c>
      <c r="C26" s="2" t="s">
        <v>6</v>
      </c>
    </row>
    <row r="27" spans="1:3">
      <c r="A27" s="2" t="s">
        <v>255</v>
      </c>
      <c r="B27" s="2" t="s">
        <v>61</v>
      </c>
      <c r="C27" s="2" t="s">
        <v>6</v>
      </c>
    </row>
    <row r="28" spans="1:3">
      <c r="A28" s="2" t="s">
        <v>239</v>
      </c>
      <c r="B28" s="2" t="s">
        <v>62</v>
      </c>
      <c r="C28" s="2" t="s">
        <v>6</v>
      </c>
    </row>
    <row r="29" spans="1:3">
      <c r="A29" s="2" t="s">
        <v>256</v>
      </c>
      <c r="B29" s="2" t="s">
        <v>63</v>
      </c>
      <c r="C29" s="2" t="s">
        <v>6</v>
      </c>
    </row>
    <row r="30" spans="1:3">
      <c r="A30" s="2" t="s">
        <v>257</v>
      </c>
      <c r="B30" s="2" t="s">
        <v>64</v>
      </c>
      <c r="C30" s="2" t="s">
        <v>6</v>
      </c>
    </row>
    <row r="31" spans="1:3">
      <c r="A31" s="2" t="s">
        <v>258</v>
      </c>
      <c r="B31" s="2" t="s">
        <v>65</v>
      </c>
      <c r="C31" s="2" t="s">
        <v>6</v>
      </c>
    </row>
    <row r="32" spans="1:3">
      <c r="A32" s="2" t="s">
        <v>259</v>
      </c>
      <c r="B32" s="2" t="s">
        <v>66</v>
      </c>
      <c r="C32" s="2" t="s">
        <v>6</v>
      </c>
    </row>
    <row r="33" spans="1:3">
      <c r="A33" s="2" t="s">
        <v>260</v>
      </c>
      <c r="B33" s="2" t="s">
        <v>67</v>
      </c>
      <c r="C33" s="2" t="s">
        <v>6</v>
      </c>
    </row>
    <row r="34" spans="1:3">
      <c r="A34" s="2" t="s">
        <v>32</v>
      </c>
      <c r="B34" s="2" t="s">
        <v>68</v>
      </c>
      <c r="C34" s="2" t="s">
        <v>6</v>
      </c>
    </row>
    <row r="35" spans="1:3">
      <c r="A35" s="2" t="s">
        <v>69</v>
      </c>
      <c r="B35" s="2" t="s">
        <v>70</v>
      </c>
      <c r="C35" s="2" t="s">
        <v>6</v>
      </c>
    </row>
    <row r="36" spans="1:3">
      <c r="A36" s="2" t="s">
        <v>71</v>
      </c>
      <c r="B36" s="2" t="s">
        <v>72</v>
      </c>
      <c r="C36" s="2" t="s">
        <v>6</v>
      </c>
    </row>
    <row r="37" spans="1:3">
      <c r="A37" s="2" t="s">
        <v>261</v>
      </c>
      <c r="B37" s="2" t="s">
        <v>262</v>
      </c>
      <c r="C37" s="2" t="s">
        <v>6</v>
      </c>
    </row>
    <row r="38" spans="1:3">
      <c r="A38" s="2" t="s">
        <v>73</v>
      </c>
      <c r="B38" s="2" t="s">
        <v>74</v>
      </c>
      <c r="C38" s="2" t="s">
        <v>6</v>
      </c>
    </row>
    <row r="39" spans="1:3">
      <c r="A39" s="2" t="s">
        <v>75</v>
      </c>
      <c r="B39" s="2" t="s">
        <v>76</v>
      </c>
      <c r="C39" s="2" t="s">
        <v>6</v>
      </c>
    </row>
    <row r="40" spans="1:3">
      <c r="A40" s="2" t="s">
        <v>77</v>
      </c>
      <c r="B40" s="2" t="s">
        <v>78</v>
      </c>
      <c r="C40" s="2" t="s">
        <v>5</v>
      </c>
    </row>
    <row r="41" spans="1:3">
      <c r="A41" s="2" t="s">
        <v>79</v>
      </c>
      <c r="B41" s="2" t="s">
        <v>80</v>
      </c>
      <c r="C41" s="2" t="s">
        <v>6</v>
      </c>
    </row>
    <row r="42" spans="1:3">
      <c r="A42" s="2" t="s">
        <v>81</v>
      </c>
      <c r="B42" s="2" t="s">
        <v>82</v>
      </c>
      <c r="C42" s="2" t="s">
        <v>30</v>
      </c>
    </row>
    <row r="43" spans="1:3">
      <c r="A43" s="2" t="s">
        <v>83</v>
      </c>
      <c r="B43" s="2" t="s">
        <v>84</v>
      </c>
      <c r="C43" s="2" t="s">
        <v>6</v>
      </c>
    </row>
    <row r="44" spans="1:3">
      <c r="A44" s="2" t="s">
        <v>85</v>
      </c>
      <c r="B44" s="2" t="s">
        <v>86</v>
      </c>
      <c r="C44" s="2" t="s">
        <v>5</v>
      </c>
    </row>
    <row r="45" spans="1:3">
      <c r="A45" s="2" t="s">
        <v>14</v>
      </c>
      <c r="B45" s="2" t="s">
        <v>87</v>
      </c>
      <c r="C45" s="2" t="s">
        <v>6</v>
      </c>
    </row>
    <row r="46" spans="1:3">
      <c r="A46" s="2" t="s">
        <v>88</v>
      </c>
      <c r="B46" s="2" t="s">
        <v>89</v>
      </c>
      <c r="C46" s="2" t="s">
        <v>6</v>
      </c>
    </row>
    <row r="47" spans="1:3">
      <c r="A47" s="2" t="s">
        <v>90</v>
      </c>
      <c r="B47" s="2" t="s">
        <v>91</v>
      </c>
      <c r="C47" s="2" t="s">
        <v>30</v>
      </c>
    </row>
    <row r="48" spans="1:3">
      <c r="A48" s="2" t="s">
        <v>92</v>
      </c>
      <c r="B48" s="2" t="s">
        <v>93</v>
      </c>
      <c r="C48" s="2" t="s">
        <v>6</v>
      </c>
    </row>
    <row r="49" spans="1:3">
      <c r="A49" s="2" t="s">
        <v>94</v>
      </c>
      <c r="B49" s="2" t="s">
        <v>95</v>
      </c>
      <c r="C49" s="2" t="s">
        <v>6</v>
      </c>
    </row>
    <row r="50" spans="1:3">
      <c r="A50" s="2" t="s">
        <v>96</v>
      </c>
      <c r="B50" s="2" t="s">
        <v>97</v>
      </c>
      <c r="C50" s="2" t="s">
        <v>30</v>
      </c>
    </row>
    <row r="51" spans="1:3">
      <c r="A51" s="2" t="s">
        <v>98</v>
      </c>
      <c r="B51" s="2" t="s">
        <v>99</v>
      </c>
      <c r="C51" s="2" t="s">
        <v>6</v>
      </c>
    </row>
    <row r="52" spans="1:3">
      <c r="A52" s="2" t="s">
        <v>18</v>
      </c>
      <c r="B52" s="2" t="s">
        <v>100</v>
      </c>
      <c r="C52" s="2" t="s">
        <v>6</v>
      </c>
    </row>
    <row r="53" spans="1:3">
      <c r="A53" s="2" t="s">
        <v>101</v>
      </c>
      <c r="B53" s="2" t="s">
        <v>102</v>
      </c>
      <c r="C53" s="2" t="s">
        <v>6</v>
      </c>
    </row>
    <row r="54" spans="1:3">
      <c r="A54" s="2" t="s">
        <v>103</v>
      </c>
      <c r="B54" s="2" t="s">
        <v>104</v>
      </c>
      <c r="C54" s="2" t="s">
        <v>6</v>
      </c>
    </row>
    <row r="55" spans="1:3">
      <c r="A55" s="2" t="s">
        <v>105</v>
      </c>
      <c r="B55" s="2" t="s">
        <v>106</v>
      </c>
      <c r="C55" s="2" t="s">
        <v>5</v>
      </c>
    </row>
    <row r="56" spans="1:3">
      <c r="A56" s="2" t="s">
        <v>107</v>
      </c>
      <c r="B56" s="2" t="s">
        <v>108</v>
      </c>
      <c r="C56" s="2" t="s">
        <v>6</v>
      </c>
    </row>
    <row r="57" spans="1:3">
      <c r="A57" s="2" t="s">
        <v>33</v>
      </c>
      <c r="B57" s="2" t="s">
        <v>109</v>
      </c>
      <c r="C57" s="2" t="s">
        <v>6</v>
      </c>
    </row>
    <row r="58" spans="1:3">
      <c r="A58" s="2" t="s">
        <v>110</v>
      </c>
      <c r="B58" s="2" t="s">
        <v>111</v>
      </c>
      <c r="C58" s="2" t="s">
        <v>30</v>
      </c>
    </row>
    <row r="59" spans="1:3">
      <c r="A59" s="2" t="s">
        <v>112</v>
      </c>
      <c r="B59" s="2" t="s">
        <v>113</v>
      </c>
      <c r="C59" s="2" t="s">
        <v>6</v>
      </c>
    </row>
    <row r="60" spans="1:3">
      <c r="A60" s="2" t="s">
        <v>36</v>
      </c>
      <c r="B60" s="2" t="s">
        <v>114</v>
      </c>
      <c r="C60" s="2" t="s">
        <v>6</v>
      </c>
    </row>
    <row r="61" spans="1:3">
      <c r="A61" s="2" t="s">
        <v>115</v>
      </c>
      <c r="B61" s="2" t="s">
        <v>116</v>
      </c>
      <c r="C61" s="2" t="s">
        <v>6</v>
      </c>
    </row>
    <row r="62" spans="1:3">
      <c r="A62" s="2" t="s">
        <v>117</v>
      </c>
      <c r="B62" s="2" t="s">
        <v>118</v>
      </c>
      <c r="C62" s="2" t="s">
        <v>6</v>
      </c>
    </row>
    <row r="63" spans="1:3">
      <c r="A63" s="2" t="s">
        <v>119</v>
      </c>
      <c r="B63" s="2" t="s">
        <v>120</v>
      </c>
      <c r="C63" s="2" t="s">
        <v>6</v>
      </c>
    </row>
    <row r="64" spans="1:3">
      <c r="A64" s="2" t="s">
        <v>121</v>
      </c>
      <c r="B64" s="2" t="s">
        <v>122</v>
      </c>
      <c r="C64" s="2" t="s">
        <v>6</v>
      </c>
    </row>
    <row r="65" spans="1:3">
      <c r="A65" s="2" t="s">
        <v>123</v>
      </c>
      <c r="B65" s="2" t="s">
        <v>124</v>
      </c>
      <c r="C65" s="2" t="s">
        <v>5</v>
      </c>
    </row>
    <row r="66" spans="1:3">
      <c r="A66" s="2" t="s">
        <v>125</v>
      </c>
      <c r="B66" s="2" t="s">
        <v>126</v>
      </c>
      <c r="C66" s="2" t="s">
        <v>6</v>
      </c>
    </row>
    <row r="67" spans="1:3">
      <c r="A67" s="2" t="s">
        <v>127</v>
      </c>
      <c r="B67" s="2" t="s">
        <v>128</v>
      </c>
      <c r="C67" s="2" t="s">
        <v>30</v>
      </c>
    </row>
    <row r="68" spans="1:3">
      <c r="A68" s="2" t="s">
        <v>37</v>
      </c>
      <c r="B68" s="2" t="s">
        <v>129</v>
      </c>
      <c r="C68" s="2" t="s">
        <v>6</v>
      </c>
    </row>
    <row r="69" spans="1:3">
      <c r="A69" s="2" t="s">
        <v>12</v>
      </c>
      <c r="B69" s="2" t="s">
        <v>130</v>
      </c>
      <c r="C69" s="2" t="s">
        <v>5</v>
      </c>
    </row>
    <row r="70" spans="1:3">
      <c r="A70" s="2" t="s">
        <v>131</v>
      </c>
      <c r="B70" s="2" t="s">
        <v>132</v>
      </c>
      <c r="C70" s="2" t="s">
        <v>6</v>
      </c>
    </row>
    <row r="71" spans="1:3">
      <c r="A71" s="2" t="s">
        <v>10</v>
      </c>
      <c r="B71" s="2" t="s">
        <v>133</v>
      </c>
      <c r="C71" s="2" t="s">
        <v>6</v>
      </c>
    </row>
    <row r="72" spans="1:3">
      <c r="A72" s="2" t="s">
        <v>11</v>
      </c>
      <c r="B72" s="2" t="s">
        <v>134</v>
      </c>
      <c r="C72" s="2" t="s">
        <v>6</v>
      </c>
    </row>
    <row r="73" spans="1:3">
      <c r="A73" s="2" t="s">
        <v>135</v>
      </c>
      <c r="B73" s="2" t="s">
        <v>136</v>
      </c>
      <c r="C73" s="2" t="s">
        <v>6</v>
      </c>
    </row>
    <row r="74" spans="1:3">
      <c r="A74" s="2" t="s">
        <v>7</v>
      </c>
      <c r="B74" s="2" t="s">
        <v>137</v>
      </c>
      <c r="C74" s="2" t="s">
        <v>6</v>
      </c>
    </row>
    <row r="75" spans="1:3">
      <c r="A75" s="2" t="s">
        <v>20</v>
      </c>
      <c r="B75" s="2" t="s">
        <v>138</v>
      </c>
      <c r="C75" s="2" t="s">
        <v>6</v>
      </c>
    </row>
    <row r="76" spans="1:3">
      <c r="A76" s="2" t="s">
        <v>139</v>
      </c>
      <c r="B76" s="2" t="s">
        <v>140</v>
      </c>
      <c r="C76" s="2" t="s">
        <v>6</v>
      </c>
    </row>
    <row r="77" spans="1:3">
      <c r="A77" s="2" t="s">
        <v>141</v>
      </c>
      <c r="B77" s="2" t="s">
        <v>142</v>
      </c>
      <c r="C77" s="2" t="s">
        <v>6</v>
      </c>
    </row>
    <row r="78" spans="1:3">
      <c r="A78" s="2" t="s">
        <v>143</v>
      </c>
      <c r="B78" s="2" t="s">
        <v>144</v>
      </c>
      <c r="C78" s="2" t="s">
        <v>6</v>
      </c>
    </row>
    <row r="79" spans="1:3">
      <c r="A79" s="2" t="s">
        <v>145</v>
      </c>
      <c r="B79" s="2" t="s">
        <v>146</v>
      </c>
      <c r="C79" s="2" t="s">
        <v>6</v>
      </c>
    </row>
    <row r="80" spans="1:3">
      <c r="A80" s="2" t="s">
        <v>16</v>
      </c>
      <c r="B80" s="2" t="s">
        <v>147</v>
      </c>
      <c r="C80" s="2" t="s">
        <v>6</v>
      </c>
    </row>
    <row r="81" spans="1:3">
      <c r="A81" s="2" t="s">
        <v>148</v>
      </c>
      <c r="B81" s="2" t="s">
        <v>149</v>
      </c>
      <c r="C81" s="2" t="s">
        <v>6</v>
      </c>
    </row>
    <row r="82" spans="1:3">
      <c r="A82" s="2" t="s">
        <v>21</v>
      </c>
      <c r="B82" s="2" t="s">
        <v>150</v>
      </c>
      <c r="C82" s="2" t="s">
        <v>6</v>
      </c>
    </row>
    <row r="83" spans="1:3">
      <c r="A83" s="2" t="s">
        <v>27</v>
      </c>
      <c r="B83" s="2" t="s">
        <v>151</v>
      </c>
      <c r="C83" s="2" t="s">
        <v>6</v>
      </c>
    </row>
    <row r="84" spans="1:3">
      <c r="A84" s="2" t="s">
        <v>152</v>
      </c>
      <c r="B84" s="2" t="s">
        <v>153</v>
      </c>
      <c r="C84" s="2" t="s">
        <v>6</v>
      </c>
    </row>
    <row r="85" spans="1:3">
      <c r="A85" s="2" t="s">
        <v>154</v>
      </c>
      <c r="B85" s="2" t="s">
        <v>155</v>
      </c>
      <c r="C85" s="2" t="s">
        <v>6</v>
      </c>
    </row>
    <row r="86" spans="1:3">
      <c r="A86" s="2" t="s">
        <v>156</v>
      </c>
      <c r="B86" s="2" t="s">
        <v>157</v>
      </c>
      <c r="C86" s="2" t="s">
        <v>30</v>
      </c>
    </row>
    <row r="87" spans="1:3">
      <c r="A87" s="2" t="s">
        <v>13</v>
      </c>
      <c r="B87" s="2" t="s">
        <v>158</v>
      </c>
      <c r="C87" s="2" t="s">
        <v>5</v>
      </c>
    </row>
    <row r="88" spans="1:3">
      <c r="A88" s="2" t="s">
        <v>159</v>
      </c>
      <c r="B88" s="2" t="s">
        <v>160</v>
      </c>
      <c r="C88" s="2" t="s">
        <v>6</v>
      </c>
    </row>
    <row r="89" spans="1:3">
      <c r="A89" s="2" t="s">
        <v>161</v>
      </c>
      <c r="B89" s="2" t="s">
        <v>162</v>
      </c>
      <c r="C89" s="2" t="s">
        <v>6</v>
      </c>
    </row>
    <row r="90" spans="1:3">
      <c r="A90" s="2" t="s">
        <v>163</v>
      </c>
      <c r="B90" s="2" t="s">
        <v>164</v>
      </c>
      <c r="C90" s="2" t="s">
        <v>5</v>
      </c>
    </row>
    <row r="91" spans="1:3">
      <c r="A91" s="2" t="s">
        <v>165</v>
      </c>
      <c r="B91" s="2" t="s">
        <v>166</v>
      </c>
      <c r="C91" s="2" t="s">
        <v>5</v>
      </c>
    </row>
    <row r="92" spans="1:3">
      <c r="A92" s="2" t="s">
        <v>167</v>
      </c>
      <c r="B92" s="2" t="s">
        <v>168</v>
      </c>
      <c r="C92" s="2" t="s">
        <v>30</v>
      </c>
    </row>
    <row r="93" spans="1:3">
      <c r="A93" s="2" t="s">
        <v>169</v>
      </c>
      <c r="B93" s="2" t="s">
        <v>170</v>
      </c>
      <c r="C93" s="2" t="s">
        <v>6</v>
      </c>
    </row>
    <row r="94" spans="1:3">
      <c r="A94" s="2" t="s">
        <v>171</v>
      </c>
      <c r="B94" s="2" t="s">
        <v>172</v>
      </c>
      <c r="C94" s="2" t="s">
        <v>5</v>
      </c>
    </row>
    <row r="95" spans="1:3">
      <c r="A95" s="2" t="s">
        <v>173</v>
      </c>
      <c r="B95" s="2" t="s">
        <v>174</v>
      </c>
      <c r="C95" s="2" t="s">
        <v>6</v>
      </c>
    </row>
    <row r="96" spans="1:3">
      <c r="A96" s="2" t="s">
        <v>19</v>
      </c>
      <c r="B96" s="2" t="s">
        <v>175</v>
      </c>
      <c r="C96" s="2" t="s">
        <v>6</v>
      </c>
    </row>
    <row r="97" spans="1:3">
      <c r="A97" s="2" t="s">
        <v>176</v>
      </c>
      <c r="B97" s="2" t="s">
        <v>177</v>
      </c>
      <c r="C97" s="2" t="s">
        <v>26</v>
      </c>
    </row>
    <row r="98" spans="1:3">
      <c r="A98" s="2" t="s">
        <v>178</v>
      </c>
      <c r="B98" s="2" t="s">
        <v>179</v>
      </c>
      <c r="C98" s="2" t="s">
        <v>6</v>
      </c>
    </row>
    <row r="99" spans="1:3">
      <c r="A99" s="2" t="s">
        <v>180</v>
      </c>
      <c r="B99" s="2" t="s">
        <v>181</v>
      </c>
      <c r="C99" s="2" t="s">
        <v>5</v>
      </c>
    </row>
    <row r="100" spans="1:3">
      <c r="A100" s="2" t="s">
        <v>264</v>
      </c>
      <c r="B100" s="2" t="s">
        <v>166</v>
      </c>
      <c r="C100" s="2" t="s">
        <v>5</v>
      </c>
    </row>
    <row r="101" spans="1:3">
      <c r="A101" s="2" t="s">
        <v>182</v>
      </c>
      <c r="B101" s="2" t="s">
        <v>183</v>
      </c>
      <c r="C101" s="2" t="s">
        <v>6</v>
      </c>
    </row>
    <row r="102" spans="1:3">
      <c r="A102" s="2" t="s">
        <v>184</v>
      </c>
      <c r="B102" s="2" t="s">
        <v>185</v>
      </c>
      <c r="C102" s="2" t="s">
        <v>6</v>
      </c>
    </row>
    <row r="103" spans="1:3">
      <c r="A103" s="2" t="s">
        <v>31</v>
      </c>
      <c r="B103" s="2" t="s">
        <v>186</v>
      </c>
      <c r="C103" s="2" t="s">
        <v>6</v>
      </c>
    </row>
    <row r="104" spans="1:3">
      <c r="A104" s="2" t="s">
        <v>187</v>
      </c>
      <c r="B104" s="2" t="s">
        <v>188</v>
      </c>
      <c r="C104" s="2" t="s">
        <v>6</v>
      </c>
    </row>
    <row r="105" spans="1:3">
      <c r="A105" s="2" t="s">
        <v>189</v>
      </c>
      <c r="B105" s="2" t="s">
        <v>190</v>
      </c>
      <c r="C105" s="2" t="s">
        <v>6</v>
      </c>
    </row>
    <row r="106" spans="1:3">
      <c r="A106" s="2" t="s">
        <v>191</v>
      </c>
      <c r="B106" s="2" t="s">
        <v>192</v>
      </c>
      <c r="C106" s="2" t="s">
        <v>6</v>
      </c>
    </row>
    <row r="107" spans="1:3">
      <c r="A107" s="2" t="s">
        <v>193</v>
      </c>
      <c r="B107" s="2" t="s">
        <v>194</v>
      </c>
      <c r="C107" s="2" t="s">
        <v>6</v>
      </c>
    </row>
    <row r="108" spans="1:3">
      <c r="A108" s="2" t="s">
        <v>28</v>
      </c>
      <c r="B108" s="2" t="s">
        <v>195</v>
      </c>
      <c r="C108" s="2" t="s">
        <v>6</v>
      </c>
    </row>
    <row r="109" spans="1:3">
      <c r="A109" s="2" t="s">
        <v>196</v>
      </c>
      <c r="B109" s="2" t="s">
        <v>197</v>
      </c>
      <c r="C109" s="2" t="s">
        <v>6</v>
      </c>
    </row>
    <row r="110" spans="1:3">
      <c r="A110" s="2" t="s">
        <v>23</v>
      </c>
      <c r="B110" s="2" t="s">
        <v>198</v>
      </c>
      <c r="C110" s="2" t="s">
        <v>6</v>
      </c>
    </row>
    <row r="111" spans="1:3">
      <c r="A111" s="2" t="s">
        <v>25</v>
      </c>
      <c r="B111" s="2" t="s">
        <v>199</v>
      </c>
      <c r="C111" s="2" t="s">
        <v>26</v>
      </c>
    </row>
    <row r="112" spans="1:3">
      <c r="A112" s="2" t="s">
        <v>200</v>
      </c>
      <c r="B112" s="2" t="s">
        <v>201</v>
      </c>
      <c r="C112" s="2" t="s">
        <v>5</v>
      </c>
    </row>
    <row r="113" spans="1:3">
      <c r="A113" s="2" t="s">
        <v>202</v>
      </c>
      <c r="B113" s="2" t="s">
        <v>203</v>
      </c>
      <c r="C113" s="2" t="s">
        <v>6</v>
      </c>
    </row>
    <row r="114" spans="1:3">
      <c r="A114" s="2" t="s">
        <v>204</v>
      </c>
      <c r="B114" s="2" t="s">
        <v>205</v>
      </c>
      <c r="C114" s="2" t="s">
        <v>6</v>
      </c>
    </row>
    <row r="115" spans="1:3">
      <c r="A115" s="2" t="s">
        <v>24</v>
      </c>
      <c r="B115" s="2" t="s">
        <v>206</v>
      </c>
      <c r="C115" s="2" t="s">
        <v>6</v>
      </c>
    </row>
    <row r="116" spans="1:3">
      <c r="A116" s="2" t="s">
        <v>9</v>
      </c>
      <c r="B116" s="2" t="s">
        <v>207</v>
      </c>
      <c r="C116" s="2" t="s">
        <v>6</v>
      </c>
    </row>
    <row r="117" spans="1:3">
      <c r="A117" s="2" t="s">
        <v>208</v>
      </c>
      <c r="B117" s="2" t="s">
        <v>209</v>
      </c>
      <c r="C117" s="2" t="s">
        <v>30</v>
      </c>
    </row>
    <row r="118" spans="1:3">
      <c r="A118" s="2" t="s">
        <v>210</v>
      </c>
      <c r="B118" s="2" t="s">
        <v>211</v>
      </c>
      <c r="C118" s="2" t="s">
        <v>6</v>
      </c>
    </row>
    <row r="119" spans="1:3">
      <c r="A119" s="2" t="s">
        <v>212</v>
      </c>
      <c r="B119" s="2" t="s">
        <v>213</v>
      </c>
      <c r="C119" s="2" t="s">
        <v>5</v>
      </c>
    </row>
    <row r="120" spans="1:3">
      <c r="A120" s="2" t="s">
        <v>214</v>
      </c>
      <c r="B120" s="2" t="s">
        <v>215</v>
      </c>
      <c r="C120" s="2" t="s">
        <v>6</v>
      </c>
    </row>
    <row r="121" spans="1:3">
      <c r="A121" s="2" t="s">
        <v>38</v>
      </c>
      <c r="B121" s="2" t="s">
        <v>216</v>
      </c>
      <c r="C121" s="2" t="s">
        <v>6</v>
      </c>
    </row>
    <row r="122" spans="1:3">
      <c r="A122" s="2" t="s">
        <v>217</v>
      </c>
      <c r="B122" s="2" t="s">
        <v>218</v>
      </c>
      <c r="C122" s="2" t="s">
        <v>6</v>
      </c>
    </row>
    <row r="123" spans="1:3">
      <c r="A123" s="2" t="s">
        <v>17</v>
      </c>
      <c r="B123" s="2" t="s">
        <v>219</v>
      </c>
      <c r="C123" s="2" t="s">
        <v>6</v>
      </c>
    </row>
    <row r="124" spans="1:3">
      <c r="A124" s="2" t="s">
        <v>29</v>
      </c>
      <c r="B124" s="2" t="s">
        <v>220</v>
      </c>
      <c r="C124" s="2" t="s">
        <v>30</v>
      </c>
    </row>
    <row r="125" spans="1:3">
      <c r="A125" s="2" t="s">
        <v>8</v>
      </c>
      <c r="B125" s="2" t="s">
        <v>221</v>
      </c>
      <c r="C125" s="2" t="s">
        <v>6</v>
      </c>
    </row>
    <row r="126" spans="1:3">
      <c r="A126" s="2" t="s">
        <v>222</v>
      </c>
      <c r="B126" s="2" t="s">
        <v>223</v>
      </c>
      <c r="C126" s="2" t="s">
        <v>6</v>
      </c>
    </row>
    <row r="127" spans="1:3">
      <c r="A127" s="2" t="s">
        <v>224</v>
      </c>
      <c r="B127" s="2" t="s">
        <v>225</v>
      </c>
      <c r="C127" s="2" t="s">
        <v>6</v>
      </c>
    </row>
    <row r="128" spans="1:3">
      <c r="A128" s="2" t="s">
        <v>251</v>
      </c>
      <c r="B128" t="s">
        <v>54</v>
      </c>
      <c r="C128" s="2" t="s">
        <v>6</v>
      </c>
    </row>
    <row r="129" spans="1:3">
      <c r="A129" s="2" t="s">
        <v>263</v>
      </c>
      <c r="B129" s="2" t="s">
        <v>63</v>
      </c>
      <c r="C129" s="2" t="s">
        <v>6</v>
      </c>
    </row>
    <row r="130" spans="1:3">
      <c r="A130" s="2" t="s">
        <v>254</v>
      </c>
      <c r="B130" t="s">
        <v>60</v>
      </c>
      <c r="C130" s="2" t="s">
        <v>6</v>
      </c>
    </row>
    <row r="131" spans="1:3">
      <c r="A131" s="2" t="s">
        <v>269</v>
      </c>
      <c r="B131" t="s">
        <v>268</v>
      </c>
      <c r="C131" s="2" t="s">
        <v>6</v>
      </c>
    </row>
    <row r="132" spans="1:3">
      <c r="A132"/>
      <c r="B132"/>
    </row>
    <row r="137" spans="1:3">
      <c r="A137"/>
      <c r="B137"/>
    </row>
    <row r="138" spans="1:3">
      <c r="A138"/>
      <c r="B138"/>
    </row>
    <row r="139" spans="1:3">
      <c r="A139"/>
      <c r="B139"/>
    </row>
    <row r="140" spans="1:3">
      <c r="A140"/>
      <c r="B140"/>
    </row>
    <row r="141" spans="1:3">
      <c r="A141"/>
      <c r="B141"/>
    </row>
    <row r="142" spans="1:3">
      <c r="A142"/>
      <c r="B142"/>
    </row>
    <row r="143" spans="1:3">
      <c r="A143"/>
      <c r="B14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78DD-17E9-5446-AE8C-B41FC48B4E87}">
  <dimension ref="A1:P2001"/>
  <sheetViews>
    <sheetView topLeftCell="A1692" workbookViewId="0">
      <selection activeCell="K1716" sqref="K1716"/>
    </sheetView>
  </sheetViews>
  <sheetFormatPr baseColWidth="10" defaultRowHeight="18"/>
  <cols>
    <col min="7" max="7" width="13.7109375" bestFit="1" customWidth="1"/>
    <col min="8" max="8" width="13.85546875" bestFit="1" customWidth="1"/>
  </cols>
  <sheetData>
    <row r="1" spans="1:16">
      <c r="A1" t="s">
        <v>272</v>
      </c>
      <c r="B1" t="s">
        <v>298</v>
      </c>
      <c r="C1" s="1" t="s">
        <v>295</v>
      </c>
      <c r="D1" s="1" t="s">
        <v>296</v>
      </c>
      <c r="E1" s="1" t="s">
        <v>297</v>
      </c>
      <c r="F1" t="s">
        <v>300</v>
      </c>
      <c r="G1" s="1" t="s">
        <v>301</v>
      </c>
      <c r="H1" t="s">
        <v>226</v>
      </c>
      <c r="I1" t="s">
        <v>302</v>
      </c>
      <c r="J1" t="s">
        <v>303</v>
      </c>
      <c r="K1" t="s">
        <v>0</v>
      </c>
      <c r="L1" t="s">
        <v>1</v>
      </c>
      <c r="M1" t="s">
        <v>273</v>
      </c>
      <c r="N1" t="s">
        <v>304</v>
      </c>
      <c r="P1" s="9" t="s">
        <v>271</v>
      </c>
    </row>
    <row r="2" spans="1:16">
      <c r="A2">
        <f>eDNA!A2</f>
        <v>20200716</v>
      </c>
      <c r="B2" s="10" t="str" cm="1">
        <f t="array" ref="B2">IFERROR(_xlfn.XLOOKUP(1,('env Parameter'!$A:$A=$A2)*('env Parameter'!$B:$B=$K2)*('env Parameter'!$C:$C=$L2),'env Parameter'!H:H,""),"")</f>
        <v>생물상 조사</v>
      </c>
      <c r="C2" s="10" cm="1">
        <f t="array" ref="C2">IFERROR(_xlfn.XLOOKUP(1,('env Parameter'!$A:$A=$A2)*('env Parameter'!$B:$B=$K2)*('env Parameter'!$C:$C=$L2),'env Parameter'!E:E,""),"")</f>
        <v>2.14</v>
      </c>
      <c r="D2" s="10" cm="1">
        <f t="array" ref="D2">IFERROR(_xlfn.XLOOKUP(1,('env Parameter'!$A:$A=$A2)*('env Parameter'!$B:$B=$K2)*('env Parameter'!$C:$C=$L2),'env Parameter'!F:F,""),"")</f>
        <v>478</v>
      </c>
      <c r="E2" s="10" cm="1">
        <f t="array" ref="E2">IFERROR(_xlfn.XLOOKUP(1,('env Parameter'!$A:$A=$A2)*('env Parameter'!$B:$B=$K2)*('env Parameter'!$C:$C=$L2),'env Parameter'!G:G,""),"")</f>
        <v>7.6</v>
      </c>
      <c r="F2" t="str">
        <f>eDNA!F2</f>
        <v>MiFish</v>
      </c>
      <c r="G2" t="str">
        <f>eDNA!D2</f>
        <v>Bos taurus</v>
      </c>
      <c r="H2" t="str">
        <f>_xlfn.XLOOKUP(G2,'Common name (master file)'!$B:$B,'Common name (master file)'!$A:$A,"-------------")</f>
        <v>소</v>
      </c>
      <c r="I2">
        <f>eDNA!E2</f>
        <v>24</v>
      </c>
      <c r="J2" t="str">
        <f>_xlfn.XLOOKUP(G2,'Common name (master file)'!$B:$B,'Common name (master file)'!$C:$C,"")</f>
        <v>포유류</v>
      </c>
      <c r="K2">
        <f>eDNA!B2</f>
        <v>126.9724018</v>
      </c>
      <c r="L2">
        <f>eDNA!C2</f>
        <v>37.348161500000003</v>
      </c>
      <c r="M2" s="10" t="str" cm="1">
        <f t="array" ref="M2">IFERROR(_xlfn.XLOOKUP(1,('env Parameter'!$A:$A=$A2)*('env Parameter'!$B:$B=$K2)*('env Parameter'!$C:$C=$L2),'env Parameter'!D:D,""),"")</f>
        <v>안양천-1</v>
      </c>
      <c r="N2" s="10" t="str" cm="1">
        <f t="array" ref="N2">IFERROR(_xlfn.XLOOKUP(1,('env Parameter'!$A:$A=$A2)*('env Parameter'!$B:$B=$K2)*('env Parameter'!$C:$C=$L2),'env Parameter'!I:I,""),"")</f>
        <v>YR</v>
      </c>
      <c r="P2" s="10" t="s">
        <v>294</v>
      </c>
    </row>
    <row r="3" spans="1:16">
      <c r="A3">
        <f>eDNA!A3</f>
        <v>20200716</v>
      </c>
      <c r="B3" s="10" t="str" cm="1">
        <f t="array" ref="B3">IFERROR(_xlfn.XLOOKUP(1,('env Parameter'!$A:$A=$A3)*('env Parameter'!$B:$B=$K3)*('env Parameter'!$C:$C=$L3),'env Parameter'!H:H,""),"")</f>
        <v>생물상 조사</v>
      </c>
      <c r="C3" s="10" cm="1">
        <f t="array" ref="C3">IFERROR(_xlfn.XLOOKUP(1,('env Parameter'!$A:$A=$A3)*('env Parameter'!$B:$B=$K3)*('env Parameter'!$C:$C=$L3),'env Parameter'!E:E,""),"")</f>
        <v>2.14</v>
      </c>
      <c r="D3" s="10" cm="1">
        <f t="array" ref="D3">IFERROR(_xlfn.XLOOKUP(1,('env Parameter'!$A:$A=$A3)*('env Parameter'!$B:$B=$K3)*('env Parameter'!$C:$C=$L3),'env Parameter'!F:F,""),"")</f>
        <v>478</v>
      </c>
      <c r="E3" s="10" cm="1">
        <f t="array" ref="E3">IFERROR(_xlfn.XLOOKUP(1,('env Parameter'!$A:$A=$A3)*('env Parameter'!$B:$B=$K3)*('env Parameter'!$C:$C=$L3),'env Parameter'!G:G,""),"")</f>
        <v>7.6</v>
      </c>
      <c r="F3" t="str">
        <f>eDNA!F3</f>
        <v>MiFish</v>
      </c>
      <c r="G3" t="str">
        <f>eDNA!D3</f>
        <v>Sebastes babcocki</v>
      </c>
      <c r="H3" t="str">
        <f>_xlfn.XLOOKUP(G3,'Common name (master file)'!$B:$B,'Common name (master file)'!$A:$A,"-------------")</f>
        <v>Redbanded 뽈락</v>
      </c>
      <c r="I3">
        <f>eDNA!E3</f>
        <v>73</v>
      </c>
      <c r="J3" t="str">
        <f>_xlfn.XLOOKUP(G3,'Common name (master file)'!$B:$B,'Common name (master file)'!$C:$C,"")</f>
        <v>어류</v>
      </c>
      <c r="K3">
        <f>eDNA!B3</f>
        <v>126.9724018</v>
      </c>
      <c r="L3">
        <f>eDNA!C3</f>
        <v>37.348161500000003</v>
      </c>
      <c r="M3" s="10" t="str" cm="1">
        <f t="array" ref="M3">IFERROR(_xlfn.XLOOKUP(1,('env Parameter'!$A:$A=$A3)*('env Parameter'!$B:$B=$K3)*('env Parameter'!$C:$C=$L3),'env Parameter'!D:D,""),"")</f>
        <v>안양천-1</v>
      </c>
      <c r="N3" s="10" t="str" cm="1">
        <f t="array" ref="N3">IFERROR(_xlfn.XLOOKUP(1,('env Parameter'!$A:$A=$A3)*('env Parameter'!$B:$B=$K3)*('env Parameter'!$C:$C=$L3),'env Parameter'!I:I,""),"")</f>
        <v>YR</v>
      </c>
    </row>
    <row r="4" spans="1:16">
      <c r="A4">
        <f>eDNA!A4</f>
        <v>20200716</v>
      </c>
      <c r="B4" s="10" t="str" cm="1">
        <f t="array" ref="B4">IFERROR(_xlfn.XLOOKUP(1,('env Parameter'!$A:$A=$A4)*('env Parameter'!$B:$B=$K4)*('env Parameter'!$C:$C=$L4),'env Parameter'!H:H,""),"")</f>
        <v>생물상 조사</v>
      </c>
      <c r="C4" s="10" cm="1">
        <f t="array" ref="C4">IFERROR(_xlfn.XLOOKUP(1,('env Parameter'!$A:$A=$A4)*('env Parameter'!$B:$B=$K4)*('env Parameter'!$C:$C=$L4),'env Parameter'!E:E,""),"")</f>
        <v>2.14</v>
      </c>
      <c r="D4" s="10" cm="1">
        <f t="array" ref="D4">IFERROR(_xlfn.XLOOKUP(1,('env Parameter'!$A:$A=$A4)*('env Parameter'!$B:$B=$K4)*('env Parameter'!$C:$C=$L4),'env Parameter'!F:F,""),"")</f>
        <v>478</v>
      </c>
      <c r="E4" s="10" cm="1">
        <f t="array" ref="E4">IFERROR(_xlfn.XLOOKUP(1,('env Parameter'!$A:$A=$A4)*('env Parameter'!$B:$B=$K4)*('env Parameter'!$C:$C=$L4),'env Parameter'!G:G,""),"")</f>
        <v>7.6</v>
      </c>
      <c r="F4" t="str">
        <f>eDNA!F4</f>
        <v>MiFish</v>
      </c>
      <c r="G4" t="str">
        <f>eDNA!D4</f>
        <v>Misgurnus mizolepis</v>
      </c>
      <c r="H4" t="str">
        <f>_xlfn.XLOOKUP(G4,'Common name (master file)'!$B:$B,'Common name (master file)'!$A:$A,"-------------")</f>
        <v>미꾸라지</v>
      </c>
      <c r="I4">
        <f>eDNA!E4</f>
        <v>156</v>
      </c>
      <c r="J4" t="str">
        <f>_xlfn.XLOOKUP(G4,'Common name (master file)'!$B:$B,'Common name (master file)'!$C:$C,"")</f>
        <v>어류</v>
      </c>
      <c r="K4">
        <f>eDNA!B4</f>
        <v>126.9724018</v>
      </c>
      <c r="L4">
        <f>eDNA!C4</f>
        <v>37.348161500000003</v>
      </c>
      <c r="M4" s="10" t="str" cm="1">
        <f t="array" ref="M4">IFERROR(_xlfn.XLOOKUP(1,('env Parameter'!$A:$A=$A4)*('env Parameter'!$B:$B=$K4)*('env Parameter'!$C:$C=$L4),'env Parameter'!D:D,""),"")</f>
        <v>안양천-1</v>
      </c>
      <c r="N4" s="10" t="str" cm="1">
        <f t="array" ref="N4">IFERROR(_xlfn.XLOOKUP(1,('env Parameter'!$A:$A=$A4)*('env Parameter'!$B:$B=$K4)*('env Parameter'!$C:$C=$L4),'env Parameter'!I:I,""),"")</f>
        <v>YR</v>
      </c>
    </row>
    <row r="5" spans="1:16">
      <c r="A5">
        <f>eDNA!A5</f>
        <v>20200716</v>
      </c>
      <c r="B5" s="10" t="str" cm="1">
        <f t="array" ref="B5">IFERROR(_xlfn.XLOOKUP(1,('env Parameter'!$A:$A=$A5)*('env Parameter'!$B:$B=$K5)*('env Parameter'!$C:$C=$L5),'env Parameter'!H:H,""),"")</f>
        <v>생물상 조사</v>
      </c>
      <c r="C5" s="10" cm="1">
        <f t="array" ref="C5">IFERROR(_xlfn.XLOOKUP(1,('env Parameter'!$A:$A=$A5)*('env Parameter'!$B:$B=$K5)*('env Parameter'!$C:$C=$L5),'env Parameter'!E:E,""),"")</f>
        <v>2.14</v>
      </c>
      <c r="D5" s="10" cm="1">
        <f t="array" ref="D5">IFERROR(_xlfn.XLOOKUP(1,('env Parameter'!$A:$A=$A5)*('env Parameter'!$B:$B=$K5)*('env Parameter'!$C:$C=$L5),'env Parameter'!F:F,""),"")</f>
        <v>478</v>
      </c>
      <c r="E5" s="10" cm="1">
        <f t="array" ref="E5">IFERROR(_xlfn.XLOOKUP(1,('env Parameter'!$A:$A=$A5)*('env Parameter'!$B:$B=$K5)*('env Parameter'!$C:$C=$L5),'env Parameter'!G:G,""),"")</f>
        <v>7.6</v>
      </c>
      <c r="F5" t="str">
        <f>eDNA!F5</f>
        <v>MiFish</v>
      </c>
      <c r="G5" t="str">
        <f>eDNA!D5</f>
        <v>Lophius litulon</v>
      </c>
      <c r="H5" t="str">
        <f>_xlfn.XLOOKUP(G5,'Common name (master file)'!$B:$B,'Common name (master file)'!$A:$A,"-------------")</f>
        <v>황아귀</v>
      </c>
      <c r="I5">
        <f>eDNA!E5</f>
        <v>70</v>
      </c>
      <c r="J5" t="str">
        <f>_xlfn.XLOOKUP(G5,'Common name (master file)'!$B:$B,'Common name (master file)'!$C:$C,"")</f>
        <v>어류</v>
      </c>
      <c r="K5">
        <f>eDNA!B5</f>
        <v>126.9724018</v>
      </c>
      <c r="L5">
        <f>eDNA!C5</f>
        <v>37.348161500000003</v>
      </c>
      <c r="M5" s="10" t="str" cm="1">
        <f t="array" ref="M5">IFERROR(_xlfn.XLOOKUP(1,('env Parameter'!$A:$A=$A5)*('env Parameter'!$B:$B=$K5)*('env Parameter'!$C:$C=$L5),'env Parameter'!D:D,""),"")</f>
        <v>안양천-1</v>
      </c>
      <c r="N5" s="10" t="str" cm="1">
        <f t="array" ref="N5">IFERROR(_xlfn.XLOOKUP(1,('env Parameter'!$A:$A=$A5)*('env Parameter'!$B:$B=$K5)*('env Parameter'!$C:$C=$L5),'env Parameter'!I:I,""),"")</f>
        <v>YR</v>
      </c>
    </row>
    <row r="6" spans="1:16">
      <c r="A6">
        <f>eDNA!A6</f>
        <v>20200716</v>
      </c>
      <c r="B6" s="10" t="str" cm="1">
        <f t="array" ref="B6">IFERROR(_xlfn.XLOOKUP(1,('env Parameter'!$A:$A=$A6)*('env Parameter'!$B:$B=$K6)*('env Parameter'!$C:$C=$L6),'env Parameter'!H:H,""),"")</f>
        <v>생물상 조사</v>
      </c>
      <c r="C6" s="10" cm="1">
        <f t="array" ref="C6">IFERROR(_xlfn.XLOOKUP(1,('env Parameter'!$A:$A=$A6)*('env Parameter'!$B:$B=$K6)*('env Parameter'!$C:$C=$L6),'env Parameter'!E:E,""),"")</f>
        <v>2.14</v>
      </c>
      <c r="D6" s="10" cm="1">
        <f t="array" ref="D6">IFERROR(_xlfn.XLOOKUP(1,('env Parameter'!$A:$A=$A6)*('env Parameter'!$B:$B=$K6)*('env Parameter'!$C:$C=$L6),'env Parameter'!F:F,""),"")</f>
        <v>478</v>
      </c>
      <c r="E6" s="10" cm="1">
        <f t="array" ref="E6">IFERROR(_xlfn.XLOOKUP(1,('env Parameter'!$A:$A=$A6)*('env Parameter'!$B:$B=$K6)*('env Parameter'!$C:$C=$L6),'env Parameter'!G:G,""),"")</f>
        <v>7.6</v>
      </c>
      <c r="F6" t="str">
        <f>eDNA!F6</f>
        <v>MiFish</v>
      </c>
      <c r="G6" t="str">
        <f>eDNA!D6</f>
        <v>Pseudorasbora parva</v>
      </c>
      <c r="H6" t="str">
        <f>_xlfn.XLOOKUP(G6,'Common name (master file)'!$B:$B,'Common name (master file)'!$A:$A,"-------------")</f>
        <v>참붕어</v>
      </c>
      <c r="I6">
        <f>eDNA!E6</f>
        <v>77</v>
      </c>
      <c r="J6" t="str">
        <f>_xlfn.XLOOKUP(G6,'Common name (master file)'!$B:$B,'Common name (master file)'!$C:$C,"")</f>
        <v>어류</v>
      </c>
      <c r="K6">
        <f>eDNA!B6</f>
        <v>126.9724018</v>
      </c>
      <c r="L6">
        <f>eDNA!C6</f>
        <v>37.348161500000003</v>
      </c>
      <c r="M6" s="10" t="str" cm="1">
        <f t="array" ref="M6">IFERROR(_xlfn.XLOOKUP(1,('env Parameter'!$A:$A=$A6)*('env Parameter'!$B:$B=$K6)*('env Parameter'!$C:$C=$L6),'env Parameter'!D:D,""),"")</f>
        <v>안양천-1</v>
      </c>
      <c r="N6" s="10" t="str" cm="1">
        <f t="array" ref="N6">IFERROR(_xlfn.XLOOKUP(1,('env Parameter'!$A:$A=$A6)*('env Parameter'!$B:$B=$K6)*('env Parameter'!$C:$C=$L6),'env Parameter'!I:I,""),"")</f>
        <v>YR</v>
      </c>
    </row>
    <row r="7" spans="1:16">
      <c r="A7">
        <f>eDNA!A7</f>
        <v>20200716</v>
      </c>
      <c r="B7" s="10" t="str" cm="1">
        <f t="array" ref="B7">IFERROR(_xlfn.XLOOKUP(1,('env Parameter'!$A:$A=$A7)*('env Parameter'!$B:$B=$K7)*('env Parameter'!$C:$C=$L7),'env Parameter'!H:H,""),"")</f>
        <v>생물상 조사</v>
      </c>
      <c r="C7" s="10" cm="1">
        <f t="array" ref="C7">IFERROR(_xlfn.XLOOKUP(1,('env Parameter'!$A:$A=$A7)*('env Parameter'!$B:$B=$K7)*('env Parameter'!$C:$C=$L7),'env Parameter'!E:E,""),"")</f>
        <v>2.14</v>
      </c>
      <c r="D7" s="10" cm="1">
        <f t="array" ref="D7">IFERROR(_xlfn.XLOOKUP(1,('env Parameter'!$A:$A=$A7)*('env Parameter'!$B:$B=$K7)*('env Parameter'!$C:$C=$L7),'env Parameter'!F:F,""),"")</f>
        <v>478</v>
      </c>
      <c r="E7" s="10" cm="1">
        <f t="array" ref="E7">IFERROR(_xlfn.XLOOKUP(1,('env Parameter'!$A:$A=$A7)*('env Parameter'!$B:$B=$K7)*('env Parameter'!$C:$C=$L7),'env Parameter'!G:G,""),"")</f>
        <v>7.6</v>
      </c>
      <c r="F7" t="str">
        <f>eDNA!F7</f>
        <v>MiFish</v>
      </c>
      <c r="G7" t="str">
        <f>eDNA!D7</f>
        <v>Theragra chalcogramma</v>
      </c>
      <c r="H7" t="str">
        <f>_xlfn.XLOOKUP(G7,'Common name (master file)'!$B:$B,'Common name (master file)'!$A:$A,"-------------")</f>
        <v>명태</v>
      </c>
      <c r="I7">
        <f>eDNA!E7</f>
        <v>80</v>
      </c>
      <c r="J7" t="str">
        <f>_xlfn.XLOOKUP(G7,'Common name (master file)'!$B:$B,'Common name (master file)'!$C:$C,"")</f>
        <v>어류</v>
      </c>
      <c r="K7">
        <f>eDNA!B7</f>
        <v>126.9724018</v>
      </c>
      <c r="L7">
        <f>eDNA!C7</f>
        <v>37.348161500000003</v>
      </c>
      <c r="M7" s="10" t="str" cm="1">
        <f t="array" ref="M7">IFERROR(_xlfn.XLOOKUP(1,('env Parameter'!$A:$A=$A7)*('env Parameter'!$B:$B=$K7)*('env Parameter'!$C:$C=$L7),'env Parameter'!D:D,""),"")</f>
        <v>안양천-1</v>
      </c>
      <c r="N7" s="10" t="str" cm="1">
        <f t="array" ref="N7">IFERROR(_xlfn.XLOOKUP(1,('env Parameter'!$A:$A=$A7)*('env Parameter'!$B:$B=$K7)*('env Parameter'!$C:$C=$L7),'env Parameter'!I:I,""),"")</f>
        <v>YR</v>
      </c>
    </row>
    <row r="8" spans="1:16">
      <c r="A8">
        <f>eDNA!A8</f>
        <v>20200716</v>
      </c>
      <c r="B8" s="10" t="str" cm="1">
        <f t="array" ref="B8">IFERROR(_xlfn.XLOOKUP(1,('env Parameter'!$A:$A=$A8)*('env Parameter'!$B:$B=$K8)*('env Parameter'!$C:$C=$L8),'env Parameter'!H:H,""),"")</f>
        <v>생물상 조사</v>
      </c>
      <c r="C8" s="10" cm="1">
        <f t="array" ref="C8">IFERROR(_xlfn.XLOOKUP(1,('env Parameter'!$A:$A=$A8)*('env Parameter'!$B:$B=$K8)*('env Parameter'!$C:$C=$L8),'env Parameter'!E:E,""),"")</f>
        <v>2.14</v>
      </c>
      <c r="D8" s="10" cm="1">
        <f t="array" ref="D8">IFERROR(_xlfn.XLOOKUP(1,('env Parameter'!$A:$A=$A8)*('env Parameter'!$B:$B=$K8)*('env Parameter'!$C:$C=$L8),'env Parameter'!F:F,""),"")</f>
        <v>478</v>
      </c>
      <c r="E8" s="10" cm="1">
        <f t="array" ref="E8">IFERROR(_xlfn.XLOOKUP(1,('env Parameter'!$A:$A=$A8)*('env Parameter'!$B:$B=$K8)*('env Parameter'!$C:$C=$L8),'env Parameter'!G:G,""),"")</f>
        <v>7.6</v>
      </c>
      <c r="F8" t="str">
        <f>eDNA!F8</f>
        <v>MiFish</v>
      </c>
      <c r="G8" t="str">
        <f>eDNA!D8</f>
        <v>Pseudogobio esocinus</v>
      </c>
      <c r="H8" t="str">
        <f>_xlfn.XLOOKUP(G8,'Common name (master file)'!$B:$B,'Common name (master file)'!$A:$A,"-------------")</f>
        <v>모래무지</v>
      </c>
      <c r="I8">
        <f>eDNA!E8</f>
        <v>200</v>
      </c>
      <c r="J8" t="str">
        <f>_xlfn.XLOOKUP(G8,'Common name (master file)'!$B:$B,'Common name (master file)'!$C:$C,"")</f>
        <v>어류</v>
      </c>
      <c r="K8">
        <f>eDNA!B8</f>
        <v>126.9724018</v>
      </c>
      <c r="L8">
        <f>eDNA!C8</f>
        <v>37.348161500000003</v>
      </c>
      <c r="M8" s="10" t="str" cm="1">
        <f t="array" ref="M8">IFERROR(_xlfn.XLOOKUP(1,('env Parameter'!$A:$A=$A8)*('env Parameter'!$B:$B=$K8)*('env Parameter'!$C:$C=$L8),'env Parameter'!D:D,""),"")</f>
        <v>안양천-1</v>
      </c>
      <c r="N8" s="10" t="str" cm="1">
        <f t="array" ref="N8">IFERROR(_xlfn.XLOOKUP(1,('env Parameter'!$A:$A=$A8)*('env Parameter'!$B:$B=$K8)*('env Parameter'!$C:$C=$L8),'env Parameter'!I:I,""),"")</f>
        <v>YR</v>
      </c>
    </row>
    <row r="9" spans="1:16">
      <c r="A9">
        <f>eDNA!A9</f>
        <v>20200716</v>
      </c>
      <c r="B9" s="10" t="str" cm="1">
        <f t="array" ref="B9">IFERROR(_xlfn.XLOOKUP(1,('env Parameter'!$A:$A=$A9)*('env Parameter'!$B:$B=$K9)*('env Parameter'!$C:$C=$L9),'env Parameter'!H:H,""),"")</f>
        <v>생물상 조사</v>
      </c>
      <c r="C9" s="10" cm="1">
        <f t="array" ref="C9">IFERROR(_xlfn.XLOOKUP(1,('env Parameter'!$A:$A=$A9)*('env Parameter'!$B:$B=$K9)*('env Parameter'!$C:$C=$L9),'env Parameter'!E:E,""),"")</f>
        <v>2.14</v>
      </c>
      <c r="D9" s="10" cm="1">
        <f t="array" ref="D9">IFERROR(_xlfn.XLOOKUP(1,('env Parameter'!$A:$A=$A9)*('env Parameter'!$B:$B=$K9)*('env Parameter'!$C:$C=$L9),'env Parameter'!F:F,""),"")</f>
        <v>478</v>
      </c>
      <c r="E9" s="10" cm="1">
        <f t="array" ref="E9">IFERROR(_xlfn.XLOOKUP(1,('env Parameter'!$A:$A=$A9)*('env Parameter'!$B:$B=$K9)*('env Parameter'!$C:$C=$L9),'env Parameter'!G:G,""),"")</f>
        <v>7.6</v>
      </c>
      <c r="F9" t="str">
        <f>eDNA!F9</f>
        <v>MiFish</v>
      </c>
      <c r="G9" t="str">
        <f>eDNA!D9</f>
        <v>Sus scrofa</v>
      </c>
      <c r="H9" t="str">
        <f>_xlfn.XLOOKUP(G9,'Common name (master file)'!$B:$B,'Common name (master file)'!$A:$A,"-------------")</f>
        <v>멧돼지</v>
      </c>
      <c r="I9">
        <f>eDNA!E9</f>
        <v>234</v>
      </c>
      <c r="J9" t="str">
        <f>_xlfn.XLOOKUP(G9,'Common name (master file)'!$B:$B,'Common name (master file)'!$C:$C,"")</f>
        <v>포유류</v>
      </c>
      <c r="K9">
        <f>eDNA!B9</f>
        <v>126.9724018</v>
      </c>
      <c r="L9">
        <f>eDNA!C9</f>
        <v>37.348161500000003</v>
      </c>
      <c r="M9" s="10" t="str" cm="1">
        <f t="array" ref="M9">IFERROR(_xlfn.XLOOKUP(1,('env Parameter'!$A:$A=$A9)*('env Parameter'!$B:$B=$K9)*('env Parameter'!$C:$C=$L9),'env Parameter'!D:D,""),"")</f>
        <v>안양천-1</v>
      </c>
      <c r="N9" s="10" t="str" cm="1">
        <f t="array" ref="N9">IFERROR(_xlfn.XLOOKUP(1,('env Parameter'!$A:$A=$A9)*('env Parameter'!$B:$B=$K9)*('env Parameter'!$C:$C=$L9),'env Parameter'!I:I,""),"")</f>
        <v>YR</v>
      </c>
    </row>
    <row r="10" spans="1:16">
      <c r="A10">
        <f>eDNA!A10</f>
        <v>20200716</v>
      </c>
      <c r="B10" s="10" t="str" cm="1">
        <f t="array" ref="B10">IFERROR(_xlfn.XLOOKUP(1,('env Parameter'!$A:$A=$A10)*('env Parameter'!$B:$B=$K10)*('env Parameter'!$C:$C=$L10),'env Parameter'!H:H,""),"")</f>
        <v>생물상 조사</v>
      </c>
      <c r="C10" s="10" cm="1">
        <f t="array" ref="C10">IFERROR(_xlfn.XLOOKUP(1,('env Parameter'!$A:$A=$A10)*('env Parameter'!$B:$B=$K10)*('env Parameter'!$C:$C=$L10),'env Parameter'!E:E,""),"")</f>
        <v>2.14</v>
      </c>
      <c r="D10" s="10" cm="1">
        <f t="array" ref="D10">IFERROR(_xlfn.XLOOKUP(1,('env Parameter'!$A:$A=$A10)*('env Parameter'!$B:$B=$K10)*('env Parameter'!$C:$C=$L10),'env Parameter'!F:F,""),"")</f>
        <v>478</v>
      </c>
      <c r="E10" s="10" cm="1">
        <f t="array" ref="E10">IFERROR(_xlfn.XLOOKUP(1,('env Parameter'!$A:$A=$A10)*('env Parameter'!$B:$B=$K10)*('env Parameter'!$C:$C=$L10),'env Parameter'!G:G,""),"")</f>
        <v>7.6</v>
      </c>
      <c r="F10" t="str">
        <f>eDNA!F10</f>
        <v>MiFish</v>
      </c>
      <c r="G10" t="str">
        <f>eDNA!D10</f>
        <v>Homo sapiens</v>
      </c>
      <c r="H10" t="str">
        <f>_xlfn.XLOOKUP(G10,'Common name (master file)'!$B:$B,'Common name (master file)'!$A:$A,"-------------")</f>
        <v>사람</v>
      </c>
      <c r="I10">
        <f>eDNA!E10</f>
        <v>280</v>
      </c>
      <c r="J10" t="str">
        <f>_xlfn.XLOOKUP(G10,'Common name (master file)'!$B:$B,'Common name (master file)'!$C:$C,"")</f>
        <v>포유류</v>
      </c>
      <c r="K10">
        <f>eDNA!B10</f>
        <v>126.9724018</v>
      </c>
      <c r="L10">
        <f>eDNA!C10</f>
        <v>37.348161500000003</v>
      </c>
      <c r="M10" s="10" t="str" cm="1">
        <f t="array" ref="M10">IFERROR(_xlfn.XLOOKUP(1,('env Parameter'!$A:$A=$A10)*('env Parameter'!$B:$B=$K10)*('env Parameter'!$C:$C=$L10),'env Parameter'!D:D,""),"")</f>
        <v>안양천-1</v>
      </c>
      <c r="N10" s="10" t="str" cm="1">
        <f t="array" ref="N10">IFERROR(_xlfn.XLOOKUP(1,('env Parameter'!$A:$A=$A10)*('env Parameter'!$B:$B=$K10)*('env Parameter'!$C:$C=$L10),'env Parameter'!I:I,""),"")</f>
        <v>YR</v>
      </c>
    </row>
    <row r="11" spans="1:16">
      <c r="A11">
        <f>eDNA!A11</f>
        <v>20200716</v>
      </c>
      <c r="B11" s="10" t="str" cm="1">
        <f t="array" ref="B11">IFERROR(_xlfn.XLOOKUP(1,('env Parameter'!$A:$A=$A11)*('env Parameter'!$B:$B=$K11)*('env Parameter'!$C:$C=$L11),'env Parameter'!H:H,""),"")</f>
        <v>생물상 조사</v>
      </c>
      <c r="C11" s="10" cm="1">
        <f t="array" ref="C11">IFERROR(_xlfn.XLOOKUP(1,('env Parameter'!$A:$A=$A11)*('env Parameter'!$B:$B=$K11)*('env Parameter'!$C:$C=$L11),'env Parameter'!E:E,""),"")</f>
        <v>2.14</v>
      </c>
      <c r="D11" s="10" cm="1">
        <f t="array" ref="D11">IFERROR(_xlfn.XLOOKUP(1,('env Parameter'!$A:$A=$A11)*('env Parameter'!$B:$B=$K11)*('env Parameter'!$C:$C=$L11),'env Parameter'!F:F,""),"")</f>
        <v>478</v>
      </c>
      <c r="E11" s="10" cm="1">
        <f t="array" ref="E11">IFERROR(_xlfn.XLOOKUP(1,('env Parameter'!$A:$A=$A11)*('env Parameter'!$B:$B=$K11)*('env Parameter'!$C:$C=$L11),'env Parameter'!G:G,""),"")</f>
        <v>7.6</v>
      </c>
      <c r="F11" t="str">
        <f>eDNA!F11</f>
        <v>MiFish</v>
      </c>
      <c r="G11" t="str">
        <f>eDNA!D11</f>
        <v>Carassius gibelio</v>
      </c>
      <c r="H11" t="str">
        <f>_xlfn.XLOOKUP(G11,'Common name (master file)'!$B:$B,'Common name (master file)'!$A:$A,"-------------")</f>
        <v>기벨리오 붕어</v>
      </c>
      <c r="I11">
        <f>eDNA!E11</f>
        <v>1009</v>
      </c>
      <c r="J11" t="str">
        <f>_xlfn.XLOOKUP(G11,'Common name (master file)'!$B:$B,'Common name (master file)'!$C:$C,"")</f>
        <v>어류</v>
      </c>
      <c r="K11">
        <f>eDNA!B11</f>
        <v>126.9724018</v>
      </c>
      <c r="L11">
        <f>eDNA!C11</f>
        <v>37.348161500000003</v>
      </c>
      <c r="M11" s="10" t="str" cm="1">
        <f t="array" ref="M11">IFERROR(_xlfn.XLOOKUP(1,('env Parameter'!$A:$A=$A11)*('env Parameter'!$B:$B=$K11)*('env Parameter'!$C:$C=$L11),'env Parameter'!D:D,""),"")</f>
        <v>안양천-1</v>
      </c>
      <c r="N11" s="10" t="str" cm="1">
        <f t="array" ref="N11">IFERROR(_xlfn.XLOOKUP(1,('env Parameter'!$A:$A=$A11)*('env Parameter'!$B:$B=$K11)*('env Parameter'!$C:$C=$L11),'env Parameter'!I:I,""),"")</f>
        <v>YR</v>
      </c>
    </row>
    <row r="12" spans="1:16">
      <c r="A12">
        <f>eDNA!A12</f>
        <v>20200716</v>
      </c>
      <c r="B12" s="10" t="str" cm="1">
        <f t="array" ref="B12">IFERROR(_xlfn.XLOOKUP(1,('env Parameter'!$A:$A=$A12)*('env Parameter'!$B:$B=$K12)*('env Parameter'!$C:$C=$L12),'env Parameter'!H:H,""),"")</f>
        <v>생물상 조사</v>
      </c>
      <c r="C12" s="10" cm="1">
        <f t="array" ref="C12">IFERROR(_xlfn.XLOOKUP(1,('env Parameter'!$A:$A=$A12)*('env Parameter'!$B:$B=$K12)*('env Parameter'!$C:$C=$L12),'env Parameter'!E:E,""),"")</f>
        <v>2.14</v>
      </c>
      <c r="D12" s="10" cm="1">
        <f t="array" ref="D12">IFERROR(_xlfn.XLOOKUP(1,('env Parameter'!$A:$A=$A12)*('env Parameter'!$B:$B=$K12)*('env Parameter'!$C:$C=$L12),'env Parameter'!F:F,""),"")</f>
        <v>478</v>
      </c>
      <c r="E12" s="10" cm="1">
        <f t="array" ref="E12">IFERROR(_xlfn.XLOOKUP(1,('env Parameter'!$A:$A=$A12)*('env Parameter'!$B:$B=$K12)*('env Parameter'!$C:$C=$L12),'env Parameter'!G:G,""),"")</f>
        <v>7.6</v>
      </c>
      <c r="F12" t="str">
        <f>eDNA!F12</f>
        <v>MiFish</v>
      </c>
      <c r="G12" t="str">
        <f>eDNA!D12</f>
        <v>Silurus soldatovi</v>
      </c>
      <c r="H12" t="str">
        <f>_xlfn.XLOOKUP(G12,'Common name (master file)'!$B:$B,'Common name (master file)'!$A:$A,"-------------")</f>
        <v>솔다토비 메기</v>
      </c>
      <c r="I12">
        <f>eDNA!E12</f>
        <v>1623</v>
      </c>
      <c r="J12" t="str">
        <f>_xlfn.XLOOKUP(G12,'Common name (master file)'!$B:$B,'Common name (master file)'!$C:$C,"")</f>
        <v>어류</v>
      </c>
      <c r="K12">
        <f>eDNA!B12</f>
        <v>126.9724018</v>
      </c>
      <c r="L12">
        <f>eDNA!C12</f>
        <v>37.348161500000003</v>
      </c>
      <c r="M12" s="10" t="str" cm="1">
        <f t="array" ref="M12">IFERROR(_xlfn.XLOOKUP(1,('env Parameter'!$A:$A=$A12)*('env Parameter'!$B:$B=$K12)*('env Parameter'!$C:$C=$L12),'env Parameter'!D:D,""),"")</f>
        <v>안양천-1</v>
      </c>
      <c r="N12" s="10" t="str" cm="1">
        <f t="array" ref="N12">IFERROR(_xlfn.XLOOKUP(1,('env Parameter'!$A:$A=$A12)*('env Parameter'!$B:$B=$K12)*('env Parameter'!$C:$C=$L12),'env Parameter'!I:I,""),"")</f>
        <v>YR</v>
      </c>
    </row>
    <row r="13" spans="1:16">
      <c r="A13">
        <f>eDNA!A13</f>
        <v>20200716</v>
      </c>
      <c r="B13" s="10" t="str" cm="1">
        <f t="array" ref="B13">IFERROR(_xlfn.XLOOKUP(1,('env Parameter'!$A:$A=$A13)*('env Parameter'!$B:$B=$K13)*('env Parameter'!$C:$C=$L13),'env Parameter'!H:H,""),"")</f>
        <v>생물상 조사</v>
      </c>
      <c r="C13" s="10" cm="1">
        <f t="array" ref="C13">IFERROR(_xlfn.XLOOKUP(1,('env Parameter'!$A:$A=$A13)*('env Parameter'!$B:$B=$K13)*('env Parameter'!$C:$C=$L13),'env Parameter'!E:E,""),"")</f>
        <v>2.14</v>
      </c>
      <c r="D13" s="10" cm="1">
        <f t="array" ref="D13">IFERROR(_xlfn.XLOOKUP(1,('env Parameter'!$A:$A=$A13)*('env Parameter'!$B:$B=$K13)*('env Parameter'!$C:$C=$L13),'env Parameter'!F:F,""),"")</f>
        <v>478</v>
      </c>
      <c r="E13" s="10" cm="1">
        <f t="array" ref="E13">IFERROR(_xlfn.XLOOKUP(1,('env Parameter'!$A:$A=$A13)*('env Parameter'!$B:$B=$K13)*('env Parameter'!$C:$C=$L13),'env Parameter'!G:G,""),"")</f>
        <v>7.6</v>
      </c>
      <c r="F13" t="str">
        <f>eDNA!F13</f>
        <v>MiFish</v>
      </c>
      <c r="G13" t="str">
        <f>eDNA!D13</f>
        <v>Sebastes zacentrus</v>
      </c>
      <c r="H13" t="str">
        <f>_xlfn.XLOOKUP(G13,'Common name (master file)'!$B:$B,'Common name (master file)'!$A:$A,"-------------")</f>
        <v>쏨뱅이</v>
      </c>
      <c r="I13">
        <f>eDNA!E13</f>
        <v>4703</v>
      </c>
      <c r="J13" t="str">
        <f>_xlfn.XLOOKUP(G13,'Common name (master file)'!$B:$B,'Common name (master file)'!$C:$C,"")</f>
        <v>어류</v>
      </c>
      <c r="K13">
        <f>eDNA!B13</f>
        <v>126.9724018</v>
      </c>
      <c r="L13">
        <f>eDNA!C13</f>
        <v>37.348161500000003</v>
      </c>
      <c r="M13" s="10" t="str" cm="1">
        <f t="array" ref="M13">IFERROR(_xlfn.XLOOKUP(1,('env Parameter'!$A:$A=$A13)*('env Parameter'!$B:$B=$K13)*('env Parameter'!$C:$C=$L13),'env Parameter'!D:D,""),"")</f>
        <v>안양천-1</v>
      </c>
      <c r="N13" s="10" t="str" cm="1">
        <f t="array" ref="N13">IFERROR(_xlfn.XLOOKUP(1,('env Parameter'!$A:$A=$A13)*('env Parameter'!$B:$B=$K13)*('env Parameter'!$C:$C=$L13),'env Parameter'!I:I,""),"")</f>
        <v>YR</v>
      </c>
    </row>
    <row r="14" spans="1:16">
      <c r="A14">
        <f>eDNA!A14</f>
        <v>20200716</v>
      </c>
      <c r="B14" s="10" t="str" cm="1">
        <f t="array" ref="B14">IFERROR(_xlfn.XLOOKUP(1,('env Parameter'!$A:$A=$A14)*('env Parameter'!$B:$B=$K14)*('env Parameter'!$C:$C=$L14),'env Parameter'!H:H,""),"")</f>
        <v>생물상 조사</v>
      </c>
      <c r="C14" s="10" cm="1">
        <f t="array" ref="C14">IFERROR(_xlfn.XLOOKUP(1,('env Parameter'!$A:$A=$A14)*('env Parameter'!$B:$B=$K14)*('env Parameter'!$C:$C=$L14),'env Parameter'!E:E,""),"")</f>
        <v>2.14</v>
      </c>
      <c r="D14" s="10" cm="1">
        <f t="array" ref="D14">IFERROR(_xlfn.XLOOKUP(1,('env Parameter'!$A:$A=$A14)*('env Parameter'!$B:$B=$K14)*('env Parameter'!$C:$C=$L14),'env Parameter'!F:F,""),"")</f>
        <v>478</v>
      </c>
      <c r="E14" s="10" cm="1">
        <f t="array" ref="E14">IFERROR(_xlfn.XLOOKUP(1,('env Parameter'!$A:$A=$A14)*('env Parameter'!$B:$B=$K14)*('env Parameter'!$C:$C=$L14),'env Parameter'!G:G,""),"")</f>
        <v>7.6</v>
      </c>
      <c r="F14" t="str">
        <f>eDNA!F14</f>
        <v>MiFish</v>
      </c>
      <c r="G14" t="str">
        <f>eDNA!D14</f>
        <v>Rhynchocypris oxycephalus</v>
      </c>
      <c r="H14" t="str">
        <f>_xlfn.XLOOKUP(G14,'Common name (master file)'!$B:$B,'Common name (master file)'!$A:$A,"-------------")</f>
        <v>버들치</v>
      </c>
      <c r="I14">
        <f>eDNA!E14</f>
        <v>8233</v>
      </c>
      <c r="J14" t="str">
        <f>_xlfn.XLOOKUP(G14,'Common name (master file)'!$B:$B,'Common name (master file)'!$C:$C,"")</f>
        <v>어류</v>
      </c>
      <c r="K14">
        <f>eDNA!B14</f>
        <v>126.9724018</v>
      </c>
      <c r="L14">
        <f>eDNA!C14</f>
        <v>37.348161500000003</v>
      </c>
      <c r="M14" s="10" t="str" cm="1">
        <f t="array" ref="M14">IFERROR(_xlfn.XLOOKUP(1,('env Parameter'!$A:$A=$A14)*('env Parameter'!$B:$B=$K14)*('env Parameter'!$C:$C=$L14),'env Parameter'!D:D,""),"")</f>
        <v>안양천-1</v>
      </c>
      <c r="N14" s="10" t="str" cm="1">
        <f t="array" ref="N14">IFERROR(_xlfn.XLOOKUP(1,('env Parameter'!$A:$A=$A14)*('env Parameter'!$B:$B=$K14)*('env Parameter'!$C:$C=$L14),'env Parameter'!I:I,""),"")</f>
        <v>YR</v>
      </c>
    </row>
    <row r="15" spans="1:16">
      <c r="A15">
        <f>eDNA!A15</f>
        <v>20200716</v>
      </c>
      <c r="B15" s="10" t="str" cm="1">
        <f t="array" ref="B15">IFERROR(_xlfn.XLOOKUP(1,('env Parameter'!$A:$A=$A15)*('env Parameter'!$B:$B=$K15)*('env Parameter'!$C:$C=$L15),'env Parameter'!H:H,""),"")</f>
        <v>생물상 조사</v>
      </c>
      <c r="C15" s="10" cm="1">
        <f t="array" ref="C15">IFERROR(_xlfn.XLOOKUP(1,('env Parameter'!$A:$A=$A15)*('env Parameter'!$B:$B=$K15)*('env Parameter'!$C:$C=$L15),'env Parameter'!E:E,""),"")</f>
        <v>2.14</v>
      </c>
      <c r="D15" s="10" cm="1">
        <f t="array" ref="D15">IFERROR(_xlfn.XLOOKUP(1,('env Parameter'!$A:$A=$A15)*('env Parameter'!$B:$B=$K15)*('env Parameter'!$C:$C=$L15),'env Parameter'!F:F,""),"")</f>
        <v>478</v>
      </c>
      <c r="E15" s="10" cm="1">
        <f t="array" ref="E15">IFERROR(_xlfn.XLOOKUP(1,('env Parameter'!$A:$A=$A15)*('env Parameter'!$B:$B=$K15)*('env Parameter'!$C:$C=$L15),'env Parameter'!G:G,""),"")</f>
        <v>7.6</v>
      </c>
      <c r="F15" t="str">
        <f>eDNA!F15</f>
        <v>MiFish</v>
      </c>
      <c r="G15" t="str">
        <f>eDNA!D15</f>
        <v>Zacco platypus</v>
      </c>
      <c r="H15" t="str">
        <f>_xlfn.XLOOKUP(G15,'Common name (master file)'!$B:$B,'Common name (master file)'!$A:$A,"-------------")</f>
        <v>피라미</v>
      </c>
      <c r="I15">
        <f>eDNA!E15</f>
        <v>15999</v>
      </c>
      <c r="J15" t="str">
        <f>_xlfn.XLOOKUP(G15,'Common name (master file)'!$B:$B,'Common name (master file)'!$C:$C,"")</f>
        <v>어류</v>
      </c>
      <c r="K15">
        <f>eDNA!B15</f>
        <v>126.9724018</v>
      </c>
      <c r="L15">
        <f>eDNA!C15</f>
        <v>37.348161500000003</v>
      </c>
      <c r="M15" s="10" t="str" cm="1">
        <f t="array" ref="M15">IFERROR(_xlfn.XLOOKUP(1,('env Parameter'!$A:$A=$A15)*('env Parameter'!$B:$B=$K15)*('env Parameter'!$C:$C=$L15),'env Parameter'!D:D,""),"")</f>
        <v>안양천-1</v>
      </c>
      <c r="N15" s="10" t="str" cm="1">
        <f t="array" ref="N15">IFERROR(_xlfn.XLOOKUP(1,('env Parameter'!$A:$A=$A15)*('env Parameter'!$B:$B=$K15)*('env Parameter'!$C:$C=$L15),'env Parameter'!I:I,""),"")</f>
        <v>YR</v>
      </c>
    </row>
    <row r="16" spans="1:16">
      <c r="A16">
        <f>eDNA!A16</f>
        <v>20200716</v>
      </c>
      <c r="B16" s="10" t="str" cm="1">
        <f t="array" ref="B16">IFERROR(_xlfn.XLOOKUP(1,('env Parameter'!$A:$A=$A16)*('env Parameter'!$B:$B=$K16)*('env Parameter'!$C:$C=$L16),'env Parameter'!H:H,""),"")</f>
        <v>생물상 조사</v>
      </c>
      <c r="C16" s="10" cm="1">
        <f t="array" ref="C16">IFERROR(_xlfn.XLOOKUP(1,('env Parameter'!$A:$A=$A16)*('env Parameter'!$B:$B=$K16)*('env Parameter'!$C:$C=$L16),'env Parameter'!E:E,""),"")</f>
        <v>2.14</v>
      </c>
      <c r="D16" s="10" cm="1">
        <f t="array" ref="D16">IFERROR(_xlfn.XLOOKUP(1,('env Parameter'!$A:$A=$A16)*('env Parameter'!$B:$B=$K16)*('env Parameter'!$C:$C=$L16),'env Parameter'!F:F,""),"")</f>
        <v>478</v>
      </c>
      <c r="E16" s="10" cm="1">
        <f t="array" ref="E16">IFERROR(_xlfn.XLOOKUP(1,('env Parameter'!$A:$A=$A16)*('env Parameter'!$B:$B=$K16)*('env Parameter'!$C:$C=$L16),'env Parameter'!G:G,""),"")</f>
        <v>7.6</v>
      </c>
      <c r="F16" t="str">
        <f>eDNA!F16</f>
        <v>MiFish</v>
      </c>
      <c r="G16" t="str">
        <f>eDNA!D16</f>
        <v>Paralichthys olivaceus</v>
      </c>
      <c r="H16" t="str">
        <f>_xlfn.XLOOKUP(G16,'Common name (master file)'!$B:$B,'Common name (master file)'!$A:$A,"-------------")</f>
        <v>남해산 넙치</v>
      </c>
      <c r="I16">
        <f>eDNA!E16</f>
        <v>12025</v>
      </c>
      <c r="J16" t="str">
        <f>_xlfn.XLOOKUP(G16,'Common name (master file)'!$B:$B,'Common name (master file)'!$C:$C,"")</f>
        <v>어류</v>
      </c>
      <c r="K16">
        <f>eDNA!B16</f>
        <v>126.9724018</v>
      </c>
      <c r="L16">
        <f>eDNA!C16</f>
        <v>37.348161500000003</v>
      </c>
      <c r="M16" s="10" t="str" cm="1">
        <f t="array" ref="M16">IFERROR(_xlfn.XLOOKUP(1,('env Parameter'!$A:$A=$A16)*('env Parameter'!$B:$B=$K16)*('env Parameter'!$C:$C=$L16),'env Parameter'!D:D,""),"")</f>
        <v>안양천-1</v>
      </c>
      <c r="N16" s="10" t="str" cm="1">
        <f t="array" ref="N16">IFERROR(_xlfn.XLOOKUP(1,('env Parameter'!$A:$A=$A16)*('env Parameter'!$B:$B=$K16)*('env Parameter'!$C:$C=$L16),'env Parameter'!I:I,""),"")</f>
        <v>YR</v>
      </c>
    </row>
    <row r="17" spans="1:14">
      <c r="A17">
        <f>eDNA!A17</f>
        <v>20200716</v>
      </c>
      <c r="B17" s="10" t="str" cm="1">
        <f t="array" ref="B17">IFERROR(_xlfn.XLOOKUP(1,('env Parameter'!$A:$A=$A17)*('env Parameter'!$B:$B=$K17)*('env Parameter'!$C:$C=$L17),'env Parameter'!H:H,""),"")</f>
        <v>생물상 조사</v>
      </c>
      <c r="C17" s="10" cm="1">
        <f t="array" ref="C17">IFERROR(_xlfn.XLOOKUP(1,('env Parameter'!$A:$A=$A17)*('env Parameter'!$B:$B=$K17)*('env Parameter'!$C:$C=$L17),'env Parameter'!E:E,""),"")</f>
        <v>2.14</v>
      </c>
      <c r="D17" s="10" cm="1">
        <f t="array" ref="D17">IFERROR(_xlfn.XLOOKUP(1,('env Parameter'!$A:$A=$A17)*('env Parameter'!$B:$B=$K17)*('env Parameter'!$C:$C=$L17),'env Parameter'!F:F,""),"")</f>
        <v>478</v>
      </c>
      <c r="E17" s="10" cm="1">
        <f t="array" ref="E17">IFERROR(_xlfn.XLOOKUP(1,('env Parameter'!$A:$A=$A17)*('env Parameter'!$B:$B=$K17)*('env Parameter'!$C:$C=$L17),'env Parameter'!G:G,""),"")</f>
        <v>7.6</v>
      </c>
      <c r="F17" t="str">
        <f>eDNA!F17</f>
        <v>MiFish</v>
      </c>
      <c r="G17" t="str">
        <f>eDNA!D17</f>
        <v>Odontobutis interrupta</v>
      </c>
      <c r="H17" t="str">
        <f>_xlfn.XLOOKUP(G17,'Common name (master file)'!$B:$B,'Common name (master file)'!$A:$A,"-------------")</f>
        <v>얼록동사리</v>
      </c>
      <c r="I17">
        <f>eDNA!E17</f>
        <v>31241</v>
      </c>
      <c r="J17" t="str">
        <f>_xlfn.XLOOKUP(G17,'Common name (master file)'!$B:$B,'Common name (master file)'!$C:$C,"")</f>
        <v>어류</v>
      </c>
      <c r="K17">
        <f>eDNA!B17</f>
        <v>126.9724018</v>
      </c>
      <c r="L17">
        <f>eDNA!C17</f>
        <v>37.348161500000003</v>
      </c>
      <c r="M17" s="10" t="str" cm="1">
        <f t="array" ref="M17">IFERROR(_xlfn.XLOOKUP(1,('env Parameter'!$A:$A=$A17)*('env Parameter'!$B:$B=$K17)*('env Parameter'!$C:$C=$L17),'env Parameter'!D:D,""),"")</f>
        <v>안양천-1</v>
      </c>
      <c r="N17" s="10" t="str" cm="1">
        <f t="array" ref="N17">IFERROR(_xlfn.XLOOKUP(1,('env Parameter'!$A:$A=$A17)*('env Parameter'!$B:$B=$K17)*('env Parameter'!$C:$C=$L17),'env Parameter'!I:I,""),"")</f>
        <v>YR</v>
      </c>
    </row>
    <row r="18" spans="1:14">
      <c r="A18">
        <f>eDNA!A18</f>
        <v>20200716</v>
      </c>
      <c r="B18" s="10" t="str" cm="1">
        <f t="array" ref="B18">IFERROR(_xlfn.XLOOKUP(1,('env Parameter'!$A:$A=$A18)*('env Parameter'!$B:$B=$K18)*('env Parameter'!$C:$C=$L18),'env Parameter'!H:H,""),"")</f>
        <v>생물상 조사</v>
      </c>
      <c r="C18" s="10" cm="1">
        <f t="array" ref="C18">IFERROR(_xlfn.XLOOKUP(1,('env Parameter'!$A:$A=$A18)*('env Parameter'!$B:$B=$K18)*('env Parameter'!$C:$C=$L18),'env Parameter'!E:E,""),"")</f>
        <v>3.1</v>
      </c>
      <c r="D18" s="10" cm="1">
        <f t="array" ref="D18">IFERROR(_xlfn.XLOOKUP(1,('env Parameter'!$A:$A=$A18)*('env Parameter'!$B:$B=$K18)*('env Parameter'!$C:$C=$L18),'env Parameter'!F:F,""),"")</f>
        <v>450</v>
      </c>
      <c r="E18" s="10" cm="1">
        <f t="array" ref="E18">IFERROR(_xlfn.XLOOKUP(1,('env Parameter'!$A:$A=$A18)*('env Parameter'!$B:$B=$K18)*('env Parameter'!$C:$C=$L18),'env Parameter'!G:G,""),"")</f>
        <v>8</v>
      </c>
      <c r="F18" t="str">
        <f>eDNA!F18</f>
        <v>MiFish</v>
      </c>
      <c r="G18" t="str">
        <f>eDNA!D18</f>
        <v>Misgurnus anguillicaudatus</v>
      </c>
      <c r="H18" t="str">
        <f>_xlfn.XLOOKUP(G18,'Common name (master file)'!$B:$B,'Common name (master file)'!$A:$A,"-------------")</f>
        <v>미꾸리</v>
      </c>
      <c r="I18">
        <f>eDNA!E18</f>
        <v>25</v>
      </c>
      <c r="J18" t="str">
        <f>_xlfn.XLOOKUP(G18,'Common name (master file)'!$B:$B,'Common name (master file)'!$C:$C,"")</f>
        <v>어류</v>
      </c>
      <c r="K18">
        <f>eDNA!B18</f>
        <v>126.95619790000001</v>
      </c>
      <c r="L18">
        <f>eDNA!C18</f>
        <v>37.363509200000003</v>
      </c>
      <c r="M18" s="10" t="str" cm="1">
        <f t="array" ref="M18">IFERROR(_xlfn.XLOOKUP(1,('env Parameter'!$A:$A=$A18)*('env Parameter'!$B:$B=$K18)*('env Parameter'!$C:$C=$L18),'env Parameter'!D:D,""),"")</f>
        <v>안양천-2</v>
      </c>
      <c r="N18" s="10" t="str" cm="1">
        <f t="array" ref="N18">IFERROR(_xlfn.XLOOKUP(1,('env Parameter'!$A:$A=$A18)*('env Parameter'!$B:$B=$K18)*('env Parameter'!$C:$C=$L18),'env Parameter'!I:I,""),"")</f>
        <v>YR</v>
      </c>
    </row>
    <row r="19" spans="1:14">
      <c r="A19">
        <f>eDNA!A19</f>
        <v>20200716</v>
      </c>
      <c r="B19" s="10" t="str" cm="1">
        <f t="array" ref="B19">IFERROR(_xlfn.XLOOKUP(1,('env Parameter'!$A:$A=$A19)*('env Parameter'!$B:$B=$K19)*('env Parameter'!$C:$C=$L19),'env Parameter'!H:H,""),"")</f>
        <v>생물상 조사</v>
      </c>
      <c r="C19" s="10" cm="1">
        <f t="array" ref="C19">IFERROR(_xlfn.XLOOKUP(1,('env Parameter'!$A:$A=$A19)*('env Parameter'!$B:$B=$K19)*('env Parameter'!$C:$C=$L19),'env Parameter'!E:E,""),"")</f>
        <v>3.1</v>
      </c>
      <c r="D19" s="10" cm="1">
        <f t="array" ref="D19">IFERROR(_xlfn.XLOOKUP(1,('env Parameter'!$A:$A=$A19)*('env Parameter'!$B:$B=$K19)*('env Parameter'!$C:$C=$L19),'env Parameter'!F:F,""),"")</f>
        <v>450</v>
      </c>
      <c r="E19" s="10" cm="1">
        <f t="array" ref="E19">IFERROR(_xlfn.XLOOKUP(1,('env Parameter'!$A:$A=$A19)*('env Parameter'!$B:$B=$K19)*('env Parameter'!$C:$C=$L19),'env Parameter'!G:G,""),"")</f>
        <v>8</v>
      </c>
      <c r="F19" t="str">
        <f>eDNA!F19</f>
        <v>MiFish</v>
      </c>
      <c r="G19" t="str">
        <f>eDNA!D19</f>
        <v>Carassius auratus</v>
      </c>
      <c r="H19" t="str">
        <f>_xlfn.XLOOKUP(G19,'Common name (master file)'!$B:$B,'Common name (master file)'!$A:$A,"-------------")</f>
        <v>붕어</v>
      </c>
      <c r="I19">
        <f>eDNA!E19</f>
        <v>29</v>
      </c>
      <c r="J19" t="str">
        <f>_xlfn.XLOOKUP(G19,'Common name (master file)'!$B:$B,'Common name (master file)'!$C:$C,"")</f>
        <v>어류</v>
      </c>
      <c r="K19">
        <f>eDNA!B19</f>
        <v>126.95619790000001</v>
      </c>
      <c r="L19">
        <f>eDNA!C19</f>
        <v>37.363509200000003</v>
      </c>
      <c r="M19" s="10" t="str" cm="1">
        <f t="array" ref="M19">IFERROR(_xlfn.XLOOKUP(1,('env Parameter'!$A:$A=$A19)*('env Parameter'!$B:$B=$K19)*('env Parameter'!$C:$C=$L19),'env Parameter'!D:D,""),"")</f>
        <v>안양천-2</v>
      </c>
      <c r="N19" s="10" t="str" cm="1">
        <f t="array" ref="N19">IFERROR(_xlfn.XLOOKUP(1,('env Parameter'!$A:$A=$A19)*('env Parameter'!$B:$B=$K19)*('env Parameter'!$C:$C=$L19),'env Parameter'!I:I,""),"")</f>
        <v>YR</v>
      </c>
    </row>
    <row r="20" spans="1:14">
      <c r="A20">
        <f>eDNA!A20</f>
        <v>20200716</v>
      </c>
      <c r="B20" s="10" t="str" cm="1">
        <f t="array" ref="B20">IFERROR(_xlfn.XLOOKUP(1,('env Parameter'!$A:$A=$A20)*('env Parameter'!$B:$B=$K20)*('env Parameter'!$C:$C=$L20),'env Parameter'!H:H,""),"")</f>
        <v>생물상 조사</v>
      </c>
      <c r="C20" s="10" cm="1">
        <f t="array" ref="C20">IFERROR(_xlfn.XLOOKUP(1,('env Parameter'!$A:$A=$A20)*('env Parameter'!$B:$B=$K20)*('env Parameter'!$C:$C=$L20),'env Parameter'!E:E,""),"")</f>
        <v>3.1</v>
      </c>
      <c r="D20" s="10" cm="1">
        <f t="array" ref="D20">IFERROR(_xlfn.XLOOKUP(1,('env Parameter'!$A:$A=$A20)*('env Parameter'!$B:$B=$K20)*('env Parameter'!$C:$C=$L20),'env Parameter'!F:F,""),"")</f>
        <v>450</v>
      </c>
      <c r="E20" s="10" cm="1">
        <f t="array" ref="E20">IFERROR(_xlfn.XLOOKUP(1,('env Parameter'!$A:$A=$A20)*('env Parameter'!$B:$B=$K20)*('env Parameter'!$C:$C=$L20),'env Parameter'!G:G,""),"")</f>
        <v>8</v>
      </c>
      <c r="F20" t="str">
        <f>eDNA!F20</f>
        <v>MiFish</v>
      </c>
      <c r="G20" t="str">
        <f>eDNA!D20</f>
        <v>Gnathopogon polytaenia</v>
      </c>
      <c r="H20" t="str">
        <f>_xlfn.XLOOKUP(G20,'Common name (master file)'!$B:$B,'Common name (master file)'!$A:$A,"-------------")</f>
        <v>폴리테니아 줄몰개</v>
      </c>
      <c r="I20">
        <f>eDNA!E20</f>
        <v>31</v>
      </c>
      <c r="J20" t="str">
        <f>_xlfn.XLOOKUP(G20,'Common name (master file)'!$B:$B,'Common name (master file)'!$C:$C,"")</f>
        <v>어류</v>
      </c>
      <c r="K20">
        <f>eDNA!B20</f>
        <v>126.95619790000001</v>
      </c>
      <c r="L20">
        <f>eDNA!C20</f>
        <v>37.363509200000003</v>
      </c>
      <c r="M20" s="10" t="str" cm="1">
        <f t="array" ref="M20">IFERROR(_xlfn.XLOOKUP(1,('env Parameter'!$A:$A=$A20)*('env Parameter'!$B:$B=$K20)*('env Parameter'!$C:$C=$L20),'env Parameter'!D:D,""),"")</f>
        <v>안양천-2</v>
      </c>
      <c r="N20" s="10" t="str" cm="1">
        <f t="array" ref="N20">IFERROR(_xlfn.XLOOKUP(1,('env Parameter'!$A:$A=$A20)*('env Parameter'!$B:$B=$K20)*('env Parameter'!$C:$C=$L20),'env Parameter'!I:I,""),"")</f>
        <v>YR</v>
      </c>
    </row>
    <row r="21" spans="1:14">
      <c r="A21">
        <f>eDNA!A21</f>
        <v>20200716</v>
      </c>
      <c r="B21" s="10" t="str" cm="1">
        <f t="array" ref="B21">IFERROR(_xlfn.XLOOKUP(1,('env Parameter'!$A:$A=$A21)*('env Parameter'!$B:$B=$K21)*('env Parameter'!$C:$C=$L21),'env Parameter'!H:H,""),"")</f>
        <v>생물상 조사</v>
      </c>
      <c r="C21" s="10" cm="1">
        <f t="array" ref="C21">IFERROR(_xlfn.XLOOKUP(1,('env Parameter'!$A:$A=$A21)*('env Parameter'!$B:$B=$K21)*('env Parameter'!$C:$C=$L21),'env Parameter'!E:E,""),"")</f>
        <v>3.1</v>
      </c>
      <c r="D21" s="10" cm="1">
        <f t="array" ref="D21">IFERROR(_xlfn.XLOOKUP(1,('env Parameter'!$A:$A=$A21)*('env Parameter'!$B:$B=$K21)*('env Parameter'!$C:$C=$L21),'env Parameter'!F:F,""),"")</f>
        <v>450</v>
      </c>
      <c r="E21" s="10" cm="1">
        <f t="array" ref="E21">IFERROR(_xlfn.XLOOKUP(1,('env Parameter'!$A:$A=$A21)*('env Parameter'!$B:$B=$K21)*('env Parameter'!$C:$C=$L21),'env Parameter'!G:G,""),"")</f>
        <v>8</v>
      </c>
      <c r="F21" t="str">
        <f>eDNA!F21</f>
        <v>MiFish</v>
      </c>
      <c r="G21" t="str">
        <f>eDNA!D21</f>
        <v>Rhynchocypris oxycephalus</v>
      </c>
      <c r="H21" t="str">
        <f>_xlfn.XLOOKUP(G21,'Common name (master file)'!$B:$B,'Common name (master file)'!$A:$A,"-------------")</f>
        <v>버들치</v>
      </c>
      <c r="I21">
        <f>eDNA!E21</f>
        <v>44</v>
      </c>
      <c r="J21" t="str">
        <f>_xlfn.XLOOKUP(G21,'Common name (master file)'!$B:$B,'Common name (master file)'!$C:$C,"")</f>
        <v>어류</v>
      </c>
      <c r="K21">
        <f>eDNA!B21</f>
        <v>126.95619790000001</v>
      </c>
      <c r="L21">
        <f>eDNA!C21</f>
        <v>37.363509200000003</v>
      </c>
      <c r="M21" s="10" t="str" cm="1">
        <f t="array" ref="M21">IFERROR(_xlfn.XLOOKUP(1,('env Parameter'!$A:$A=$A21)*('env Parameter'!$B:$B=$K21)*('env Parameter'!$C:$C=$L21),'env Parameter'!D:D,""),"")</f>
        <v>안양천-2</v>
      </c>
      <c r="N21" s="10" t="str" cm="1">
        <f t="array" ref="N21">IFERROR(_xlfn.XLOOKUP(1,('env Parameter'!$A:$A=$A21)*('env Parameter'!$B:$B=$K21)*('env Parameter'!$C:$C=$L21),'env Parameter'!I:I,""),"")</f>
        <v>YR</v>
      </c>
    </row>
    <row r="22" spans="1:14">
      <c r="A22">
        <f>eDNA!A22</f>
        <v>20200716</v>
      </c>
      <c r="B22" s="10" t="str" cm="1">
        <f t="array" ref="B22">IFERROR(_xlfn.XLOOKUP(1,('env Parameter'!$A:$A=$A22)*('env Parameter'!$B:$B=$K22)*('env Parameter'!$C:$C=$L22),'env Parameter'!H:H,""),"")</f>
        <v>생물상 조사</v>
      </c>
      <c r="C22" s="10" cm="1">
        <f t="array" ref="C22">IFERROR(_xlfn.XLOOKUP(1,('env Parameter'!$A:$A=$A22)*('env Parameter'!$B:$B=$K22)*('env Parameter'!$C:$C=$L22),'env Parameter'!E:E,""),"")</f>
        <v>3.1</v>
      </c>
      <c r="D22" s="10" cm="1">
        <f t="array" ref="D22">IFERROR(_xlfn.XLOOKUP(1,('env Parameter'!$A:$A=$A22)*('env Parameter'!$B:$B=$K22)*('env Parameter'!$C:$C=$L22),'env Parameter'!F:F,""),"")</f>
        <v>450</v>
      </c>
      <c r="E22" s="10" cm="1">
        <f t="array" ref="E22">IFERROR(_xlfn.XLOOKUP(1,('env Parameter'!$A:$A=$A22)*('env Parameter'!$B:$B=$K22)*('env Parameter'!$C:$C=$L22),'env Parameter'!G:G,""),"")</f>
        <v>8</v>
      </c>
      <c r="F22" t="str">
        <f>eDNA!F22</f>
        <v>MiFish</v>
      </c>
      <c r="G22" t="str">
        <f>eDNA!D22</f>
        <v>Sus scrofa</v>
      </c>
      <c r="H22" t="str">
        <f>_xlfn.XLOOKUP(G22,'Common name (master file)'!$B:$B,'Common name (master file)'!$A:$A,"-------------")</f>
        <v>멧돼지</v>
      </c>
      <c r="I22">
        <f>eDNA!E22</f>
        <v>46</v>
      </c>
      <c r="J22" t="str">
        <f>_xlfn.XLOOKUP(G22,'Common name (master file)'!$B:$B,'Common name (master file)'!$C:$C,"")</f>
        <v>포유류</v>
      </c>
      <c r="K22">
        <f>eDNA!B22</f>
        <v>126.95619790000001</v>
      </c>
      <c r="L22">
        <f>eDNA!C22</f>
        <v>37.363509200000003</v>
      </c>
      <c r="M22" s="10" t="str" cm="1">
        <f t="array" ref="M22">IFERROR(_xlfn.XLOOKUP(1,('env Parameter'!$A:$A=$A22)*('env Parameter'!$B:$B=$K22)*('env Parameter'!$C:$C=$L22),'env Parameter'!D:D,""),"")</f>
        <v>안양천-2</v>
      </c>
      <c r="N22" s="10" t="str" cm="1">
        <f t="array" ref="N22">IFERROR(_xlfn.XLOOKUP(1,('env Parameter'!$A:$A=$A22)*('env Parameter'!$B:$B=$K22)*('env Parameter'!$C:$C=$L22),'env Parameter'!I:I,""),"")</f>
        <v>YR</v>
      </c>
    </row>
    <row r="23" spans="1:14">
      <c r="A23">
        <f>eDNA!A23</f>
        <v>20200716</v>
      </c>
      <c r="B23" s="10" t="str" cm="1">
        <f t="array" ref="B23">IFERROR(_xlfn.XLOOKUP(1,('env Parameter'!$A:$A=$A23)*('env Parameter'!$B:$B=$K23)*('env Parameter'!$C:$C=$L23),'env Parameter'!H:H,""),"")</f>
        <v>생물상 조사</v>
      </c>
      <c r="C23" s="10" cm="1">
        <f t="array" ref="C23">IFERROR(_xlfn.XLOOKUP(1,('env Parameter'!$A:$A=$A23)*('env Parameter'!$B:$B=$K23)*('env Parameter'!$C:$C=$L23),'env Parameter'!E:E,""),"")</f>
        <v>3.1</v>
      </c>
      <c r="D23" s="10" cm="1">
        <f t="array" ref="D23">IFERROR(_xlfn.XLOOKUP(1,('env Parameter'!$A:$A=$A23)*('env Parameter'!$B:$B=$K23)*('env Parameter'!$C:$C=$L23),'env Parameter'!F:F,""),"")</f>
        <v>450</v>
      </c>
      <c r="E23" s="10" cm="1">
        <f t="array" ref="E23">IFERROR(_xlfn.XLOOKUP(1,('env Parameter'!$A:$A=$A23)*('env Parameter'!$B:$B=$K23)*('env Parameter'!$C:$C=$L23),'env Parameter'!G:G,""),"")</f>
        <v>8</v>
      </c>
      <c r="F23" t="str">
        <f>eDNA!F23</f>
        <v>MiFish</v>
      </c>
      <c r="G23" t="str">
        <f>eDNA!D23</f>
        <v>Paramisgurnus dabryanus</v>
      </c>
      <c r="H23" t="str">
        <f>_xlfn.XLOOKUP(G23,'Common name (master file)'!$B:$B,'Common name (master file)'!$A:$A,"-------------")</f>
        <v>중국미꾸라지</v>
      </c>
      <c r="I23">
        <f>eDNA!E23</f>
        <v>47</v>
      </c>
      <c r="J23" t="str">
        <f>_xlfn.XLOOKUP(G23,'Common name (master file)'!$B:$B,'Common name (master file)'!$C:$C,"")</f>
        <v>어류</v>
      </c>
      <c r="K23">
        <f>eDNA!B23</f>
        <v>126.95619790000001</v>
      </c>
      <c r="L23">
        <f>eDNA!C23</f>
        <v>37.363509200000003</v>
      </c>
      <c r="M23" s="10" t="str" cm="1">
        <f t="array" ref="M23">IFERROR(_xlfn.XLOOKUP(1,('env Parameter'!$A:$A=$A23)*('env Parameter'!$B:$B=$K23)*('env Parameter'!$C:$C=$L23),'env Parameter'!D:D,""),"")</f>
        <v>안양천-2</v>
      </c>
      <c r="N23" s="10" t="str" cm="1">
        <f t="array" ref="N23">IFERROR(_xlfn.XLOOKUP(1,('env Parameter'!$A:$A=$A23)*('env Parameter'!$B:$B=$K23)*('env Parameter'!$C:$C=$L23),'env Parameter'!I:I,""),"")</f>
        <v>YR</v>
      </c>
    </row>
    <row r="24" spans="1:14">
      <c r="A24">
        <f>eDNA!A24</f>
        <v>20200716</v>
      </c>
      <c r="B24" s="10" t="str" cm="1">
        <f t="array" ref="B24">IFERROR(_xlfn.XLOOKUP(1,('env Parameter'!$A:$A=$A24)*('env Parameter'!$B:$B=$K24)*('env Parameter'!$C:$C=$L24),'env Parameter'!H:H,""),"")</f>
        <v>생물상 조사</v>
      </c>
      <c r="C24" s="10" cm="1">
        <f t="array" ref="C24">IFERROR(_xlfn.XLOOKUP(1,('env Parameter'!$A:$A=$A24)*('env Parameter'!$B:$B=$K24)*('env Parameter'!$C:$C=$L24),'env Parameter'!E:E,""),"")</f>
        <v>3.1</v>
      </c>
      <c r="D24" s="10" cm="1">
        <f t="array" ref="D24">IFERROR(_xlfn.XLOOKUP(1,('env Parameter'!$A:$A=$A24)*('env Parameter'!$B:$B=$K24)*('env Parameter'!$C:$C=$L24),'env Parameter'!F:F,""),"")</f>
        <v>450</v>
      </c>
      <c r="E24" s="10" cm="1">
        <f t="array" ref="E24">IFERROR(_xlfn.XLOOKUP(1,('env Parameter'!$A:$A=$A24)*('env Parameter'!$B:$B=$K24)*('env Parameter'!$C:$C=$L24),'env Parameter'!G:G,""),"")</f>
        <v>8</v>
      </c>
      <c r="F24" t="str">
        <f>eDNA!F24</f>
        <v>MiFish</v>
      </c>
      <c r="G24" t="str">
        <f>eDNA!D24</f>
        <v>Pagrus major</v>
      </c>
      <c r="H24" t="str">
        <f>_xlfn.XLOOKUP(G24,'Common name (master file)'!$B:$B,'Common name (master file)'!$A:$A,"-------------")</f>
        <v>참돔</v>
      </c>
      <c r="I24">
        <f>eDNA!E24</f>
        <v>47</v>
      </c>
      <c r="J24" t="str">
        <f>_xlfn.XLOOKUP(G24,'Common name (master file)'!$B:$B,'Common name (master file)'!$C:$C,"")</f>
        <v>어류</v>
      </c>
      <c r="K24">
        <f>eDNA!B24</f>
        <v>126.95619790000001</v>
      </c>
      <c r="L24">
        <f>eDNA!C24</f>
        <v>37.363509200000003</v>
      </c>
      <c r="M24" s="10" t="str" cm="1">
        <f t="array" ref="M24">IFERROR(_xlfn.XLOOKUP(1,('env Parameter'!$A:$A=$A24)*('env Parameter'!$B:$B=$K24)*('env Parameter'!$C:$C=$L24),'env Parameter'!D:D,""),"")</f>
        <v>안양천-2</v>
      </c>
      <c r="N24" s="10" t="str" cm="1">
        <f t="array" ref="N24">IFERROR(_xlfn.XLOOKUP(1,('env Parameter'!$A:$A=$A24)*('env Parameter'!$B:$B=$K24)*('env Parameter'!$C:$C=$L24),'env Parameter'!I:I,""),"")</f>
        <v>YR</v>
      </c>
    </row>
    <row r="25" spans="1:14">
      <c r="A25">
        <f>eDNA!A25</f>
        <v>20200716</v>
      </c>
      <c r="B25" s="10" t="str" cm="1">
        <f t="array" ref="B25">IFERROR(_xlfn.XLOOKUP(1,('env Parameter'!$A:$A=$A25)*('env Parameter'!$B:$B=$K25)*('env Parameter'!$C:$C=$L25),'env Parameter'!H:H,""),"")</f>
        <v>생물상 조사</v>
      </c>
      <c r="C25" s="10" cm="1">
        <f t="array" ref="C25">IFERROR(_xlfn.XLOOKUP(1,('env Parameter'!$A:$A=$A25)*('env Parameter'!$B:$B=$K25)*('env Parameter'!$C:$C=$L25),'env Parameter'!E:E,""),"")</f>
        <v>3.1</v>
      </c>
      <c r="D25" s="10" cm="1">
        <f t="array" ref="D25">IFERROR(_xlfn.XLOOKUP(1,('env Parameter'!$A:$A=$A25)*('env Parameter'!$B:$B=$K25)*('env Parameter'!$C:$C=$L25),'env Parameter'!F:F,""),"")</f>
        <v>450</v>
      </c>
      <c r="E25" s="10" cm="1">
        <f t="array" ref="E25">IFERROR(_xlfn.XLOOKUP(1,('env Parameter'!$A:$A=$A25)*('env Parameter'!$B:$B=$K25)*('env Parameter'!$C:$C=$L25),'env Parameter'!G:G,""),"")</f>
        <v>8</v>
      </c>
      <c r="F25" t="str">
        <f>eDNA!F25</f>
        <v>MiFish</v>
      </c>
      <c r="G25" t="str">
        <f>eDNA!D25</f>
        <v>Pelodiscus sinensis</v>
      </c>
      <c r="H25" t="str">
        <f>_xlfn.XLOOKUP(G25,'Common name (master file)'!$B:$B,'Common name (master file)'!$A:$A,"-------------")</f>
        <v>중국자라</v>
      </c>
      <c r="I25">
        <f>eDNA!E25</f>
        <v>92</v>
      </c>
      <c r="J25" t="str">
        <f>_xlfn.XLOOKUP(G25,'Common name (master file)'!$B:$B,'Common name (master file)'!$C:$C,"")</f>
        <v>양서파충류</v>
      </c>
      <c r="K25">
        <f>eDNA!B25</f>
        <v>126.95619790000001</v>
      </c>
      <c r="L25">
        <f>eDNA!C25</f>
        <v>37.363509200000003</v>
      </c>
      <c r="M25" s="10" t="str" cm="1">
        <f t="array" ref="M25">IFERROR(_xlfn.XLOOKUP(1,('env Parameter'!$A:$A=$A25)*('env Parameter'!$B:$B=$K25)*('env Parameter'!$C:$C=$L25),'env Parameter'!D:D,""),"")</f>
        <v>안양천-2</v>
      </c>
      <c r="N25" s="10" t="str" cm="1">
        <f t="array" ref="N25">IFERROR(_xlfn.XLOOKUP(1,('env Parameter'!$A:$A=$A25)*('env Parameter'!$B:$B=$K25)*('env Parameter'!$C:$C=$L25),'env Parameter'!I:I,""),"")</f>
        <v>YR</v>
      </c>
    </row>
    <row r="26" spans="1:14">
      <c r="A26">
        <f>eDNA!A26</f>
        <v>20200716</v>
      </c>
      <c r="B26" s="10" t="str" cm="1">
        <f t="array" ref="B26">IFERROR(_xlfn.XLOOKUP(1,('env Parameter'!$A:$A=$A26)*('env Parameter'!$B:$B=$K26)*('env Parameter'!$C:$C=$L26),'env Parameter'!H:H,""),"")</f>
        <v>생물상 조사</v>
      </c>
      <c r="C26" s="10" cm="1">
        <f t="array" ref="C26">IFERROR(_xlfn.XLOOKUP(1,('env Parameter'!$A:$A=$A26)*('env Parameter'!$B:$B=$K26)*('env Parameter'!$C:$C=$L26),'env Parameter'!E:E,""),"")</f>
        <v>3.1</v>
      </c>
      <c r="D26" s="10" cm="1">
        <f t="array" ref="D26">IFERROR(_xlfn.XLOOKUP(1,('env Parameter'!$A:$A=$A26)*('env Parameter'!$B:$B=$K26)*('env Parameter'!$C:$C=$L26),'env Parameter'!F:F,""),"")</f>
        <v>450</v>
      </c>
      <c r="E26" s="10" cm="1">
        <f t="array" ref="E26">IFERROR(_xlfn.XLOOKUP(1,('env Parameter'!$A:$A=$A26)*('env Parameter'!$B:$B=$K26)*('env Parameter'!$C:$C=$L26),'env Parameter'!G:G,""),"")</f>
        <v>8</v>
      </c>
      <c r="F26" t="str">
        <f>eDNA!F26</f>
        <v>MiFish</v>
      </c>
      <c r="G26" t="str">
        <f>eDNA!D26</f>
        <v>Pseudogobio esocinus</v>
      </c>
      <c r="H26" t="str">
        <f>_xlfn.XLOOKUP(G26,'Common name (master file)'!$B:$B,'Common name (master file)'!$A:$A,"-------------")</f>
        <v>모래무지</v>
      </c>
      <c r="I26">
        <f>eDNA!E26</f>
        <v>366</v>
      </c>
      <c r="J26" t="str">
        <f>_xlfn.XLOOKUP(G26,'Common name (master file)'!$B:$B,'Common name (master file)'!$C:$C,"")</f>
        <v>어류</v>
      </c>
      <c r="K26">
        <f>eDNA!B26</f>
        <v>126.95619790000001</v>
      </c>
      <c r="L26">
        <f>eDNA!C26</f>
        <v>37.363509200000003</v>
      </c>
      <c r="M26" s="10" t="str" cm="1">
        <f t="array" ref="M26">IFERROR(_xlfn.XLOOKUP(1,('env Parameter'!$A:$A=$A26)*('env Parameter'!$B:$B=$K26)*('env Parameter'!$C:$C=$L26),'env Parameter'!D:D,""),"")</f>
        <v>안양천-2</v>
      </c>
      <c r="N26" s="10" t="str" cm="1">
        <f t="array" ref="N26">IFERROR(_xlfn.XLOOKUP(1,('env Parameter'!$A:$A=$A26)*('env Parameter'!$B:$B=$K26)*('env Parameter'!$C:$C=$L26),'env Parameter'!I:I,""),"")</f>
        <v>YR</v>
      </c>
    </row>
    <row r="27" spans="1:14">
      <c r="A27">
        <f>eDNA!A27</f>
        <v>20200716</v>
      </c>
      <c r="B27" s="10" t="str" cm="1">
        <f t="array" ref="B27">IFERROR(_xlfn.XLOOKUP(1,('env Parameter'!$A:$A=$A27)*('env Parameter'!$B:$B=$K27)*('env Parameter'!$C:$C=$L27),'env Parameter'!H:H,""),"")</f>
        <v>생물상 조사</v>
      </c>
      <c r="C27" s="10" cm="1">
        <f t="array" ref="C27">IFERROR(_xlfn.XLOOKUP(1,('env Parameter'!$A:$A=$A27)*('env Parameter'!$B:$B=$K27)*('env Parameter'!$C:$C=$L27),'env Parameter'!E:E,""),"")</f>
        <v>3.1</v>
      </c>
      <c r="D27" s="10" cm="1">
        <f t="array" ref="D27">IFERROR(_xlfn.XLOOKUP(1,('env Parameter'!$A:$A=$A27)*('env Parameter'!$B:$B=$K27)*('env Parameter'!$C:$C=$L27),'env Parameter'!F:F,""),"")</f>
        <v>450</v>
      </c>
      <c r="E27" s="10" cm="1">
        <f t="array" ref="E27">IFERROR(_xlfn.XLOOKUP(1,('env Parameter'!$A:$A=$A27)*('env Parameter'!$B:$B=$K27)*('env Parameter'!$C:$C=$L27),'env Parameter'!G:G,""),"")</f>
        <v>8</v>
      </c>
      <c r="F27" t="str">
        <f>eDNA!F27</f>
        <v>MiFish</v>
      </c>
      <c r="G27" t="str">
        <f>eDNA!D27</f>
        <v>Carassius sp.</v>
      </c>
      <c r="H27" t="str">
        <f>_xlfn.XLOOKUP(G27,'Common name (master file)'!$B:$B,'Common name (master file)'!$A:$A,"-------------")</f>
        <v>붕어 속</v>
      </c>
      <c r="I27">
        <f>eDNA!E27</f>
        <v>423</v>
      </c>
      <c r="J27" t="str">
        <f>_xlfn.XLOOKUP(G27,'Common name (master file)'!$B:$B,'Common name (master file)'!$C:$C,"")</f>
        <v>어류</v>
      </c>
      <c r="K27">
        <f>eDNA!B27</f>
        <v>126.95619790000001</v>
      </c>
      <c r="L27">
        <f>eDNA!C27</f>
        <v>37.363509200000003</v>
      </c>
      <c r="M27" s="10" t="str" cm="1">
        <f t="array" ref="M27">IFERROR(_xlfn.XLOOKUP(1,('env Parameter'!$A:$A=$A27)*('env Parameter'!$B:$B=$K27)*('env Parameter'!$C:$C=$L27),'env Parameter'!D:D,""),"")</f>
        <v>안양천-2</v>
      </c>
      <c r="N27" s="10" t="str" cm="1">
        <f t="array" ref="N27">IFERROR(_xlfn.XLOOKUP(1,('env Parameter'!$A:$A=$A27)*('env Parameter'!$B:$B=$K27)*('env Parameter'!$C:$C=$L27),'env Parameter'!I:I,""),"")</f>
        <v>YR</v>
      </c>
    </row>
    <row r="28" spans="1:14">
      <c r="A28">
        <f>eDNA!A28</f>
        <v>20200716</v>
      </c>
      <c r="B28" s="10" t="str" cm="1">
        <f t="array" ref="B28">IFERROR(_xlfn.XLOOKUP(1,('env Parameter'!$A:$A=$A28)*('env Parameter'!$B:$B=$K28)*('env Parameter'!$C:$C=$L28),'env Parameter'!H:H,""),"")</f>
        <v>생물상 조사</v>
      </c>
      <c r="C28" s="10" cm="1">
        <f t="array" ref="C28">IFERROR(_xlfn.XLOOKUP(1,('env Parameter'!$A:$A=$A28)*('env Parameter'!$B:$B=$K28)*('env Parameter'!$C:$C=$L28),'env Parameter'!E:E,""),"")</f>
        <v>3.1</v>
      </c>
      <c r="D28" s="10" cm="1">
        <f t="array" ref="D28">IFERROR(_xlfn.XLOOKUP(1,('env Parameter'!$A:$A=$A28)*('env Parameter'!$B:$B=$K28)*('env Parameter'!$C:$C=$L28),'env Parameter'!F:F,""),"")</f>
        <v>450</v>
      </c>
      <c r="E28" s="10" cm="1">
        <f t="array" ref="E28">IFERROR(_xlfn.XLOOKUP(1,('env Parameter'!$A:$A=$A28)*('env Parameter'!$B:$B=$K28)*('env Parameter'!$C:$C=$L28),'env Parameter'!G:G,""),"")</f>
        <v>8</v>
      </c>
      <c r="F28" t="str">
        <f>eDNA!F28</f>
        <v>MiFish</v>
      </c>
      <c r="G28" t="str">
        <f>eDNA!D28</f>
        <v>Gnathopogon strigatus</v>
      </c>
      <c r="H28" t="str">
        <f>_xlfn.XLOOKUP(G28,'Common name (master file)'!$B:$B,'Common name (master file)'!$A:$A,"-------------")</f>
        <v>줄몰개</v>
      </c>
      <c r="I28">
        <f>eDNA!E28</f>
        <v>618</v>
      </c>
      <c r="J28" t="str">
        <f>_xlfn.XLOOKUP(G28,'Common name (master file)'!$B:$B,'Common name (master file)'!$C:$C,"")</f>
        <v>어류</v>
      </c>
      <c r="K28">
        <f>eDNA!B28</f>
        <v>126.95619790000001</v>
      </c>
      <c r="L28">
        <f>eDNA!C28</f>
        <v>37.363509200000003</v>
      </c>
      <c r="M28" s="10" t="str" cm="1">
        <f t="array" ref="M28">IFERROR(_xlfn.XLOOKUP(1,('env Parameter'!$A:$A=$A28)*('env Parameter'!$B:$B=$K28)*('env Parameter'!$C:$C=$L28),'env Parameter'!D:D,""),"")</f>
        <v>안양천-2</v>
      </c>
      <c r="N28" s="10" t="str" cm="1">
        <f t="array" ref="N28">IFERROR(_xlfn.XLOOKUP(1,('env Parameter'!$A:$A=$A28)*('env Parameter'!$B:$B=$K28)*('env Parameter'!$C:$C=$L28),'env Parameter'!I:I,""),"")</f>
        <v>YR</v>
      </c>
    </row>
    <row r="29" spans="1:14">
      <c r="A29">
        <f>eDNA!A29</f>
        <v>20200716</v>
      </c>
      <c r="B29" s="10" t="str" cm="1">
        <f t="array" ref="B29">IFERROR(_xlfn.XLOOKUP(1,('env Parameter'!$A:$A=$A29)*('env Parameter'!$B:$B=$K29)*('env Parameter'!$C:$C=$L29),'env Parameter'!H:H,""),"")</f>
        <v>생물상 조사</v>
      </c>
      <c r="C29" s="10" cm="1">
        <f t="array" ref="C29">IFERROR(_xlfn.XLOOKUP(1,('env Parameter'!$A:$A=$A29)*('env Parameter'!$B:$B=$K29)*('env Parameter'!$C:$C=$L29),'env Parameter'!E:E,""),"")</f>
        <v>3.1</v>
      </c>
      <c r="D29" s="10" cm="1">
        <f t="array" ref="D29">IFERROR(_xlfn.XLOOKUP(1,('env Parameter'!$A:$A=$A29)*('env Parameter'!$B:$B=$K29)*('env Parameter'!$C:$C=$L29),'env Parameter'!F:F,""),"")</f>
        <v>450</v>
      </c>
      <c r="E29" s="10" cm="1">
        <f t="array" ref="E29">IFERROR(_xlfn.XLOOKUP(1,('env Parameter'!$A:$A=$A29)*('env Parameter'!$B:$B=$K29)*('env Parameter'!$C:$C=$L29),'env Parameter'!G:G,""),"")</f>
        <v>8</v>
      </c>
      <c r="F29" t="str">
        <f>eDNA!F29</f>
        <v>MiFish</v>
      </c>
      <c r="G29" t="str">
        <f>eDNA!D29</f>
        <v>Silurus soldatovi</v>
      </c>
      <c r="H29" t="str">
        <f>_xlfn.XLOOKUP(G29,'Common name (master file)'!$B:$B,'Common name (master file)'!$A:$A,"-------------")</f>
        <v>솔다토비 메기</v>
      </c>
      <c r="I29">
        <f>eDNA!E29</f>
        <v>4729</v>
      </c>
      <c r="J29" t="str">
        <f>_xlfn.XLOOKUP(G29,'Common name (master file)'!$B:$B,'Common name (master file)'!$C:$C,"")</f>
        <v>어류</v>
      </c>
      <c r="K29">
        <f>eDNA!B29</f>
        <v>126.95619790000001</v>
      </c>
      <c r="L29">
        <f>eDNA!C29</f>
        <v>37.363509200000003</v>
      </c>
      <c r="M29" s="10" t="str" cm="1">
        <f t="array" ref="M29">IFERROR(_xlfn.XLOOKUP(1,('env Parameter'!$A:$A=$A29)*('env Parameter'!$B:$B=$K29)*('env Parameter'!$C:$C=$L29),'env Parameter'!D:D,""),"")</f>
        <v>안양천-2</v>
      </c>
      <c r="N29" s="10" t="str" cm="1">
        <f t="array" ref="N29">IFERROR(_xlfn.XLOOKUP(1,('env Parameter'!$A:$A=$A29)*('env Parameter'!$B:$B=$K29)*('env Parameter'!$C:$C=$L29),'env Parameter'!I:I,""),"")</f>
        <v>YR</v>
      </c>
    </row>
    <row r="30" spans="1:14">
      <c r="A30">
        <f>eDNA!A30</f>
        <v>20200716</v>
      </c>
      <c r="B30" s="10" t="str" cm="1">
        <f t="array" ref="B30">IFERROR(_xlfn.XLOOKUP(1,('env Parameter'!$A:$A=$A30)*('env Parameter'!$B:$B=$K30)*('env Parameter'!$C:$C=$L30),'env Parameter'!H:H,""),"")</f>
        <v>생물상 조사</v>
      </c>
      <c r="C30" s="10" cm="1">
        <f t="array" ref="C30">IFERROR(_xlfn.XLOOKUP(1,('env Parameter'!$A:$A=$A30)*('env Parameter'!$B:$B=$K30)*('env Parameter'!$C:$C=$L30),'env Parameter'!E:E,""),"")</f>
        <v>3.1</v>
      </c>
      <c r="D30" s="10" cm="1">
        <f t="array" ref="D30">IFERROR(_xlfn.XLOOKUP(1,('env Parameter'!$A:$A=$A30)*('env Parameter'!$B:$B=$K30)*('env Parameter'!$C:$C=$L30),'env Parameter'!F:F,""),"")</f>
        <v>450</v>
      </c>
      <c r="E30" s="10" cm="1">
        <f t="array" ref="E30">IFERROR(_xlfn.XLOOKUP(1,('env Parameter'!$A:$A=$A30)*('env Parameter'!$B:$B=$K30)*('env Parameter'!$C:$C=$L30),'env Parameter'!G:G,""),"")</f>
        <v>8</v>
      </c>
      <c r="F30" t="str">
        <f>eDNA!F30</f>
        <v>MiFish</v>
      </c>
      <c r="G30" t="str">
        <f>eDNA!D30</f>
        <v>Misgurnus mizolepis</v>
      </c>
      <c r="H30" t="str">
        <f>_xlfn.XLOOKUP(G30,'Common name (master file)'!$B:$B,'Common name (master file)'!$A:$A,"-------------")</f>
        <v>미꾸라지</v>
      </c>
      <c r="I30">
        <f>eDNA!E30</f>
        <v>6227</v>
      </c>
      <c r="J30" t="str">
        <f>_xlfn.XLOOKUP(G30,'Common name (master file)'!$B:$B,'Common name (master file)'!$C:$C,"")</f>
        <v>어류</v>
      </c>
      <c r="K30">
        <f>eDNA!B30</f>
        <v>126.95619790000001</v>
      </c>
      <c r="L30">
        <f>eDNA!C30</f>
        <v>37.363509200000003</v>
      </c>
      <c r="M30" s="10" t="str" cm="1">
        <f t="array" ref="M30">IFERROR(_xlfn.XLOOKUP(1,('env Parameter'!$A:$A=$A30)*('env Parameter'!$B:$B=$K30)*('env Parameter'!$C:$C=$L30),'env Parameter'!D:D,""),"")</f>
        <v>안양천-2</v>
      </c>
      <c r="N30" s="10" t="str" cm="1">
        <f t="array" ref="N30">IFERROR(_xlfn.XLOOKUP(1,('env Parameter'!$A:$A=$A30)*('env Parameter'!$B:$B=$K30)*('env Parameter'!$C:$C=$L30),'env Parameter'!I:I,""),"")</f>
        <v>YR</v>
      </c>
    </row>
    <row r="31" spans="1:14">
      <c r="A31">
        <f>eDNA!A31</f>
        <v>20200716</v>
      </c>
      <c r="B31" s="10" t="str" cm="1">
        <f t="array" ref="B31">IFERROR(_xlfn.XLOOKUP(1,('env Parameter'!$A:$A=$A31)*('env Parameter'!$B:$B=$K31)*('env Parameter'!$C:$C=$L31),'env Parameter'!H:H,""),"")</f>
        <v>생물상 조사</v>
      </c>
      <c r="C31" s="10" cm="1">
        <f t="array" ref="C31">IFERROR(_xlfn.XLOOKUP(1,('env Parameter'!$A:$A=$A31)*('env Parameter'!$B:$B=$K31)*('env Parameter'!$C:$C=$L31),'env Parameter'!E:E,""),"")</f>
        <v>3.1</v>
      </c>
      <c r="D31" s="10" cm="1">
        <f t="array" ref="D31">IFERROR(_xlfn.XLOOKUP(1,('env Parameter'!$A:$A=$A31)*('env Parameter'!$B:$B=$K31)*('env Parameter'!$C:$C=$L31),'env Parameter'!F:F,""),"")</f>
        <v>450</v>
      </c>
      <c r="E31" s="10" cm="1">
        <f t="array" ref="E31">IFERROR(_xlfn.XLOOKUP(1,('env Parameter'!$A:$A=$A31)*('env Parameter'!$B:$B=$K31)*('env Parameter'!$C:$C=$L31),'env Parameter'!G:G,""),"")</f>
        <v>8</v>
      </c>
      <c r="F31" t="str">
        <f>eDNA!F31</f>
        <v>MiFish</v>
      </c>
      <c r="G31" t="str">
        <f>eDNA!D31</f>
        <v>Pseudorasbora parva</v>
      </c>
      <c r="H31" t="str">
        <f>_xlfn.XLOOKUP(G31,'Common name (master file)'!$B:$B,'Common name (master file)'!$A:$A,"-------------")</f>
        <v>참붕어</v>
      </c>
      <c r="I31">
        <f>eDNA!E31</f>
        <v>9140</v>
      </c>
      <c r="J31" t="str">
        <f>_xlfn.XLOOKUP(G31,'Common name (master file)'!$B:$B,'Common name (master file)'!$C:$C,"")</f>
        <v>어류</v>
      </c>
      <c r="K31">
        <f>eDNA!B31</f>
        <v>126.95619790000001</v>
      </c>
      <c r="L31">
        <f>eDNA!C31</f>
        <v>37.363509200000003</v>
      </c>
      <c r="M31" s="10" t="str" cm="1">
        <f t="array" ref="M31">IFERROR(_xlfn.XLOOKUP(1,('env Parameter'!$A:$A=$A31)*('env Parameter'!$B:$B=$K31)*('env Parameter'!$C:$C=$L31),'env Parameter'!D:D,""),"")</f>
        <v>안양천-2</v>
      </c>
      <c r="N31" s="10" t="str" cm="1">
        <f t="array" ref="N31">IFERROR(_xlfn.XLOOKUP(1,('env Parameter'!$A:$A=$A31)*('env Parameter'!$B:$B=$K31)*('env Parameter'!$C:$C=$L31),'env Parameter'!I:I,""),"")</f>
        <v>YR</v>
      </c>
    </row>
    <row r="32" spans="1:14">
      <c r="A32">
        <f>eDNA!A32</f>
        <v>20200716</v>
      </c>
      <c r="B32" s="10" t="str" cm="1">
        <f t="array" ref="B32">IFERROR(_xlfn.XLOOKUP(1,('env Parameter'!$A:$A=$A32)*('env Parameter'!$B:$B=$K32)*('env Parameter'!$C:$C=$L32),'env Parameter'!H:H,""),"")</f>
        <v>생물상 조사</v>
      </c>
      <c r="C32" s="10" cm="1">
        <f t="array" ref="C32">IFERROR(_xlfn.XLOOKUP(1,('env Parameter'!$A:$A=$A32)*('env Parameter'!$B:$B=$K32)*('env Parameter'!$C:$C=$L32),'env Parameter'!E:E,""),"")</f>
        <v>3.1</v>
      </c>
      <c r="D32" s="10" cm="1">
        <f t="array" ref="D32">IFERROR(_xlfn.XLOOKUP(1,('env Parameter'!$A:$A=$A32)*('env Parameter'!$B:$B=$K32)*('env Parameter'!$C:$C=$L32),'env Parameter'!F:F,""),"")</f>
        <v>450</v>
      </c>
      <c r="E32" s="10" cm="1">
        <f t="array" ref="E32">IFERROR(_xlfn.XLOOKUP(1,('env Parameter'!$A:$A=$A32)*('env Parameter'!$B:$B=$K32)*('env Parameter'!$C:$C=$L32),'env Parameter'!G:G,""),"")</f>
        <v>8</v>
      </c>
      <c r="F32" t="str">
        <f>eDNA!F32</f>
        <v>MiFish</v>
      </c>
      <c r="G32" t="str">
        <f>eDNA!D32</f>
        <v>Carassius gibelio</v>
      </c>
      <c r="H32" t="str">
        <f>_xlfn.XLOOKUP(G32,'Common name (master file)'!$B:$B,'Common name (master file)'!$A:$A,"-------------")</f>
        <v>기벨리오 붕어</v>
      </c>
      <c r="I32">
        <f>eDNA!E32</f>
        <v>11055</v>
      </c>
      <c r="J32" t="str">
        <f>_xlfn.XLOOKUP(G32,'Common name (master file)'!$B:$B,'Common name (master file)'!$C:$C,"")</f>
        <v>어류</v>
      </c>
      <c r="K32">
        <f>eDNA!B32</f>
        <v>126.95619790000001</v>
      </c>
      <c r="L32">
        <f>eDNA!C32</f>
        <v>37.363509200000003</v>
      </c>
      <c r="M32" s="10" t="str" cm="1">
        <f t="array" ref="M32">IFERROR(_xlfn.XLOOKUP(1,('env Parameter'!$A:$A=$A32)*('env Parameter'!$B:$B=$K32)*('env Parameter'!$C:$C=$L32),'env Parameter'!D:D,""),"")</f>
        <v>안양천-2</v>
      </c>
      <c r="N32" s="10" t="str" cm="1">
        <f t="array" ref="N32">IFERROR(_xlfn.XLOOKUP(1,('env Parameter'!$A:$A=$A32)*('env Parameter'!$B:$B=$K32)*('env Parameter'!$C:$C=$L32),'env Parameter'!I:I,""),"")</f>
        <v>YR</v>
      </c>
    </row>
    <row r="33" spans="1:14">
      <c r="A33">
        <f>eDNA!A33</f>
        <v>20200716</v>
      </c>
      <c r="B33" s="10" t="str" cm="1">
        <f t="array" ref="B33">IFERROR(_xlfn.XLOOKUP(1,('env Parameter'!$A:$A=$A33)*('env Parameter'!$B:$B=$K33)*('env Parameter'!$C:$C=$L33),'env Parameter'!H:H,""),"")</f>
        <v>생물상 조사</v>
      </c>
      <c r="C33" s="10" cm="1">
        <f t="array" ref="C33">IFERROR(_xlfn.XLOOKUP(1,('env Parameter'!$A:$A=$A33)*('env Parameter'!$B:$B=$K33)*('env Parameter'!$C:$C=$L33),'env Parameter'!E:E,""),"")</f>
        <v>3.1</v>
      </c>
      <c r="D33" s="10" cm="1">
        <f t="array" ref="D33">IFERROR(_xlfn.XLOOKUP(1,('env Parameter'!$A:$A=$A33)*('env Parameter'!$B:$B=$K33)*('env Parameter'!$C:$C=$L33),'env Parameter'!F:F,""),"")</f>
        <v>450</v>
      </c>
      <c r="E33" s="10" cm="1">
        <f t="array" ref="E33">IFERROR(_xlfn.XLOOKUP(1,('env Parameter'!$A:$A=$A33)*('env Parameter'!$B:$B=$K33)*('env Parameter'!$C:$C=$L33),'env Parameter'!G:G,""),"")</f>
        <v>8</v>
      </c>
      <c r="F33" t="str">
        <f>eDNA!F33</f>
        <v>MiFish</v>
      </c>
      <c r="G33" t="str">
        <f>eDNA!D33</f>
        <v>Zacco platypus</v>
      </c>
      <c r="H33" t="str">
        <f>_xlfn.XLOOKUP(G33,'Common name (master file)'!$B:$B,'Common name (master file)'!$A:$A,"-------------")</f>
        <v>피라미</v>
      </c>
      <c r="I33">
        <f>eDNA!E33</f>
        <v>31202</v>
      </c>
      <c r="J33" t="str">
        <f>_xlfn.XLOOKUP(G33,'Common name (master file)'!$B:$B,'Common name (master file)'!$C:$C,"")</f>
        <v>어류</v>
      </c>
      <c r="K33">
        <f>eDNA!B33</f>
        <v>126.95619790000001</v>
      </c>
      <c r="L33">
        <f>eDNA!C33</f>
        <v>37.363509200000003</v>
      </c>
      <c r="M33" s="10" t="str" cm="1">
        <f t="array" ref="M33">IFERROR(_xlfn.XLOOKUP(1,('env Parameter'!$A:$A=$A33)*('env Parameter'!$B:$B=$K33)*('env Parameter'!$C:$C=$L33),'env Parameter'!D:D,""),"")</f>
        <v>안양천-2</v>
      </c>
      <c r="N33" s="10" t="str" cm="1">
        <f t="array" ref="N33">IFERROR(_xlfn.XLOOKUP(1,('env Parameter'!$A:$A=$A33)*('env Parameter'!$B:$B=$K33)*('env Parameter'!$C:$C=$L33),'env Parameter'!I:I,""),"")</f>
        <v>YR</v>
      </c>
    </row>
    <row r="34" spans="1:14">
      <c r="A34">
        <f>eDNA!A34</f>
        <v>20200716</v>
      </c>
      <c r="B34" s="10" t="str" cm="1">
        <f t="array" ref="B34">IFERROR(_xlfn.XLOOKUP(1,('env Parameter'!$A:$A=$A34)*('env Parameter'!$B:$B=$K34)*('env Parameter'!$C:$C=$L34),'env Parameter'!H:H,""),"")</f>
        <v>생물상 조사</v>
      </c>
      <c r="C34" s="10" cm="1">
        <f t="array" ref="C34">IFERROR(_xlfn.XLOOKUP(1,('env Parameter'!$A:$A=$A34)*('env Parameter'!$B:$B=$K34)*('env Parameter'!$C:$C=$L34),'env Parameter'!E:E,""),"")</f>
        <v>3.1</v>
      </c>
      <c r="D34" s="10" cm="1">
        <f t="array" ref="D34">IFERROR(_xlfn.XLOOKUP(1,('env Parameter'!$A:$A=$A34)*('env Parameter'!$B:$B=$K34)*('env Parameter'!$C:$C=$L34),'env Parameter'!F:F,""),"")</f>
        <v>450</v>
      </c>
      <c r="E34" s="10" cm="1">
        <f t="array" ref="E34">IFERROR(_xlfn.XLOOKUP(1,('env Parameter'!$A:$A=$A34)*('env Parameter'!$B:$B=$K34)*('env Parameter'!$C:$C=$L34),'env Parameter'!G:G,""),"")</f>
        <v>8</v>
      </c>
      <c r="F34" t="str">
        <f>eDNA!F34</f>
        <v>MiFish</v>
      </c>
      <c r="G34" t="str">
        <f>eDNA!D34</f>
        <v>Odontobutis interrupta</v>
      </c>
      <c r="H34" t="str">
        <f>_xlfn.XLOOKUP(G34,'Common name (master file)'!$B:$B,'Common name (master file)'!$A:$A,"-------------")</f>
        <v>얼록동사리</v>
      </c>
      <c r="I34">
        <f>eDNA!E34</f>
        <v>20664</v>
      </c>
      <c r="J34" t="str">
        <f>_xlfn.XLOOKUP(G34,'Common name (master file)'!$B:$B,'Common name (master file)'!$C:$C,"")</f>
        <v>어류</v>
      </c>
      <c r="K34">
        <f>eDNA!B34</f>
        <v>126.95619790000001</v>
      </c>
      <c r="L34">
        <f>eDNA!C34</f>
        <v>37.363509200000003</v>
      </c>
      <c r="M34" s="10" t="str" cm="1">
        <f t="array" ref="M34">IFERROR(_xlfn.XLOOKUP(1,('env Parameter'!$A:$A=$A34)*('env Parameter'!$B:$B=$K34)*('env Parameter'!$C:$C=$L34),'env Parameter'!D:D,""),"")</f>
        <v>안양천-2</v>
      </c>
      <c r="N34" s="10" t="str" cm="1">
        <f t="array" ref="N34">IFERROR(_xlfn.XLOOKUP(1,('env Parameter'!$A:$A=$A34)*('env Parameter'!$B:$B=$K34)*('env Parameter'!$C:$C=$L34),'env Parameter'!I:I,""),"")</f>
        <v>YR</v>
      </c>
    </row>
    <row r="35" spans="1:14">
      <c r="A35">
        <f>eDNA!A35</f>
        <v>20200716</v>
      </c>
      <c r="B35" s="10" t="str" cm="1">
        <f t="array" ref="B35">IFERROR(_xlfn.XLOOKUP(1,('env Parameter'!$A:$A=$A35)*('env Parameter'!$B:$B=$K35)*('env Parameter'!$C:$C=$L35),'env Parameter'!H:H,""),"")</f>
        <v>생물상 조사</v>
      </c>
      <c r="C35" s="10" cm="1">
        <f t="array" ref="C35">IFERROR(_xlfn.XLOOKUP(1,('env Parameter'!$A:$A=$A35)*('env Parameter'!$B:$B=$K35)*('env Parameter'!$C:$C=$L35),'env Parameter'!E:E,""),"")</f>
        <v>2.14</v>
      </c>
      <c r="D35" s="10" cm="1">
        <f t="array" ref="D35">IFERROR(_xlfn.XLOOKUP(1,('env Parameter'!$A:$A=$A35)*('env Parameter'!$B:$B=$K35)*('env Parameter'!$C:$C=$L35),'env Parameter'!F:F,""),"")</f>
        <v>478</v>
      </c>
      <c r="E35" s="10" cm="1">
        <f t="array" ref="E35">IFERROR(_xlfn.XLOOKUP(1,('env Parameter'!$A:$A=$A35)*('env Parameter'!$B:$B=$K35)*('env Parameter'!$C:$C=$L35),'env Parameter'!G:G,""),"")</f>
        <v>7.6</v>
      </c>
      <c r="F35" t="str">
        <f>eDNA!F35</f>
        <v>MiFish</v>
      </c>
      <c r="G35" t="str">
        <f>eDNA!D35</f>
        <v>Sus scrofa</v>
      </c>
      <c r="H35" t="str">
        <f>_xlfn.XLOOKUP(G35,'Common name (master file)'!$B:$B,'Common name (master file)'!$A:$A,"-------------")</f>
        <v>멧돼지</v>
      </c>
      <c r="I35">
        <f>eDNA!E35</f>
        <v>15</v>
      </c>
      <c r="J35" t="str">
        <f>_xlfn.XLOOKUP(G35,'Common name (master file)'!$B:$B,'Common name (master file)'!$C:$C,"")</f>
        <v>포유류</v>
      </c>
      <c r="K35">
        <f>eDNA!B35</f>
        <v>126.94555939999999</v>
      </c>
      <c r="L35">
        <f>eDNA!C35</f>
        <v>37.373177800000001</v>
      </c>
      <c r="M35" s="10" t="str" cm="1">
        <f t="array" ref="M35">IFERROR(_xlfn.XLOOKUP(1,('env Parameter'!$A:$A=$A35)*('env Parameter'!$B:$B=$K35)*('env Parameter'!$C:$C=$L35),'env Parameter'!D:D,""),"")</f>
        <v>안양천-3</v>
      </c>
      <c r="N35" s="10" t="str" cm="1">
        <f t="array" ref="N35">IFERROR(_xlfn.XLOOKUP(1,('env Parameter'!$A:$A=$A35)*('env Parameter'!$B:$B=$K35)*('env Parameter'!$C:$C=$L35),'env Parameter'!I:I,""),"")</f>
        <v>YR</v>
      </c>
    </row>
    <row r="36" spans="1:14">
      <c r="A36">
        <f>eDNA!A36</f>
        <v>20200716</v>
      </c>
      <c r="B36" s="10" t="str" cm="1">
        <f t="array" ref="B36">IFERROR(_xlfn.XLOOKUP(1,('env Parameter'!$A:$A=$A36)*('env Parameter'!$B:$B=$K36)*('env Parameter'!$C:$C=$L36),'env Parameter'!H:H,""),"")</f>
        <v>생물상 조사</v>
      </c>
      <c r="C36" s="10" cm="1">
        <f t="array" ref="C36">IFERROR(_xlfn.XLOOKUP(1,('env Parameter'!$A:$A=$A36)*('env Parameter'!$B:$B=$K36)*('env Parameter'!$C:$C=$L36),'env Parameter'!E:E,""),"")</f>
        <v>2.14</v>
      </c>
      <c r="D36" s="10" cm="1">
        <f t="array" ref="D36">IFERROR(_xlfn.XLOOKUP(1,('env Parameter'!$A:$A=$A36)*('env Parameter'!$B:$B=$K36)*('env Parameter'!$C:$C=$L36),'env Parameter'!F:F,""),"")</f>
        <v>478</v>
      </c>
      <c r="E36" s="10" cm="1">
        <f t="array" ref="E36">IFERROR(_xlfn.XLOOKUP(1,('env Parameter'!$A:$A=$A36)*('env Parameter'!$B:$B=$K36)*('env Parameter'!$C:$C=$L36),'env Parameter'!G:G,""),"")</f>
        <v>7.6</v>
      </c>
      <c r="F36" t="str">
        <f>eDNA!F36</f>
        <v>MiFish</v>
      </c>
      <c r="G36" t="str">
        <f>eDNA!D36</f>
        <v>Homo sapiens</v>
      </c>
      <c r="H36" t="str">
        <f>_xlfn.XLOOKUP(G36,'Common name (master file)'!$B:$B,'Common name (master file)'!$A:$A,"-------------")</f>
        <v>사람</v>
      </c>
      <c r="I36">
        <f>eDNA!E36</f>
        <v>44</v>
      </c>
      <c r="J36" t="str">
        <f>_xlfn.XLOOKUP(G36,'Common name (master file)'!$B:$B,'Common name (master file)'!$C:$C,"")</f>
        <v>포유류</v>
      </c>
      <c r="K36">
        <f>eDNA!B36</f>
        <v>126.94555939999999</v>
      </c>
      <c r="L36">
        <f>eDNA!C36</f>
        <v>37.373177800000001</v>
      </c>
      <c r="M36" s="10" t="str" cm="1">
        <f t="array" ref="M36">IFERROR(_xlfn.XLOOKUP(1,('env Parameter'!$A:$A=$A36)*('env Parameter'!$B:$B=$K36)*('env Parameter'!$C:$C=$L36),'env Parameter'!D:D,""),"")</f>
        <v>안양천-3</v>
      </c>
      <c r="N36" s="10" t="str" cm="1">
        <f t="array" ref="N36">IFERROR(_xlfn.XLOOKUP(1,('env Parameter'!$A:$A=$A36)*('env Parameter'!$B:$B=$K36)*('env Parameter'!$C:$C=$L36),'env Parameter'!I:I,""),"")</f>
        <v>YR</v>
      </c>
    </row>
    <row r="37" spans="1:14">
      <c r="A37">
        <f>eDNA!A37</f>
        <v>20200716</v>
      </c>
      <c r="B37" s="10" t="str" cm="1">
        <f t="array" ref="B37">IFERROR(_xlfn.XLOOKUP(1,('env Parameter'!$A:$A=$A37)*('env Parameter'!$B:$B=$K37)*('env Parameter'!$C:$C=$L37),'env Parameter'!H:H,""),"")</f>
        <v>생물상 조사</v>
      </c>
      <c r="C37" s="10" cm="1">
        <f t="array" ref="C37">IFERROR(_xlfn.XLOOKUP(1,('env Parameter'!$A:$A=$A37)*('env Parameter'!$B:$B=$K37)*('env Parameter'!$C:$C=$L37),'env Parameter'!E:E,""),"")</f>
        <v>2.14</v>
      </c>
      <c r="D37" s="10" cm="1">
        <f t="array" ref="D37">IFERROR(_xlfn.XLOOKUP(1,('env Parameter'!$A:$A=$A37)*('env Parameter'!$B:$B=$K37)*('env Parameter'!$C:$C=$L37),'env Parameter'!F:F,""),"")</f>
        <v>478</v>
      </c>
      <c r="E37" s="10" cm="1">
        <f t="array" ref="E37">IFERROR(_xlfn.XLOOKUP(1,('env Parameter'!$A:$A=$A37)*('env Parameter'!$B:$B=$K37)*('env Parameter'!$C:$C=$L37),'env Parameter'!G:G,""),"")</f>
        <v>7.6</v>
      </c>
      <c r="F37" t="str">
        <f>eDNA!F37</f>
        <v>MiFish</v>
      </c>
      <c r="G37" t="str">
        <f>eDNA!D37</f>
        <v>Carassius auratus</v>
      </c>
      <c r="H37" t="str">
        <f>_xlfn.XLOOKUP(G37,'Common name (master file)'!$B:$B,'Common name (master file)'!$A:$A,"-------------")</f>
        <v>붕어</v>
      </c>
      <c r="I37">
        <f>eDNA!E37</f>
        <v>52</v>
      </c>
      <c r="J37" t="str">
        <f>_xlfn.XLOOKUP(G37,'Common name (master file)'!$B:$B,'Common name (master file)'!$C:$C,"")</f>
        <v>어류</v>
      </c>
      <c r="K37">
        <f>eDNA!B37</f>
        <v>126.94555939999999</v>
      </c>
      <c r="L37">
        <f>eDNA!C37</f>
        <v>37.373177800000001</v>
      </c>
      <c r="M37" s="10" t="str" cm="1">
        <f t="array" ref="M37">IFERROR(_xlfn.XLOOKUP(1,('env Parameter'!$A:$A=$A37)*('env Parameter'!$B:$B=$K37)*('env Parameter'!$C:$C=$L37),'env Parameter'!D:D,""),"")</f>
        <v>안양천-3</v>
      </c>
      <c r="N37" s="10" t="str" cm="1">
        <f t="array" ref="N37">IFERROR(_xlfn.XLOOKUP(1,('env Parameter'!$A:$A=$A37)*('env Parameter'!$B:$B=$K37)*('env Parameter'!$C:$C=$L37),'env Parameter'!I:I,""),"")</f>
        <v>YR</v>
      </c>
    </row>
    <row r="38" spans="1:14">
      <c r="A38">
        <f>eDNA!A38</f>
        <v>20200716</v>
      </c>
      <c r="B38" s="10" t="str" cm="1">
        <f t="array" ref="B38">IFERROR(_xlfn.XLOOKUP(1,('env Parameter'!$A:$A=$A38)*('env Parameter'!$B:$B=$K38)*('env Parameter'!$C:$C=$L38),'env Parameter'!H:H,""),"")</f>
        <v>생물상 조사</v>
      </c>
      <c r="C38" s="10" cm="1">
        <f t="array" ref="C38">IFERROR(_xlfn.XLOOKUP(1,('env Parameter'!$A:$A=$A38)*('env Parameter'!$B:$B=$K38)*('env Parameter'!$C:$C=$L38),'env Parameter'!E:E,""),"")</f>
        <v>2.14</v>
      </c>
      <c r="D38" s="10" cm="1">
        <f t="array" ref="D38">IFERROR(_xlfn.XLOOKUP(1,('env Parameter'!$A:$A=$A38)*('env Parameter'!$B:$B=$K38)*('env Parameter'!$C:$C=$L38),'env Parameter'!F:F,""),"")</f>
        <v>478</v>
      </c>
      <c r="E38" s="10" cm="1">
        <f t="array" ref="E38">IFERROR(_xlfn.XLOOKUP(1,('env Parameter'!$A:$A=$A38)*('env Parameter'!$B:$B=$K38)*('env Parameter'!$C:$C=$L38),'env Parameter'!G:G,""),"")</f>
        <v>7.6</v>
      </c>
      <c r="F38" t="str">
        <f>eDNA!F38</f>
        <v>MiFish</v>
      </c>
      <c r="G38" t="str">
        <f>eDNA!D38</f>
        <v>Tadorna tadorna</v>
      </c>
      <c r="H38" t="str">
        <f>_xlfn.XLOOKUP(G38,'Common name (master file)'!$B:$B,'Common name (master file)'!$A:$A,"-------------")</f>
        <v>혹부리오리</v>
      </c>
      <c r="I38">
        <f>eDNA!E38</f>
        <v>74</v>
      </c>
      <c r="J38" t="str">
        <f>_xlfn.XLOOKUP(G38,'Common name (master file)'!$B:$B,'Common name (master file)'!$C:$C,"")</f>
        <v>조류</v>
      </c>
      <c r="K38">
        <f>eDNA!B38</f>
        <v>126.94555939999999</v>
      </c>
      <c r="L38">
        <f>eDNA!C38</f>
        <v>37.373177800000001</v>
      </c>
      <c r="M38" s="10" t="str" cm="1">
        <f t="array" ref="M38">IFERROR(_xlfn.XLOOKUP(1,('env Parameter'!$A:$A=$A38)*('env Parameter'!$B:$B=$K38)*('env Parameter'!$C:$C=$L38),'env Parameter'!D:D,""),"")</f>
        <v>안양천-3</v>
      </c>
      <c r="N38" s="10" t="str" cm="1">
        <f t="array" ref="N38">IFERROR(_xlfn.XLOOKUP(1,('env Parameter'!$A:$A=$A38)*('env Parameter'!$B:$B=$K38)*('env Parameter'!$C:$C=$L38),'env Parameter'!I:I,""),"")</f>
        <v>YR</v>
      </c>
    </row>
    <row r="39" spans="1:14">
      <c r="A39">
        <f>eDNA!A39</f>
        <v>20200716</v>
      </c>
      <c r="B39" s="10" t="str" cm="1">
        <f t="array" ref="B39">IFERROR(_xlfn.XLOOKUP(1,('env Parameter'!$A:$A=$A39)*('env Parameter'!$B:$B=$K39)*('env Parameter'!$C:$C=$L39),'env Parameter'!H:H,""),"")</f>
        <v>생물상 조사</v>
      </c>
      <c r="C39" s="10" cm="1">
        <f t="array" ref="C39">IFERROR(_xlfn.XLOOKUP(1,('env Parameter'!$A:$A=$A39)*('env Parameter'!$B:$B=$K39)*('env Parameter'!$C:$C=$L39),'env Parameter'!E:E,""),"")</f>
        <v>2.14</v>
      </c>
      <c r="D39" s="10" cm="1">
        <f t="array" ref="D39">IFERROR(_xlfn.XLOOKUP(1,('env Parameter'!$A:$A=$A39)*('env Parameter'!$B:$B=$K39)*('env Parameter'!$C:$C=$L39),'env Parameter'!F:F,""),"")</f>
        <v>478</v>
      </c>
      <c r="E39" s="10" cm="1">
        <f t="array" ref="E39">IFERROR(_xlfn.XLOOKUP(1,('env Parameter'!$A:$A=$A39)*('env Parameter'!$B:$B=$K39)*('env Parameter'!$C:$C=$L39),'env Parameter'!G:G,""),"")</f>
        <v>7.6</v>
      </c>
      <c r="F39" t="str">
        <f>eDNA!F39</f>
        <v>MiFish</v>
      </c>
      <c r="G39" t="str">
        <f>eDNA!D39</f>
        <v>Cyprinus carpio</v>
      </c>
      <c r="H39" t="str">
        <f>_xlfn.XLOOKUP(G39,'Common name (master file)'!$B:$B,'Common name (master file)'!$A:$A,"-------------")</f>
        <v>잉어</v>
      </c>
      <c r="I39">
        <f>eDNA!E39</f>
        <v>115</v>
      </c>
      <c r="J39" t="str">
        <f>_xlfn.XLOOKUP(G39,'Common name (master file)'!$B:$B,'Common name (master file)'!$C:$C,"")</f>
        <v>어류</v>
      </c>
      <c r="K39">
        <f>eDNA!B39</f>
        <v>126.94555939999999</v>
      </c>
      <c r="L39">
        <f>eDNA!C39</f>
        <v>37.373177800000001</v>
      </c>
      <c r="M39" s="10" t="str" cm="1">
        <f t="array" ref="M39">IFERROR(_xlfn.XLOOKUP(1,('env Parameter'!$A:$A=$A39)*('env Parameter'!$B:$B=$K39)*('env Parameter'!$C:$C=$L39),'env Parameter'!D:D,""),"")</f>
        <v>안양천-3</v>
      </c>
      <c r="N39" s="10" t="str" cm="1">
        <f t="array" ref="N39">IFERROR(_xlfn.XLOOKUP(1,('env Parameter'!$A:$A=$A39)*('env Parameter'!$B:$B=$K39)*('env Parameter'!$C:$C=$L39),'env Parameter'!I:I,""),"")</f>
        <v>YR</v>
      </c>
    </row>
    <row r="40" spans="1:14">
      <c r="A40">
        <f>eDNA!A40</f>
        <v>20200716</v>
      </c>
      <c r="B40" s="10" t="str" cm="1">
        <f t="array" ref="B40">IFERROR(_xlfn.XLOOKUP(1,('env Parameter'!$A:$A=$A40)*('env Parameter'!$B:$B=$K40)*('env Parameter'!$C:$C=$L40),'env Parameter'!H:H,""),"")</f>
        <v>생물상 조사</v>
      </c>
      <c r="C40" s="10" cm="1">
        <f t="array" ref="C40">IFERROR(_xlfn.XLOOKUP(1,('env Parameter'!$A:$A=$A40)*('env Parameter'!$B:$B=$K40)*('env Parameter'!$C:$C=$L40),'env Parameter'!E:E,""),"")</f>
        <v>2.14</v>
      </c>
      <c r="D40" s="10" cm="1">
        <f t="array" ref="D40">IFERROR(_xlfn.XLOOKUP(1,('env Parameter'!$A:$A=$A40)*('env Parameter'!$B:$B=$K40)*('env Parameter'!$C:$C=$L40),'env Parameter'!F:F,""),"")</f>
        <v>478</v>
      </c>
      <c r="E40" s="10" cm="1">
        <f t="array" ref="E40">IFERROR(_xlfn.XLOOKUP(1,('env Parameter'!$A:$A=$A40)*('env Parameter'!$B:$B=$K40)*('env Parameter'!$C:$C=$L40),'env Parameter'!G:G,""),"")</f>
        <v>7.6</v>
      </c>
      <c r="F40" t="str">
        <f>eDNA!F40</f>
        <v>MiFish</v>
      </c>
      <c r="G40" t="str">
        <f>eDNA!D40</f>
        <v>Misgurnus mizolepis</v>
      </c>
      <c r="H40" t="str">
        <f>_xlfn.XLOOKUP(G40,'Common name (master file)'!$B:$B,'Common name (master file)'!$A:$A,"-------------")</f>
        <v>미꾸라지</v>
      </c>
      <c r="I40">
        <f>eDNA!E40</f>
        <v>344</v>
      </c>
      <c r="J40" t="str">
        <f>_xlfn.XLOOKUP(G40,'Common name (master file)'!$B:$B,'Common name (master file)'!$C:$C,"")</f>
        <v>어류</v>
      </c>
      <c r="K40">
        <f>eDNA!B40</f>
        <v>126.94555939999999</v>
      </c>
      <c r="L40">
        <f>eDNA!C40</f>
        <v>37.373177800000001</v>
      </c>
      <c r="M40" s="10" t="str" cm="1">
        <f t="array" ref="M40">IFERROR(_xlfn.XLOOKUP(1,('env Parameter'!$A:$A=$A40)*('env Parameter'!$B:$B=$K40)*('env Parameter'!$C:$C=$L40),'env Parameter'!D:D,""),"")</f>
        <v>안양천-3</v>
      </c>
      <c r="N40" s="10" t="str" cm="1">
        <f t="array" ref="N40">IFERROR(_xlfn.XLOOKUP(1,('env Parameter'!$A:$A=$A40)*('env Parameter'!$B:$B=$K40)*('env Parameter'!$C:$C=$L40),'env Parameter'!I:I,""),"")</f>
        <v>YR</v>
      </c>
    </row>
    <row r="41" spans="1:14">
      <c r="A41">
        <f>eDNA!A41</f>
        <v>20200716</v>
      </c>
      <c r="B41" s="10" t="str" cm="1">
        <f t="array" ref="B41">IFERROR(_xlfn.XLOOKUP(1,('env Parameter'!$A:$A=$A41)*('env Parameter'!$B:$B=$K41)*('env Parameter'!$C:$C=$L41),'env Parameter'!H:H,""),"")</f>
        <v>생물상 조사</v>
      </c>
      <c r="C41" s="10" cm="1">
        <f t="array" ref="C41">IFERROR(_xlfn.XLOOKUP(1,('env Parameter'!$A:$A=$A41)*('env Parameter'!$B:$B=$K41)*('env Parameter'!$C:$C=$L41),'env Parameter'!E:E,""),"")</f>
        <v>2.14</v>
      </c>
      <c r="D41" s="10" cm="1">
        <f t="array" ref="D41">IFERROR(_xlfn.XLOOKUP(1,('env Parameter'!$A:$A=$A41)*('env Parameter'!$B:$B=$K41)*('env Parameter'!$C:$C=$L41),'env Parameter'!F:F,""),"")</f>
        <v>478</v>
      </c>
      <c r="E41" s="10" cm="1">
        <f t="array" ref="E41">IFERROR(_xlfn.XLOOKUP(1,('env Parameter'!$A:$A=$A41)*('env Parameter'!$B:$B=$K41)*('env Parameter'!$C:$C=$L41),'env Parameter'!G:G,""),"")</f>
        <v>7.6</v>
      </c>
      <c r="F41" t="str">
        <f>eDNA!F41</f>
        <v>MiFish</v>
      </c>
      <c r="G41" t="str">
        <f>eDNA!D41</f>
        <v>Pseudogobio esocinus</v>
      </c>
      <c r="H41" t="str">
        <f>_xlfn.XLOOKUP(G41,'Common name (master file)'!$B:$B,'Common name (master file)'!$A:$A,"-------------")</f>
        <v>모래무지</v>
      </c>
      <c r="I41">
        <f>eDNA!E41</f>
        <v>317</v>
      </c>
      <c r="J41" t="str">
        <f>_xlfn.XLOOKUP(G41,'Common name (master file)'!$B:$B,'Common name (master file)'!$C:$C,"")</f>
        <v>어류</v>
      </c>
      <c r="K41">
        <f>eDNA!B41</f>
        <v>126.94555939999999</v>
      </c>
      <c r="L41">
        <f>eDNA!C41</f>
        <v>37.373177800000001</v>
      </c>
      <c r="M41" s="10" t="str" cm="1">
        <f t="array" ref="M41">IFERROR(_xlfn.XLOOKUP(1,('env Parameter'!$A:$A=$A41)*('env Parameter'!$B:$B=$K41)*('env Parameter'!$C:$C=$L41),'env Parameter'!D:D,""),"")</f>
        <v>안양천-3</v>
      </c>
      <c r="N41" s="10" t="str" cm="1">
        <f t="array" ref="N41">IFERROR(_xlfn.XLOOKUP(1,('env Parameter'!$A:$A=$A41)*('env Parameter'!$B:$B=$K41)*('env Parameter'!$C:$C=$L41),'env Parameter'!I:I,""),"")</f>
        <v>YR</v>
      </c>
    </row>
    <row r="42" spans="1:14">
      <c r="A42">
        <f>eDNA!A42</f>
        <v>20200716</v>
      </c>
      <c r="B42" s="10" t="str" cm="1">
        <f t="array" ref="B42">IFERROR(_xlfn.XLOOKUP(1,('env Parameter'!$A:$A=$A42)*('env Parameter'!$B:$B=$K42)*('env Parameter'!$C:$C=$L42),'env Parameter'!H:H,""),"")</f>
        <v>생물상 조사</v>
      </c>
      <c r="C42" s="10" cm="1">
        <f t="array" ref="C42">IFERROR(_xlfn.XLOOKUP(1,('env Parameter'!$A:$A=$A42)*('env Parameter'!$B:$B=$K42)*('env Parameter'!$C:$C=$L42),'env Parameter'!E:E,""),"")</f>
        <v>2.14</v>
      </c>
      <c r="D42" s="10" cm="1">
        <f t="array" ref="D42">IFERROR(_xlfn.XLOOKUP(1,('env Parameter'!$A:$A=$A42)*('env Parameter'!$B:$B=$K42)*('env Parameter'!$C:$C=$L42),'env Parameter'!F:F,""),"")</f>
        <v>478</v>
      </c>
      <c r="E42" s="10" cm="1">
        <f t="array" ref="E42">IFERROR(_xlfn.XLOOKUP(1,('env Parameter'!$A:$A=$A42)*('env Parameter'!$B:$B=$K42)*('env Parameter'!$C:$C=$L42),'env Parameter'!G:G,""),"")</f>
        <v>7.6</v>
      </c>
      <c r="F42" t="str">
        <f>eDNA!F42</f>
        <v>MiFish</v>
      </c>
      <c r="G42" t="str">
        <f>eDNA!D42</f>
        <v>Gnathopogon strigatus</v>
      </c>
      <c r="H42" t="str">
        <f>_xlfn.XLOOKUP(G42,'Common name (master file)'!$B:$B,'Common name (master file)'!$A:$A,"-------------")</f>
        <v>줄몰개</v>
      </c>
      <c r="I42">
        <f>eDNA!E42</f>
        <v>263</v>
      </c>
      <c r="J42" t="str">
        <f>_xlfn.XLOOKUP(G42,'Common name (master file)'!$B:$B,'Common name (master file)'!$C:$C,"")</f>
        <v>어류</v>
      </c>
      <c r="K42">
        <f>eDNA!B42</f>
        <v>126.94555939999999</v>
      </c>
      <c r="L42">
        <f>eDNA!C42</f>
        <v>37.373177800000001</v>
      </c>
      <c r="M42" s="10" t="str" cm="1">
        <f t="array" ref="M42">IFERROR(_xlfn.XLOOKUP(1,('env Parameter'!$A:$A=$A42)*('env Parameter'!$B:$B=$K42)*('env Parameter'!$C:$C=$L42),'env Parameter'!D:D,""),"")</f>
        <v>안양천-3</v>
      </c>
      <c r="N42" s="10" t="str" cm="1">
        <f t="array" ref="N42">IFERROR(_xlfn.XLOOKUP(1,('env Parameter'!$A:$A=$A42)*('env Parameter'!$B:$B=$K42)*('env Parameter'!$C:$C=$L42),'env Parameter'!I:I,""),"")</f>
        <v>YR</v>
      </c>
    </row>
    <row r="43" spans="1:14">
      <c r="A43">
        <f>eDNA!A43</f>
        <v>20200716</v>
      </c>
      <c r="B43" s="10" t="str" cm="1">
        <f t="array" ref="B43">IFERROR(_xlfn.XLOOKUP(1,('env Parameter'!$A:$A=$A43)*('env Parameter'!$B:$B=$K43)*('env Parameter'!$C:$C=$L43),'env Parameter'!H:H,""),"")</f>
        <v>생물상 조사</v>
      </c>
      <c r="C43" s="10" cm="1">
        <f t="array" ref="C43">IFERROR(_xlfn.XLOOKUP(1,('env Parameter'!$A:$A=$A43)*('env Parameter'!$B:$B=$K43)*('env Parameter'!$C:$C=$L43),'env Parameter'!E:E,""),"")</f>
        <v>2.14</v>
      </c>
      <c r="D43" s="10" cm="1">
        <f t="array" ref="D43">IFERROR(_xlfn.XLOOKUP(1,('env Parameter'!$A:$A=$A43)*('env Parameter'!$B:$B=$K43)*('env Parameter'!$C:$C=$L43),'env Parameter'!F:F,""),"")</f>
        <v>478</v>
      </c>
      <c r="E43" s="10" cm="1">
        <f t="array" ref="E43">IFERROR(_xlfn.XLOOKUP(1,('env Parameter'!$A:$A=$A43)*('env Parameter'!$B:$B=$K43)*('env Parameter'!$C:$C=$L43),'env Parameter'!G:G,""),"")</f>
        <v>7.6</v>
      </c>
      <c r="F43" t="str">
        <f>eDNA!F43</f>
        <v>MiFish</v>
      </c>
      <c r="G43" t="str">
        <f>eDNA!D43</f>
        <v>Carassius sp.</v>
      </c>
      <c r="H43" t="str">
        <f>_xlfn.XLOOKUP(G43,'Common name (master file)'!$B:$B,'Common name (master file)'!$A:$A,"-------------")</f>
        <v>붕어 속</v>
      </c>
      <c r="I43">
        <f>eDNA!E43</f>
        <v>508</v>
      </c>
      <c r="J43" t="str">
        <f>_xlfn.XLOOKUP(G43,'Common name (master file)'!$B:$B,'Common name (master file)'!$C:$C,"")</f>
        <v>어류</v>
      </c>
      <c r="K43">
        <f>eDNA!B43</f>
        <v>126.94555939999999</v>
      </c>
      <c r="L43">
        <f>eDNA!C43</f>
        <v>37.373177800000001</v>
      </c>
      <c r="M43" s="10" t="str" cm="1">
        <f t="array" ref="M43">IFERROR(_xlfn.XLOOKUP(1,('env Parameter'!$A:$A=$A43)*('env Parameter'!$B:$B=$K43)*('env Parameter'!$C:$C=$L43),'env Parameter'!D:D,""),"")</f>
        <v>안양천-3</v>
      </c>
      <c r="N43" s="10" t="str" cm="1">
        <f t="array" ref="N43">IFERROR(_xlfn.XLOOKUP(1,('env Parameter'!$A:$A=$A43)*('env Parameter'!$B:$B=$K43)*('env Parameter'!$C:$C=$L43),'env Parameter'!I:I,""),"")</f>
        <v>YR</v>
      </c>
    </row>
    <row r="44" spans="1:14">
      <c r="A44">
        <f>eDNA!A44</f>
        <v>20200716</v>
      </c>
      <c r="B44" s="10" t="str" cm="1">
        <f t="array" ref="B44">IFERROR(_xlfn.XLOOKUP(1,('env Parameter'!$A:$A=$A44)*('env Parameter'!$B:$B=$K44)*('env Parameter'!$C:$C=$L44),'env Parameter'!H:H,""),"")</f>
        <v>생물상 조사</v>
      </c>
      <c r="C44" s="10" cm="1">
        <f t="array" ref="C44">IFERROR(_xlfn.XLOOKUP(1,('env Parameter'!$A:$A=$A44)*('env Parameter'!$B:$B=$K44)*('env Parameter'!$C:$C=$L44),'env Parameter'!E:E,""),"")</f>
        <v>2.14</v>
      </c>
      <c r="D44" s="10" cm="1">
        <f t="array" ref="D44">IFERROR(_xlfn.XLOOKUP(1,('env Parameter'!$A:$A=$A44)*('env Parameter'!$B:$B=$K44)*('env Parameter'!$C:$C=$L44),'env Parameter'!F:F,""),"")</f>
        <v>478</v>
      </c>
      <c r="E44" s="10" cm="1">
        <f t="array" ref="E44">IFERROR(_xlfn.XLOOKUP(1,('env Parameter'!$A:$A=$A44)*('env Parameter'!$B:$B=$K44)*('env Parameter'!$C:$C=$L44),'env Parameter'!G:G,""),"")</f>
        <v>7.6</v>
      </c>
      <c r="F44" t="str">
        <f>eDNA!F44</f>
        <v>MiFish</v>
      </c>
      <c r="G44" t="str">
        <f>eDNA!D44</f>
        <v>Silurus soldatovi</v>
      </c>
      <c r="H44" t="str">
        <f>_xlfn.XLOOKUP(G44,'Common name (master file)'!$B:$B,'Common name (master file)'!$A:$A,"-------------")</f>
        <v>솔다토비 메기</v>
      </c>
      <c r="I44">
        <f>eDNA!E44</f>
        <v>1289</v>
      </c>
      <c r="J44" t="str">
        <f>_xlfn.XLOOKUP(G44,'Common name (master file)'!$B:$B,'Common name (master file)'!$C:$C,"")</f>
        <v>어류</v>
      </c>
      <c r="K44">
        <f>eDNA!B44</f>
        <v>126.94555939999999</v>
      </c>
      <c r="L44">
        <f>eDNA!C44</f>
        <v>37.373177800000001</v>
      </c>
      <c r="M44" s="10" t="str" cm="1">
        <f t="array" ref="M44">IFERROR(_xlfn.XLOOKUP(1,('env Parameter'!$A:$A=$A44)*('env Parameter'!$B:$B=$K44)*('env Parameter'!$C:$C=$L44),'env Parameter'!D:D,""),"")</f>
        <v>안양천-3</v>
      </c>
      <c r="N44" s="10" t="str" cm="1">
        <f t="array" ref="N44">IFERROR(_xlfn.XLOOKUP(1,('env Parameter'!$A:$A=$A44)*('env Parameter'!$B:$B=$K44)*('env Parameter'!$C:$C=$L44),'env Parameter'!I:I,""),"")</f>
        <v>YR</v>
      </c>
    </row>
    <row r="45" spans="1:14">
      <c r="A45">
        <f>eDNA!A45</f>
        <v>20200716</v>
      </c>
      <c r="B45" s="10" t="str" cm="1">
        <f t="array" ref="B45">IFERROR(_xlfn.XLOOKUP(1,('env Parameter'!$A:$A=$A45)*('env Parameter'!$B:$B=$K45)*('env Parameter'!$C:$C=$L45),'env Parameter'!H:H,""),"")</f>
        <v>생물상 조사</v>
      </c>
      <c r="C45" s="10" cm="1">
        <f t="array" ref="C45">IFERROR(_xlfn.XLOOKUP(1,('env Parameter'!$A:$A=$A45)*('env Parameter'!$B:$B=$K45)*('env Parameter'!$C:$C=$L45),'env Parameter'!E:E,""),"")</f>
        <v>2.14</v>
      </c>
      <c r="D45" s="10" cm="1">
        <f t="array" ref="D45">IFERROR(_xlfn.XLOOKUP(1,('env Parameter'!$A:$A=$A45)*('env Parameter'!$B:$B=$K45)*('env Parameter'!$C:$C=$L45),'env Parameter'!F:F,""),"")</f>
        <v>478</v>
      </c>
      <c r="E45" s="10" cm="1">
        <f t="array" ref="E45">IFERROR(_xlfn.XLOOKUP(1,('env Parameter'!$A:$A=$A45)*('env Parameter'!$B:$B=$K45)*('env Parameter'!$C:$C=$L45),'env Parameter'!G:G,""),"")</f>
        <v>7.6</v>
      </c>
      <c r="F45" t="str">
        <f>eDNA!F45</f>
        <v>MiFish</v>
      </c>
      <c r="G45" t="str">
        <f>eDNA!D45</f>
        <v>Pelodiscus sinensis</v>
      </c>
      <c r="H45" t="str">
        <f>_xlfn.XLOOKUP(G45,'Common name (master file)'!$B:$B,'Common name (master file)'!$A:$A,"-------------")</f>
        <v>중국자라</v>
      </c>
      <c r="I45">
        <f>eDNA!E45</f>
        <v>1554</v>
      </c>
      <c r="J45" t="str">
        <f>_xlfn.XLOOKUP(G45,'Common name (master file)'!$B:$B,'Common name (master file)'!$C:$C,"")</f>
        <v>양서파충류</v>
      </c>
      <c r="K45">
        <f>eDNA!B45</f>
        <v>126.94555939999999</v>
      </c>
      <c r="L45">
        <f>eDNA!C45</f>
        <v>37.373177800000001</v>
      </c>
      <c r="M45" s="10" t="str" cm="1">
        <f t="array" ref="M45">IFERROR(_xlfn.XLOOKUP(1,('env Parameter'!$A:$A=$A45)*('env Parameter'!$B:$B=$K45)*('env Parameter'!$C:$C=$L45),'env Parameter'!D:D,""),"")</f>
        <v>안양천-3</v>
      </c>
      <c r="N45" s="10" t="str" cm="1">
        <f t="array" ref="N45">IFERROR(_xlfn.XLOOKUP(1,('env Parameter'!$A:$A=$A45)*('env Parameter'!$B:$B=$K45)*('env Parameter'!$C:$C=$L45),'env Parameter'!I:I,""),"")</f>
        <v>YR</v>
      </c>
    </row>
    <row r="46" spans="1:14">
      <c r="A46">
        <f>eDNA!A46</f>
        <v>20200716</v>
      </c>
      <c r="B46" s="10" t="str" cm="1">
        <f t="array" ref="B46">IFERROR(_xlfn.XLOOKUP(1,('env Parameter'!$A:$A=$A46)*('env Parameter'!$B:$B=$K46)*('env Parameter'!$C:$C=$L46),'env Parameter'!H:H,""),"")</f>
        <v>생물상 조사</v>
      </c>
      <c r="C46" s="10" cm="1">
        <f t="array" ref="C46">IFERROR(_xlfn.XLOOKUP(1,('env Parameter'!$A:$A=$A46)*('env Parameter'!$B:$B=$K46)*('env Parameter'!$C:$C=$L46),'env Parameter'!E:E,""),"")</f>
        <v>2.14</v>
      </c>
      <c r="D46" s="10" cm="1">
        <f t="array" ref="D46">IFERROR(_xlfn.XLOOKUP(1,('env Parameter'!$A:$A=$A46)*('env Parameter'!$B:$B=$K46)*('env Parameter'!$C:$C=$L46),'env Parameter'!F:F,""),"")</f>
        <v>478</v>
      </c>
      <c r="E46" s="10" cm="1">
        <f t="array" ref="E46">IFERROR(_xlfn.XLOOKUP(1,('env Parameter'!$A:$A=$A46)*('env Parameter'!$B:$B=$K46)*('env Parameter'!$C:$C=$L46),'env Parameter'!G:G,""),"")</f>
        <v>7.6</v>
      </c>
      <c r="F46" t="str">
        <f>eDNA!F46</f>
        <v>MiFish</v>
      </c>
      <c r="G46" t="str">
        <f>eDNA!D46</f>
        <v>Channa argus</v>
      </c>
      <c r="H46" t="str">
        <f>_xlfn.XLOOKUP(G46,'Common name (master file)'!$B:$B,'Common name (master file)'!$A:$A,"-------------")</f>
        <v>가물치</v>
      </c>
      <c r="I46">
        <f>eDNA!E46</f>
        <v>4007</v>
      </c>
      <c r="J46" t="str">
        <f>_xlfn.XLOOKUP(G46,'Common name (master file)'!$B:$B,'Common name (master file)'!$C:$C,"")</f>
        <v>어류</v>
      </c>
      <c r="K46">
        <f>eDNA!B46</f>
        <v>126.94555939999999</v>
      </c>
      <c r="L46">
        <f>eDNA!C46</f>
        <v>37.373177800000001</v>
      </c>
      <c r="M46" s="10" t="str" cm="1">
        <f t="array" ref="M46">IFERROR(_xlfn.XLOOKUP(1,('env Parameter'!$A:$A=$A46)*('env Parameter'!$B:$B=$K46)*('env Parameter'!$C:$C=$L46),'env Parameter'!D:D,""),"")</f>
        <v>안양천-3</v>
      </c>
      <c r="N46" s="10" t="str" cm="1">
        <f t="array" ref="N46">IFERROR(_xlfn.XLOOKUP(1,('env Parameter'!$A:$A=$A46)*('env Parameter'!$B:$B=$K46)*('env Parameter'!$C:$C=$L46),'env Parameter'!I:I,""),"")</f>
        <v>YR</v>
      </c>
    </row>
    <row r="47" spans="1:14">
      <c r="A47">
        <f>eDNA!A47</f>
        <v>20200716</v>
      </c>
      <c r="B47" s="10" t="str" cm="1">
        <f t="array" ref="B47">IFERROR(_xlfn.XLOOKUP(1,('env Parameter'!$A:$A=$A47)*('env Parameter'!$B:$B=$K47)*('env Parameter'!$C:$C=$L47),'env Parameter'!H:H,""),"")</f>
        <v>생물상 조사</v>
      </c>
      <c r="C47" s="10" cm="1">
        <f t="array" ref="C47">IFERROR(_xlfn.XLOOKUP(1,('env Parameter'!$A:$A=$A47)*('env Parameter'!$B:$B=$K47)*('env Parameter'!$C:$C=$L47),'env Parameter'!E:E,""),"")</f>
        <v>2.14</v>
      </c>
      <c r="D47" s="10" cm="1">
        <f t="array" ref="D47">IFERROR(_xlfn.XLOOKUP(1,('env Parameter'!$A:$A=$A47)*('env Parameter'!$B:$B=$K47)*('env Parameter'!$C:$C=$L47),'env Parameter'!F:F,""),"")</f>
        <v>478</v>
      </c>
      <c r="E47" s="10" cm="1">
        <f t="array" ref="E47">IFERROR(_xlfn.XLOOKUP(1,('env Parameter'!$A:$A=$A47)*('env Parameter'!$B:$B=$K47)*('env Parameter'!$C:$C=$L47),'env Parameter'!G:G,""),"")</f>
        <v>7.6</v>
      </c>
      <c r="F47" t="str">
        <f>eDNA!F47</f>
        <v>MiFish</v>
      </c>
      <c r="G47" t="str">
        <f>eDNA!D47</f>
        <v>Zacco platypus</v>
      </c>
      <c r="H47" t="str">
        <f>_xlfn.XLOOKUP(G47,'Common name (master file)'!$B:$B,'Common name (master file)'!$A:$A,"-------------")</f>
        <v>피라미</v>
      </c>
      <c r="I47">
        <f>eDNA!E47</f>
        <v>9161</v>
      </c>
      <c r="J47" t="str">
        <f>_xlfn.XLOOKUP(G47,'Common name (master file)'!$B:$B,'Common name (master file)'!$C:$C,"")</f>
        <v>어류</v>
      </c>
      <c r="K47">
        <f>eDNA!B47</f>
        <v>126.94555939999999</v>
      </c>
      <c r="L47">
        <f>eDNA!C47</f>
        <v>37.373177800000001</v>
      </c>
      <c r="M47" s="10" t="str" cm="1">
        <f t="array" ref="M47">IFERROR(_xlfn.XLOOKUP(1,('env Parameter'!$A:$A=$A47)*('env Parameter'!$B:$B=$K47)*('env Parameter'!$C:$C=$L47),'env Parameter'!D:D,""),"")</f>
        <v>안양천-3</v>
      </c>
      <c r="N47" s="10" t="str" cm="1">
        <f t="array" ref="N47">IFERROR(_xlfn.XLOOKUP(1,('env Parameter'!$A:$A=$A47)*('env Parameter'!$B:$B=$K47)*('env Parameter'!$C:$C=$L47),'env Parameter'!I:I,""),"")</f>
        <v>YR</v>
      </c>
    </row>
    <row r="48" spans="1:14">
      <c r="A48">
        <f>eDNA!A48</f>
        <v>20200716</v>
      </c>
      <c r="B48" s="10" t="str" cm="1">
        <f t="array" ref="B48">IFERROR(_xlfn.XLOOKUP(1,('env Parameter'!$A:$A=$A48)*('env Parameter'!$B:$B=$K48)*('env Parameter'!$C:$C=$L48),'env Parameter'!H:H,""),"")</f>
        <v>생물상 조사</v>
      </c>
      <c r="C48" s="10" cm="1">
        <f t="array" ref="C48">IFERROR(_xlfn.XLOOKUP(1,('env Parameter'!$A:$A=$A48)*('env Parameter'!$B:$B=$K48)*('env Parameter'!$C:$C=$L48),'env Parameter'!E:E,""),"")</f>
        <v>2.14</v>
      </c>
      <c r="D48" s="10" cm="1">
        <f t="array" ref="D48">IFERROR(_xlfn.XLOOKUP(1,('env Parameter'!$A:$A=$A48)*('env Parameter'!$B:$B=$K48)*('env Parameter'!$C:$C=$L48),'env Parameter'!F:F,""),"")</f>
        <v>478</v>
      </c>
      <c r="E48" s="10" cm="1">
        <f t="array" ref="E48">IFERROR(_xlfn.XLOOKUP(1,('env Parameter'!$A:$A=$A48)*('env Parameter'!$B:$B=$K48)*('env Parameter'!$C:$C=$L48),'env Parameter'!G:G,""),"")</f>
        <v>7.6</v>
      </c>
      <c r="F48" t="str">
        <f>eDNA!F48</f>
        <v>MiFish</v>
      </c>
      <c r="G48" t="str">
        <f>eDNA!D48</f>
        <v>Carassius gibelio</v>
      </c>
      <c r="H48" t="str">
        <f>_xlfn.XLOOKUP(G48,'Common name (master file)'!$B:$B,'Common name (master file)'!$A:$A,"-------------")</f>
        <v>기벨리오 붕어</v>
      </c>
      <c r="I48">
        <f>eDNA!E48</f>
        <v>7975</v>
      </c>
      <c r="J48" t="str">
        <f>_xlfn.XLOOKUP(G48,'Common name (master file)'!$B:$B,'Common name (master file)'!$C:$C,"")</f>
        <v>어류</v>
      </c>
      <c r="K48">
        <f>eDNA!B48</f>
        <v>126.94555939999999</v>
      </c>
      <c r="L48">
        <f>eDNA!C48</f>
        <v>37.373177800000001</v>
      </c>
      <c r="M48" s="10" t="str" cm="1">
        <f t="array" ref="M48">IFERROR(_xlfn.XLOOKUP(1,('env Parameter'!$A:$A=$A48)*('env Parameter'!$B:$B=$K48)*('env Parameter'!$C:$C=$L48),'env Parameter'!D:D,""),"")</f>
        <v>안양천-3</v>
      </c>
      <c r="N48" s="10" t="str" cm="1">
        <f t="array" ref="N48">IFERROR(_xlfn.XLOOKUP(1,('env Parameter'!$A:$A=$A48)*('env Parameter'!$B:$B=$K48)*('env Parameter'!$C:$C=$L48),'env Parameter'!I:I,""),"")</f>
        <v>YR</v>
      </c>
    </row>
    <row r="49" spans="1:14">
      <c r="A49">
        <f>eDNA!A49</f>
        <v>20200716</v>
      </c>
      <c r="B49" s="10" t="str" cm="1">
        <f t="array" ref="B49">IFERROR(_xlfn.XLOOKUP(1,('env Parameter'!$A:$A=$A49)*('env Parameter'!$B:$B=$K49)*('env Parameter'!$C:$C=$L49),'env Parameter'!H:H,""),"")</f>
        <v>생물상 조사</v>
      </c>
      <c r="C49" s="10" cm="1">
        <f t="array" ref="C49">IFERROR(_xlfn.XLOOKUP(1,('env Parameter'!$A:$A=$A49)*('env Parameter'!$B:$B=$K49)*('env Parameter'!$C:$C=$L49),'env Parameter'!E:E,""),"")</f>
        <v>2.14</v>
      </c>
      <c r="D49" s="10" cm="1">
        <f t="array" ref="D49">IFERROR(_xlfn.XLOOKUP(1,('env Parameter'!$A:$A=$A49)*('env Parameter'!$B:$B=$K49)*('env Parameter'!$C:$C=$L49),'env Parameter'!F:F,""),"")</f>
        <v>478</v>
      </c>
      <c r="E49" s="10" cm="1">
        <f t="array" ref="E49">IFERROR(_xlfn.XLOOKUP(1,('env Parameter'!$A:$A=$A49)*('env Parameter'!$B:$B=$K49)*('env Parameter'!$C:$C=$L49),'env Parameter'!G:G,""),"")</f>
        <v>7.6</v>
      </c>
      <c r="F49" t="str">
        <f>eDNA!F49</f>
        <v>MiFish</v>
      </c>
      <c r="G49" t="str">
        <f>eDNA!D49</f>
        <v>Odontobutis interrupta</v>
      </c>
      <c r="H49" t="str">
        <f>_xlfn.XLOOKUP(G49,'Common name (master file)'!$B:$B,'Common name (master file)'!$A:$A,"-------------")</f>
        <v>얼록동사리</v>
      </c>
      <c r="I49">
        <f>eDNA!E49</f>
        <v>15050</v>
      </c>
      <c r="J49" t="str">
        <f>_xlfn.XLOOKUP(G49,'Common name (master file)'!$B:$B,'Common name (master file)'!$C:$C,"")</f>
        <v>어류</v>
      </c>
      <c r="K49">
        <f>eDNA!B49</f>
        <v>126.94555939999999</v>
      </c>
      <c r="L49">
        <f>eDNA!C49</f>
        <v>37.373177800000001</v>
      </c>
      <c r="M49" s="10" t="str" cm="1">
        <f t="array" ref="M49">IFERROR(_xlfn.XLOOKUP(1,('env Parameter'!$A:$A=$A49)*('env Parameter'!$B:$B=$K49)*('env Parameter'!$C:$C=$L49),'env Parameter'!D:D,""),"")</f>
        <v>안양천-3</v>
      </c>
      <c r="N49" s="10" t="str" cm="1">
        <f t="array" ref="N49">IFERROR(_xlfn.XLOOKUP(1,('env Parameter'!$A:$A=$A49)*('env Parameter'!$B:$B=$K49)*('env Parameter'!$C:$C=$L49),'env Parameter'!I:I,""),"")</f>
        <v>YR</v>
      </c>
    </row>
    <row r="50" spans="1:14">
      <c r="A50">
        <f>eDNA!A50</f>
        <v>20200716</v>
      </c>
      <c r="B50" s="10" t="str" cm="1">
        <f t="array" ref="B50">IFERROR(_xlfn.XLOOKUP(1,('env Parameter'!$A:$A=$A50)*('env Parameter'!$B:$B=$K50)*('env Parameter'!$C:$C=$L50),'env Parameter'!H:H,""),"")</f>
        <v>생물상 조사</v>
      </c>
      <c r="C50" s="10" cm="1">
        <f t="array" ref="C50">IFERROR(_xlfn.XLOOKUP(1,('env Parameter'!$A:$A=$A50)*('env Parameter'!$B:$B=$K50)*('env Parameter'!$C:$C=$L50),'env Parameter'!E:E,""),"")</f>
        <v>2.14</v>
      </c>
      <c r="D50" s="10" cm="1">
        <f t="array" ref="D50">IFERROR(_xlfn.XLOOKUP(1,('env Parameter'!$A:$A=$A50)*('env Parameter'!$B:$B=$K50)*('env Parameter'!$C:$C=$L50),'env Parameter'!F:F,""),"")</f>
        <v>478</v>
      </c>
      <c r="E50" s="10" cm="1">
        <f t="array" ref="E50">IFERROR(_xlfn.XLOOKUP(1,('env Parameter'!$A:$A=$A50)*('env Parameter'!$B:$B=$K50)*('env Parameter'!$C:$C=$L50),'env Parameter'!G:G,""),"")</f>
        <v>7.6</v>
      </c>
      <c r="F50" t="str">
        <f>eDNA!F50</f>
        <v>MiFish</v>
      </c>
      <c r="G50" t="str">
        <f>eDNA!D50</f>
        <v>Pseudorasbora parva</v>
      </c>
      <c r="H50" t="str">
        <f>_xlfn.XLOOKUP(G50,'Common name (master file)'!$B:$B,'Common name (master file)'!$A:$A,"-------------")</f>
        <v>참붕어</v>
      </c>
      <c r="I50">
        <f>eDNA!E50</f>
        <v>33972</v>
      </c>
      <c r="J50" t="str">
        <f>_xlfn.XLOOKUP(G50,'Common name (master file)'!$B:$B,'Common name (master file)'!$C:$C,"")</f>
        <v>어류</v>
      </c>
      <c r="K50">
        <f>eDNA!B50</f>
        <v>126.94555939999999</v>
      </c>
      <c r="L50">
        <f>eDNA!C50</f>
        <v>37.373177800000001</v>
      </c>
      <c r="M50" s="10" t="str" cm="1">
        <f t="array" ref="M50">IFERROR(_xlfn.XLOOKUP(1,('env Parameter'!$A:$A=$A50)*('env Parameter'!$B:$B=$K50)*('env Parameter'!$C:$C=$L50),'env Parameter'!D:D,""),"")</f>
        <v>안양천-3</v>
      </c>
      <c r="N50" s="10" t="str" cm="1">
        <f t="array" ref="N50">IFERROR(_xlfn.XLOOKUP(1,('env Parameter'!$A:$A=$A50)*('env Parameter'!$B:$B=$K50)*('env Parameter'!$C:$C=$L50),'env Parameter'!I:I,""),"")</f>
        <v>YR</v>
      </c>
    </row>
    <row r="51" spans="1:14">
      <c r="A51">
        <f>eDNA!A51</f>
        <v>20200716</v>
      </c>
      <c r="B51" s="10" t="str" cm="1">
        <f t="array" ref="B51">IFERROR(_xlfn.XLOOKUP(1,('env Parameter'!$A:$A=$A51)*('env Parameter'!$B:$B=$K51)*('env Parameter'!$C:$C=$L51),'env Parameter'!H:H,""),"")</f>
        <v>생물상 조사</v>
      </c>
      <c r="C51" s="10" cm="1">
        <f t="array" ref="C51">IFERROR(_xlfn.XLOOKUP(1,('env Parameter'!$A:$A=$A51)*('env Parameter'!$B:$B=$K51)*('env Parameter'!$C:$C=$L51),'env Parameter'!E:E,""),"")</f>
        <v>2.14</v>
      </c>
      <c r="D51" s="10" cm="1">
        <f t="array" ref="D51">IFERROR(_xlfn.XLOOKUP(1,('env Parameter'!$A:$A=$A51)*('env Parameter'!$B:$B=$K51)*('env Parameter'!$C:$C=$L51),'env Parameter'!F:F,""),"")</f>
        <v>478</v>
      </c>
      <c r="E51" s="10" cm="1">
        <f t="array" ref="E51">IFERROR(_xlfn.XLOOKUP(1,('env Parameter'!$A:$A=$A51)*('env Parameter'!$B:$B=$K51)*('env Parameter'!$C:$C=$L51),'env Parameter'!G:G,""),"")</f>
        <v>7.6</v>
      </c>
      <c r="F51" t="str">
        <f>eDNA!F51</f>
        <v>MiFish</v>
      </c>
      <c r="G51" t="str">
        <f>eDNA!D51</f>
        <v>Gnathopogon polytaenia</v>
      </c>
      <c r="H51" t="str">
        <f>_xlfn.XLOOKUP(G51,'Common name (master file)'!$B:$B,'Common name (master file)'!$A:$A,"-------------")</f>
        <v>폴리테니아 줄몰개</v>
      </c>
      <c r="I51">
        <f>eDNA!E51</f>
        <v>15</v>
      </c>
      <c r="J51" t="str">
        <f>_xlfn.XLOOKUP(G51,'Common name (master file)'!$B:$B,'Common name (master file)'!$C:$C,"")</f>
        <v>어류</v>
      </c>
      <c r="K51">
        <f>eDNA!B51</f>
        <v>126.93147879999999</v>
      </c>
      <c r="L51">
        <f>eDNA!C51</f>
        <v>37.397387999999999</v>
      </c>
      <c r="M51" s="10" t="str" cm="1">
        <f t="array" ref="M51">IFERROR(_xlfn.XLOOKUP(1,('env Parameter'!$A:$A=$A51)*('env Parameter'!$B:$B=$K51)*('env Parameter'!$C:$C=$L51),'env Parameter'!D:D,""),"")</f>
        <v>안양천-4</v>
      </c>
      <c r="N51" s="10" t="str" cm="1">
        <f t="array" ref="N51">IFERROR(_xlfn.XLOOKUP(1,('env Parameter'!$A:$A=$A51)*('env Parameter'!$B:$B=$K51)*('env Parameter'!$C:$C=$L51),'env Parameter'!I:I,""),"")</f>
        <v>YR</v>
      </c>
    </row>
    <row r="52" spans="1:14">
      <c r="A52">
        <f>eDNA!A52</f>
        <v>20200716</v>
      </c>
      <c r="B52" s="10" t="str" cm="1">
        <f t="array" ref="B52">IFERROR(_xlfn.XLOOKUP(1,('env Parameter'!$A:$A=$A52)*('env Parameter'!$B:$B=$K52)*('env Parameter'!$C:$C=$L52),'env Parameter'!H:H,""),"")</f>
        <v>생물상 조사</v>
      </c>
      <c r="C52" s="10" cm="1">
        <f t="array" ref="C52">IFERROR(_xlfn.XLOOKUP(1,('env Parameter'!$A:$A=$A52)*('env Parameter'!$B:$B=$K52)*('env Parameter'!$C:$C=$L52),'env Parameter'!E:E,""),"")</f>
        <v>2.14</v>
      </c>
      <c r="D52" s="10" cm="1">
        <f t="array" ref="D52">IFERROR(_xlfn.XLOOKUP(1,('env Parameter'!$A:$A=$A52)*('env Parameter'!$B:$B=$K52)*('env Parameter'!$C:$C=$L52),'env Parameter'!F:F,""),"")</f>
        <v>478</v>
      </c>
      <c r="E52" s="10" cm="1">
        <f t="array" ref="E52">IFERROR(_xlfn.XLOOKUP(1,('env Parameter'!$A:$A=$A52)*('env Parameter'!$B:$B=$K52)*('env Parameter'!$C:$C=$L52),'env Parameter'!G:G,""),"")</f>
        <v>7.6</v>
      </c>
      <c r="F52" t="str">
        <f>eDNA!F52</f>
        <v>MiFish</v>
      </c>
      <c r="G52" t="str">
        <f>eDNA!D52</f>
        <v>Hemibarbus sp.</v>
      </c>
      <c r="H52" t="str">
        <f>_xlfn.XLOOKUP(G52,'Common name (master file)'!$B:$B,'Common name (master file)'!$A:$A,"-------------")</f>
        <v>누치 속</v>
      </c>
      <c r="I52">
        <f>eDNA!E52</f>
        <v>19</v>
      </c>
      <c r="J52" t="str">
        <f>_xlfn.XLOOKUP(G52,'Common name (master file)'!$B:$B,'Common name (master file)'!$C:$C,"")</f>
        <v>어류</v>
      </c>
      <c r="K52">
        <f>eDNA!B52</f>
        <v>126.93147879999999</v>
      </c>
      <c r="L52">
        <f>eDNA!C52</f>
        <v>37.397387999999999</v>
      </c>
      <c r="M52" s="10" t="str" cm="1">
        <f t="array" ref="M52">IFERROR(_xlfn.XLOOKUP(1,('env Parameter'!$A:$A=$A52)*('env Parameter'!$B:$B=$K52)*('env Parameter'!$C:$C=$L52),'env Parameter'!D:D,""),"")</f>
        <v>안양천-4</v>
      </c>
      <c r="N52" s="10" t="str" cm="1">
        <f t="array" ref="N52">IFERROR(_xlfn.XLOOKUP(1,('env Parameter'!$A:$A=$A52)*('env Parameter'!$B:$B=$K52)*('env Parameter'!$C:$C=$L52),'env Parameter'!I:I,""),"")</f>
        <v>YR</v>
      </c>
    </row>
    <row r="53" spans="1:14">
      <c r="A53">
        <f>eDNA!A53</f>
        <v>20200716</v>
      </c>
      <c r="B53" s="10" t="str" cm="1">
        <f t="array" ref="B53">IFERROR(_xlfn.XLOOKUP(1,('env Parameter'!$A:$A=$A53)*('env Parameter'!$B:$B=$K53)*('env Parameter'!$C:$C=$L53),'env Parameter'!H:H,""),"")</f>
        <v>생물상 조사</v>
      </c>
      <c r="C53" s="10" cm="1">
        <f t="array" ref="C53">IFERROR(_xlfn.XLOOKUP(1,('env Parameter'!$A:$A=$A53)*('env Parameter'!$B:$B=$K53)*('env Parameter'!$C:$C=$L53),'env Parameter'!E:E,""),"")</f>
        <v>2.14</v>
      </c>
      <c r="D53" s="10" cm="1">
        <f t="array" ref="D53">IFERROR(_xlfn.XLOOKUP(1,('env Parameter'!$A:$A=$A53)*('env Parameter'!$B:$B=$K53)*('env Parameter'!$C:$C=$L53),'env Parameter'!F:F,""),"")</f>
        <v>478</v>
      </c>
      <c r="E53" s="10" cm="1">
        <f t="array" ref="E53">IFERROR(_xlfn.XLOOKUP(1,('env Parameter'!$A:$A=$A53)*('env Parameter'!$B:$B=$K53)*('env Parameter'!$C:$C=$L53),'env Parameter'!G:G,""),"")</f>
        <v>7.6</v>
      </c>
      <c r="F53" t="str">
        <f>eDNA!F53</f>
        <v>MiFish</v>
      </c>
      <c r="G53" t="str">
        <f>eDNA!D53</f>
        <v>Misgurnus anguillicaudatus</v>
      </c>
      <c r="H53" t="str">
        <f>_xlfn.XLOOKUP(G53,'Common name (master file)'!$B:$B,'Common name (master file)'!$A:$A,"-------------")</f>
        <v>미꾸리</v>
      </c>
      <c r="I53">
        <f>eDNA!E53</f>
        <v>47</v>
      </c>
      <c r="J53" t="str">
        <f>_xlfn.XLOOKUP(G53,'Common name (master file)'!$B:$B,'Common name (master file)'!$C:$C,"")</f>
        <v>어류</v>
      </c>
      <c r="K53">
        <f>eDNA!B53</f>
        <v>126.93147879999999</v>
      </c>
      <c r="L53">
        <f>eDNA!C53</f>
        <v>37.397387999999999</v>
      </c>
      <c r="M53" s="10" t="str" cm="1">
        <f t="array" ref="M53">IFERROR(_xlfn.XLOOKUP(1,('env Parameter'!$A:$A=$A53)*('env Parameter'!$B:$B=$K53)*('env Parameter'!$C:$C=$L53),'env Parameter'!D:D,""),"")</f>
        <v>안양천-4</v>
      </c>
      <c r="N53" s="10" t="str" cm="1">
        <f t="array" ref="N53">IFERROR(_xlfn.XLOOKUP(1,('env Parameter'!$A:$A=$A53)*('env Parameter'!$B:$B=$K53)*('env Parameter'!$C:$C=$L53),'env Parameter'!I:I,""),"")</f>
        <v>YR</v>
      </c>
    </row>
    <row r="54" spans="1:14">
      <c r="A54">
        <f>eDNA!A54</f>
        <v>20200716</v>
      </c>
      <c r="B54" s="10" t="str" cm="1">
        <f t="array" ref="B54">IFERROR(_xlfn.XLOOKUP(1,('env Parameter'!$A:$A=$A54)*('env Parameter'!$B:$B=$K54)*('env Parameter'!$C:$C=$L54),'env Parameter'!H:H,""),"")</f>
        <v>생물상 조사</v>
      </c>
      <c r="C54" s="10" cm="1">
        <f t="array" ref="C54">IFERROR(_xlfn.XLOOKUP(1,('env Parameter'!$A:$A=$A54)*('env Parameter'!$B:$B=$K54)*('env Parameter'!$C:$C=$L54),'env Parameter'!E:E,""),"")</f>
        <v>2.14</v>
      </c>
      <c r="D54" s="10" cm="1">
        <f t="array" ref="D54">IFERROR(_xlfn.XLOOKUP(1,('env Parameter'!$A:$A=$A54)*('env Parameter'!$B:$B=$K54)*('env Parameter'!$C:$C=$L54),'env Parameter'!F:F,""),"")</f>
        <v>478</v>
      </c>
      <c r="E54" s="10" cm="1">
        <f t="array" ref="E54">IFERROR(_xlfn.XLOOKUP(1,('env Parameter'!$A:$A=$A54)*('env Parameter'!$B:$B=$K54)*('env Parameter'!$C:$C=$L54),'env Parameter'!G:G,""),"")</f>
        <v>7.6</v>
      </c>
      <c r="F54" t="str">
        <f>eDNA!F54</f>
        <v>MiFish</v>
      </c>
      <c r="G54" t="str">
        <f>eDNA!D54</f>
        <v>Culter dabryi</v>
      </c>
      <c r="H54" t="str">
        <f>_xlfn.XLOOKUP(G54,'Common name (master file)'!$B:$B,'Common name (master file)'!$A:$A,"-------------")</f>
        <v>다브리날카로운입치</v>
      </c>
      <c r="I54">
        <f>eDNA!E54</f>
        <v>40</v>
      </c>
      <c r="J54" t="str">
        <f>_xlfn.XLOOKUP(G54,'Common name (master file)'!$B:$B,'Common name (master file)'!$C:$C,"")</f>
        <v>어류</v>
      </c>
      <c r="K54">
        <f>eDNA!B54</f>
        <v>126.93147879999999</v>
      </c>
      <c r="L54">
        <f>eDNA!C54</f>
        <v>37.397387999999999</v>
      </c>
      <c r="M54" s="10" t="str" cm="1">
        <f t="array" ref="M54">IFERROR(_xlfn.XLOOKUP(1,('env Parameter'!$A:$A=$A54)*('env Parameter'!$B:$B=$K54)*('env Parameter'!$C:$C=$L54),'env Parameter'!D:D,""),"")</f>
        <v>안양천-4</v>
      </c>
      <c r="N54" s="10" t="str" cm="1">
        <f t="array" ref="N54">IFERROR(_xlfn.XLOOKUP(1,('env Parameter'!$A:$A=$A54)*('env Parameter'!$B:$B=$K54)*('env Parameter'!$C:$C=$L54),'env Parameter'!I:I,""),"")</f>
        <v>YR</v>
      </c>
    </row>
    <row r="55" spans="1:14">
      <c r="A55">
        <f>eDNA!A55</f>
        <v>20200716</v>
      </c>
      <c r="B55" s="10" t="str" cm="1">
        <f t="array" ref="B55">IFERROR(_xlfn.XLOOKUP(1,('env Parameter'!$A:$A=$A55)*('env Parameter'!$B:$B=$K55)*('env Parameter'!$C:$C=$L55),'env Parameter'!H:H,""),"")</f>
        <v>생물상 조사</v>
      </c>
      <c r="C55" s="10" cm="1">
        <f t="array" ref="C55">IFERROR(_xlfn.XLOOKUP(1,('env Parameter'!$A:$A=$A55)*('env Parameter'!$B:$B=$K55)*('env Parameter'!$C:$C=$L55),'env Parameter'!E:E,""),"")</f>
        <v>2.14</v>
      </c>
      <c r="D55" s="10" cm="1">
        <f t="array" ref="D55">IFERROR(_xlfn.XLOOKUP(1,('env Parameter'!$A:$A=$A55)*('env Parameter'!$B:$B=$K55)*('env Parameter'!$C:$C=$L55),'env Parameter'!F:F,""),"")</f>
        <v>478</v>
      </c>
      <c r="E55" s="10" cm="1">
        <f t="array" ref="E55">IFERROR(_xlfn.XLOOKUP(1,('env Parameter'!$A:$A=$A55)*('env Parameter'!$B:$B=$K55)*('env Parameter'!$C:$C=$L55),'env Parameter'!G:G,""),"")</f>
        <v>7.6</v>
      </c>
      <c r="F55" t="str">
        <f>eDNA!F55</f>
        <v>MiFish</v>
      </c>
      <c r="G55" t="str">
        <f>eDNA!D55</f>
        <v>Carassius auratus</v>
      </c>
      <c r="H55" t="str">
        <f>_xlfn.XLOOKUP(G55,'Common name (master file)'!$B:$B,'Common name (master file)'!$A:$A,"-------------")</f>
        <v>붕어</v>
      </c>
      <c r="I55">
        <f>eDNA!E55</f>
        <v>44</v>
      </c>
      <c r="J55" t="str">
        <f>_xlfn.XLOOKUP(G55,'Common name (master file)'!$B:$B,'Common name (master file)'!$C:$C,"")</f>
        <v>어류</v>
      </c>
      <c r="K55">
        <f>eDNA!B55</f>
        <v>126.93147879999999</v>
      </c>
      <c r="L55">
        <f>eDNA!C55</f>
        <v>37.397387999999999</v>
      </c>
      <c r="M55" s="10" t="str" cm="1">
        <f t="array" ref="M55">IFERROR(_xlfn.XLOOKUP(1,('env Parameter'!$A:$A=$A55)*('env Parameter'!$B:$B=$K55)*('env Parameter'!$C:$C=$L55),'env Parameter'!D:D,""),"")</f>
        <v>안양천-4</v>
      </c>
      <c r="N55" s="10" t="str" cm="1">
        <f t="array" ref="N55">IFERROR(_xlfn.XLOOKUP(1,('env Parameter'!$A:$A=$A55)*('env Parameter'!$B:$B=$K55)*('env Parameter'!$C:$C=$L55),'env Parameter'!I:I,""),"")</f>
        <v>YR</v>
      </c>
    </row>
    <row r="56" spans="1:14">
      <c r="A56">
        <f>eDNA!A56</f>
        <v>20200716</v>
      </c>
      <c r="B56" s="10" t="str" cm="1">
        <f t="array" ref="B56">IFERROR(_xlfn.XLOOKUP(1,('env Parameter'!$A:$A=$A56)*('env Parameter'!$B:$B=$K56)*('env Parameter'!$C:$C=$L56),'env Parameter'!H:H,""),"")</f>
        <v>생물상 조사</v>
      </c>
      <c r="C56" s="10" cm="1">
        <f t="array" ref="C56">IFERROR(_xlfn.XLOOKUP(1,('env Parameter'!$A:$A=$A56)*('env Parameter'!$B:$B=$K56)*('env Parameter'!$C:$C=$L56),'env Parameter'!E:E,""),"")</f>
        <v>2.14</v>
      </c>
      <c r="D56" s="10" cm="1">
        <f t="array" ref="D56">IFERROR(_xlfn.XLOOKUP(1,('env Parameter'!$A:$A=$A56)*('env Parameter'!$B:$B=$K56)*('env Parameter'!$C:$C=$L56),'env Parameter'!F:F,""),"")</f>
        <v>478</v>
      </c>
      <c r="E56" s="10" cm="1">
        <f t="array" ref="E56">IFERROR(_xlfn.XLOOKUP(1,('env Parameter'!$A:$A=$A56)*('env Parameter'!$B:$B=$K56)*('env Parameter'!$C:$C=$L56),'env Parameter'!G:G,""),"")</f>
        <v>7.6</v>
      </c>
      <c r="F56" t="str">
        <f>eDNA!F56</f>
        <v>MiFish</v>
      </c>
      <c r="G56" t="str">
        <f>eDNA!D56</f>
        <v>Tadorna tadorna</v>
      </c>
      <c r="H56" t="str">
        <f>_xlfn.XLOOKUP(G56,'Common name (master file)'!$B:$B,'Common name (master file)'!$A:$A,"-------------")</f>
        <v>혹부리오리</v>
      </c>
      <c r="I56">
        <f>eDNA!E56</f>
        <v>65</v>
      </c>
      <c r="J56" t="str">
        <f>_xlfn.XLOOKUP(G56,'Common name (master file)'!$B:$B,'Common name (master file)'!$C:$C,"")</f>
        <v>조류</v>
      </c>
      <c r="K56">
        <f>eDNA!B56</f>
        <v>126.93147879999999</v>
      </c>
      <c r="L56">
        <f>eDNA!C56</f>
        <v>37.397387999999999</v>
      </c>
      <c r="M56" s="10" t="str" cm="1">
        <f t="array" ref="M56">IFERROR(_xlfn.XLOOKUP(1,('env Parameter'!$A:$A=$A56)*('env Parameter'!$B:$B=$K56)*('env Parameter'!$C:$C=$L56),'env Parameter'!D:D,""),"")</f>
        <v>안양천-4</v>
      </c>
      <c r="N56" s="10" t="str" cm="1">
        <f t="array" ref="N56">IFERROR(_xlfn.XLOOKUP(1,('env Parameter'!$A:$A=$A56)*('env Parameter'!$B:$B=$K56)*('env Parameter'!$C:$C=$L56),'env Parameter'!I:I,""),"")</f>
        <v>YR</v>
      </c>
    </row>
    <row r="57" spans="1:14">
      <c r="A57">
        <f>eDNA!A57</f>
        <v>20200716</v>
      </c>
      <c r="B57" s="10" t="str" cm="1">
        <f t="array" ref="B57">IFERROR(_xlfn.XLOOKUP(1,('env Parameter'!$A:$A=$A57)*('env Parameter'!$B:$B=$K57)*('env Parameter'!$C:$C=$L57),'env Parameter'!H:H,""),"")</f>
        <v>생물상 조사</v>
      </c>
      <c r="C57" s="10" cm="1">
        <f t="array" ref="C57">IFERROR(_xlfn.XLOOKUP(1,('env Parameter'!$A:$A=$A57)*('env Parameter'!$B:$B=$K57)*('env Parameter'!$C:$C=$L57),'env Parameter'!E:E,""),"")</f>
        <v>2.14</v>
      </c>
      <c r="D57" s="10" cm="1">
        <f t="array" ref="D57">IFERROR(_xlfn.XLOOKUP(1,('env Parameter'!$A:$A=$A57)*('env Parameter'!$B:$B=$K57)*('env Parameter'!$C:$C=$L57),'env Parameter'!F:F,""),"")</f>
        <v>478</v>
      </c>
      <c r="E57" s="10" cm="1">
        <f t="array" ref="E57">IFERROR(_xlfn.XLOOKUP(1,('env Parameter'!$A:$A=$A57)*('env Parameter'!$B:$B=$K57)*('env Parameter'!$C:$C=$L57),'env Parameter'!G:G,""),"")</f>
        <v>7.6</v>
      </c>
      <c r="F57" t="str">
        <f>eDNA!F57</f>
        <v>MiFish</v>
      </c>
      <c r="G57" t="str">
        <f>eDNA!D57</f>
        <v>Rhinogobius sp.</v>
      </c>
      <c r="H57" t="str">
        <f>_xlfn.XLOOKUP(G57,'Common name (master file)'!$B:$B,'Common name (master file)'!$A:$A,"-------------")</f>
        <v>밀어</v>
      </c>
      <c r="I57">
        <f>eDNA!E57</f>
        <v>55</v>
      </c>
      <c r="J57" t="str">
        <f>_xlfn.XLOOKUP(G57,'Common name (master file)'!$B:$B,'Common name (master file)'!$C:$C,"")</f>
        <v>어류</v>
      </c>
      <c r="K57">
        <f>eDNA!B57</f>
        <v>126.93147879999999</v>
      </c>
      <c r="L57">
        <f>eDNA!C57</f>
        <v>37.397387999999999</v>
      </c>
      <c r="M57" s="10" t="str" cm="1">
        <f t="array" ref="M57">IFERROR(_xlfn.XLOOKUP(1,('env Parameter'!$A:$A=$A57)*('env Parameter'!$B:$B=$K57)*('env Parameter'!$C:$C=$L57),'env Parameter'!D:D,""),"")</f>
        <v>안양천-4</v>
      </c>
      <c r="N57" s="10" t="str" cm="1">
        <f t="array" ref="N57">IFERROR(_xlfn.XLOOKUP(1,('env Parameter'!$A:$A=$A57)*('env Parameter'!$B:$B=$K57)*('env Parameter'!$C:$C=$L57),'env Parameter'!I:I,""),"")</f>
        <v>YR</v>
      </c>
    </row>
    <row r="58" spans="1:14">
      <c r="A58">
        <f>eDNA!A58</f>
        <v>20200716</v>
      </c>
      <c r="B58" s="10" t="str" cm="1">
        <f t="array" ref="B58">IFERROR(_xlfn.XLOOKUP(1,('env Parameter'!$A:$A=$A58)*('env Parameter'!$B:$B=$K58)*('env Parameter'!$C:$C=$L58),'env Parameter'!H:H,""),"")</f>
        <v>생물상 조사</v>
      </c>
      <c r="C58" s="10" cm="1">
        <f t="array" ref="C58">IFERROR(_xlfn.XLOOKUP(1,('env Parameter'!$A:$A=$A58)*('env Parameter'!$B:$B=$K58)*('env Parameter'!$C:$C=$L58),'env Parameter'!E:E,""),"")</f>
        <v>2.14</v>
      </c>
      <c r="D58" s="10" cm="1">
        <f t="array" ref="D58">IFERROR(_xlfn.XLOOKUP(1,('env Parameter'!$A:$A=$A58)*('env Parameter'!$B:$B=$K58)*('env Parameter'!$C:$C=$L58),'env Parameter'!F:F,""),"")</f>
        <v>478</v>
      </c>
      <c r="E58" s="10" cm="1">
        <f t="array" ref="E58">IFERROR(_xlfn.XLOOKUP(1,('env Parameter'!$A:$A=$A58)*('env Parameter'!$B:$B=$K58)*('env Parameter'!$C:$C=$L58),'env Parameter'!G:G,""),"")</f>
        <v>7.6</v>
      </c>
      <c r="F58" t="str">
        <f>eDNA!F58</f>
        <v>MiFish</v>
      </c>
      <c r="G58" t="str">
        <f>eDNA!D58</f>
        <v>Misgurnus bipartitus</v>
      </c>
      <c r="H58" t="str">
        <f>_xlfn.XLOOKUP(G58,'Common name (master file)'!$B:$B,'Common name (master file)'!$A:$A,"-------------")</f>
        <v>쌍무늬미꾸리</v>
      </c>
      <c r="I58">
        <f>eDNA!E58</f>
        <v>106</v>
      </c>
      <c r="J58" t="str">
        <f>_xlfn.XLOOKUP(G58,'Common name (master file)'!$B:$B,'Common name (master file)'!$C:$C,"")</f>
        <v>어류</v>
      </c>
      <c r="K58">
        <f>eDNA!B58</f>
        <v>126.93147879999999</v>
      </c>
      <c r="L58">
        <f>eDNA!C58</f>
        <v>37.397387999999999</v>
      </c>
      <c r="M58" s="10" t="str" cm="1">
        <f t="array" ref="M58">IFERROR(_xlfn.XLOOKUP(1,('env Parameter'!$A:$A=$A58)*('env Parameter'!$B:$B=$K58)*('env Parameter'!$C:$C=$L58),'env Parameter'!D:D,""),"")</f>
        <v>안양천-4</v>
      </c>
      <c r="N58" s="10" t="str" cm="1">
        <f t="array" ref="N58">IFERROR(_xlfn.XLOOKUP(1,('env Parameter'!$A:$A=$A58)*('env Parameter'!$B:$B=$K58)*('env Parameter'!$C:$C=$L58),'env Parameter'!I:I,""),"")</f>
        <v>YR</v>
      </c>
    </row>
    <row r="59" spans="1:14">
      <c r="A59">
        <f>eDNA!A59</f>
        <v>20200716</v>
      </c>
      <c r="B59" s="10" t="str" cm="1">
        <f t="array" ref="B59">IFERROR(_xlfn.XLOOKUP(1,('env Parameter'!$A:$A=$A59)*('env Parameter'!$B:$B=$K59)*('env Parameter'!$C:$C=$L59),'env Parameter'!H:H,""),"")</f>
        <v>생물상 조사</v>
      </c>
      <c r="C59" s="10" cm="1">
        <f t="array" ref="C59">IFERROR(_xlfn.XLOOKUP(1,('env Parameter'!$A:$A=$A59)*('env Parameter'!$B:$B=$K59)*('env Parameter'!$C:$C=$L59),'env Parameter'!E:E,""),"")</f>
        <v>2.14</v>
      </c>
      <c r="D59" s="10" cm="1">
        <f t="array" ref="D59">IFERROR(_xlfn.XLOOKUP(1,('env Parameter'!$A:$A=$A59)*('env Parameter'!$B:$B=$K59)*('env Parameter'!$C:$C=$L59),'env Parameter'!F:F,""),"")</f>
        <v>478</v>
      </c>
      <c r="E59" s="10" cm="1">
        <f t="array" ref="E59">IFERROR(_xlfn.XLOOKUP(1,('env Parameter'!$A:$A=$A59)*('env Parameter'!$B:$B=$K59)*('env Parameter'!$C:$C=$L59),'env Parameter'!G:G,""),"")</f>
        <v>7.6</v>
      </c>
      <c r="F59" t="str">
        <f>eDNA!F59</f>
        <v>MiFish</v>
      </c>
      <c r="G59" t="str">
        <f>eDNA!D59</f>
        <v>Pelodiscus sinensis</v>
      </c>
      <c r="H59" t="str">
        <f>_xlfn.XLOOKUP(G59,'Common name (master file)'!$B:$B,'Common name (master file)'!$A:$A,"-------------")</f>
        <v>중국자라</v>
      </c>
      <c r="I59">
        <f>eDNA!E59</f>
        <v>169</v>
      </c>
      <c r="J59" t="str">
        <f>_xlfn.XLOOKUP(G59,'Common name (master file)'!$B:$B,'Common name (master file)'!$C:$C,"")</f>
        <v>양서파충류</v>
      </c>
      <c r="K59">
        <f>eDNA!B59</f>
        <v>126.93147879999999</v>
      </c>
      <c r="L59">
        <f>eDNA!C59</f>
        <v>37.397387999999999</v>
      </c>
      <c r="M59" s="10" t="str" cm="1">
        <f t="array" ref="M59">IFERROR(_xlfn.XLOOKUP(1,('env Parameter'!$A:$A=$A59)*('env Parameter'!$B:$B=$K59)*('env Parameter'!$C:$C=$L59),'env Parameter'!D:D,""),"")</f>
        <v>안양천-4</v>
      </c>
      <c r="N59" s="10" t="str" cm="1">
        <f t="array" ref="N59">IFERROR(_xlfn.XLOOKUP(1,('env Parameter'!$A:$A=$A59)*('env Parameter'!$B:$B=$K59)*('env Parameter'!$C:$C=$L59),'env Parameter'!I:I,""),"")</f>
        <v>YR</v>
      </c>
    </row>
    <row r="60" spans="1:14">
      <c r="A60">
        <f>eDNA!A60</f>
        <v>20200716</v>
      </c>
      <c r="B60" s="10" t="str" cm="1">
        <f t="array" ref="B60">IFERROR(_xlfn.XLOOKUP(1,('env Parameter'!$A:$A=$A60)*('env Parameter'!$B:$B=$K60)*('env Parameter'!$C:$C=$L60),'env Parameter'!H:H,""),"")</f>
        <v>생물상 조사</v>
      </c>
      <c r="C60" s="10" cm="1">
        <f t="array" ref="C60">IFERROR(_xlfn.XLOOKUP(1,('env Parameter'!$A:$A=$A60)*('env Parameter'!$B:$B=$K60)*('env Parameter'!$C:$C=$L60),'env Parameter'!E:E,""),"")</f>
        <v>2.14</v>
      </c>
      <c r="D60" s="10" cm="1">
        <f t="array" ref="D60">IFERROR(_xlfn.XLOOKUP(1,('env Parameter'!$A:$A=$A60)*('env Parameter'!$B:$B=$K60)*('env Parameter'!$C:$C=$L60),'env Parameter'!F:F,""),"")</f>
        <v>478</v>
      </c>
      <c r="E60" s="10" cm="1">
        <f t="array" ref="E60">IFERROR(_xlfn.XLOOKUP(1,('env Parameter'!$A:$A=$A60)*('env Parameter'!$B:$B=$K60)*('env Parameter'!$C:$C=$L60),'env Parameter'!G:G,""),"")</f>
        <v>7.6</v>
      </c>
      <c r="F60" t="str">
        <f>eDNA!F60</f>
        <v>MiFish</v>
      </c>
      <c r="G60" t="str">
        <f>eDNA!D60</f>
        <v>Oryzias sinensis</v>
      </c>
      <c r="H60" t="str">
        <f>_xlfn.XLOOKUP(G60,'Common name (master file)'!$B:$B,'Common name (master file)'!$A:$A,"-------------")</f>
        <v>대륙송사리</v>
      </c>
      <c r="I60">
        <f>eDNA!E60</f>
        <v>144</v>
      </c>
      <c r="J60" t="str">
        <f>_xlfn.XLOOKUP(G60,'Common name (master file)'!$B:$B,'Common name (master file)'!$C:$C,"")</f>
        <v>어류</v>
      </c>
      <c r="K60">
        <f>eDNA!B60</f>
        <v>126.93147879999999</v>
      </c>
      <c r="L60">
        <f>eDNA!C60</f>
        <v>37.397387999999999</v>
      </c>
      <c r="M60" s="10" t="str" cm="1">
        <f t="array" ref="M60">IFERROR(_xlfn.XLOOKUP(1,('env Parameter'!$A:$A=$A60)*('env Parameter'!$B:$B=$K60)*('env Parameter'!$C:$C=$L60),'env Parameter'!D:D,""),"")</f>
        <v>안양천-4</v>
      </c>
      <c r="N60" s="10" t="str" cm="1">
        <f t="array" ref="N60">IFERROR(_xlfn.XLOOKUP(1,('env Parameter'!$A:$A=$A60)*('env Parameter'!$B:$B=$K60)*('env Parameter'!$C:$C=$L60),'env Parameter'!I:I,""),"")</f>
        <v>YR</v>
      </c>
    </row>
    <row r="61" spans="1:14">
      <c r="A61">
        <f>eDNA!A61</f>
        <v>20200716</v>
      </c>
      <c r="B61" s="10" t="str" cm="1">
        <f t="array" ref="B61">IFERROR(_xlfn.XLOOKUP(1,('env Parameter'!$A:$A=$A61)*('env Parameter'!$B:$B=$K61)*('env Parameter'!$C:$C=$L61),'env Parameter'!H:H,""),"")</f>
        <v>생물상 조사</v>
      </c>
      <c r="C61" s="10" cm="1">
        <f t="array" ref="C61">IFERROR(_xlfn.XLOOKUP(1,('env Parameter'!$A:$A=$A61)*('env Parameter'!$B:$B=$K61)*('env Parameter'!$C:$C=$L61),'env Parameter'!E:E,""),"")</f>
        <v>2.14</v>
      </c>
      <c r="D61" s="10" cm="1">
        <f t="array" ref="D61">IFERROR(_xlfn.XLOOKUP(1,('env Parameter'!$A:$A=$A61)*('env Parameter'!$B:$B=$K61)*('env Parameter'!$C:$C=$L61),'env Parameter'!F:F,""),"")</f>
        <v>478</v>
      </c>
      <c r="E61" s="10" cm="1">
        <f t="array" ref="E61">IFERROR(_xlfn.XLOOKUP(1,('env Parameter'!$A:$A=$A61)*('env Parameter'!$B:$B=$K61)*('env Parameter'!$C:$C=$L61),'env Parameter'!G:G,""),"")</f>
        <v>7.6</v>
      </c>
      <c r="F61" t="str">
        <f>eDNA!F61</f>
        <v>MiFish</v>
      </c>
      <c r="G61" t="str">
        <f>eDNA!D61</f>
        <v>Paramisgurnus dabryanus</v>
      </c>
      <c r="H61" t="str">
        <f>_xlfn.XLOOKUP(G61,'Common name (master file)'!$B:$B,'Common name (master file)'!$A:$A,"-------------")</f>
        <v>중국미꾸라지</v>
      </c>
      <c r="I61">
        <f>eDNA!E61</f>
        <v>183</v>
      </c>
      <c r="J61" t="str">
        <f>_xlfn.XLOOKUP(G61,'Common name (master file)'!$B:$B,'Common name (master file)'!$C:$C,"")</f>
        <v>어류</v>
      </c>
      <c r="K61">
        <f>eDNA!B61</f>
        <v>126.93147879999999</v>
      </c>
      <c r="L61">
        <f>eDNA!C61</f>
        <v>37.397387999999999</v>
      </c>
      <c r="M61" s="10" t="str" cm="1">
        <f t="array" ref="M61">IFERROR(_xlfn.XLOOKUP(1,('env Parameter'!$A:$A=$A61)*('env Parameter'!$B:$B=$K61)*('env Parameter'!$C:$C=$L61),'env Parameter'!D:D,""),"")</f>
        <v>안양천-4</v>
      </c>
      <c r="N61" s="10" t="str" cm="1">
        <f t="array" ref="N61">IFERROR(_xlfn.XLOOKUP(1,('env Parameter'!$A:$A=$A61)*('env Parameter'!$B:$B=$K61)*('env Parameter'!$C:$C=$L61),'env Parameter'!I:I,""),"")</f>
        <v>YR</v>
      </c>
    </row>
    <row r="62" spans="1:14">
      <c r="A62">
        <f>eDNA!A62</f>
        <v>20200716</v>
      </c>
      <c r="B62" s="10" t="str" cm="1">
        <f t="array" ref="B62">IFERROR(_xlfn.XLOOKUP(1,('env Parameter'!$A:$A=$A62)*('env Parameter'!$B:$B=$K62)*('env Parameter'!$C:$C=$L62),'env Parameter'!H:H,""),"")</f>
        <v>생물상 조사</v>
      </c>
      <c r="C62" s="10" cm="1">
        <f t="array" ref="C62">IFERROR(_xlfn.XLOOKUP(1,('env Parameter'!$A:$A=$A62)*('env Parameter'!$B:$B=$K62)*('env Parameter'!$C:$C=$L62),'env Parameter'!E:E,""),"")</f>
        <v>2.14</v>
      </c>
      <c r="D62" s="10" cm="1">
        <f t="array" ref="D62">IFERROR(_xlfn.XLOOKUP(1,('env Parameter'!$A:$A=$A62)*('env Parameter'!$B:$B=$K62)*('env Parameter'!$C:$C=$L62),'env Parameter'!F:F,""),"")</f>
        <v>478</v>
      </c>
      <c r="E62" s="10" cm="1">
        <f t="array" ref="E62">IFERROR(_xlfn.XLOOKUP(1,('env Parameter'!$A:$A=$A62)*('env Parameter'!$B:$B=$K62)*('env Parameter'!$C:$C=$L62),'env Parameter'!G:G,""),"")</f>
        <v>7.6</v>
      </c>
      <c r="F62" t="str">
        <f>eDNA!F62</f>
        <v>MiFish</v>
      </c>
      <c r="G62" t="str">
        <f>eDNA!D62</f>
        <v>Carassius cuvieri</v>
      </c>
      <c r="H62" t="str">
        <f>_xlfn.XLOOKUP(G62,'Common name (master file)'!$B:$B,'Common name (master file)'!$A:$A,"-------------")</f>
        <v>떡붕어</v>
      </c>
      <c r="I62">
        <f>eDNA!E62</f>
        <v>185</v>
      </c>
      <c r="J62" t="str">
        <f>_xlfn.XLOOKUP(G62,'Common name (master file)'!$B:$B,'Common name (master file)'!$C:$C,"")</f>
        <v>어류</v>
      </c>
      <c r="K62">
        <f>eDNA!B62</f>
        <v>126.93147879999999</v>
      </c>
      <c r="L62">
        <f>eDNA!C62</f>
        <v>37.397387999999999</v>
      </c>
      <c r="M62" s="10" t="str" cm="1">
        <f t="array" ref="M62">IFERROR(_xlfn.XLOOKUP(1,('env Parameter'!$A:$A=$A62)*('env Parameter'!$B:$B=$K62)*('env Parameter'!$C:$C=$L62),'env Parameter'!D:D,""),"")</f>
        <v>안양천-4</v>
      </c>
      <c r="N62" s="10" t="str" cm="1">
        <f t="array" ref="N62">IFERROR(_xlfn.XLOOKUP(1,('env Parameter'!$A:$A=$A62)*('env Parameter'!$B:$B=$K62)*('env Parameter'!$C:$C=$L62),'env Parameter'!I:I,""),"")</f>
        <v>YR</v>
      </c>
    </row>
    <row r="63" spans="1:14">
      <c r="A63">
        <f>eDNA!A63</f>
        <v>20200716</v>
      </c>
      <c r="B63" s="10" t="str" cm="1">
        <f t="array" ref="B63">IFERROR(_xlfn.XLOOKUP(1,('env Parameter'!$A:$A=$A63)*('env Parameter'!$B:$B=$K63)*('env Parameter'!$C:$C=$L63),'env Parameter'!H:H,""),"")</f>
        <v>생물상 조사</v>
      </c>
      <c r="C63" s="10" cm="1">
        <f t="array" ref="C63">IFERROR(_xlfn.XLOOKUP(1,('env Parameter'!$A:$A=$A63)*('env Parameter'!$B:$B=$K63)*('env Parameter'!$C:$C=$L63),'env Parameter'!E:E,""),"")</f>
        <v>2.14</v>
      </c>
      <c r="D63" s="10" cm="1">
        <f t="array" ref="D63">IFERROR(_xlfn.XLOOKUP(1,('env Parameter'!$A:$A=$A63)*('env Parameter'!$B:$B=$K63)*('env Parameter'!$C:$C=$L63),'env Parameter'!F:F,""),"")</f>
        <v>478</v>
      </c>
      <c r="E63" s="10" cm="1">
        <f t="array" ref="E63">IFERROR(_xlfn.XLOOKUP(1,('env Parameter'!$A:$A=$A63)*('env Parameter'!$B:$B=$K63)*('env Parameter'!$C:$C=$L63),'env Parameter'!G:G,""),"")</f>
        <v>7.6</v>
      </c>
      <c r="F63" t="str">
        <f>eDNA!F63</f>
        <v>MiFish</v>
      </c>
      <c r="G63" t="str">
        <f>eDNA!D63</f>
        <v>Gnathopogon strigatus</v>
      </c>
      <c r="H63" t="str">
        <f>_xlfn.XLOOKUP(G63,'Common name (master file)'!$B:$B,'Common name (master file)'!$A:$A,"-------------")</f>
        <v>줄몰개</v>
      </c>
      <c r="I63">
        <f>eDNA!E63</f>
        <v>420</v>
      </c>
      <c r="J63" t="str">
        <f>_xlfn.XLOOKUP(G63,'Common name (master file)'!$B:$B,'Common name (master file)'!$C:$C,"")</f>
        <v>어류</v>
      </c>
      <c r="K63">
        <f>eDNA!B63</f>
        <v>126.93147879999999</v>
      </c>
      <c r="L63">
        <f>eDNA!C63</f>
        <v>37.397387999999999</v>
      </c>
      <c r="M63" s="10" t="str" cm="1">
        <f t="array" ref="M63">IFERROR(_xlfn.XLOOKUP(1,('env Parameter'!$A:$A=$A63)*('env Parameter'!$B:$B=$K63)*('env Parameter'!$C:$C=$L63),'env Parameter'!D:D,""),"")</f>
        <v>안양천-4</v>
      </c>
      <c r="N63" s="10" t="str" cm="1">
        <f t="array" ref="N63">IFERROR(_xlfn.XLOOKUP(1,('env Parameter'!$A:$A=$A63)*('env Parameter'!$B:$B=$K63)*('env Parameter'!$C:$C=$L63),'env Parameter'!I:I,""),"")</f>
        <v>YR</v>
      </c>
    </row>
    <row r="64" spans="1:14">
      <c r="A64">
        <f>eDNA!A64</f>
        <v>20200716</v>
      </c>
      <c r="B64" s="10" t="str" cm="1">
        <f t="array" ref="B64">IFERROR(_xlfn.XLOOKUP(1,('env Parameter'!$A:$A=$A64)*('env Parameter'!$B:$B=$K64)*('env Parameter'!$C:$C=$L64),'env Parameter'!H:H,""),"")</f>
        <v>생물상 조사</v>
      </c>
      <c r="C64" s="10" cm="1">
        <f t="array" ref="C64">IFERROR(_xlfn.XLOOKUP(1,('env Parameter'!$A:$A=$A64)*('env Parameter'!$B:$B=$K64)*('env Parameter'!$C:$C=$L64),'env Parameter'!E:E,""),"")</f>
        <v>2.14</v>
      </c>
      <c r="D64" s="10" cm="1">
        <f t="array" ref="D64">IFERROR(_xlfn.XLOOKUP(1,('env Parameter'!$A:$A=$A64)*('env Parameter'!$B:$B=$K64)*('env Parameter'!$C:$C=$L64),'env Parameter'!F:F,""),"")</f>
        <v>478</v>
      </c>
      <c r="E64" s="10" cm="1">
        <f t="array" ref="E64">IFERROR(_xlfn.XLOOKUP(1,('env Parameter'!$A:$A=$A64)*('env Parameter'!$B:$B=$K64)*('env Parameter'!$C:$C=$L64),'env Parameter'!G:G,""),"")</f>
        <v>7.6</v>
      </c>
      <c r="F64" t="str">
        <f>eDNA!F64</f>
        <v>MiFish</v>
      </c>
      <c r="G64" t="str">
        <f>eDNA!D64</f>
        <v>Carassius sp.</v>
      </c>
      <c r="H64" t="str">
        <f>_xlfn.XLOOKUP(G64,'Common name (master file)'!$B:$B,'Common name (master file)'!$A:$A,"-------------")</f>
        <v>붕어 속</v>
      </c>
      <c r="I64">
        <f>eDNA!E64</f>
        <v>407</v>
      </c>
      <c r="J64" t="str">
        <f>_xlfn.XLOOKUP(G64,'Common name (master file)'!$B:$B,'Common name (master file)'!$C:$C,"")</f>
        <v>어류</v>
      </c>
      <c r="K64">
        <f>eDNA!B64</f>
        <v>126.93147879999999</v>
      </c>
      <c r="L64">
        <f>eDNA!C64</f>
        <v>37.397387999999999</v>
      </c>
      <c r="M64" s="10" t="str" cm="1">
        <f t="array" ref="M64">IFERROR(_xlfn.XLOOKUP(1,('env Parameter'!$A:$A=$A64)*('env Parameter'!$B:$B=$K64)*('env Parameter'!$C:$C=$L64),'env Parameter'!D:D,""),"")</f>
        <v>안양천-4</v>
      </c>
      <c r="N64" s="10" t="str" cm="1">
        <f t="array" ref="N64">IFERROR(_xlfn.XLOOKUP(1,('env Parameter'!$A:$A=$A64)*('env Parameter'!$B:$B=$K64)*('env Parameter'!$C:$C=$L64),'env Parameter'!I:I,""),"")</f>
        <v>YR</v>
      </c>
    </row>
    <row r="65" spans="1:14">
      <c r="A65">
        <f>eDNA!A65</f>
        <v>20200716</v>
      </c>
      <c r="B65" s="10" t="str" cm="1">
        <f t="array" ref="B65">IFERROR(_xlfn.XLOOKUP(1,('env Parameter'!$A:$A=$A65)*('env Parameter'!$B:$B=$K65)*('env Parameter'!$C:$C=$L65),'env Parameter'!H:H,""),"")</f>
        <v>생물상 조사</v>
      </c>
      <c r="C65" s="10" cm="1">
        <f t="array" ref="C65">IFERROR(_xlfn.XLOOKUP(1,('env Parameter'!$A:$A=$A65)*('env Parameter'!$B:$B=$K65)*('env Parameter'!$C:$C=$L65),'env Parameter'!E:E,""),"")</f>
        <v>2.14</v>
      </c>
      <c r="D65" s="10" cm="1">
        <f t="array" ref="D65">IFERROR(_xlfn.XLOOKUP(1,('env Parameter'!$A:$A=$A65)*('env Parameter'!$B:$B=$K65)*('env Parameter'!$C:$C=$L65),'env Parameter'!F:F,""),"")</f>
        <v>478</v>
      </c>
      <c r="E65" s="10" cm="1">
        <f t="array" ref="E65">IFERROR(_xlfn.XLOOKUP(1,('env Parameter'!$A:$A=$A65)*('env Parameter'!$B:$B=$K65)*('env Parameter'!$C:$C=$L65),'env Parameter'!G:G,""),"")</f>
        <v>7.6</v>
      </c>
      <c r="F65" t="str">
        <f>eDNA!F65</f>
        <v>MiFish</v>
      </c>
      <c r="G65" t="str">
        <f>eDNA!D65</f>
        <v>Cyprinus carpio</v>
      </c>
      <c r="H65" t="str">
        <f>_xlfn.XLOOKUP(G65,'Common name (master file)'!$B:$B,'Common name (master file)'!$A:$A,"-------------")</f>
        <v>잉어</v>
      </c>
      <c r="I65">
        <f>eDNA!E65</f>
        <v>351</v>
      </c>
      <c r="J65" t="str">
        <f>_xlfn.XLOOKUP(G65,'Common name (master file)'!$B:$B,'Common name (master file)'!$C:$C,"")</f>
        <v>어류</v>
      </c>
      <c r="K65">
        <f>eDNA!B65</f>
        <v>126.93147879999999</v>
      </c>
      <c r="L65">
        <f>eDNA!C65</f>
        <v>37.397387999999999</v>
      </c>
      <c r="M65" s="10" t="str" cm="1">
        <f t="array" ref="M65">IFERROR(_xlfn.XLOOKUP(1,('env Parameter'!$A:$A=$A65)*('env Parameter'!$B:$B=$K65)*('env Parameter'!$C:$C=$L65),'env Parameter'!D:D,""),"")</f>
        <v>안양천-4</v>
      </c>
      <c r="N65" s="10" t="str" cm="1">
        <f t="array" ref="N65">IFERROR(_xlfn.XLOOKUP(1,('env Parameter'!$A:$A=$A65)*('env Parameter'!$B:$B=$K65)*('env Parameter'!$C:$C=$L65),'env Parameter'!I:I,""),"")</f>
        <v>YR</v>
      </c>
    </row>
    <row r="66" spans="1:14">
      <c r="A66">
        <f>eDNA!A66</f>
        <v>20200716</v>
      </c>
      <c r="B66" s="10" t="str" cm="1">
        <f t="array" ref="B66">IFERROR(_xlfn.XLOOKUP(1,('env Parameter'!$A:$A=$A66)*('env Parameter'!$B:$B=$K66)*('env Parameter'!$C:$C=$L66),'env Parameter'!H:H,""),"")</f>
        <v>생물상 조사</v>
      </c>
      <c r="C66" s="10" cm="1">
        <f t="array" ref="C66">IFERROR(_xlfn.XLOOKUP(1,('env Parameter'!$A:$A=$A66)*('env Parameter'!$B:$B=$K66)*('env Parameter'!$C:$C=$L66),'env Parameter'!E:E,""),"")</f>
        <v>2.14</v>
      </c>
      <c r="D66" s="10" cm="1">
        <f t="array" ref="D66">IFERROR(_xlfn.XLOOKUP(1,('env Parameter'!$A:$A=$A66)*('env Parameter'!$B:$B=$K66)*('env Parameter'!$C:$C=$L66),'env Parameter'!F:F,""),"")</f>
        <v>478</v>
      </c>
      <c r="E66" s="10" cm="1">
        <f t="array" ref="E66">IFERROR(_xlfn.XLOOKUP(1,('env Parameter'!$A:$A=$A66)*('env Parameter'!$B:$B=$K66)*('env Parameter'!$C:$C=$L66),'env Parameter'!G:G,""),"")</f>
        <v>7.6</v>
      </c>
      <c r="F66" t="str">
        <f>eDNA!F66</f>
        <v>MiFish</v>
      </c>
      <c r="G66" t="str">
        <f>eDNA!D66</f>
        <v>Micropterus salmoides</v>
      </c>
      <c r="H66" t="str">
        <f>_xlfn.XLOOKUP(G66,'Common name (master file)'!$B:$B,'Common name (master file)'!$A:$A,"-------------")</f>
        <v>큰입배스</v>
      </c>
      <c r="I66">
        <f>eDNA!E66</f>
        <v>1181</v>
      </c>
      <c r="J66" t="str">
        <f>_xlfn.XLOOKUP(G66,'Common name (master file)'!$B:$B,'Common name (master file)'!$C:$C,"")</f>
        <v>어류</v>
      </c>
      <c r="K66">
        <f>eDNA!B66</f>
        <v>126.93147879999999</v>
      </c>
      <c r="L66">
        <f>eDNA!C66</f>
        <v>37.397387999999999</v>
      </c>
      <c r="M66" s="10" t="str" cm="1">
        <f t="array" ref="M66">IFERROR(_xlfn.XLOOKUP(1,('env Parameter'!$A:$A=$A66)*('env Parameter'!$B:$B=$K66)*('env Parameter'!$C:$C=$L66),'env Parameter'!D:D,""),"")</f>
        <v>안양천-4</v>
      </c>
      <c r="N66" s="10" t="str" cm="1">
        <f t="array" ref="N66">IFERROR(_xlfn.XLOOKUP(1,('env Parameter'!$A:$A=$A66)*('env Parameter'!$B:$B=$K66)*('env Parameter'!$C:$C=$L66),'env Parameter'!I:I,""),"")</f>
        <v>YR</v>
      </c>
    </row>
    <row r="67" spans="1:14">
      <c r="A67">
        <f>eDNA!A67</f>
        <v>20200716</v>
      </c>
      <c r="B67" s="10" t="str" cm="1">
        <f t="array" ref="B67">IFERROR(_xlfn.XLOOKUP(1,('env Parameter'!$A:$A=$A67)*('env Parameter'!$B:$B=$K67)*('env Parameter'!$C:$C=$L67),'env Parameter'!H:H,""),"")</f>
        <v>생물상 조사</v>
      </c>
      <c r="C67" s="10" cm="1">
        <f t="array" ref="C67">IFERROR(_xlfn.XLOOKUP(1,('env Parameter'!$A:$A=$A67)*('env Parameter'!$B:$B=$K67)*('env Parameter'!$C:$C=$L67),'env Parameter'!E:E,""),"")</f>
        <v>2.14</v>
      </c>
      <c r="D67" s="10" cm="1">
        <f t="array" ref="D67">IFERROR(_xlfn.XLOOKUP(1,('env Parameter'!$A:$A=$A67)*('env Parameter'!$B:$B=$K67)*('env Parameter'!$C:$C=$L67),'env Parameter'!F:F,""),"")</f>
        <v>478</v>
      </c>
      <c r="E67" s="10" cm="1">
        <f t="array" ref="E67">IFERROR(_xlfn.XLOOKUP(1,('env Parameter'!$A:$A=$A67)*('env Parameter'!$B:$B=$K67)*('env Parameter'!$C:$C=$L67),'env Parameter'!G:G,""),"")</f>
        <v>7.6</v>
      </c>
      <c r="F67" t="str">
        <f>eDNA!F67</f>
        <v>MiFish</v>
      </c>
      <c r="G67" t="str">
        <f>eDNA!D67</f>
        <v>Pseudogobio esocinus</v>
      </c>
      <c r="H67" t="str">
        <f>_xlfn.XLOOKUP(G67,'Common name (master file)'!$B:$B,'Common name (master file)'!$A:$A,"-------------")</f>
        <v>모래무지</v>
      </c>
      <c r="I67">
        <f>eDNA!E67</f>
        <v>1569</v>
      </c>
      <c r="J67" t="str">
        <f>_xlfn.XLOOKUP(G67,'Common name (master file)'!$B:$B,'Common name (master file)'!$C:$C,"")</f>
        <v>어류</v>
      </c>
      <c r="K67">
        <f>eDNA!B67</f>
        <v>126.93147879999999</v>
      </c>
      <c r="L67">
        <f>eDNA!C67</f>
        <v>37.397387999999999</v>
      </c>
      <c r="M67" s="10" t="str" cm="1">
        <f t="array" ref="M67">IFERROR(_xlfn.XLOOKUP(1,('env Parameter'!$A:$A=$A67)*('env Parameter'!$B:$B=$K67)*('env Parameter'!$C:$C=$L67),'env Parameter'!D:D,""),"")</f>
        <v>안양천-4</v>
      </c>
      <c r="N67" s="10" t="str" cm="1">
        <f t="array" ref="N67">IFERROR(_xlfn.XLOOKUP(1,('env Parameter'!$A:$A=$A67)*('env Parameter'!$B:$B=$K67)*('env Parameter'!$C:$C=$L67),'env Parameter'!I:I,""),"")</f>
        <v>YR</v>
      </c>
    </row>
    <row r="68" spans="1:14">
      <c r="A68">
        <f>eDNA!A68</f>
        <v>20200716</v>
      </c>
      <c r="B68" s="10" t="str" cm="1">
        <f t="array" ref="B68">IFERROR(_xlfn.XLOOKUP(1,('env Parameter'!$A:$A=$A68)*('env Parameter'!$B:$B=$K68)*('env Parameter'!$C:$C=$L68),'env Parameter'!H:H,""),"")</f>
        <v>생물상 조사</v>
      </c>
      <c r="C68" s="10" cm="1">
        <f t="array" ref="C68">IFERROR(_xlfn.XLOOKUP(1,('env Parameter'!$A:$A=$A68)*('env Parameter'!$B:$B=$K68)*('env Parameter'!$C:$C=$L68),'env Parameter'!E:E,""),"")</f>
        <v>2.14</v>
      </c>
      <c r="D68" s="10" cm="1">
        <f t="array" ref="D68">IFERROR(_xlfn.XLOOKUP(1,('env Parameter'!$A:$A=$A68)*('env Parameter'!$B:$B=$K68)*('env Parameter'!$C:$C=$L68),'env Parameter'!F:F,""),"")</f>
        <v>478</v>
      </c>
      <c r="E68" s="10" cm="1">
        <f t="array" ref="E68">IFERROR(_xlfn.XLOOKUP(1,('env Parameter'!$A:$A=$A68)*('env Parameter'!$B:$B=$K68)*('env Parameter'!$C:$C=$L68),'env Parameter'!G:G,""),"")</f>
        <v>7.6</v>
      </c>
      <c r="F68" t="str">
        <f>eDNA!F68</f>
        <v>MiFish</v>
      </c>
      <c r="G68" t="str">
        <f>eDNA!D68</f>
        <v>Silurus soldatovi</v>
      </c>
      <c r="H68" t="str">
        <f>_xlfn.XLOOKUP(G68,'Common name (master file)'!$B:$B,'Common name (master file)'!$A:$A,"-------------")</f>
        <v>솔다토비 메기</v>
      </c>
      <c r="I68">
        <f>eDNA!E68</f>
        <v>1488</v>
      </c>
      <c r="J68" t="str">
        <f>_xlfn.XLOOKUP(G68,'Common name (master file)'!$B:$B,'Common name (master file)'!$C:$C,"")</f>
        <v>어류</v>
      </c>
      <c r="K68">
        <f>eDNA!B68</f>
        <v>126.93147879999999</v>
      </c>
      <c r="L68">
        <f>eDNA!C68</f>
        <v>37.397387999999999</v>
      </c>
      <c r="M68" s="10" t="str" cm="1">
        <f t="array" ref="M68">IFERROR(_xlfn.XLOOKUP(1,('env Parameter'!$A:$A=$A68)*('env Parameter'!$B:$B=$K68)*('env Parameter'!$C:$C=$L68),'env Parameter'!D:D,""),"")</f>
        <v>안양천-4</v>
      </c>
      <c r="N68" s="10" t="str" cm="1">
        <f t="array" ref="N68">IFERROR(_xlfn.XLOOKUP(1,('env Parameter'!$A:$A=$A68)*('env Parameter'!$B:$B=$K68)*('env Parameter'!$C:$C=$L68),'env Parameter'!I:I,""),"")</f>
        <v>YR</v>
      </c>
    </row>
    <row r="69" spans="1:14">
      <c r="A69">
        <f>eDNA!A69</f>
        <v>20200716</v>
      </c>
      <c r="B69" s="10" t="str" cm="1">
        <f t="array" ref="B69">IFERROR(_xlfn.XLOOKUP(1,('env Parameter'!$A:$A=$A69)*('env Parameter'!$B:$B=$K69)*('env Parameter'!$C:$C=$L69),'env Parameter'!H:H,""),"")</f>
        <v>생물상 조사</v>
      </c>
      <c r="C69" s="10" cm="1">
        <f t="array" ref="C69">IFERROR(_xlfn.XLOOKUP(1,('env Parameter'!$A:$A=$A69)*('env Parameter'!$B:$B=$K69)*('env Parameter'!$C:$C=$L69),'env Parameter'!E:E,""),"")</f>
        <v>2.14</v>
      </c>
      <c r="D69" s="10" cm="1">
        <f t="array" ref="D69">IFERROR(_xlfn.XLOOKUP(1,('env Parameter'!$A:$A=$A69)*('env Parameter'!$B:$B=$K69)*('env Parameter'!$C:$C=$L69),'env Parameter'!F:F,""),"")</f>
        <v>478</v>
      </c>
      <c r="E69" s="10" cm="1">
        <f t="array" ref="E69">IFERROR(_xlfn.XLOOKUP(1,('env Parameter'!$A:$A=$A69)*('env Parameter'!$B:$B=$K69)*('env Parameter'!$C:$C=$L69),'env Parameter'!G:G,""),"")</f>
        <v>7.6</v>
      </c>
      <c r="F69" t="str">
        <f>eDNA!F69</f>
        <v>MiFish</v>
      </c>
      <c r="G69" t="str">
        <f>eDNA!D69</f>
        <v>Misgurnus mizolepis</v>
      </c>
      <c r="H69" t="str">
        <f>_xlfn.XLOOKUP(G69,'Common name (master file)'!$B:$B,'Common name (master file)'!$A:$A,"-------------")</f>
        <v>미꾸라지</v>
      </c>
      <c r="I69">
        <f>eDNA!E69</f>
        <v>2005</v>
      </c>
      <c r="J69" t="str">
        <f>_xlfn.XLOOKUP(G69,'Common name (master file)'!$B:$B,'Common name (master file)'!$C:$C,"")</f>
        <v>어류</v>
      </c>
      <c r="K69">
        <f>eDNA!B69</f>
        <v>126.93147879999999</v>
      </c>
      <c r="L69">
        <f>eDNA!C69</f>
        <v>37.397387999999999</v>
      </c>
      <c r="M69" s="10" t="str" cm="1">
        <f t="array" ref="M69">IFERROR(_xlfn.XLOOKUP(1,('env Parameter'!$A:$A=$A69)*('env Parameter'!$B:$B=$K69)*('env Parameter'!$C:$C=$L69),'env Parameter'!D:D,""),"")</f>
        <v>안양천-4</v>
      </c>
      <c r="N69" s="10" t="str" cm="1">
        <f t="array" ref="N69">IFERROR(_xlfn.XLOOKUP(1,('env Parameter'!$A:$A=$A69)*('env Parameter'!$B:$B=$K69)*('env Parameter'!$C:$C=$L69),'env Parameter'!I:I,""),"")</f>
        <v>YR</v>
      </c>
    </row>
    <row r="70" spans="1:14">
      <c r="A70">
        <f>eDNA!A70</f>
        <v>20200716</v>
      </c>
      <c r="B70" s="10" t="str" cm="1">
        <f t="array" ref="B70">IFERROR(_xlfn.XLOOKUP(1,('env Parameter'!$A:$A=$A70)*('env Parameter'!$B:$B=$K70)*('env Parameter'!$C:$C=$L70),'env Parameter'!H:H,""),"")</f>
        <v>생물상 조사</v>
      </c>
      <c r="C70" s="10" cm="1">
        <f t="array" ref="C70">IFERROR(_xlfn.XLOOKUP(1,('env Parameter'!$A:$A=$A70)*('env Parameter'!$B:$B=$K70)*('env Parameter'!$C:$C=$L70),'env Parameter'!E:E,""),"")</f>
        <v>2.14</v>
      </c>
      <c r="D70" s="10" cm="1">
        <f t="array" ref="D70">IFERROR(_xlfn.XLOOKUP(1,('env Parameter'!$A:$A=$A70)*('env Parameter'!$B:$B=$K70)*('env Parameter'!$C:$C=$L70),'env Parameter'!F:F,""),"")</f>
        <v>478</v>
      </c>
      <c r="E70" s="10" cm="1">
        <f t="array" ref="E70">IFERROR(_xlfn.XLOOKUP(1,('env Parameter'!$A:$A=$A70)*('env Parameter'!$B:$B=$K70)*('env Parameter'!$C:$C=$L70),'env Parameter'!G:G,""),"")</f>
        <v>7.6</v>
      </c>
      <c r="F70" t="str">
        <f>eDNA!F70</f>
        <v>MiFish</v>
      </c>
      <c r="G70" t="str">
        <f>eDNA!D70</f>
        <v>Carassius gibelio</v>
      </c>
      <c r="H70" t="str">
        <f>_xlfn.XLOOKUP(G70,'Common name (master file)'!$B:$B,'Common name (master file)'!$A:$A,"-------------")</f>
        <v>기벨리오 붕어</v>
      </c>
      <c r="I70">
        <f>eDNA!E70</f>
        <v>5715</v>
      </c>
      <c r="J70" t="str">
        <f>_xlfn.XLOOKUP(G70,'Common name (master file)'!$B:$B,'Common name (master file)'!$C:$C,"")</f>
        <v>어류</v>
      </c>
      <c r="K70">
        <f>eDNA!B70</f>
        <v>126.93147879999999</v>
      </c>
      <c r="L70">
        <f>eDNA!C70</f>
        <v>37.397387999999999</v>
      </c>
      <c r="M70" s="10" t="str" cm="1">
        <f t="array" ref="M70">IFERROR(_xlfn.XLOOKUP(1,('env Parameter'!$A:$A=$A70)*('env Parameter'!$B:$B=$K70)*('env Parameter'!$C:$C=$L70),'env Parameter'!D:D,""),"")</f>
        <v>안양천-4</v>
      </c>
      <c r="N70" s="10" t="str" cm="1">
        <f t="array" ref="N70">IFERROR(_xlfn.XLOOKUP(1,('env Parameter'!$A:$A=$A70)*('env Parameter'!$B:$B=$K70)*('env Parameter'!$C:$C=$L70),'env Parameter'!I:I,""),"")</f>
        <v>YR</v>
      </c>
    </row>
    <row r="71" spans="1:14">
      <c r="A71">
        <f>eDNA!A71</f>
        <v>20200716</v>
      </c>
      <c r="B71" s="10" t="str" cm="1">
        <f t="array" ref="B71">IFERROR(_xlfn.XLOOKUP(1,('env Parameter'!$A:$A=$A71)*('env Parameter'!$B:$B=$K71)*('env Parameter'!$C:$C=$L71),'env Parameter'!H:H,""),"")</f>
        <v>생물상 조사</v>
      </c>
      <c r="C71" s="10" cm="1">
        <f t="array" ref="C71">IFERROR(_xlfn.XLOOKUP(1,('env Parameter'!$A:$A=$A71)*('env Parameter'!$B:$B=$K71)*('env Parameter'!$C:$C=$L71),'env Parameter'!E:E,""),"")</f>
        <v>2.14</v>
      </c>
      <c r="D71" s="10" cm="1">
        <f t="array" ref="D71">IFERROR(_xlfn.XLOOKUP(1,('env Parameter'!$A:$A=$A71)*('env Parameter'!$B:$B=$K71)*('env Parameter'!$C:$C=$L71),'env Parameter'!F:F,""),"")</f>
        <v>478</v>
      </c>
      <c r="E71" s="10" cm="1">
        <f t="array" ref="E71">IFERROR(_xlfn.XLOOKUP(1,('env Parameter'!$A:$A=$A71)*('env Parameter'!$B:$B=$K71)*('env Parameter'!$C:$C=$L71),'env Parameter'!G:G,""),"")</f>
        <v>7.6</v>
      </c>
      <c r="F71" t="str">
        <f>eDNA!F71</f>
        <v>MiFish</v>
      </c>
      <c r="G71" t="str">
        <f>eDNA!D71</f>
        <v>Channa argus</v>
      </c>
      <c r="H71" t="str">
        <f>_xlfn.XLOOKUP(G71,'Common name (master file)'!$B:$B,'Common name (master file)'!$A:$A,"-------------")</f>
        <v>가물치</v>
      </c>
      <c r="I71">
        <f>eDNA!E71</f>
        <v>6050</v>
      </c>
      <c r="J71" t="str">
        <f>_xlfn.XLOOKUP(G71,'Common name (master file)'!$B:$B,'Common name (master file)'!$C:$C,"")</f>
        <v>어류</v>
      </c>
      <c r="K71">
        <f>eDNA!B71</f>
        <v>126.93147879999999</v>
      </c>
      <c r="L71">
        <f>eDNA!C71</f>
        <v>37.397387999999999</v>
      </c>
      <c r="M71" s="10" t="str" cm="1">
        <f t="array" ref="M71">IFERROR(_xlfn.XLOOKUP(1,('env Parameter'!$A:$A=$A71)*('env Parameter'!$B:$B=$K71)*('env Parameter'!$C:$C=$L71),'env Parameter'!D:D,""),"")</f>
        <v>안양천-4</v>
      </c>
      <c r="N71" s="10" t="str" cm="1">
        <f t="array" ref="N71">IFERROR(_xlfn.XLOOKUP(1,('env Parameter'!$A:$A=$A71)*('env Parameter'!$B:$B=$K71)*('env Parameter'!$C:$C=$L71),'env Parameter'!I:I,""),"")</f>
        <v>YR</v>
      </c>
    </row>
    <row r="72" spans="1:14">
      <c r="A72">
        <f>eDNA!A72</f>
        <v>20200716</v>
      </c>
      <c r="B72" s="10" t="str" cm="1">
        <f t="array" ref="B72">IFERROR(_xlfn.XLOOKUP(1,('env Parameter'!$A:$A=$A72)*('env Parameter'!$B:$B=$K72)*('env Parameter'!$C:$C=$L72),'env Parameter'!H:H,""),"")</f>
        <v>생물상 조사</v>
      </c>
      <c r="C72" s="10" cm="1">
        <f t="array" ref="C72">IFERROR(_xlfn.XLOOKUP(1,('env Parameter'!$A:$A=$A72)*('env Parameter'!$B:$B=$K72)*('env Parameter'!$C:$C=$L72),'env Parameter'!E:E,""),"")</f>
        <v>2.14</v>
      </c>
      <c r="D72" s="10" cm="1">
        <f t="array" ref="D72">IFERROR(_xlfn.XLOOKUP(1,('env Parameter'!$A:$A=$A72)*('env Parameter'!$B:$B=$K72)*('env Parameter'!$C:$C=$L72),'env Parameter'!F:F,""),"")</f>
        <v>478</v>
      </c>
      <c r="E72" s="10" cm="1">
        <f t="array" ref="E72">IFERROR(_xlfn.XLOOKUP(1,('env Parameter'!$A:$A=$A72)*('env Parameter'!$B:$B=$K72)*('env Parameter'!$C:$C=$L72),'env Parameter'!G:G,""),"")</f>
        <v>7.6</v>
      </c>
      <c r="F72" t="str">
        <f>eDNA!F72</f>
        <v>MiFish</v>
      </c>
      <c r="G72" t="str">
        <f>eDNA!D72</f>
        <v>Odontobutis interrupta</v>
      </c>
      <c r="H72" t="str">
        <f>_xlfn.XLOOKUP(G72,'Common name (master file)'!$B:$B,'Common name (master file)'!$A:$A,"-------------")</f>
        <v>얼록동사리</v>
      </c>
      <c r="I72">
        <f>eDNA!E72</f>
        <v>12026</v>
      </c>
      <c r="J72" t="str">
        <f>_xlfn.XLOOKUP(G72,'Common name (master file)'!$B:$B,'Common name (master file)'!$C:$C,"")</f>
        <v>어류</v>
      </c>
      <c r="K72">
        <f>eDNA!B72</f>
        <v>126.93147879999999</v>
      </c>
      <c r="L72">
        <f>eDNA!C72</f>
        <v>37.397387999999999</v>
      </c>
      <c r="M72" s="10" t="str" cm="1">
        <f t="array" ref="M72">IFERROR(_xlfn.XLOOKUP(1,('env Parameter'!$A:$A=$A72)*('env Parameter'!$B:$B=$K72)*('env Parameter'!$C:$C=$L72),'env Parameter'!D:D,""),"")</f>
        <v>안양천-4</v>
      </c>
      <c r="N72" s="10" t="str" cm="1">
        <f t="array" ref="N72">IFERROR(_xlfn.XLOOKUP(1,('env Parameter'!$A:$A=$A72)*('env Parameter'!$B:$B=$K72)*('env Parameter'!$C:$C=$L72),'env Parameter'!I:I,""),"")</f>
        <v>YR</v>
      </c>
    </row>
    <row r="73" spans="1:14">
      <c r="A73">
        <f>eDNA!A73</f>
        <v>20200716</v>
      </c>
      <c r="B73" s="10" t="str" cm="1">
        <f t="array" ref="B73">IFERROR(_xlfn.XLOOKUP(1,('env Parameter'!$A:$A=$A73)*('env Parameter'!$B:$B=$K73)*('env Parameter'!$C:$C=$L73),'env Parameter'!H:H,""),"")</f>
        <v>생물상 조사</v>
      </c>
      <c r="C73" s="10" cm="1">
        <f t="array" ref="C73">IFERROR(_xlfn.XLOOKUP(1,('env Parameter'!$A:$A=$A73)*('env Parameter'!$B:$B=$K73)*('env Parameter'!$C:$C=$L73),'env Parameter'!E:E,""),"")</f>
        <v>2.14</v>
      </c>
      <c r="D73" s="10" cm="1">
        <f t="array" ref="D73">IFERROR(_xlfn.XLOOKUP(1,('env Parameter'!$A:$A=$A73)*('env Parameter'!$B:$B=$K73)*('env Parameter'!$C:$C=$L73),'env Parameter'!F:F,""),"")</f>
        <v>478</v>
      </c>
      <c r="E73" s="10" cm="1">
        <f t="array" ref="E73">IFERROR(_xlfn.XLOOKUP(1,('env Parameter'!$A:$A=$A73)*('env Parameter'!$B:$B=$K73)*('env Parameter'!$C:$C=$L73),'env Parameter'!G:G,""),"")</f>
        <v>7.6</v>
      </c>
      <c r="F73" t="str">
        <f>eDNA!F73</f>
        <v>MiFish</v>
      </c>
      <c r="G73" t="str">
        <f>eDNA!D73</f>
        <v>Zacco platypus</v>
      </c>
      <c r="H73" t="str">
        <f>_xlfn.XLOOKUP(G73,'Common name (master file)'!$B:$B,'Common name (master file)'!$A:$A,"-------------")</f>
        <v>피라미</v>
      </c>
      <c r="I73">
        <f>eDNA!E73</f>
        <v>14244</v>
      </c>
      <c r="J73" t="str">
        <f>_xlfn.XLOOKUP(G73,'Common name (master file)'!$B:$B,'Common name (master file)'!$C:$C,"")</f>
        <v>어류</v>
      </c>
      <c r="K73">
        <f>eDNA!B73</f>
        <v>126.93147879999999</v>
      </c>
      <c r="L73">
        <f>eDNA!C73</f>
        <v>37.397387999999999</v>
      </c>
      <c r="M73" s="10" t="str" cm="1">
        <f t="array" ref="M73">IFERROR(_xlfn.XLOOKUP(1,('env Parameter'!$A:$A=$A73)*('env Parameter'!$B:$B=$K73)*('env Parameter'!$C:$C=$L73),'env Parameter'!D:D,""),"")</f>
        <v>안양천-4</v>
      </c>
      <c r="N73" s="10" t="str" cm="1">
        <f t="array" ref="N73">IFERROR(_xlfn.XLOOKUP(1,('env Parameter'!$A:$A=$A73)*('env Parameter'!$B:$B=$K73)*('env Parameter'!$C:$C=$L73),'env Parameter'!I:I,""),"")</f>
        <v>YR</v>
      </c>
    </row>
    <row r="74" spans="1:14">
      <c r="A74">
        <f>eDNA!A74</f>
        <v>20200716</v>
      </c>
      <c r="B74" s="10" t="str" cm="1">
        <f t="array" ref="B74">IFERROR(_xlfn.XLOOKUP(1,('env Parameter'!$A:$A=$A74)*('env Parameter'!$B:$B=$K74)*('env Parameter'!$C:$C=$L74),'env Parameter'!H:H,""),"")</f>
        <v>생물상 조사</v>
      </c>
      <c r="C74" s="10" cm="1">
        <f t="array" ref="C74">IFERROR(_xlfn.XLOOKUP(1,('env Parameter'!$A:$A=$A74)*('env Parameter'!$B:$B=$K74)*('env Parameter'!$C:$C=$L74),'env Parameter'!E:E,""),"")</f>
        <v>2.14</v>
      </c>
      <c r="D74" s="10" cm="1">
        <f t="array" ref="D74">IFERROR(_xlfn.XLOOKUP(1,('env Parameter'!$A:$A=$A74)*('env Parameter'!$B:$B=$K74)*('env Parameter'!$C:$C=$L74),'env Parameter'!F:F,""),"")</f>
        <v>478</v>
      </c>
      <c r="E74" s="10" cm="1">
        <f t="array" ref="E74">IFERROR(_xlfn.XLOOKUP(1,('env Parameter'!$A:$A=$A74)*('env Parameter'!$B:$B=$K74)*('env Parameter'!$C:$C=$L74),'env Parameter'!G:G,""),"")</f>
        <v>7.6</v>
      </c>
      <c r="F74" t="str">
        <f>eDNA!F74</f>
        <v>MiFish</v>
      </c>
      <c r="G74" t="str">
        <f>eDNA!D74</f>
        <v>Pseudorasbora parva</v>
      </c>
      <c r="H74" t="str">
        <f>_xlfn.XLOOKUP(G74,'Common name (master file)'!$B:$B,'Common name (master file)'!$A:$A,"-------------")</f>
        <v>참붕어</v>
      </c>
      <c r="I74">
        <f>eDNA!E74</f>
        <v>27228</v>
      </c>
      <c r="J74" t="str">
        <f>_xlfn.XLOOKUP(G74,'Common name (master file)'!$B:$B,'Common name (master file)'!$C:$C,"")</f>
        <v>어류</v>
      </c>
      <c r="K74">
        <f>eDNA!B74</f>
        <v>126.93147879999999</v>
      </c>
      <c r="L74">
        <f>eDNA!C74</f>
        <v>37.397387999999999</v>
      </c>
      <c r="M74" s="10" t="str" cm="1">
        <f t="array" ref="M74">IFERROR(_xlfn.XLOOKUP(1,('env Parameter'!$A:$A=$A74)*('env Parameter'!$B:$B=$K74)*('env Parameter'!$C:$C=$L74),'env Parameter'!D:D,""),"")</f>
        <v>안양천-4</v>
      </c>
      <c r="N74" s="10" t="str" cm="1">
        <f t="array" ref="N74">IFERROR(_xlfn.XLOOKUP(1,('env Parameter'!$A:$A=$A74)*('env Parameter'!$B:$B=$K74)*('env Parameter'!$C:$C=$L74),'env Parameter'!I:I,""),"")</f>
        <v>YR</v>
      </c>
    </row>
    <row r="75" spans="1:14">
      <c r="A75">
        <f>eDNA!A75</f>
        <v>20200716</v>
      </c>
      <c r="B75" s="10" t="str" cm="1">
        <f t="array" ref="B75">IFERROR(_xlfn.XLOOKUP(1,('env Parameter'!$A:$A=$A75)*('env Parameter'!$B:$B=$K75)*('env Parameter'!$C:$C=$L75),'env Parameter'!H:H,""),"")</f>
        <v>생물상 조사</v>
      </c>
      <c r="C75" s="10" cm="1">
        <f t="array" ref="C75">IFERROR(_xlfn.XLOOKUP(1,('env Parameter'!$A:$A=$A75)*('env Parameter'!$B:$B=$K75)*('env Parameter'!$C:$C=$L75),'env Parameter'!E:E,""),"")</f>
        <v>3</v>
      </c>
      <c r="D75" s="10" cm="1">
        <f t="array" ref="D75">IFERROR(_xlfn.XLOOKUP(1,('env Parameter'!$A:$A=$A75)*('env Parameter'!$B:$B=$K75)*('env Parameter'!$C:$C=$L75),'env Parameter'!F:F,""),"")</f>
        <v>511</v>
      </c>
      <c r="E75" s="10" cm="1">
        <f t="array" ref="E75">IFERROR(_xlfn.XLOOKUP(1,('env Parameter'!$A:$A=$A75)*('env Parameter'!$B:$B=$K75)*('env Parameter'!$C:$C=$L75),'env Parameter'!G:G,""),"")</f>
        <v>6.8</v>
      </c>
      <c r="F75" t="str">
        <f>eDNA!F75</f>
        <v>MiFish</v>
      </c>
      <c r="G75" t="str">
        <f>eDNA!D75</f>
        <v>Gnathopogon polytaenia</v>
      </c>
      <c r="H75" t="str">
        <f>_xlfn.XLOOKUP(G75,'Common name (master file)'!$B:$B,'Common name (master file)'!$A:$A,"-------------")</f>
        <v>폴리테니아 줄몰개</v>
      </c>
      <c r="I75">
        <f>eDNA!E75</f>
        <v>42</v>
      </c>
      <c r="J75" t="str">
        <f>_xlfn.XLOOKUP(G75,'Common name (master file)'!$B:$B,'Common name (master file)'!$C:$C,"")</f>
        <v>어류</v>
      </c>
      <c r="K75">
        <f>eDNA!B75</f>
        <v>126.91482120000001</v>
      </c>
      <c r="L75">
        <f>eDNA!C75</f>
        <v>37.409803799999999</v>
      </c>
      <c r="M75" s="10" t="str" cm="1">
        <f t="array" ref="M75">IFERROR(_xlfn.XLOOKUP(1,('env Parameter'!$A:$A=$A75)*('env Parameter'!$B:$B=$K75)*('env Parameter'!$C:$C=$L75),'env Parameter'!D:D,""),"")</f>
        <v>안양천-5</v>
      </c>
      <c r="N75" s="10" t="str" cm="1">
        <f t="array" ref="N75">IFERROR(_xlfn.XLOOKUP(1,('env Parameter'!$A:$A=$A75)*('env Parameter'!$B:$B=$K75)*('env Parameter'!$C:$C=$L75),'env Parameter'!I:I,""),"")</f>
        <v>YR</v>
      </c>
    </row>
    <row r="76" spans="1:14">
      <c r="A76">
        <f>eDNA!A76</f>
        <v>20200716</v>
      </c>
      <c r="B76" s="10" t="str" cm="1">
        <f t="array" ref="B76">IFERROR(_xlfn.XLOOKUP(1,('env Parameter'!$A:$A=$A76)*('env Parameter'!$B:$B=$K76)*('env Parameter'!$C:$C=$L76),'env Parameter'!H:H,""),"")</f>
        <v>생물상 조사</v>
      </c>
      <c r="C76" s="10" cm="1">
        <f t="array" ref="C76">IFERROR(_xlfn.XLOOKUP(1,('env Parameter'!$A:$A=$A76)*('env Parameter'!$B:$B=$K76)*('env Parameter'!$C:$C=$L76),'env Parameter'!E:E,""),"")</f>
        <v>3</v>
      </c>
      <c r="D76" s="10" cm="1">
        <f t="array" ref="D76">IFERROR(_xlfn.XLOOKUP(1,('env Parameter'!$A:$A=$A76)*('env Parameter'!$B:$B=$K76)*('env Parameter'!$C:$C=$L76),'env Parameter'!F:F,""),"")</f>
        <v>511</v>
      </c>
      <c r="E76" s="10" cm="1">
        <f t="array" ref="E76">IFERROR(_xlfn.XLOOKUP(1,('env Parameter'!$A:$A=$A76)*('env Parameter'!$B:$B=$K76)*('env Parameter'!$C:$C=$L76),'env Parameter'!G:G,""),"")</f>
        <v>6.8</v>
      </c>
      <c r="F76" t="str">
        <f>eDNA!F76</f>
        <v>MiFish</v>
      </c>
      <c r="G76" t="str">
        <f>eDNA!D76</f>
        <v>Hemibarbus sp.</v>
      </c>
      <c r="H76" t="str">
        <f>_xlfn.XLOOKUP(G76,'Common name (master file)'!$B:$B,'Common name (master file)'!$A:$A,"-------------")</f>
        <v>누치 속</v>
      </c>
      <c r="I76">
        <f>eDNA!E76</f>
        <v>47</v>
      </c>
      <c r="J76" t="str">
        <f>_xlfn.XLOOKUP(G76,'Common name (master file)'!$B:$B,'Common name (master file)'!$C:$C,"")</f>
        <v>어류</v>
      </c>
      <c r="K76">
        <f>eDNA!B76</f>
        <v>126.91482120000001</v>
      </c>
      <c r="L76">
        <f>eDNA!C76</f>
        <v>37.409803799999999</v>
      </c>
      <c r="M76" s="10" t="str" cm="1">
        <f t="array" ref="M76">IFERROR(_xlfn.XLOOKUP(1,('env Parameter'!$A:$A=$A76)*('env Parameter'!$B:$B=$K76)*('env Parameter'!$C:$C=$L76),'env Parameter'!D:D,""),"")</f>
        <v>안양천-5</v>
      </c>
      <c r="N76" s="10" t="str" cm="1">
        <f t="array" ref="N76">IFERROR(_xlfn.XLOOKUP(1,('env Parameter'!$A:$A=$A76)*('env Parameter'!$B:$B=$K76)*('env Parameter'!$C:$C=$L76),'env Parameter'!I:I,""),"")</f>
        <v>YR</v>
      </c>
    </row>
    <row r="77" spans="1:14">
      <c r="A77">
        <f>eDNA!A77</f>
        <v>20200716</v>
      </c>
      <c r="B77" s="10" t="str" cm="1">
        <f t="array" ref="B77">IFERROR(_xlfn.XLOOKUP(1,('env Parameter'!$A:$A=$A77)*('env Parameter'!$B:$B=$K77)*('env Parameter'!$C:$C=$L77),'env Parameter'!H:H,""),"")</f>
        <v>생물상 조사</v>
      </c>
      <c r="C77" s="10" cm="1">
        <f t="array" ref="C77">IFERROR(_xlfn.XLOOKUP(1,('env Parameter'!$A:$A=$A77)*('env Parameter'!$B:$B=$K77)*('env Parameter'!$C:$C=$L77),'env Parameter'!E:E,""),"")</f>
        <v>3</v>
      </c>
      <c r="D77" s="10" cm="1">
        <f t="array" ref="D77">IFERROR(_xlfn.XLOOKUP(1,('env Parameter'!$A:$A=$A77)*('env Parameter'!$B:$B=$K77)*('env Parameter'!$C:$C=$L77),'env Parameter'!F:F,""),"")</f>
        <v>511</v>
      </c>
      <c r="E77" s="10" cm="1">
        <f t="array" ref="E77">IFERROR(_xlfn.XLOOKUP(1,('env Parameter'!$A:$A=$A77)*('env Parameter'!$B:$B=$K77)*('env Parameter'!$C:$C=$L77),'env Parameter'!G:G,""),"")</f>
        <v>6.8</v>
      </c>
      <c r="F77" t="str">
        <f>eDNA!F77</f>
        <v>MiFish</v>
      </c>
      <c r="G77" t="str">
        <f>eDNA!D77</f>
        <v>Carassius auratus</v>
      </c>
      <c r="H77" t="str">
        <f>_xlfn.XLOOKUP(G77,'Common name (master file)'!$B:$B,'Common name (master file)'!$A:$A,"-------------")</f>
        <v>붕어</v>
      </c>
      <c r="I77">
        <f>eDNA!E77</f>
        <v>48</v>
      </c>
      <c r="J77" t="str">
        <f>_xlfn.XLOOKUP(G77,'Common name (master file)'!$B:$B,'Common name (master file)'!$C:$C,"")</f>
        <v>어류</v>
      </c>
      <c r="K77">
        <f>eDNA!B77</f>
        <v>126.91482120000001</v>
      </c>
      <c r="L77">
        <f>eDNA!C77</f>
        <v>37.409803799999999</v>
      </c>
      <c r="M77" s="10" t="str" cm="1">
        <f t="array" ref="M77">IFERROR(_xlfn.XLOOKUP(1,('env Parameter'!$A:$A=$A77)*('env Parameter'!$B:$B=$K77)*('env Parameter'!$C:$C=$L77),'env Parameter'!D:D,""),"")</f>
        <v>안양천-5</v>
      </c>
      <c r="N77" s="10" t="str" cm="1">
        <f t="array" ref="N77">IFERROR(_xlfn.XLOOKUP(1,('env Parameter'!$A:$A=$A77)*('env Parameter'!$B:$B=$K77)*('env Parameter'!$C:$C=$L77),'env Parameter'!I:I,""),"")</f>
        <v>YR</v>
      </c>
    </row>
    <row r="78" spans="1:14">
      <c r="A78">
        <f>eDNA!A78</f>
        <v>20200716</v>
      </c>
      <c r="B78" s="10" t="str" cm="1">
        <f t="array" ref="B78">IFERROR(_xlfn.XLOOKUP(1,('env Parameter'!$A:$A=$A78)*('env Parameter'!$B:$B=$K78)*('env Parameter'!$C:$C=$L78),'env Parameter'!H:H,""),"")</f>
        <v>생물상 조사</v>
      </c>
      <c r="C78" s="10" cm="1">
        <f t="array" ref="C78">IFERROR(_xlfn.XLOOKUP(1,('env Parameter'!$A:$A=$A78)*('env Parameter'!$B:$B=$K78)*('env Parameter'!$C:$C=$L78),'env Parameter'!E:E,""),"")</f>
        <v>3</v>
      </c>
      <c r="D78" s="10" cm="1">
        <f t="array" ref="D78">IFERROR(_xlfn.XLOOKUP(1,('env Parameter'!$A:$A=$A78)*('env Parameter'!$B:$B=$K78)*('env Parameter'!$C:$C=$L78),'env Parameter'!F:F,""),"")</f>
        <v>511</v>
      </c>
      <c r="E78" s="10" cm="1">
        <f t="array" ref="E78">IFERROR(_xlfn.XLOOKUP(1,('env Parameter'!$A:$A=$A78)*('env Parameter'!$B:$B=$K78)*('env Parameter'!$C:$C=$L78),'env Parameter'!G:G,""),"")</f>
        <v>6.8</v>
      </c>
      <c r="F78" t="str">
        <f>eDNA!F78</f>
        <v>MiFish</v>
      </c>
      <c r="G78" t="str">
        <f>eDNA!D78</f>
        <v>Misgurnus mizolepis</v>
      </c>
      <c r="H78" t="str">
        <f>_xlfn.XLOOKUP(G78,'Common name (master file)'!$B:$B,'Common name (master file)'!$A:$A,"-------------")</f>
        <v>미꾸라지</v>
      </c>
      <c r="I78">
        <f>eDNA!E78</f>
        <v>104</v>
      </c>
      <c r="J78" t="str">
        <f>_xlfn.XLOOKUP(G78,'Common name (master file)'!$B:$B,'Common name (master file)'!$C:$C,"")</f>
        <v>어류</v>
      </c>
      <c r="K78">
        <f>eDNA!B78</f>
        <v>126.91482120000001</v>
      </c>
      <c r="L78">
        <f>eDNA!C78</f>
        <v>37.409803799999999</v>
      </c>
      <c r="M78" s="10" t="str" cm="1">
        <f t="array" ref="M78">IFERROR(_xlfn.XLOOKUP(1,('env Parameter'!$A:$A=$A78)*('env Parameter'!$B:$B=$K78)*('env Parameter'!$C:$C=$L78),'env Parameter'!D:D,""),"")</f>
        <v>안양천-5</v>
      </c>
      <c r="N78" s="10" t="str" cm="1">
        <f t="array" ref="N78">IFERROR(_xlfn.XLOOKUP(1,('env Parameter'!$A:$A=$A78)*('env Parameter'!$B:$B=$K78)*('env Parameter'!$C:$C=$L78),'env Parameter'!I:I,""),"")</f>
        <v>YR</v>
      </c>
    </row>
    <row r="79" spans="1:14">
      <c r="A79">
        <f>eDNA!A79</f>
        <v>20200716</v>
      </c>
      <c r="B79" s="10" t="str" cm="1">
        <f t="array" ref="B79">IFERROR(_xlfn.XLOOKUP(1,('env Parameter'!$A:$A=$A79)*('env Parameter'!$B:$B=$K79)*('env Parameter'!$C:$C=$L79),'env Parameter'!H:H,""),"")</f>
        <v>생물상 조사</v>
      </c>
      <c r="C79" s="10" cm="1">
        <f t="array" ref="C79">IFERROR(_xlfn.XLOOKUP(1,('env Parameter'!$A:$A=$A79)*('env Parameter'!$B:$B=$K79)*('env Parameter'!$C:$C=$L79),'env Parameter'!E:E,""),"")</f>
        <v>3</v>
      </c>
      <c r="D79" s="10" cm="1">
        <f t="array" ref="D79">IFERROR(_xlfn.XLOOKUP(1,('env Parameter'!$A:$A=$A79)*('env Parameter'!$B:$B=$K79)*('env Parameter'!$C:$C=$L79),'env Parameter'!F:F,""),"")</f>
        <v>511</v>
      </c>
      <c r="E79" s="10" cm="1">
        <f t="array" ref="E79">IFERROR(_xlfn.XLOOKUP(1,('env Parameter'!$A:$A=$A79)*('env Parameter'!$B:$B=$K79)*('env Parameter'!$C:$C=$L79),'env Parameter'!G:G,""),"")</f>
        <v>6.8</v>
      </c>
      <c r="F79" t="str">
        <f>eDNA!F79</f>
        <v>MiFish</v>
      </c>
      <c r="G79" t="str">
        <f>eDNA!D79</f>
        <v>Pelodiscus sinensis</v>
      </c>
      <c r="H79" t="str">
        <f>_xlfn.XLOOKUP(G79,'Common name (master file)'!$B:$B,'Common name (master file)'!$A:$A,"-------------")</f>
        <v>중국자라</v>
      </c>
      <c r="I79">
        <f>eDNA!E79</f>
        <v>127</v>
      </c>
      <c r="J79" t="str">
        <f>_xlfn.XLOOKUP(G79,'Common name (master file)'!$B:$B,'Common name (master file)'!$C:$C,"")</f>
        <v>양서파충류</v>
      </c>
      <c r="K79">
        <f>eDNA!B79</f>
        <v>126.91482120000001</v>
      </c>
      <c r="L79">
        <f>eDNA!C79</f>
        <v>37.409803799999999</v>
      </c>
      <c r="M79" s="10" t="str" cm="1">
        <f t="array" ref="M79">IFERROR(_xlfn.XLOOKUP(1,('env Parameter'!$A:$A=$A79)*('env Parameter'!$B:$B=$K79)*('env Parameter'!$C:$C=$L79),'env Parameter'!D:D,""),"")</f>
        <v>안양천-5</v>
      </c>
      <c r="N79" s="10" t="str" cm="1">
        <f t="array" ref="N79">IFERROR(_xlfn.XLOOKUP(1,('env Parameter'!$A:$A=$A79)*('env Parameter'!$B:$B=$K79)*('env Parameter'!$C:$C=$L79),'env Parameter'!I:I,""),"")</f>
        <v>YR</v>
      </c>
    </row>
    <row r="80" spans="1:14">
      <c r="A80">
        <f>eDNA!A80</f>
        <v>20200716</v>
      </c>
      <c r="B80" s="10" t="str" cm="1">
        <f t="array" ref="B80">IFERROR(_xlfn.XLOOKUP(1,('env Parameter'!$A:$A=$A80)*('env Parameter'!$B:$B=$K80)*('env Parameter'!$C:$C=$L80),'env Parameter'!H:H,""),"")</f>
        <v>생물상 조사</v>
      </c>
      <c r="C80" s="10" cm="1">
        <f t="array" ref="C80">IFERROR(_xlfn.XLOOKUP(1,('env Parameter'!$A:$A=$A80)*('env Parameter'!$B:$B=$K80)*('env Parameter'!$C:$C=$L80),'env Parameter'!E:E,""),"")</f>
        <v>3</v>
      </c>
      <c r="D80" s="10" cm="1">
        <f t="array" ref="D80">IFERROR(_xlfn.XLOOKUP(1,('env Parameter'!$A:$A=$A80)*('env Parameter'!$B:$B=$K80)*('env Parameter'!$C:$C=$L80),'env Parameter'!F:F,""),"")</f>
        <v>511</v>
      </c>
      <c r="E80" s="10" cm="1">
        <f t="array" ref="E80">IFERROR(_xlfn.XLOOKUP(1,('env Parameter'!$A:$A=$A80)*('env Parameter'!$B:$B=$K80)*('env Parameter'!$C:$C=$L80),'env Parameter'!G:G,""),"")</f>
        <v>6.8</v>
      </c>
      <c r="F80" t="str">
        <f>eDNA!F80</f>
        <v>MiFish</v>
      </c>
      <c r="G80" t="str">
        <f>eDNA!D80</f>
        <v>Micropterus salmoides</v>
      </c>
      <c r="H80" t="str">
        <f>_xlfn.XLOOKUP(G80,'Common name (master file)'!$B:$B,'Common name (master file)'!$A:$A,"-------------")</f>
        <v>큰입배스</v>
      </c>
      <c r="I80">
        <f>eDNA!E80</f>
        <v>546</v>
      </c>
      <c r="J80" t="str">
        <f>_xlfn.XLOOKUP(G80,'Common name (master file)'!$B:$B,'Common name (master file)'!$C:$C,"")</f>
        <v>어류</v>
      </c>
      <c r="K80">
        <f>eDNA!B80</f>
        <v>126.91482120000001</v>
      </c>
      <c r="L80">
        <f>eDNA!C80</f>
        <v>37.409803799999999</v>
      </c>
      <c r="M80" s="10" t="str" cm="1">
        <f t="array" ref="M80">IFERROR(_xlfn.XLOOKUP(1,('env Parameter'!$A:$A=$A80)*('env Parameter'!$B:$B=$K80)*('env Parameter'!$C:$C=$L80),'env Parameter'!D:D,""),"")</f>
        <v>안양천-5</v>
      </c>
      <c r="N80" s="10" t="str" cm="1">
        <f t="array" ref="N80">IFERROR(_xlfn.XLOOKUP(1,('env Parameter'!$A:$A=$A80)*('env Parameter'!$B:$B=$K80)*('env Parameter'!$C:$C=$L80),'env Parameter'!I:I,""),"")</f>
        <v>YR</v>
      </c>
    </row>
    <row r="81" spans="1:14">
      <c r="A81">
        <f>eDNA!A81</f>
        <v>20200716</v>
      </c>
      <c r="B81" s="10" t="str" cm="1">
        <f t="array" ref="B81">IFERROR(_xlfn.XLOOKUP(1,('env Parameter'!$A:$A=$A81)*('env Parameter'!$B:$B=$K81)*('env Parameter'!$C:$C=$L81),'env Parameter'!H:H,""),"")</f>
        <v>생물상 조사</v>
      </c>
      <c r="C81" s="10" cm="1">
        <f t="array" ref="C81">IFERROR(_xlfn.XLOOKUP(1,('env Parameter'!$A:$A=$A81)*('env Parameter'!$B:$B=$K81)*('env Parameter'!$C:$C=$L81),'env Parameter'!E:E,""),"")</f>
        <v>3</v>
      </c>
      <c r="D81" s="10" cm="1">
        <f t="array" ref="D81">IFERROR(_xlfn.XLOOKUP(1,('env Parameter'!$A:$A=$A81)*('env Parameter'!$B:$B=$K81)*('env Parameter'!$C:$C=$L81),'env Parameter'!F:F,""),"")</f>
        <v>511</v>
      </c>
      <c r="E81" s="10" cm="1">
        <f t="array" ref="E81">IFERROR(_xlfn.XLOOKUP(1,('env Parameter'!$A:$A=$A81)*('env Parameter'!$B:$B=$K81)*('env Parameter'!$C:$C=$L81),'env Parameter'!G:G,""),"")</f>
        <v>6.8</v>
      </c>
      <c r="F81" t="str">
        <f>eDNA!F81</f>
        <v>MiFish</v>
      </c>
      <c r="G81" t="str">
        <f>eDNA!D81</f>
        <v>Anguilla japonica</v>
      </c>
      <c r="H81" t="str">
        <f>_xlfn.XLOOKUP(G81,'Common name (master file)'!$B:$B,'Common name (master file)'!$A:$A,"-------------")</f>
        <v>뱀장어</v>
      </c>
      <c r="I81">
        <f>eDNA!E81</f>
        <v>329</v>
      </c>
      <c r="J81" t="str">
        <f>_xlfn.XLOOKUP(G81,'Common name (master file)'!$B:$B,'Common name (master file)'!$C:$C,"")</f>
        <v>어류</v>
      </c>
      <c r="K81">
        <f>eDNA!B81</f>
        <v>126.91482120000001</v>
      </c>
      <c r="L81">
        <f>eDNA!C81</f>
        <v>37.409803799999999</v>
      </c>
      <c r="M81" s="10" t="str" cm="1">
        <f t="array" ref="M81">IFERROR(_xlfn.XLOOKUP(1,('env Parameter'!$A:$A=$A81)*('env Parameter'!$B:$B=$K81)*('env Parameter'!$C:$C=$L81),'env Parameter'!D:D,""),"")</f>
        <v>안양천-5</v>
      </c>
      <c r="N81" s="10" t="str" cm="1">
        <f t="array" ref="N81">IFERROR(_xlfn.XLOOKUP(1,('env Parameter'!$A:$A=$A81)*('env Parameter'!$B:$B=$K81)*('env Parameter'!$C:$C=$L81),'env Parameter'!I:I,""),"")</f>
        <v>YR</v>
      </c>
    </row>
    <row r="82" spans="1:14">
      <c r="A82">
        <f>eDNA!A82</f>
        <v>20200716</v>
      </c>
      <c r="B82" s="10" t="str" cm="1">
        <f t="array" ref="B82">IFERROR(_xlfn.XLOOKUP(1,('env Parameter'!$A:$A=$A82)*('env Parameter'!$B:$B=$K82)*('env Parameter'!$C:$C=$L82),'env Parameter'!H:H,""),"")</f>
        <v>생물상 조사</v>
      </c>
      <c r="C82" s="10" cm="1">
        <f t="array" ref="C82">IFERROR(_xlfn.XLOOKUP(1,('env Parameter'!$A:$A=$A82)*('env Parameter'!$B:$B=$K82)*('env Parameter'!$C:$C=$L82),'env Parameter'!E:E,""),"")</f>
        <v>3</v>
      </c>
      <c r="D82" s="10" cm="1">
        <f t="array" ref="D82">IFERROR(_xlfn.XLOOKUP(1,('env Parameter'!$A:$A=$A82)*('env Parameter'!$B:$B=$K82)*('env Parameter'!$C:$C=$L82),'env Parameter'!F:F,""),"")</f>
        <v>511</v>
      </c>
      <c r="E82" s="10" cm="1">
        <f t="array" ref="E82">IFERROR(_xlfn.XLOOKUP(1,('env Parameter'!$A:$A=$A82)*('env Parameter'!$B:$B=$K82)*('env Parameter'!$C:$C=$L82),'env Parameter'!G:G,""),"")</f>
        <v>6.8</v>
      </c>
      <c r="F82" t="str">
        <f>eDNA!F82</f>
        <v>MiFish</v>
      </c>
      <c r="G82" t="str">
        <f>eDNA!D82</f>
        <v>Carassius sp.</v>
      </c>
      <c r="H82" t="str">
        <f>_xlfn.XLOOKUP(G82,'Common name (master file)'!$B:$B,'Common name (master file)'!$A:$A,"-------------")</f>
        <v>붕어 속</v>
      </c>
      <c r="I82">
        <f>eDNA!E82</f>
        <v>436</v>
      </c>
      <c r="J82" t="str">
        <f>_xlfn.XLOOKUP(G82,'Common name (master file)'!$B:$B,'Common name (master file)'!$C:$C,"")</f>
        <v>어류</v>
      </c>
      <c r="K82">
        <f>eDNA!B82</f>
        <v>126.91482120000001</v>
      </c>
      <c r="L82">
        <f>eDNA!C82</f>
        <v>37.409803799999999</v>
      </c>
      <c r="M82" s="10" t="str" cm="1">
        <f t="array" ref="M82">IFERROR(_xlfn.XLOOKUP(1,('env Parameter'!$A:$A=$A82)*('env Parameter'!$B:$B=$K82)*('env Parameter'!$C:$C=$L82),'env Parameter'!D:D,""),"")</f>
        <v>안양천-5</v>
      </c>
      <c r="N82" s="10" t="str" cm="1">
        <f t="array" ref="N82">IFERROR(_xlfn.XLOOKUP(1,('env Parameter'!$A:$A=$A82)*('env Parameter'!$B:$B=$K82)*('env Parameter'!$C:$C=$L82),'env Parameter'!I:I,""),"")</f>
        <v>YR</v>
      </c>
    </row>
    <row r="83" spans="1:14">
      <c r="A83">
        <f>eDNA!A83</f>
        <v>20200716</v>
      </c>
      <c r="B83" s="10" t="str" cm="1">
        <f t="array" ref="B83">IFERROR(_xlfn.XLOOKUP(1,('env Parameter'!$A:$A=$A83)*('env Parameter'!$B:$B=$K83)*('env Parameter'!$C:$C=$L83),'env Parameter'!H:H,""),"")</f>
        <v>생물상 조사</v>
      </c>
      <c r="C83" s="10" cm="1">
        <f t="array" ref="C83">IFERROR(_xlfn.XLOOKUP(1,('env Parameter'!$A:$A=$A83)*('env Parameter'!$B:$B=$K83)*('env Parameter'!$C:$C=$L83),'env Parameter'!E:E,""),"")</f>
        <v>3</v>
      </c>
      <c r="D83" s="10" cm="1">
        <f t="array" ref="D83">IFERROR(_xlfn.XLOOKUP(1,('env Parameter'!$A:$A=$A83)*('env Parameter'!$B:$B=$K83)*('env Parameter'!$C:$C=$L83),'env Parameter'!F:F,""),"")</f>
        <v>511</v>
      </c>
      <c r="E83" s="10" cm="1">
        <f t="array" ref="E83">IFERROR(_xlfn.XLOOKUP(1,('env Parameter'!$A:$A=$A83)*('env Parameter'!$B:$B=$K83)*('env Parameter'!$C:$C=$L83),'env Parameter'!G:G,""),"")</f>
        <v>6.8</v>
      </c>
      <c r="F83" t="str">
        <f>eDNA!F83</f>
        <v>MiFish</v>
      </c>
      <c r="G83" t="str">
        <f>eDNA!D83</f>
        <v>Cyprinus carpio</v>
      </c>
      <c r="H83" t="str">
        <f>_xlfn.XLOOKUP(G83,'Common name (master file)'!$B:$B,'Common name (master file)'!$A:$A,"-------------")</f>
        <v>잉어</v>
      </c>
      <c r="I83">
        <f>eDNA!E83</f>
        <v>626</v>
      </c>
      <c r="J83" t="str">
        <f>_xlfn.XLOOKUP(G83,'Common name (master file)'!$B:$B,'Common name (master file)'!$C:$C,"")</f>
        <v>어류</v>
      </c>
      <c r="K83">
        <f>eDNA!B83</f>
        <v>126.91482120000001</v>
      </c>
      <c r="L83">
        <f>eDNA!C83</f>
        <v>37.409803799999999</v>
      </c>
      <c r="M83" s="10" t="str" cm="1">
        <f t="array" ref="M83">IFERROR(_xlfn.XLOOKUP(1,('env Parameter'!$A:$A=$A83)*('env Parameter'!$B:$B=$K83)*('env Parameter'!$C:$C=$L83),'env Parameter'!D:D,""),"")</f>
        <v>안양천-5</v>
      </c>
      <c r="N83" s="10" t="str" cm="1">
        <f t="array" ref="N83">IFERROR(_xlfn.XLOOKUP(1,('env Parameter'!$A:$A=$A83)*('env Parameter'!$B:$B=$K83)*('env Parameter'!$C:$C=$L83),'env Parameter'!I:I,""),"")</f>
        <v>YR</v>
      </c>
    </row>
    <row r="84" spans="1:14">
      <c r="A84">
        <f>eDNA!A84</f>
        <v>20200716</v>
      </c>
      <c r="B84" s="10" t="str" cm="1">
        <f t="array" ref="B84">IFERROR(_xlfn.XLOOKUP(1,('env Parameter'!$A:$A=$A84)*('env Parameter'!$B:$B=$K84)*('env Parameter'!$C:$C=$L84),'env Parameter'!H:H,""),"")</f>
        <v>생물상 조사</v>
      </c>
      <c r="C84" s="10" cm="1">
        <f t="array" ref="C84">IFERROR(_xlfn.XLOOKUP(1,('env Parameter'!$A:$A=$A84)*('env Parameter'!$B:$B=$K84)*('env Parameter'!$C:$C=$L84),'env Parameter'!E:E,""),"")</f>
        <v>3</v>
      </c>
      <c r="D84" s="10" cm="1">
        <f t="array" ref="D84">IFERROR(_xlfn.XLOOKUP(1,('env Parameter'!$A:$A=$A84)*('env Parameter'!$B:$B=$K84)*('env Parameter'!$C:$C=$L84),'env Parameter'!F:F,""),"")</f>
        <v>511</v>
      </c>
      <c r="E84" s="10" cm="1">
        <f t="array" ref="E84">IFERROR(_xlfn.XLOOKUP(1,('env Parameter'!$A:$A=$A84)*('env Parameter'!$B:$B=$K84)*('env Parameter'!$C:$C=$L84),'env Parameter'!G:G,""),"")</f>
        <v>6.8</v>
      </c>
      <c r="F84" t="str">
        <f>eDNA!F84</f>
        <v>MiFish</v>
      </c>
      <c r="G84" t="str">
        <f>eDNA!D84</f>
        <v>Channa argus</v>
      </c>
      <c r="H84" t="str">
        <f>_xlfn.XLOOKUP(G84,'Common name (master file)'!$B:$B,'Common name (master file)'!$A:$A,"-------------")</f>
        <v>가물치</v>
      </c>
      <c r="I84">
        <f>eDNA!E84</f>
        <v>970</v>
      </c>
      <c r="J84" t="str">
        <f>_xlfn.XLOOKUP(G84,'Common name (master file)'!$B:$B,'Common name (master file)'!$C:$C,"")</f>
        <v>어류</v>
      </c>
      <c r="K84">
        <f>eDNA!B84</f>
        <v>126.91482120000001</v>
      </c>
      <c r="L84">
        <f>eDNA!C84</f>
        <v>37.409803799999999</v>
      </c>
      <c r="M84" s="10" t="str" cm="1">
        <f t="array" ref="M84">IFERROR(_xlfn.XLOOKUP(1,('env Parameter'!$A:$A=$A84)*('env Parameter'!$B:$B=$K84)*('env Parameter'!$C:$C=$L84),'env Parameter'!D:D,""),"")</f>
        <v>안양천-5</v>
      </c>
      <c r="N84" s="10" t="str" cm="1">
        <f t="array" ref="N84">IFERROR(_xlfn.XLOOKUP(1,('env Parameter'!$A:$A=$A84)*('env Parameter'!$B:$B=$K84)*('env Parameter'!$C:$C=$L84),'env Parameter'!I:I,""),"")</f>
        <v>YR</v>
      </c>
    </row>
    <row r="85" spans="1:14">
      <c r="A85">
        <f>eDNA!A85</f>
        <v>20200716</v>
      </c>
      <c r="B85" s="10" t="str" cm="1">
        <f t="array" ref="B85">IFERROR(_xlfn.XLOOKUP(1,('env Parameter'!$A:$A=$A85)*('env Parameter'!$B:$B=$K85)*('env Parameter'!$C:$C=$L85),'env Parameter'!H:H,""),"")</f>
        <v>생물상 조사</v>
      </c>
      <c r="C85" s="10" cm="1">
        <f t="array" ref="C85">IFERROR(_xlfn.XLOOKUP(1,('env Parameter'!$A:$A=$A85)*('env Parameter'!$B:$B=$K85)*('env Parameter'!$C:$C=$L85),'env Parameter'!E:E,""),"")</f>
        <v>3</v>
      </c>
      <c r="D85" s="10" cm="1">
        <f t="array" ref="D85">IFERROR(_xlfn.XLOOKUP(1,('env Parameter'!$A:$A=$A85)*('env Parameter'!$B:$B=$K85)*('env Parameter'!$C:$C=$L85),'env Parameter'!F:F,""),"")</f>
        <v>511</v>
      </c>
      <c r="E85" s="10" cm="1">
        <f t="array" ref="E85">IFERROR(_xlfn.XLOOKUP(1,('env Parameter'!$A:$A=$A85)*('env Parameter'!$B:$B=$K85)*('env Parameter'!$C:$C=$L85),'env Parameter'!G:G,""),"")</f>
        <v>6.8</v>
      </c>
      <c r="F85" t="str">
        <f>eDNA!F85</f>
        <v>MiFish</v>
      </c>
      <c r="G85" t="str">
        <f>eDNA!D85</f>
        <v>Gnathopogon strigatus</v>
      </c>
      <c r="H85" t="str">
        <f>_xlfn.XLOOKUP(G85,'Common name (master file)'!$B:$B,'Common name (master file)'!$A:$A,"-------------")</f>
        <v>줄몰개</v>
      </c>
      <c r="I85">
        <f>eDNA!E85</f>
        <v>1259</v>
      </c>
      <c r="J85" t="str">
        <f>_xlfn.XLOOKUP(G85,'Common name (master file)'!$B:$B,'Common name (master file)'!$C:$C,"")</f>
        <v>어류</v>
      </c>
      <c r="K85">
        <f>eDNA!B85</f>
        <v>126.91482120000001</v>
      </c>
      <c r="L85">
        <f>eDNA!C85</f>
        <v>37.409803799999999</v>
      </c>
      <c r="M85" s="10" t="str" cm="1">
        <f t="array" ref="M85">IFERROR(_xlfn.XLOOKUP(1,('env Parameter'!$A:$A=$A85)*('env Parameter'!$B:$B=$K85)*('env Parameter'!$C:$C=$L85),'env Parameter'!D:D,""),"")</f>
        <v>안양천-5</v>
      </c>
      <c r="N85" s="10" t="str" cm="1">
        <f t="array" ref="N85">IFERROR(_xlfn.XLOOKUP(1,('env Parameter'!$A:$A=$A85)*('env Parameter'!$B:$B=$K85)*('env Parameter'!$C:$C=$L85),'env Parameter'!I:I,""),"")</f>
        <v>YR</v>
      </c>
    </row>
    <row r="86" spans="1:14">
      <c r="A86">
        <f>eDNA!A86</f>
        <v>20200716</v>
      </c>
      <c r="B86" s="10" t="str" cm="1">
        <f t="array" ref="B86">IFERROR(_xlfn.XLOOKUP(1,('env Parameter'!$A:$A=$A86)*('env Parameter'!$B:$B=$K86)*('env Parameter'!$C:$C=$L86),'env Parameter'!H:H,""),"")</f>
        <v>생물상 조사</v>
      </c>
      <c r="C86" s="10" cm="1">
        <f t="array" ref="C86">IFERROR(_xlfn.XLOOKUP(1,('env Parameter'!$A:$A=$A86)*('env Parameter'!$B:$B=$K86)*('env Parameter'!$C:$C=$L86),'env Parameter'!E:E,""),"")</f>
        <v>3</v>
      </c>
      <c r="D86" s="10" cm="1">
        <f t="array" ref="D86">IFERROR(_xlfn.XLOOKUP(1,('env Parameter'!$A:$A=$A86)*('env Parameter'!$B:$B=$K86)*('env Parameter'!$C:$C=$L86),'env Parameter'!F:F,""),"")</f>
        <v>511</v>
      </c>
      <c r="E86" s="10" cm="1">
        <f t="array" ref="E86">IFERROR(_xlfn.XLOOKUP(1,('env Parameter'!$A:$A=$A86)*('env Parameter'!$B:$B=$K86)*('env Parameter'!$C:$C=$L86),'env Parameter'!G:G,""),"")</f>
        <v>6.8</v>
      </c>
      <c r="F86" t="str">
        <f>eDNA!F86</f>
        <v>MiFish</v>
      </c>
      <c r="G86" t="str">
        <f>eDNA!D86</f>
        <v>Pseudogobio esocinus</v>
      </c>
      <c r="H86" t="str">
        <f>_xlfn.XLOOKUP(G86,'Common name (master file)'!$B:$B,'Common name (master file)'!$A:$A,"-------------")</f>
        <v>모래무지</v>
      </c>
      <c r="I86">
        <f>eDNA!E86</f>
        <v>2034</v>
      </c>
      <c r="J86" t="str">
        <f>_xlfn.XLOOKUP(G86,'Common name (master file)'!$B:$B,'Common name (master file)'!$C:$C,"")</f>
        <v>어류</v>
      </c>
      <c r="K86">
        <f>eDNA!B86</f>
        <v>126.91482120000001</v>
      </c>
      <c r="L86">
        <f>eDNA!C86</f>
        <v>37.409803799999999</v>
      </c>
      <c r="M86" s="10" t="str" cm="1">
        <f t="array" ref="M86">IFERROR(_xlfn.XLOOKUP(1,('env Parameter'!$A:$A=$A86)*('env Parameter'!$B:$B=$K86)*('env Parameter'!$C:$C=$L86),'env Parameter'!D:D,""),"")</f>
        <v>안양천-5</v>
      </c>
      <c r="N86" s="10" t="str" cm="1">
        <f t="array" ref="N86">IFERROR(_xlfn.XLOOKUP(1,('env Parameter'!$A:$A=$A86)*('env Parameter'!$B:$B=$K86)*('env Parameter'!$C:$C=$L86),'env Parameter'!I:I,""),"")</f>
        <v>YR</v>
      </c>
    </row>
    <row r="87" spans="1:14">
      <c r="A87">
        <f>eDNA!A87</f>
        <v>20200716</v>
      </c>
      <c r="B87" s="10" t="str" cm="1">
        <f t="array" ref="B87">IFERROR(_xlfn.XLOOKUP(1,('env Parameter'!$A:$A=$A87)*('env Parameter'!$B:$B=$K87)*('env Parameter'!$C:$C=$L87),'env Parameter'!H:H,""),"")</f>
        <v>생물상 조사</v>
      </c>
      <c r="C87" s="10" cm="1">
        <f t="array" ref="C87">IFERROR(_xlfn.XLOOKUP(1,('env Parameter'!$A:$A=$A87)*('env Parameter'!$B:$B=$K87)*('env Parameter'!$C:$C=$L87),'env Parameter'!E:E,""),"")</f>
        <v>3</v>
      </c>
      <c r="D87" s="10" cm="1">
        <f t="array" ref="D87">IFERROR(_xlfn.XLOOKUP(1,('env Parameter'!$A:$A=$A87)*('env Parameter'!$B:$B=$K87)*('env Parameter'!$C:$C=$L87),'env Parameter'!F:F,""),"")</f>
        <v>511</v>
      </c>
      <c r="E87" s="10" cm="1">
        <f t="array" ref="E87">IFERROR(_xlfn.XLOOKUP(1,('env Parameter'!$A:$A=$A87)*('env Parameter'!$B:$B=$K87)*('env Parameter'!$C:$C=$L87),'env Parameter'!G:G,""),"")</f>
        <v>6.8</v>
      </c>
      <c r="F87" t="str">
        <f>eDNA!F87</f>
        <v>MiFish</v>
      </c>
      <c r="G87" t="str">
        <f>eDNA!D87</f>
        <v>Silurus soldatovi</v>
      </c>
      <c r="H87" t="str">
        <f>_xlfn.XLOOKUP(G87,'Common name (master file)'!$B:$B,'Common name (master file)'!$A:$A,"-------------")</f>
        <v>솔다토비 메기</v>
      </c>
      <c r="I87">
        <f>eDNA!E87</f>
        <v>3494</v>
      </c>
      <c r="J87" t="str">
        <f>_xlfn.XLOOKUP(G87,'Common name (master file)'!$B:$B,'Common name (master file)'!$C:$C,"")</f>
        <v>어류</v>
      </c>
      <c r="K87">
        <f>eDNA!B87</f>
        <v>126.91482120000001</v>
      </c>
      <c r="L87">
        <f>eDNA!C87</f>
        <v>37.409803799999999</v>
      </c>
      <c r="M87" s="10" t="str" cm="1">
        <f t="array" ref="M87">IFERROR(_xlfn.XLOOKUP(1,('env Parameter'!$A:$A=$A87)*('env Parameter'!$B:$B=$K87)*('env Parameter'!$C:$C=$L87),'env Parameter'!D:D,""),"")</f>
        <v>안양천-5</v>
      </c>
      <c r="N87" s="10" t="str" cm="1">
        <f t="array" ref="N87">IFERROR(_xlfn.XLOOKUP(1,('env Parameter'!$A:$A=$A87)*('env Parameter'!$B:$B=$K87)*('env Parameter'!$C:$C=$L87),'env Parameter'!I:I,""),"")</f>
        <v>YR</v>
      </c>
    </row>
    <row r="88" spans="1:14">
      <c r="A88">
        <f>eDNA!A88</f>
        <v>20200716</v>
      </c>
      <c r="B88" s="10" t="str" cm="1">
        <f t="array" ref="B88">IFERROR(_xlfn.XLOOKUP(1,('env Parameter'!$A:$A=$A88)*('env Parameter'!$B:$B=$K88)*('env Parameter'!$C:$C=$L88),'env Parameter'!H:H,""),"")</f>
        <v>생물상 조사</v>
      </c>
      <c r="C88" s="10" cm="1">
        <f t="array" ref="C88">IFERROR(_xlfn.XLOOKUP(1,('env Parameter'!$A:$A=$A88)*('env Parameter'!$B:$B=$K88)*('env Parameter'!$C:$C=$L88),'env Parameter'!E:E,""),"")</f>
        <v>3</v>
      </c>
      <c r="D88" s="10" cm="1">
        <f t="array" ref="D88">IFERROR(_xlfn.XLOOKUP(1,('env Parameter'!$A:$A=$A88)*('env Parameter'!$B:$B=$K88)*('env Parameter'!$C:$C=$L88),'env Parameter'!F:F,""),"")</f>
        <v>511</v>
      </c>
      <c r="E88" s="10" cm="1">
        <f t="array" ref="E88">IFERROR(_xlfn.XLOOKUP(1,('env Parameter'!$A:$A=$A88)*('env Parameter'!$B:$B=$K88)*('env Parameter'!$C:$C=$L88),'env Parameter'!G:G,""),"")</f>
        <v>6.8</v>
      </c>
      <c r="F88" t="str">
        <f>eDNA!F88</f>
        <v>MiFish</v>
      </c>
      <c r="G88" t="str">
        <f>eDNA!D88</f>
        <v>Odontobutis interrupta</v>
      </c>
      <c r="H88" t="str">
        <f>_xlfn.XLOOKUP(G88,'Common name (master file)'!$B:$B,'Common name (master file)'!$A:$A,"-------------")</f>
        <v>얼록동사리</v>
      </c>
      <c r="I88">
        <f>eDNA!E88</f>
        <v>5041</v>
      </c>
      <c r="J88" t="str">
        <f>_xlfn.XLOOKUP(G88,'Common name (master file)'!$B:$B,'Common name (master file)'!$C:$C,"")</f>
        <v>어류</v>
      </c>
      <c r="K88">
        <f>eDNA!B88</f>
        <v>126.91482120000001</v>
      </c>
      <c r="L88">
        <f>eDNA!C88</f>
        <v>37.409803799999999</v>
      </c>
      <c r="M88" s="10" t="str" cm="1">
        <f t="array" ref="M88">IFERROR(_xlfn.XLOOKUP(1,('env Parameter'!$A:$A=$A88)*('env Parameter'!$B:$B=$K88)*('env Parameter'!$C:$C=$L88),'env Parameter'!D:D,""),"")</f>
        <v>안양천-5</v>
      </c>
      <c r="N88" s="10" t="str" cm="1">
        <f t="array" ref="N88">IFERROR(_xlfn.XLOOKUP(1,('env Parameter'!$A:$A=$A88)*('env Parameter'!$B:$B=$K88)*('env Parameter'!$C:$C=$L88),'env Parameter'!I:I,""),"")</f>
        <v>YR</v>
      </c>
    </row>
    <row r="89" spans="1:14">
      <c r="A89">
        <f>eDNA!A89</f>
        <v>20200716</v>
      </c>
      <c r="B89" s="10" t="str" cm="1">
        <f t="array" ref="B89">IFERROR(_xlfn.XLOOKUP(1,('env Parameter'!$A:$A=$A89)*('env Parameter'!$B:$B=$K89)*('env Parameter'!$C:$C=$L89),'env Parameter'!H:H,""),"")</f>
        <v>생물상 조사</v>
      </c>
      <c r="C89" s="10" cm="1">
        <f t="array" ref="C89">IFERROR(_xlfn.XLOOKUP(1,('env Parameter'!$A:$A=$A89)*('env Parameter'!$B:$B=$K89)*('env Parameter'!$C:$C=$L89),'env Parameter'!E:E,""),"")</f>
        <v>3</v>
      </c>
      <c r="D89" s="10" cm="1">
        <f t="array" ref="D89">IFERROR(_xlfn.XLOOKUP(1,('env Parameter'!$A:$A=$A89)*('env Parameter'!$B:$B=$K89)*('env Parameter'!$C:$C=$L89),'env Parameter'!F:F,""),"")</f>
        <v>511</v>
      </c>
      <c r="E89" s="10" cm="1">
        <f t="array" ref="E89">IFERROR(_xlfn.XLOOKUP(1,('env Parameter'!$A:$A=$A89)*('env Parameter'!$B:$B=$K89)*('env Parameter'!$C:$C=$L89),'env Parameter'!G:G,""),"")</f>
        <v>6.8</v>
      </c>
      <c r="F89" t="str">
        <f>eDNA!F89</f>
        <v>MiFish</v>
      </c>
      <c r="G89" t="str">
        <f>eDNA!D89</f>
        <v>Odontobutis interrupta</v>
      </c>
      <c r="H89" t="str">
        <f>_xlfn.XLOOKUP(G89,'Common name (master file)'!$B:$B,'Common name (master file)'!$A:$A,"-------------")</f>
        <v>얼록동사리</v>
      </c>
      <c r="I89">
        <f>eDNA!E89</f>
        <v>5041</v>
      </c>
      <c r="J89" t="str">
        <f>_xlfn.XLOOKUP(G89,'Common name (master file)'!$B:$B,'Common name (master file)'!$C:$C,"")</f>
        <v>어류</v>
      </c>
      <c r="K89">
        <f>eDNA!B89</f>
        <v>126.91482120000001</v>
      </c>
      <c r="L89">
        <f>eDNA!C89</f>
        <v>37.409803799999999</v>
      </c>
      <c r="M89" s="10" t="str" cm="1">
        <f t="array" ref="M89">IFERROR(_xlfn.XLOOKUP(1,('env Parameter'!$A:$A=$A89)*('env Parameter'!$B:$B=$K89)*('env Parameter'!$C:$C=$L89),'env Parameter'!D:D,""),"")</f>
        <v>안양천-5</v>
      </c>
      <c r="N89" s="10" t="str" cm="1">
        <f t="array" ref="N89">IFERROR(_xlfn.XLOOKUP(1,('env Parameter'!$A:$A=$A89)*('env Parameter'!$B:$B=$K89)*('env Parameter'!$C:$C=$L89),'env Parameter'!I:I,""),"")</f>
        <v>YR</v>
      </c>
    </row>
    <row r="90" spans="1:14">
      <c r="A90">
        <f>eDNA!A90</f>
        <v>20200716</v>
      </c>
      <c r="B90" s="10" t="str" cm="1">
        <f t="array" ref="B90">IFERROR(_xlfn.XLOOKUP(1,('env Parameter'!$A:$A=$A90)*('env Parameter'!$B:$B=$K90)*('env Parameter'!$C:$C=$L90),'env Parameter'!H:H,""),"")</f>
        <v>생물상 조사</v>
      </c>
      <c r="C90" s="10" cm="1">
        <f t="array" ref="C90">IFERROR(_xlfn.XLOOKUP(1,('env Parameter'!$A:$A=$A90)*('env Parameter'!$B:$B=$K90)*('env Parameter'!$C:$C=$L90),'env Parameter'!E:E,""),"")</f>
        <v>3</v>
      </c>
      <c r="D90" s="10" cm="1">
        <f t="array" ref="D90">IFERROR(_xlfn.XLOOKUP(1,('env Parameter'!$A:$A=$A90)*('env Parameter'!$B:$B=$K90)*('env Parameter'!$C:$C=$L90),'env Parameter'!F:F,""),"")</f>
        <v>511</v>
      </c>
      <c r="E90" s="10" cm="1">
        <f t="array" ref="E90">IFERROR(_xlfn.XLOOKUP(1,('env Parameter'!$A:$A=$A90)*('env Parameter'!$B:$B=$K90)*('env Parameter'!$C:$C=$L90),'env Parameter'!G:G,""),"")</f>
        <v>6.8</v>
      </c>
      <c r="F90" t="str">
        <f>eDNA!F90</f>
        <v>MiFish</v>
      </c>
      <c r="G90" t="str">
        <f>eDNA!D90</f>
        <v>Carassius gibelio</v>
      </c>
      <c r="H90" t="str">
        <f>_xlfn.XLOOKUP(G90,'Common name (master file)'!$B:$B,'Common name (master file)'!$A:$A,"-------------")</f>
        <v>기벨리오 붕어</v>
      </c>
      <c r="I90">
        <f>eDNA!E90</f>
        <v>5449</v>
      </c>
      <c r="J90" t="str">
        <f>_xlfn.XLOOKUP(G90,'Common name (master file)'!$B:$B,'Common name (master file)'!$C:$C,"")</f>
        <v>어류</v>
      </c>
      <c r="K90">
        <f>eDNA!B90</f>
        <v>126.91482120000001</v>
      </c>
      <c r="L90">
        <f>eDNA!C90</f>
        <v>37.409803799999999</v>
      </c>
      <c r="M90" s="10" t="str" cm="1">
        <f t="array" ref="M90">IFERROR(_xlfn.XLOOKUP(1,('env Parameter'!$A:$A=$A90)*('env Parameter'!$B:$B=$K90)*('env Parameter'!$C:$C=$L90),'env Parameter'!D:D,""),"")</f>
        <v>안양천-5</v>
      </c>
      <c r="N90" s="10" t="str" cm="1">
        <f t="array" ref="N90">IFERROR(_xlfn.XLOOKUP(1,('env Parameter'!$A:$A=$A90)*('env Parameter'!$B:$B=$K90)*('env Parameter'!$C:$C=$L90),'env Parameter'!I:I,""),"")</f>
        <v>YR</v>
      </c>
    </row>
    <row r="91" spans="1:14">
      <c r="A91">
        <f>eDNA!A91</f>
        <v>20200716</v>
      </c>
      <c r="B91" s="10" t="str" cm="1">
        <f t="array" ref="B91">IFERROR(_xlfn.XLOOKUP(1,('env Parameter'!$A:$A=$A91)*('env Parameter'!$B:$B=$K91)*('env Parameter'!$C:$C=$L91),'env Parameter'!H:H,""),"")</f>
        <v>생물상 조사</v>
      </c>
      <c r="C91" s="10" cm="1">
        <f t="array" ref="C91">IFERROR(_xlfn.XLOOKUP(1,('env Parameter'!$A:$A=$A91)*('env Parameter'!$B:$B=$K91)*('env Parameter'!$C:$C=$L91),'env Parameter'!E:E,""),"")</f>
        <v>3</v>
      </c>
      <c r="D91" s="10" cm="1">
        <f t="array" ref="D91">IFERROR(_xlfn.XLOOKUP(1,('env Parameter'!$A:$A=$A91)*('env Parameter'!$B:$B=$K91)*('env Parameter'!$C:$C=$L91),'env Parameter'!F:F,""),"")</f>
        <v>511</v>
      </c>
      <c r="E91" s="10" cm="1">
        <f t="array" ref="E91">IFERROR(_xlfn.XLOOKUP(1,('env Parameter'!$A:$A=$A91)*('env Parameter'!$B:$B=$K91)*('env Parameter'!$C:$C=$L91),'env Parameter'!G:G,""),"")</f>
        <v>6.8</v>
      </c>
      <c r="F91" t="str">
        <f>eDNA!F91</f>
        <v>MiFish</v>
      </c>
      <c r="G91" t="str">
        <f>eDNA!D91</f>
        <v>Zacco platypus</v>
      </c>
      <c r="H91" t="str">
        <f>_xlfn.XLOOKUP(G91,'Common name (master file)'!$B:$B,'Common name (master file)'!$A:$A,"-------------")</f>
        <v>피라미</v>
      </c>
      <c r="I91">
        <f>eDNA!E91</f>
        <v>21557</v>
      </c>
      <c r="J91" t="str">
        <f>_xlfn.XLOOKUP(G91,'Common name (master file)'!$B:$B,'Common name (master file)'!$C:$C,"")</f>
        <v>어류</v>
      </c>
      <c r="K91">
        <f>eDNA!B91</f>
        <v>126.91482120000001</v>
      </c>
      <c r="L91">
        <f>eDNA!C91</f>
        <v>37.409803799999999</v>
      </c>
      <c r="M91" s="10" t="str" cm="1">
        <f t="array" ref="M91">IFERROR(_xlfn.XLOOKUP(1,('env Parameter'!$A:$A=$A91)*('env Parameter'!$B:$B=$K91)*('env Parameter'!$C:$C=$L91),'env Parameter'!D:D,""),"")</f>
        <v>안양천-5</v>
      </c>
      <c r="N91" s="10" t="str" cm="1">
        <f t="array" ref="N91">IFERROR(_xlfn.XLOOKUP(1,('env Parameter'!$A:$A=$A91)*('env Parameter'!$B:$B=$K91)*('env Parameter'!$C:$C=$L91),'env Parameter'!I:I,""),"")</f>
        <v>YR</v>
      </c>
    </row>
    <row r="92" spans="1:14">
      <c r="A92">
        <f>eDNA!A92</f>
        <v>20200716</v>
      </c>
      <c r="B92" s="10" t="str" cm="1">
        <f t="array" ref="B92">IFERROR(_xlfn.XLOOKUP(1,('env Parameter'!$A:$A=$A92)*('env Parameter'!$B:$B=$K92)*('env Parameter'!$C:$C=$L92),'env Parameter'!H:H,""),"")</f>
        <v>생물상 조사</v>
      </c>
      <c r="C92" s="10" cm="1">
        <f t="array" ref="C92">IFERROR(_xlfn.XLOOKUP(1,('env Parameter'!$A:$A=$A92)*('env Parameter'!$B:$B=$K92)*('env Parameter'!$C:$C=$L92),'env Parameter'!E:E,""),"")</f>
        <v>3</v>
      </c>
      <c r="D92" s="10" cm="1">
        <f t="array" ref="D92">IFERROR(_xlfn.XLOOKUP(1,('env Parameter'!$A:$A=$A92)*('env Parameter'!$B:$B=$K92)*('env Parameter'!$C:$C=$L92),'env Parameter'!F:F,""),"")</f>
        <v>511</v>
      </c>
      <c r="E92" s="10" cm="1">
        <f t="array" ref="E92">IFERROR(_xlfn.XLOOKUP(1,('env Parameter'!$A:$A=$A92)*('env Parameter'!$B:$B=$K92)*('env Parameter'!$C:$C=$L92),'env Parameter'!G:G,""),"")</f>
        <v>6.8</v>
      </c>
      <c r="F92" t="str">
        <f>eDNA!F92</f>
        <v>MiFish</v>
      </c>
      <c r="G92" t="str">
        <f>eDNA!D92</f>
        <v>Pseudorasbora parva</v>
      </c>
      <c r="H92" t="str">
        <f>_xlfn.XLOOKUP(G92,'Common name (master file)'!$B:$B,'Common name (master file)'!$A:$A,"-------------")</f>
        <v>참붕어</v>
      </c>
      <c r="I92">
        <f>eDNA!E92</f>
        <v>48217</v>
      </c>
      <c r="J92" t="str">
        <f>_xlfn.XLOOKUP(G92,'Common name (master file)'!$B:$B,'Common name (master file)'!$C:$C,"")</f>
        <v>어류</v>
      </c>
      <c r="K92">
        <f>eDNA!B92</f>
        <v>126.91482120000001</v>
      </c>
      <c r="L92">
        <f>eDNA!C92</f>
        <v>37.409803799999999</v>
      </c>
      <c r="M92" s="10" t="str" cm="1">
        <f t="array" ref="M92">IFERROR(_xlfn.XLOOKUP(1,('env Parameter'!$A:$A=$A92)*('env Parameter'!$B:$B=$K92)*('env Parameter'!$C:$C=$L92),'env Parameter'!D:D,""),"")</f>
        <v>안양천-5</v>
      </c>
      <c r="N92" s="10" t="str" cm="1">
        <f t="array" ref="N92">IFERROR(_xlfn.XLOOKUP(1,('env Parameter'!$A:$A=$A92)*('env Parameter'!$B:$B=$K92)*('env Parameter'!$C:$C=$L92),'env Parameter'!I:I,""),"")</f>
        <v>YR</v>
      </c>
    </row>
    <row r="93" spans="1:14">
      <c r="A93">
        <f>eDNA!A93</f>
        <v>20200716</v>
      </c>
      <c r="B93" s="10" t="str" cm="1">
        <f t="array" ref="B93">IFERROR(_xlfn.XLOOKUP(1,('env Parameter'!$A:$A=$A93)*('env Parameter'!$B:$B=$K93)*('env Parameter'!$C:$C=$L93),'env Parameter'!H:H,""),"")</f>
        <v>생물상 조사</v>
      </c>
      <c r="C93" s="10" cm="1">
        <f t="array" ref="C93">IFERROR(_xlfn.XLOOKUP(1,('env Parameter'!$A:$A=$A93)*('env Parameter'!$B:$B=$K93)*('env Parameter'!$C:$C=$L93),'env Parameter'!E:E,""),"")</f>
        <v>2.14</v>
      </c>
      <c r="D93" s="10" cm="1">
        <f t="array" ref="D93">IFERROR(_xlfn.XLOOKUP(1,('env Parameter'!$A:$A=$A93)*('env Parameter'!$B:$B=$K93)*('env Parameter'!$C:$C=$L93),'env Parameter'!F:F,""),"")</f>
        <v>478</v>
      </c>
      <c r="E93" s="10" cm="1">
        <f t="array" ref="E93">IFERROR(_xlfn.XLOOKUP(1,('env Parameter'!$A:$A=$A93)*('env Parameter'!$B:$B=$K93)*('env Parameter'!$C:$C=$L93),'env Parameter'!G:G,""),"")</f>
        <v>7.6</v>
      </c>
      <c r="F93" t="str">
        <f>eDNA!F93</f>
        <v>MiFish</v>
      </c>
      <c r="G93" t="str">
        <f>eDNA!D93</f>
        <v>Nipponocypris temminckii</v>
      </c>
      <c r="H93" t="str">
        <f>_xlfn.XLOOKUP(G93,'Common name (master file)'!$B:$B,'Common name (master file)'!$A:$A,"-------------")</f>
        <v>갈겨니</v>
      </c>
      <c r="I93">
        <f>eDNA!E93</f>
        <v>16</v>
      </c>
      <c r="J93" t="str">
        <f>_xlfn.XLOOKUP(G93,'Common name (master file)'!$B:$B,'Common name (master file)'!$C:$C,"")</f>
        <v>어류</v>
      </c>
      <c r="K93">
        <f>eDNA!B93</f>
        <v>126.8960105</v>
      </c>
      <c r="L93">
        <f>eDNA!C93</f>
        <v>37.403669399999998</v>
      </c>
      <c r="M93" s="10" t="str" cm="1">
        <f t="array" ref="M93">IFERROR(_xlfn.XLOOKUP(1,('env Parameter'!$A:$A=$A93)*('env Parameter'!$B:$B=$K93)*('env Parameter'!$C:$C=$L93),'env Parameter'!D:D,""),"")</f>
        <v>안양천-6</v>
      </c>
      <c r="N93" s="10" t="str" cm="1">
        <f t="array" ref="N93">IFERROR(_xlfn.XLOOKUP(1,('env Parameter'!$A:$A=$A93)*('env Parameter'!$B:$B=$K93)*('env Parameter'!$C:$C=$L93),'env Parameter'!I:I,""),"")</f>
        <v>YR</v>
      </c>
    </row>
    <row r="94" spans="1:14">
      <c r="A94">
        <f>eDNA!A94</f>
        <v>20200716</v>
      </c>
      <c r="B94" s="10" t="str" cm="1">
        <f t="array" ref="B94">IFERROR(_xlfn.XLOOKUP(1,('env Parameter'!$A:$A=$A94)*('env Parameter'!$B:$B=$K94)*('env Parameter'!$C:$C=$L94),'env Parameter'!H:H,""),"")</f>
        <v>생물상 조사</v>
      </c>
      <c r="C94" s="10" cm="1">
        <f t="array" ref="C94">IFERROR(_xlfn.XLOOKUP(1,('env Parameter'!$A:$A=$A94)*('env Parameter'!$B:$B=$K94)*('env Parameter'!$C:$C=$L94),'env Parameter'!E:E,""),"")</f>
        <v>2.14</v>
      </c>
      <c r="D94" s="10" cm="1">
        <f t="array" ref="D94">IFERROR(_xlfn.XLOOKUP(1,('env Parameter'!$A:$A=$A94)*('env Parameter'!$B:$B=$K94)*('env Parameter'!$C:$C=$L94),'env Parameter'!F:F,""),"")</f>
        <v>478</v>
      </c>
      <c r="E94" s="10" cm="1">
        <f t="array" ref="E94">IFERROR(_xlfn.XLOOKUP(1,('env Parameter'!$A:$A=$A94)*('env Parameter'!$B:$B=$K94)*('env Parameter'!$C:$C=$L94),'env Parameter'!G:G,""),"")</f>
        <v>7.6</v>
      </c>
      <c r="F94" t="str">
        <f>eDNA!F94</f>
        <v>MiFish</v>
      </c>
      <c r="G94" t="str">
        <f>eDNA!D94</f>
        <v>Hemibarbus maculatus</v>
      </c>
      <c r="H94" t="str">
        <f>_xlfn.XLOOKUP(G94,'Common name (master file)'!$B:$B,'Common name (master file)'!$A:$A,"-------------")</f>
        <v>알락누치</v>
      </c>
      <c r="I94">
        <f>eDNA!E94</f>
        <v>20</v>
      </c>
      <c r="J94" t="str">
        <f>_xlfn.XLOOKUP(G94,'Common name (master file)'!$B:$B,'Common name (master file)'!$C:$C,"")</f>
        <v>어류</v>
      </c>
      <c r="K94">
        <f>eDNA!B94</f>
        <v>126.8960105</v>
      </c>
      <c r="L94">
        <f>eDNA!C94</f>
        <v>37.403669399999998</v>
      </c>
      <c r="M94" s="10" t="str" cm="1">
        <f t="array" ref="M94">IFERROR(_xlfn.XLOOKUP(1,('env Parameter'!$A:$A=$A94)*('env Parameter'!$B:$B=$K94)*('env Parameter'!$C:$C=$L94),'env Parameter'!D:D,""),"")</f>
        <v>안양천-6</v>
      </c>
      <c r="N94" s="10" t="str" cm="1">
        <f t="array" ref="N94">IFERROR(_xlfn.XLOOKUP(1,('env Parameter'!$A:$A=$A94)*('env Parameter'!$B:$B=$K94)*('env Parameter'!$C:$C=$L94),'env Parameter'!I:I,""),"")</f>
        <v>YR</v>
      </c>
    </row>
    <row r="95" spans="1:14">
      <c r="A95">
        <f>eDNA!A95</f>
        <v>20200716</v>
      </c>
      <c r="B95" s="10" t="str" cm="1">
        <f t="array" ref="B95">IFERROR(_xlfn.XLOOKUP(1,('env Parameter'!$A:$A=$A95)*('env Parameter'!$B:$B=$K95)*('env Parameter'!$C:$C=$L95),'env Parameter'!H:H,""),"")</f>
        <v>생물상 조사</v>
      </c>
      <c r="C95" s="10" cm="1">
        <f t="array" ref="C95">IFERROR(_xlfn.XLOOKUP(1,('env Parameter'!$A:$A=$A95)*('env Parameter'!$B:$B=$K95)*('env Parameter'!$C:$C=$L95),'env Parameter'!E:E,""),"")</f>
        <v>2.14</v>
      </c>
      <c r="D95" s="10" cm="1">
        <f t="array" ref="D95">IFERROR(_xlfn.XLOOKUP(1,('env Parameter'!$A:$A=$A95)*('env Parameter'!$B:$B=$K95)*('env Parameter'!$C:$C=$L95),'env Parameter'!F:F,""),"")</f>
        <v>478</v>
      </c>
      <c r="E95" s="10" cm="1">
        <f t="array" ref="E95">IFERROR(_xlfn.XLOOKUP(1,('env Parameter'!$A:$A=$A95)*('env Parameter'!$B:$B=$K95)*('env Parameter'!$C:$C=$L95),'env Parameter'!G:G,""),"")</f>
        <v>7.6</v>
      </c>
      <c r="F95" t="str">
        <f>eDNA!F95</f>
        <v>MiFish</v>
      </c>
      <c r="G95" t="str">
        <f>eDNA!D95</f>
        <v>Carassius auratus</v>
      </c>
      <c r="H95" t="str">
        <f>_xlfn.XLOOKUP(G95,'Common name (master file)'!$B:$B,'Common name (master file)'!$A:$A,"-------------")</f>
        <v>붕어</v>
      </c>
      <c r="I95">
        <f>eDNA!E95</f>
        <v>33</v>
      </c>
      <c r="J95" t="str">
        <f>_xlfn.XLOOKUP(G95,'Common name (master file)'!$B:$B,'Common name (master file)'!$C:$C,"")</f>
        <v>어류</v>
      </c>
      <c r="K95">
        <f>eDNA!B95</f>
        <v>126.8960105</v>
      </c>
      <c r="L95">
        <f>eDNA!C95</f>
        <v>37.403669399999998</v>
      </c>
      <c r="M95" s="10" t="str" cm="1">
        <f t="array" ref="M95">IFERROR(_xlfn.XLOOKUP(1,('env Parameter'!$A:$A=$A95)*('env Parameter'!$B:$B=$K95)*('env Parameter'!$C:$C=$L95),'env Parameter'!D:D,""),"")</f>
        <v>안양천-6</v>
      </c>
      <c r="N95" s="10" t="str" cm="1">
        <f t="array" ref="N95">IFERROR(_xlfn.XLOOKUP(1,('env Parameter'!$A:$A=$A95)*('env Parameter'!$B:$B=$K95)*('env Parameter'!$C:$C=$L95),'env Parameter'!I:I,""),"")</f>
        <v>YR</v>
      </c>
    </row>
    <row r="96" spans="1:14">
      <c r="A96">
        <f>eDNA!A96</f>
        <v>20200716</v>
      </c>
      <c r="B96" s="10" t="str" cm="1">
        <f t="array" ref="B96">IFERROR(_xlfn.XLOOKUP(1,('env Parameter'!$A:$A=$A96)*('env Parameter'!$B:$B=$K96)*('env Parameter'!$C:$C=$L96),'env Parameter'!H:H,""),"")</f>
        <v>생물상 조사</v>
      </c>
      <c r="C96" s="10" cm="1">
        <f t="array" ref="C96">IFERROR(_xlfn.XLOOKUP(1,('env Parameter'!$A:$A=$A96)*('env Parameter'!$B:$B=$K96)*('env Parameter'!$C:$C=$L96),'env Parameter'!E:E,""),"")</f>
        <v>2.14</v>
      </c>
      <c r="D96" s="10" cm="1">
        <f t="array" ref="D96">IFERROR(_xlfn.XLOOKUP(1,('env Parameter'!$A:$A=$A96)*('env Parameter'!$B:$B=$K96)*('env Parameter'!$C:$C=$L96),'env Parameter'!F:F,""),"")</f>
        <v>478</v>
      </c>
      <c r="E96" s="10" cm="1">
        <f t="array" ref="E96">IFERROR(_xlfn.XLOOKUP(1,('env Parameter'!$A:$A=$A96)*('env Parameter'!$B:$B=$K96)*('env Parameter'!$C:$C=$L96),'env Parameter'!G:G,""),"")</f>
        <v>7.6</v>
      </c>
      <c r="F96" t="str">
        <f>eDNA!F96</f>
        <v>MiFish</v>
      </c>
      <c r="G96" t="str">
        <f>eDNA!D96</f>
        <v>Culter dabryi</v>
      </c>
      <c r="H96" t="str">
        <f>_xlfn.XLOOKUP(G96,'Common name (master file)'!$B:$B,'Common name (master file)'!$A:$A,"-------------")</f>
        <v>다브리날카로운입치</v>
      </c>
      <c r="I96">
        <f>eDNA!E96</f>
        <v>43</v>
      </c>
      <c r="J96" t="str">
        <f>_xlfn.XLOOKUP(G96,'Common name (master file)'!$B:$B,'Common name (master file)'!$C:$C,"")</f>
        <v>어류</v>
      </c>
      <c r="K96">
        <f>eDNA!B96</f>
        <v>126.8960105</v>
      </c>
      <c r="L96">
        <f>eDNA!C96</f>
        <v>37.403669399999998</v>
      </c>
      <c r="M96" s="10" t="str" cm="1">
        <f t="array" ref="M96">IFERROR(_xlfn.XLOOKUP(1,('env Parameter'!$A:$A=$A96)*('env Parameter'!$B:$B=$K96)*('env Parameter'!$C:$C=$L96),'env Parameter'!D:D,""),"")</f>
        <v>안양천-6</v>
      </c>
      <c r="N96" s="10" t="str" cm="1">
        <f t="array" ref="N96">IFERROR(_xlfn.XLOOKUP(1,('env Parameter'!$A:$A=$A96)*('env Parameter'!$B:$B=$K96)*('env Parameter'!$C:$C=$L96),'env Parameter'!I:I,""),"")</f>
        <v>YR</v>
      </c>
    </row>
    <row r="97" spans="1:14">
      <c r="A97">
        <f>eDNA!A97</f>
        <v>20200716</v>
      </c>
      <c r="B97" s="10" t="str" cm="1">
        <f t="array" ref="B97">IFERROR(_xlfn.XLOOKUP(1,('env Parameter'!$A:$A=$A97)*('env Parameter'!$B:$B=$K97)*('env Parameter'!$C:$C=$L97),'env Parameter'!H:H,""),"")</f>
        <v>생물상 조사</v>
      </c>
      <c r="C97" s="10" cm="1">
        <f t="array" ref="C97">IFERROR(_xlfn.XLOOKUP(1,('env Parameter'!$A:$A=$A97)*('env Parameter'!$B:$B=$K97)*('env Parameter'!$C:$C=$L97),'env Parameter'!E:E,""),"")</f>
        <v>2.14</v>
      </c>
      <c r="D97" s="10" cm="1">
        <f t="array" ref="D97">IFERROR(_xlfn.XLOOKUP(1,('env Parameter'!$A:$A=$A97)*('env Parameter'!$B:$B=$K97)*('env Parameter'!$C:$C=$L97),'env Parameter'!F:F,""),"")</f>
        <v>478</v>
      </c>
      <c r="E97" s="10" cm="1">
        <f t="array" ref="E97">IFERROR(_xlfn.XLOOKUP(1,('env Parameter'!$A:$A=$A97)*('env Parameter'!$B:$B=$K97)*('env Parameter'!$C:$C=$L97),'env Parameter'!G:G,""),"")</f>
        <v>7.6</v>
      </c>
      <c r="F97" t="str">
        <f>eDNA!F97</f>
        <v>MiFish</v>
      </c>
      <c r="G97" t="str">
        <f>eDNA!D97</f>
        <v>Gnathopogon polytaenia</v>
      </c>
      <c r="H97" t="str">
        <f>_xlfn.XLOOKUP(G97,'Common name (master file)'!$B:$B,'Common name (master file)'!$A:$A,"-------------")</f>
        <v>폴리테니아 줄몰개</v>
      </c>
      <c r="I97">
        <f>eDNA!E97</f>
        <v>43</v>
      </c>
      <c r="J97" t="str">
        <f>_xlfn.XLOOKUP(G97,'Common name (master file)'!$B:$B,'Common name (master file)'!$C:$C,"")</f>
        <v>어류</v>
      </c>
      <c r="K97">
        <f>eDNA!B97</f>
        <v>126.8960105</v>
      </c>
      <c r="L97">
        <f>eDNA!C97</f>
        <v>37.403669399999998</v>
      </c>
      <c r="M97" s="10" t="str" cm="1">
        <f t="array" ref="M97">IFERROR(_xlfn.XLOOKUP(1,('env Parameter'!$A:$A=$A97)*('env Parameter'!$B:$B=$K97)*('env Parameter'!$C:$C=$L97),'env Parameter'!D:D,""),"")</f>
        <v>안양천-6</v>
      </c>
      <c r="N97" s="10" t="str" cm="1">
        <f t="array" ref="N97">IFERROR(_xlfn.XLOOKUP(1,('env Parameter'!$A:$A=$A97)*('env Parameter'!$B:$B=$K97)*('env Parameter'!$C:$C=$L97),'env Parameter'!I:I,""),"")</f>
        <v>YR</v>
      </c>
    </row>
    <row r="98" spans="1:14">
      <c r="A98">
        <f>eDNA!A98</f>
        <v>20200716</v>
      </c>
      <c r="B98" s="10" t="str" cm="1">
        <f t="array" ref="B98">IFERROR(_xlfn.XLOOKUP(1,('env Parameter'!$A:$A=$A98)*('env Parameter'!$B:$B=$K98)*('env Parameter'!$C:$C=$L98),'env Parameter'!H:H,""),"")</f>
        <v>생물상 조사</v>
      </c>
      <c r="C98" s="10" cm="1">
        <f t="array" ref="C98">IFERROR(_xlfn.XLOOKUP(1,('env Parameter'!$A:$A=$A98)*('env Parameter'!$B:$B=$K98)*('env Parameter'!$C:$C=$L98),'env Parameter'!E:E,""),"")</f>
        <v>2.14</v>
      </c>
      <c r="D98" s="10" cm="1">
        <f t="array" ref="D98">IFERROR(_xlfn.XLOOKUP(1,('env Parameter'!$A:$A=$A98)*('env Parameter'!$B:$B=$K98)*('env Parameter'!$C:$C=$L98),'env Parameter'!F:F,""),"")</f>
        <v>478</v>
      </c>
      <c r="E98" s="10" cm="1">
        <f t="array" ref="E98">IFERROR(_xlfn.XLOOKUP(1,('env Parameter'!$A:$A=$A98)*('env Parameter'!$B:$B=$K98)*('env Parameter'!$C:$C=$L98),'env Parameter'!G:G,""),"")</f>
        <v>7.6</v>
      </c>
      <c r="F98" t="str">
        <f>eDNA!F98</f>
        <v>MiFish</v>
      </c>
      <c r="G98" t="str">
        <f>eDNA!D98</f>
        <v>Misgurnus anguillicaudatus</v>
      </c>
      <c r="H98" t="str">
        <f>_xlfn.XLOOKUP(G98,'Common name (master file)'!$B:$B,'Common name (master file)'!$A:$A,"-------------")</f>
        <v>미꾸리</v>
      </c>
      <c r="I98">
        <f>eDNA!E98</f>
        <v>54</v>
      </c>
      <c r="J98" t="str">
        <f>_xlfn.XLOOKUP(G98,'Common name (master file)'!$B:$B,'Common name (master file)'!$C:$C,"")</f>
        <v>어류</v>
      </c>
      <c r="K98">
        <f>eDNA!B98</f>
        <v>126.8960105</v>
      </c>
      <c r="L98">
        <f>eDNA!C98</f>
        <v>37.403669399999998</v>
      </c>
      <c r="M98" s="10" t="str" cm="1">
        <f t="array" ref="M98">IFERROR(_xlfn.XLOOKUP(1,('env Parameter'!$A:$A=$A98)*('env Parameter'!$B:$B=$K98)*('env Parameter'!$C:$C=$L98),'env Parameter'!D:D,""),"")</f>
        <v>안양천-6</v>
      </c>
      <c r="N98" s="10" t="str" cm="1">
        <f t="array" ref="N98">IFERROR(_xlfn.XLOOKUP(1,('env Parameter'!$A:$A=$A98)*('env Parameter'!$B:$B=$K98)*('env Parameter'!$C:$C=$L98),'env Parameter'!I:I,""),"")</f>
        <v>YR</v>
      </c>
    </row>
    <row r="99" spans="1:14">
      <c r="A99">
        <f>eDNA!A99</f>
        <v>20200716</v>
      </c>
      <c r="B99" s="10" t="str" cm="1">
        <f t="array" ref="B99">IFERROR(_xlfn.XLOOKUP(1,('env Parameter'!$A:$A=$A99)*('env Parameter'!$B:$B=$K99)*('env Parameter'!$C:$C=$L99),'env Parameter'!H:H,""),"")</f>
        <v>생물상 조사</v>
      </c>
      <c r="C99" s="10" cm="1">
        <f t="array" ref="C99">IFERROR(_xlfn.XLOOKUP(1,('env Parameter'!$A:$A=$A99)*('env Parameter'!$B:$B=$K99)*('env Parameter'!$C:$C=$L99),'env Parameter'!E:E,""),"")</f>
        <v>2.14</v>
      </c>
      <c r="D99" s="10" cm="1">
        <f t="array" ref="D99">IFERROR(_xlfn.XLOOKUP(1,('env Parameter'!$A:$A=$A99)*('env Parameter'!$B:$B=$K99)*('env Parameter'!$C:$C=$L99),'env Parameter'!F:F,""),"")</f>
        <v>478</v>
      </c>
      <c r="E99" s="10" cm="1">
        <f t="array" ref="E99">IFERROR(_xlfn.XLOOKUP(1,('env Parameter'!$A:$A=$A99)*('env Parameter'!$B:$B=$K99)*('env Parameter'!$C:$C=$L99),'env Parameter'!G:G,""),"")</f>
        <v>7.6</v>
      </c>
      <c r="F99" t="str">
        <f>eDNA!F99</f>
        <v>MiFish</v>
      </c>
      <c r="G99" t="str">
        <f>eDNA!D99</f>
        <v>Pelodiscus sinensis</v>
      </c>
      <c r="H99" t="str">
        <f>_xlfn.XLOOKUP(G99,'Common name (master file)'!$B:$B,'Common name (master file)'!$A:$A,"-------------")</f>
        <v>중국자라</v>
      </c>
      <c r="I99">
        <f>eDNA!E99</f>
        <v>66</v>
      </c>
      <c r="J99" t="str">
        <f>_xlfn.XLOOKUP(G99,'Common name (master file)'!$B:$B,'Common name (master file)'!$C:$C,"")</f>
        <v>양서파충류</v>
      </c>
      <c r="K99">
        <f>eDNA!B99</f>
        <v>126.8960105</v>
      </c>
      <c r="L99">
        <f>eDNA!C99</f>
        <v>37.403669399999998</v>
      </c>
      <c r="M99" s="10" t="str" cm="1">
        <f t="array" ref="M99">IFERROR(_xlfn.XLOOKUP(1,('env Parameter'!$A:$A=$A99)*('env Parameter'!$B:$B=$K99)*('env Parameter'!$C:$C=$L99),'env Parameter'!D:D,""),"")</f>
        <v>안양천-6</v>
      </c>
      <c r="N99" s="10" t="str" cm="1">
        <f t="array" ref="N99">IFERROR(_xlfn.XLOOKUP(1,('env Parameter'!$A:$A=$A99)*('env Parameter'!$B:$B=$K99)*('env Parameter'!$C:$C=$L99),'env Parameter'!I:I,""),"")</f>
        <v>YR</v>
      </c>
    </row>
    <row r="100" spans="1:14">
      <c r="A100">
        <f>eDNA!A100</f>
        <v>20200716</v>
      </c>
      <c r="B100" s="10" t="str" cm="1">
        <f t="array" ref="B100">IFERROR(_xlfn.XLOOKUP(1,('env Parameter'!$A:$A=$A100)*('env Parameter'!$B:$B=$K100)*('env Parameter'!$C:$C=$L100),'env Parameter'!H:H,""),"")</f>
        <v>생물상 조사</v>
      </c>
      <c r="C100" s="10" cm="1">
        <f t="array" ref="C100">IFERROR(_xlfn.XLOOKUP(1,('env Parameter'!$A:$A=$A100)*('env Parameter'!$B:$B=$K100)*('env Parameter'!$C:$C=$L100),'env Parameter'!E:E,""),"")</f>
        <v>2.14</v>
      </c>
      <c r="D100" s="10" cm="1">
        <f t="array" ref="D100">IFERROR(_xlfn.XLOOKUP(1,('env Parameter'!$A:$A=$A100)*('env Parameter'!$B:$B=$K100)*('env Parameter'!$C:$C=$L100),'env Parameter'!F:F,""),"")</f>
        <v>478</v>
      </c>
      <c r="E100" s="10" cm="1">
        <f t="array" ref="E100">IFERROR(_xlfn.XLOOKUP(1,('env Parameter'!$A:$A=$A100)*('env Parameter'!$B:$B=$K100)*('env Parameter'!$C:$C=$L100),'env Parameter'!G:G,""),"")</f>
        <v>7.6</v>
      </c>
      <c r="F100" t="str">
        <f>eDNA!F100</f>
        <v>MiFish</v>
      </c>
      <c r="G100" t="str">
        <f>eDNA!D100</f>
        <v>Rhynchocypris oxycephalus</v>
      </c>
      <c r="H100" t="str">
        <f>_xlfn.XLOOKUP(G100,'Common name (master file)'!$B:$B,'Common name (master file)'!$A:$A,"-------------")</f>
        <v>버들치</v>
      </c>
      <c r="I100">
        <f>eDNA!E100</f>
        <v>67</v>
      </c>
      <c r="J100" t="str">
        <f>_xlfn.XLOOKUP(G100,'Common name (master file)'!$B:$B,'Common name (master file)'!$C:$C,"")</f>
        <v>어류</v>
      </c>
      <c r="K100">
        <f>eDNA!B100</f>
        <v>126.8960105</v>
      </c>
      <c r="L100">
        <f>eDNA!C100</f>
        <v>37.403669399999998</v>
      </c>
      <c r="M100" s="10" t="str" cm="1">
        <f t="array" ref="M100">IFERROR(_xlfn.XLOOKUP(1,('env Parameter'!$A:$A=$A100)*('env Parameter'!$B:$B=$K100)*('env Parameter'!$C:$C=$L100),'env Parameter'!D:D,""),"")</f>
        <v>안양천-6</v>
      </c>
      <c r="N100" s="10" t="str" cm="1">
        <f t="array" ref="N100">IFERROR(_xlfn.XLOOKUP(1,('env Parameter'!$A:$A=$A100)*('env Parameter'!$B:$B=$K100)*('env Parameter'!$C:$C=$L100),'env Parameter'!I:I,""),"")</f>
        <v>YR</v>
      </c>
    </row>
    <row r="101" spans="1:14">
      <c r="A101">
        <f>eDNA!A101</f>
        <v>20200716</v>
      </c>
      <c r="B101" s="10" t="str" cm="1">
        <f t="array" ref="B101">IFERROR(_xlfn.XLOOKUP(1,('env Parameter'!$A:$A=$A101)*('env Parameter'!$B:$B=$K101)*('env Parameter'!$C:$C=$L101),'env Parameter'!H:H,""),"")</f>
        <v>생물상 조사</v>
      </c>
      <c r="C101" s="10" cm="1">
        <f t="array" ref="C101">IFERROR(_xlfn.XLOOKUP(1,('env Parameter'!$A:$A=$A101)*('env Parameter'!$B:$B=$K101)*('env Parameter'!$C:$C=$L101),'env Parameter'!E:E,""),"")</f>
        <v>2.14</v>
      </c>
      <c r="D101" s="10" cm="1">
        <f t="array" ref="D101">IFERROR(_xlfn.XLOOKUP(1,('env Parameter'!$A:$A=$A101)*('env Parameter'!$B:$B=$K101)*('env Parameter'!$C:$C=$L101),'env Parameter'!F:F,""),"")</f>
        <v>478</v>
      </c>
      <c r="E101" s="10" cm="1">
        <f t="array" ref="E101">IFERROR(_xlfn.XLOOKUP(1,('env Parameter'!$A:$A=$A101)*('env Parameter'!$B:$B=$K101)*('env Parameter'!$C:$C=$L101),'env Parameter'!G:G,""),"")</f>
        <v>7.6</v>
      </c>
      <c r="F101" t="str">
        <f>eDNA!F101</f>
        <v>MiFish</v>
      </c>
      <c r="G101" t="str">
        <f>eDNA!D101</f>
        <v>Sus scrofa</v>
      </c>
      <c r="H101" t="str">
        <f>_xlfn.XLOOKUP(G101,'Common name (master file)'!$B:$B,'Common name (master file)'!$A:$A,"-------------")</f>
        <v>멧돼지</v>
      </c>
      <c r="I101">
        <f>eDNA!E101</f>
        <v>99</v>
      </c>
      <c r="J101" t="str">
        <f>_xlfn.XLOOKUP(G101,'Common name (master file)'!$B:$B,'Common name (master file)'!$C:$C,"")</f>
        <v>포유류</v>
      </c>
      <c r="K101">
        <f>eDNA!B101</f>
        <v>126.8960105</v>
      </c>
      <c r="L101">
        <f>eDNA!C101</f>
        <v>37.403669399999998</v>
      </c>
      <c r="M101" s="10" t="str" cm="1">
        <f t="array" ref="M101">IFERROR(_xlfn.XLOOKUP(1,('env Parameter'!$A:$A=$A101)*('env Parameter'!$B:$B=$K101)*('env Parameter'!$C:$C=$L101),'env Parameter'!D:D,""),"")</f>
        <v>안양천-6</v>
      </c>
      <c r="N101" s="10" t="str" cm="1">
        <f t="array" ref="N101">IFERROR(_xlfn.XLOOKUP(1,('env Parameter'!$A:$A=$A101)*('env Parameter'!$B:$B=$K101)*('env Parameter'!$C:$C=$L101),'env Parameter'!I:I,""),"")</f>
        <v>YR</v>
      </c>
    </row>
    <row r="102" spans="1:14">
      <c r="A102">
        <f>eDNA!A102</f>
        <v>20200716</v>
      </c>
      <c r="B102" s="10" t="str" cm="1">
        <f t="array" ref="B102">IFERROR(_xlfn.XLOOKUP(1,('env Parameter'!$A:$A=$A102)*('env Parameter'!$B:$B=$K102)*('env Parameter'!$C:$C=$L102),'env Parameter'!H:H,""),"")</f>
        <v>생물상 조사</v>
      </c>
      <c r="C102" s="10" cm="1">
        <f t="array" ref="C102">IFERROR(_xlfn.XLOOKUP(1,('env Parameter'!$A:$A=$A102)*('env Parameter'!$B:$B=$K102)*('env Parameter'!$C:$C=$L102),'env Parameter'!E:E,""),"")</f>
        <v>2.14</v>
      </c>
      <c r="D102" s="10" cm="1">
        <f t="array" ref="D102">IFERROR(_xlfn.XLOOKUP(1,('env Parameter'!$A:$A=$A102)*('env Parameter'!$B:$B=$K102)*('env Parameter'!$C:$C=$L102),'env Parameter'!F:F,""),"")</f>
        <v>478</v>
      </c>
      <c r="E102" s="10" cm="1">
        <f t="array" ref="E102">IFERROR(_xlfn.XLOOKUP(1,('env Parameter'!$A:$A=$A102)*('env Parameter'!$B:$B=$K102)*('env Parameter'!$C:$C=$L102),'env Parameter'!G:G,""),"")</f>
        <v>7.6</v>
      </c>
      <c r="F102" t="str">
        <f>eDNA!F102</f>
        <v>MiFish</v>
      </c>
      <c r="G102" t="str">
        <f>eDNA!D102</f>
        <v>Squalidus gracilis majimae</v>
      </c>
      <c r="H102" t="str">
        <f>_xlfn.XLOOKUP(G102,'Common name (master file)'!$B:$B,'Common name (master file)'!$A:$A,"-------------")</f>
        <v>긴몰개</v>
      </c>
      <c r="I102">
        <f>eDNA!E102</f>
        <v>143</v>
      </c>
      <c r="J102" t="str">
        <f>_xlfn.XLOOKUP(G102,'Common name (master file)'!$B:$B,'Common name (master file)'!$C:$C,"")</f>
        <v>어류</v>
      </c>
      <c r="K102">
        <f>eDNA!B102</f>
        <v>126.8960105</v>
      </c>
      <c r="L102">
        <f>eDNA!C102</f>
        <v>37.403669399999998</v>
      </c>
      <c r="M102" s="10" t="str" cm="1">
        <f t="array" ref="M102">IFERROR(_xlfn.XLOOKUP(1,('env Parameter'!$A:$A=$A102)*('env Parameter'!$B:$B=$K102)*('env Parameter'!$C:$C=$L102),'env Parameter'!D:D,""),"")</f>
        <v>안양천-6</v>
      </c>
      <c r="N102" s="10" t="str" cm="1">
        <f t="array" ref="N102">IFERROR(_xlfn.XLOOKUP(1,('env Parameter'!$A:$A=$A102)*('env Parameter'!$B:$B=$K102)*('env Parameter'!$C:$C=$L102),'env Parameter'!I:I,""),"")</f>
        <v>YR</v>
      </c>
    </row>
    <row r="103" spans="1:14">
      <c r="A103">
        <f>eDNA!A103</f>
        <v>20200716</v>
      </c>
      <c r="B103" s="10" t="str" cm="1">
        <f t="array" ref="B103">IFERROR(_xlfn.XLOOKUP(1,('env Parameter'!$A:$A=$A103)*('env Parameter'!$B:$B=$K103)*('env Parameter'!$C:$C=$L103),'env Parameter'!H:H,""),"")</f>
        <v>생물상 조사</v>
      </c>
      <c r="C103" s="10" cm="1">
        <f t="array" ref="C103">IFERROR(_xlfn.XLOOKUP(1,('env Parameter'!$A:$A=$A103)*('env Parameter'!$B:$B=$K103)*('env Parameter'!$C:$C=$L103),'env Parameter'!E:E,""),"")</f>
        <v>2.14</v>
      </c>
      <c r="D103" s="10" cm="1">
        <f t="array" ref="D103">IFERROR(_xlfn.XLOOKUP(1,('env Parameter'!$A:$A=$A103)*('env Parameter'!$B:$B=$K103)*('env Parameter'!$C:$C=$L103),'env Parameter'!F:F,""),"")</f>
        <v>478</v>
      </c>
      <c r="E103" s="10" cm="1">
        <f t="array" ref="E103">IFERROR(_xlfn.XLOOKUP(1,('env Parameter'!$A:$A=$A103)*('env Parameter'!$B:$B=$K103)*('env Parameter'!$C:$C=$L103),'env Parameter'!G:G,""),"")</f>
        <v>7.6</v>
      </c>
      <c r="F103" t="str">
        <f>eDNA!F103</f>
        <v>MiFish</v>
      </c>
      <c r="G103" t="str">
        <f>eDNA!D103</f>
        <v>Channa argus</v>
      </c>
      <c r="H103" t="str">
        <f>_xlfn.XLOOKUP(G103,'Common name (master file)'!$B:$B,'Common name (master file)'!$A:$A,"-------------")</f>
        <v>가물치</v>
      </c>
      <c r="I103">
        <f>eDNA!E103</f>
        <v>213</v>
      </c>
      <c r="J103" t="str">
        <f>_xlfn.XLOOKUP(G103,'Common name (master file)'!$B:$B,'Common name (master file)'!$C:$C,"")</f>
        <v>어류</v>
      </c>
      <c r="K103">
        <f>eDNA!B103</f>
        <v>126.8960105</v>
      </c>
      <c r="L103">
        <f>eDNA!C103</f>
        <v>37.403669399999998</v>
      </c>
      <c r="M103" s="10" t="str" cm="1">
        <f t="array" ref="M103">IFERROR(_xlfn.XLOOKUP(1,('env Parameter'!$A:$A=$A103)*('env Parameter'!$B:$B=$K103)*('env Parameter'!$C:$C=$L103),'env Parameter'!D:D,""),"")</f>
        <v>안양천-6</v>
      </c>
      <c r="N103" s="10" t="str" cm="1">
        <f t="array" ref="N103">IFERROR(_xlfn.XLOOKUP(1,('env Parameter'!$A:$A=$A103)*('env Parameter'!$B:$B=$K103)*('env Parameter'!$C:$C=$L103),'env Parameter'!I:I,""),"")</f>
        <v>YR</v>
      </c>
    </row>
    <row r="104" spans="1:14">
      <c r="A104">
        <f>eDNA!A104</f>
        <v>20200716</v>
      </c>
      <c r="B104" s="10" t="str" cm="1">
        <f t="array" ref="B104">IFERROR(_xlfn.XLOOKUP(1,('env Parameter'!$A:$A=$A104)*('env Parameter'!$B:$B=$K104)*('env Parameter'!$C:$C=$L104),'env Parameter'!H:H,""),"")</f>
        <v>생물상 조사</v>
      </c>
      <c r="C104" s="10" cm="1">
        <f t="array" ref="C104">IFERROR(_xlfn.XLOOKUP(1,('env Parameter'!$A:$A=$A104)*('env Parameter'!$B:$B=$K104)*('env Parameter'!$C:$C=$L104),'env Parameter'!E:E,""),"")</f>
        <v>2.14</v>
      </c>
      <c r="D104" s="10" cm="1">
        <f t="array" ref="D104">IFERROR(_xlfn.XLOOKUP(1,('env Parameter'!$A:$A=$A104)*('env Parameter'!$B:$B=$K104)*('env Parameter'!$C:$C=$L104),'env Parameter'!F:F,""),"")</f>
        <v>478</v>
      </c>
      <c r="E104" s="10" cm="1">
        <f t="array" ref="E104">IFERROR(_xlfn.XLOOKUP(1,('env Parameter'!$A:$A=$A104)*('env Parameter'!$B:$B=$K104)*('env Parameter'!$C:$C=$L104),'env Parameter'!G:G,""),"")</f>
        <v>7.6</v>
      </c>
      <c r="F104" t="str">
        <f>eDNA!F104</f>
        <v>MiFish</v>
      </c>
      <c r="G104" t="str">
        <f>eDNA!D104</f>
        <v>Carassius sp.</v>
      </c>
      <c r="H104" t="str">
        <f>_xlfn.XLOOKUP(G104,'Common name (master file)'!$B:$B,'Common name (master file)'!$A:$A,"-------------")</f>
        <v>붕어 속</v>
      </c>
      <c r="I104">
        <f>eDNA!E104</f>
        <v>318</v>
      </c>
      <c r="J104" t="str">
        <f>_xlfn.XLOOKUP(G104,'Common name (master file)'!$B:$B,'Common name (master file)'!$C:$C,"")</f>
        <v>어류</v>
      </c>
      <c r="K104">
        <f>eDNA!B104</f>
        <v>126.8960105</v>
      </c>
      <c r="L104">
        <f>eDNA!C104</f>
        <v>37.403669399999998</v>
      </c>
      <c r="M104" s="10" t="str" cm="1">
        <f t="array" ref="M104">IFERROR(_xlfn.XLOOKUP(1,('env Parameter'!$A:$A=$A104)*('env Parameter'!$B:$B=$K104)*('env Parameter'!$C:$C=$L104),'env Parameter'!D:D,""),"")</f>
        <v>안양천-6</v>
      </c>
      <c r="N104" s="10" t="str" cm="1">
        <f t="array" ref="N104">IFERROR(_xlfn.XLOOKUP(1,('env Parameter'!$A:$A=$A104)*('env Parameter'!$B:$B=$K104)*('env Parameter'!$C:$C=$L104),'env Parameter'!I:I,""),"")</f>
        <v>YR</v>
      </c>
    </row>
    <row r="105" spans="1:14">
      <c r="A105">
        <f>eDNA!A105</f>
        <v>20200716</v>
      </c>
      <c r="B105" s="10" t="str" cm="1">
        <f t="array" ref="B105">IFERROR(_xlfn.XLOOKUP(1,('env Parameter'!$A:$A=$A105)*('env Parameter'!$B:$B=$K105)*('env Parameter'!$C:$C=$L105),'env Parameter'!H:H,""),"")</f>
        <v>생물상 조사</v>
      </c>
      <c r="C105" s="10" cm="1">
        <f t="array" ref="C105">IFERROR(_xlfn.XLOOKUP(1,('env Parameter'!$A:$A=$A105)*('env Parameter'!$B:$B=$K105)*('env Parameter'!$C:$C=$L105),'env Parameter'!E:E,""),"")</f>
        <v>2.14</v>
      </c>
      <c r="D105" s="10" cm="1">
        <f t="array" ref="D105">IFERROR(_xlfn.XLOOKUP(1,('env Parameter'!$A:$A=$A105)*('env Parameter'!$B:$B=$K105)*('env Parameter'!$C:$C=$L105),'env Parameter'!F:F,""),"")</f>
        <v>478</v>
      </c>
      <c r="E105" s="10" cm="1">
        <f t="array" ref="E105">IFERROR(_xlfn.XLOOKUP(1,('env Parameter'!$A:$A=$A105)*('env Parameter'!$B:$B=$K105)*('env Parameter'!$C:$C=$L105),'env Parameter'!G:G,""),"")</f>
        <v>7.6</v>
      </c>
      <c r="F105" t="str">
        <f>eDNA!F105</f>
        <v>MiFish</v>
      </c>
      <c r="G105" t="str">
        <f>eDNA!D105</f>
        <v>Cyprinus carpio</v>
      </c>
      <c r="H105" t="str">
        <f>_xlfn.XLOOKUP(G105,'Common name (master file)'!$B:$B,'Common name (master file)'!$A:$A,"-------------")</f>
        <v>잉어</v>
      </c>
      <c r="I105">
        <f>eDNA!E105</f>
        <v>273</v>
      </c>
      <c r="J105" t="str">
        <f>_xlfn.XLOOKUP(G105,'Common name (master file)'!$B:$B,'Common name (master file)'!$C:$C,"")</f>
        <v>어류</v>
      </c>
      <c r="K105">
        <f>eDNA!B105</f>
        <v>126.8960105</v>
      </c>
      <c r="L105">
        <f>eDNA!C105</f>
        <v>37.403669399999998</v>
      </c>
      <c r="M105" s="10" t="str" cm="1">
        <f t="array" ref="M105">IFERROR(_xlfn.XLOOKUP(1,('env Parameter'!$A:$A=$A105)*('env Parameter'!$B:$B=$K105)*('env Parameter'!$C:$C=$L105),'env Parameter'!D:D,""),"")</f>
        <v>안양천-6</v>
      </c>
      <c r="N105" s="10" t="str" cm="1">
        <f t="array" ref="N105">IFERROR(_xlfn.XLOOKUP(1,('env Parameter'!$A:$A=$A105)*('env Parameter'!$B:$B=$K105)*('env Parameter'!$C:$C=$L105),'env Parameter'!I:I,""),"")</f>
        <v>YR</v>
      </c>
    </row>
    <row r="106" spans="1:14">
      <c r="A106">
        <f>eDNA!A106</f>
        <v>20200716</v>
      </c>
      <c r="B106" s="10" t="str" cm="1">
        <f t="array" ref="B106">IFERROR(_xlfn.XLOOKUP(1,('env Parameter'!$A:$A=$A106)*('env Parameter'!$B:$B=$K106)*('env Parameter'!$C:$C=$L106),'env Parameter'!H:H,""),"")</f>
        <v>생물상 조사</v>
      </c>
      <c r="C106" s="10" cm="1">
        <f t="array" ref="C106">IFERROR(_xlfn.XLOOKUP(1,('env Parameter'!$A:$A=$A106)*('env Parameter'!$B:$B=$K106)*('env Parameter'!$C:$C=$L106),'env Parameter'!E:E,""),"")</f>
        <v>2.14</v>
      </c>
      <c r="D106" s="10" cm="1">
        <f t="array" ref="D106">IFERROR(_xlfn.XLOOKUP(1,('env Parameter'!$A:$A=$A106)*('env Parameter'!$B:$B=$K106)*('env Parameter'!$C:$C=$L106),'env Parameter'!F:F,""),"")</f>
        <v>478</v>
      </c>
      <c r="E106" s="10" cm="1">
        <f t="array" ref="E106">IFERROR(_xlfn.XLOOKUP(1,('env Parameter'!$A:$A=$A106)*('env Parameter'!$B:$B=$K106)*('env Parameter'!$C:$C=$L106),'env Parameter'!G:G,""),"")</f>
        <v>7.6</v>
      </c>
      <c r="F106" t="str">
        <f>eDNA!F106</f>
        <v>MiFish</v>
      </c>
      <c r="G106" t="str">
        <f>eDNA!D106</f>
        <v>Gnathopogon strigatus</v>
      </c>
      <c r="H106" t="str">
        <f>_xlfn.XLOOKUP(G106,'Common name (master file)'!$B:$B,'Common name (master file)'!$A:$A,"-------------")</f>
        <v>줄몰개</v>
      </c>
      <c r="I106">
        <f>eDNA!E106</f>
        <v>625</v>
      </c>
      <c r="J106" t="str">
        <f>_xlfn.XLOOKUP(G106,'Common name (master file)'!$B:$B,'Common name (master file)'!$C:$C,"")</f>
        <v>어류</v>
      </c>
      <c r="K106">
        <f>eDNA!B106</f>
        <v>126.8960105</v>
      </c>
      <c r="L106">
        <f>eDNA!C106</f>
        <v>37.403669399999998</v>
      </c>
      <c r="M106" s="10" t="str" cm="1">
        <f t="array" ref="M106">IFERROR(_xlfn.XLOOKUP(1,('env Parameter'!$A:$A=$A106)*('env Parameter'!$B:$B=$K106)*('env Parameter'!$C:$C=$L106),'env Parameter'!D:D,""),"")</f>
        <v>안양천-6</v>
      </c>
      <c r="N106" s="10" t="str" cm="1">
        <f t="array" ref="N106">IFERROR(_xlfn.XLOOKUP(1,('env Parameter'!$A:$A=$A106)*('env Parameter'!$B:$B=$K106)*('env Parameter'!$C:$C=$L106),'env Parameter'!I:I,""),"")</f>
        <v>YR</v>
      </c>
    </row>
    <row r="107" spans="1:14">
      <c r="A107">
        <f>eDNA!A107</f>
        <v>20200716</v>
      </c>
      <c r="B107" s="10" t="str" cm="1">
        <f t="array" ref="B107">IFERROR(_xlfn.XLOOKUP(1,('env Parameter'!$A:$A=$A107)*('env Parameter'!$B:$B=$K107)*('env Parameter'!$C:$C=$L107),'env Parameter'!H:H,""),"")</f>
        <v>생물상 조사</v>
      </c>
      <c r="C107" s="10" cm="1">
        <f t="array" ref="C107">IFERROR(_xlfn.XLOOKUP(1,('env Parameter'!$A:$A=$A107)*('env Parameter'!$B:$B=$K107)*('env Parameter'!$C:$C=$L107),'env Parameter'!E:E,""),"")</f>
        <v>2.14</v>
      </c>
      <c r="D107" s="10" cm="1">
        <f t="array" ref="D107">IFERROR(_xlfn.XLOOKUP(1,('env Parameter'!$A:$A=$A107)*('env Parameter'!$B:$B=$K107)*('env Parameter'!$C:$C=$L107),'env Parameter'!F:F,""),"")</f>
        <v>478</v>
      </c>
      <c r="E107" s="10" cm="1">
        <f t="array" ref="E107">IFERROR(_xlfn.XLOOKUP(1,('env Parameter'!$A:$A=$A107)*('env Parameter'!$B:$B=$K107)*('env Parameter'!$C:$C=$L107),'env Parameter'!G:G,""),"")</f>
        <v>7.6</v>
      </c>
      <c r="F107" t="str">
        <f>eDNA!F107</f>
        <v>MiFish</v>
      </c>
      <c r="G107" t="str">
        <f>eDNA!D107</f>
        <v>Gymnogobius urotaenia</v>
      </c>
      <c r="H107" t="str">
        <f>_xlfn.XLOOKUP(G107,'Common name (master file)'!$B:$B,'Common name (master file)'!$A:$A,"-------------")</f>
        <v>꾹저구</v>
      </c>
      <c r="I107">
        <f>eDNA!E107</f>
        <v>318</v>
      </c>
      <c r="J107" t="str">
        <f>_xlfn.XLOOKUP(G107,'Common name (master file)'!$B:$B,'Common name (master file)'!$C:$C,"")</f>
        <v>어류</v>
      </c>
      <c r="K107">
        <f>eDNA!B107</f>
        <v>126.8960105</v>
      </c>
      <c r="L107">
        <f>eDNA!C107</f>
        <v>37.403669399999998</v>
      </c>
      <c r="M107" s="10" t="str" cm="1">
        <f t="array" ref="M107">IFERROR(_xlfn.XLOOKUP(1,('env Parameter'!$A:$A=$A107)*('env Parameter'!$B:$B=$K107)*('env Parameter'!$C:$C=$L107),'env Parameter'!D:D,""),"")</f>
        <v>안양천-6</v>
      </c>
      <c r="N107" s="10" t="str" cm="1">
        <f t="array" ref="N107">IFERROR(_xlfn.XLOOKUP(1,('env Parameter'!$A:$A=$A107)*('env Parameter'!$B:$B=$K107)*('env Parameter'!$C:$C=$L107),'env Parameter'!I:I,""),"")</f>
        <v>YR</v>
      </c>
    </row>
    <row r="108" spans="1:14">
      <c r="A108">
        <f>eDNA!A108</f>
        <v>20200716</v>
      </c>
      <c r="B108" s="10" t="str" cm="1">
        <f t="array" ref="B108">IFERROR(_xlfn.XLOOKUP(1,('env Parameter'!$A:$A=$A108)*('env Parameter'!$B:$B=$K108)*('env Parameter'!$C:$C=$L108),'env Parameter'!H:H,""),"")</f>
        <v>생물상 조사</v>
      </c>
      <c r="C108" s="10" cm="1">
        <f t="array" ref="C108">IFERROR(_xlfn.XLOOKUP(1,('env Parameter'!$A:$A=$A108)*('env Parameter'!$B:$B=$K108)*('env Parameter'!$C:$C=$L108),'env Parameter'!E:E,""),"")</f>
        <v>2.14</v>
      </c>
      <c r="D108" s="10" cm="1">
        <f t="array" ref="D108">IFERROR(_xlfn.XLOOKUP(1,('env Parameter'!$A:$A=$A108)*('env Parameter'!$B:$B=$K108)*('env Parameter'!$C:$C=$L108),'env Parameter'!F:F,""),"")</f>
        <v>478</v>
      </c>
      <c r="E108" s="10" cm="1">
        <f t="array" ref="E108">IFERROR(_xlfn.XLOOKUP(1,('env Parameter'!$A:$A=$A108)*('env Parameter'!$B:$B=$K108)*('env Parameter'!$C:$C=$L108),'env Parameter'!G:G,""),"")</f>
        <v>7.6</v>
      </c>
      <c r="F108" t="str">
        <f>eDNA!F108</f>
        <v>MiFish</v>
      </c>
      <c r="G108" t="str">
        <f>eDNA!D108</f>
        <v>Hemibarbus sp.</v>
      </c>
      <c r="H108" t="str">
        <f>_xlfn.XLOOKUP(G108,'Common name (master file)'!$B:$B,'Common name (master file)'!$A:$A,"-------------")</f>
        <v>누치 속</v>
      </c>
      <c r="I108">
        <f>eDNA!E108</f>
        <v>442</v>
      </c>
      <c r="J108" t="str">
        <f>_xlfn.XLOOKUP(G108,'Common name (master file)'!$B:$B,'Common name (master file)'!$C:$C,"")</f>
        <v>어류</v>
      </c>
      <c r="K108">
        <f>eDNA!B108</f>
        <v>126.8960105</v>
      </c>
      <c r="L108">
        <f>eDNA!C108</f>
        <v>37.403669399999998</v>
      </c>
      <c r="M108" s="10" t="str" cm="1">
        <f t="array" ref="M108">IFERROR(_xlfn.XLOOKUP(1,('env Parameter'!$A:$A=$A108)*('env Parameter'!$B:$B=$K108)*('env Parameter'!$C:$C=$L108),'env Parameter'!D:D,""),"")</f>
        <v>안양천-6</v>
      </c>
      <c r="N108" s="10" t="str" cm="1">
        <f t="array" ref="N108">IFERROR(_xlfn.XLOOKUP(1,('env Parameter'!$A:$A=$A108)*('env Parameter'!$B:$B=$K108)*('env Parameter'!$C:$C=$L108),'env Parameter'!I:I,""),"")</f>
        <v>YR</v>
      </c>
    </row>
    <row r="109" spans="1:14">
      <c r="A109">
        <f>eDNA!A109</f>
        <v>20200716</v>
      </c>
      <c r="B109" s="10" t="str" cm="1">
        <f t="array" ref="B109">IFERROR(_xlfn.XLOOKUP(1,('env Parameter'!$A:$A=$A109)*('env Parameter'!$B:$B=$K109)*('env Parameter'!$C:$C=$L109),'env Parameter'!H:H,""),"")</f>
        <v>생물상 조사</v>
      </c>
      <c r="C109" s="10" cm="1">
        <f t="array" ref="C109">IFERROR(_xlfn.XLOOKUP(1,('env Parameter'!$A:$A=$A109)*('env Parameter'!$B:$B=$K109)*('env Parameter'!$C:$C=$L109),'env Parameter'!E:E,""),"")</f>
        <v>2.14</v>
      </c>
      <c r="D109" s="10" cm="1">
        <f t="array" ref="D109">IFERROR(_xlfn.XLOOKUP(1,('env Parameter'!$A:$A=$A109)*('env Parameter'!$B:$B=$K109)*('env Parameter'!$C:$C=$L109),'env Parameter'!F:F,""),"")</f>
        <v>478</v>
      </c>
      <c r="E109" s="10" cm="1">
        <f t="array" ref="E109">IFERROR(_xlfn.XLOOKUP(1,('env Parameter'!$A:$A=$A109)*('env Parameter'!$B:$B=$K109)*('env Parameter'!$C:$C=$L109),'env Parameter'!G:G,""),"")</f>
        <v>7.6</v>
      </c>
      <c r="F109" t="str">
        <f>eDNA!F109</f>
        <v>MiFish</v>
      </c>
      <c r="G109" t="str">
        <f>eDNA!D109</f>
        <v>Misgurnus mizolepis</v>
      </c>
      <c r="H109" t="str">
        <f>_xlfn.XLOOKUP(G109,'Common name (master file)'!$B:$B,'Common name (master file)'!$A:$A,"-------------")</f>
        <v>미꾸라지</v>
      </c>
      <c r="I109">
        <f>eDNA!E109</f>
        <v>519</v>
      </c>
      <c r="J109" t="str">
        <f>_xlfn.XLOOKUP(G109,'Common name (master file)'!$B:$B,'Common name (master file)'!$C:$C,"")</f>
        <v>어류</v>
      </c>
      <c r="K109">
        <f>eDNA!B109</f>
        <v>126.8960105</v>
      </c>
      <c r="L109">
        <f>eDNA!C109</f>
        <v>37.403669399999998</v>
      </c>
      <c r="M109" s="10" t="str" cm="1">
        <f t="array" ref="M109">IFERROR(_xlfn.XLOOKUP(1,('env Parameter'!$A:$A=$A109)*('env Parameter'!$B:$B=$K109)*('env Parameter'!$C:$C=$L109),'env Parameter'!D:D,""),"")</f>
        <v>안양천-6</v>
      </c>
      <c r="N109" s="10" t="str" cm="1">
        <f t="array" ref="N109">IFERROR(_xlfn.XLOOKUP(1,('env Parameter'!$A:$A=$A109)*('env Parameter'!$B:$B=$K109)*('env Parameter'!$C:$C=$L109),'env Parameter'!I:I,""),"")</f>
        <v>YR</v>
      </c>
    </row>
    <row r="110" spans="1:14">
      <c r="A110">
        <f>eDNA!A110</f>
        <v>20200716</v>
      </c>
      <c r="B110" s="10" t="str" cm="1">
        <f t="array" ref="B110">IFERROR(_xlfn.XLOOKUP(1,('env Parameter'!$A:$A=$A110)*('env Parameter'!$B:$B=$K110)*('env Parameter'!$C:$C=$L110),'env Parameter'!H:H,""),"")</f>
        <v>생물상 조사</v>
      </c>
      <c r="C110" s="10" cm="1">
        <f t="array" ref="C110">IFERROR(_xlfn.XLOOKUP(1,('env Parameter'!$A:$A=$A110)*('env Parameter'!$B:$B=$K110)*('env Parameter'!$C:$C=$L110),'env Parameter'!E:E,""),"")</f>
        <v>2.14</v>
      </c>
      <c r="D110" s="10" cm="1">
        <f t="array" ref="D110">IFERROR(_xlfn.XLOOKUP(1,('env Parameter'!$A:$A=$A110)*('env Parameter'!$B:$B=$K110)*('env Parameter'!$C:$C=$L110),'env Parameter'!F:F,""),"")</f>
        <v>478</v>
      </c>
      <c r="E110" s="10" cm="1">
        <f t="array" ref="E110">IFERROR(_xlfn.XLOOKUP(1,('env Parameter'!$A:$A=$A110)*('env Parameter'!$B:$B=$K110)*('env Parameter'!$C:$C=$L110),'env Parameter'!G:G,""),"")</f>
        <v>7.6</v>
      </c>
      <c r="F110" t="str">
        <f>eDNA!F110</f>
        <v>MiFish</v>
      </c>
      <c r="G110" t="str">
        <f>eDNA!D110</f>
        <v>Tridentiger obscurus</v>
      </c>
      <c r="H110" t="str">
        <f>_xlfn.XLOOKUP(G110,'Common name (master file)'!$B:$B,'Common name (master file)'!$A:$A,"-------------")</f>
        <v>검정망둑</v>
      </c>
      <c r="I110">
        <f>eDNA!E110</f>
        <v>677</v>
      </c>
      <c r="J110" t="str">
        <f>_xlfn.XLOOKUP(G110,'Common name (master file)'!$B:$B,'Common name (master file)'!$C:$C,"")</f>
        <v>어류</v>
      </c>
      <c r="K110">
        <f>eDNA!B110</f>
        <v>126.8960105</v>
      </c>
      <c r="L110">
        <f>eDNA!C110</f>
        <v>37.403669399999998</v>
      </c>
      <c r="M110" s="10" t="str" cm="1">
        <f t="array" ref="M110">IFERROR(_xlfn.XLOOKUP(1,('env Parameter'!$A:$A=$A110)*('env Parameter'!$B:$B=$K110)*('env Parameter'!$C:$C=$L110),'env Parameter'!D:D,""),"")</f>
        <v>안양천-6</v>
      </c>
      <c r="N110" s="10" t="str" cm="1">
        <f t="array" ref="N110">IFERROR(_xlfn.XLOOKUP(1,('env Parameter'!$A:$A=$A110)*('env Parameter'!$B:$B=$K110)*('env Parameter'!$C:$C=$L110),'env Parameter'!I:I,""),"")</f>
        <v>YR</v>
      </c>
    </row>
    <row r="111" spans="1:14">
      <c r="A111">
        <f>eDNA!A111</f>
        <v>20200716</v>
      </c>
      <c r="B111" s="10" t="str" cm="1">
        <f t="array" ref="B111">IFERROR(_xlfn.XLOOKUP(1,('env Parameter'!$A:$A=$A111)*('env Parameter'!$B:$B=$K111)*('env Parameter'!$C:$C=$L111),'env Parameter'!H:H,""),"")</f>
        <v>생물상 조사</v>
      </c>
      <c r="C111" s="10" cm="1">
        <f t="array" ref="C111">IFERROR(_xlfn.XLOOKUP(1,('env Parameter'!$A:$A=$A111)*('env Parameter'!$B:$B=$K111)*('env Parameter'!$C:$C=$L111),'env Parameter'!E:E,""),"")</f>
        <v>2.14</v>
      </c>
      <c r="D111" s="10" cm="1">
        <f t="array" ref="D111">IFERROR(_xlfn.XLOOKUP(1,('env Parameter'!$A:$A=$A111)*('env Parameter'!$B:$B=$K111)*('env Parameter'!$C:$C=$L111),'env Parameter'!F:F,""),"")</f>
        <v>478</v>
      </c>
      <c r="E111" s="10" cm="1">
        <f t="array" ref="E111">IFERROR(_xlfn.XLOOKUP(1,('env Parameter'!$A:$A=$A111)*('env Parameter'!$B:$B=$K111)*('env Parameter'!$C:$C=$L111),'env Parameter'!G:G,""),"")</f>
        <v>7.6</v>
      </c>
      <c r="F111" t="str">
        <f>eDNA!F111</f>
        <v>MiFish</v>
      </c>
      <c r="G111" t="str">
        <f>eDNA!D111</f>
        <v>Pseudogobio esocinus</v>
      </c>
      <c r="H111" t="str">
        <f>_xlfn.XLOOKUP(G111,'Common name (master file)'!$B:$B,'Common name (master file)'!$A:$A,"-------------")</f>
        <v>모래무지</v>
      </c>
      <c r="I111">
        <f>eDNA!E111</f>
        <v>2205</v>
      </c>
      <c r="J111" t="str">
        <f>_xlfn.XLOOKUP(G111,'Common name (master file)'!$B:$B,'Common name (master file)'!$C:$C,"")</f>
        <v>어류</v>
      </c>
      <c r="K111">
        <f>eDNA!B111</f>
        <v>126.8960105</v>
      </c>
      <c r="L111">
        <f>eDNA!C111</f>
        <v>37.403669399999998</v>
      </c>
      <c r="M111" s="10" t="str" cm="1">
        <f t="array" ref="M111">IFERROR(_xlfn.XLOOKUP(1,('env Parameter'!$A:$A=$A111)*('env Parameter'!$B:$B=$K111)*('env Parameter'!$C:$C=$L111),'env Parameter'!D:D,""),"")</f>
        <v>안양천-6</v>
      </c>
      <c r="N111" s="10" t="str" cm="1">
        <f t="array" ref="N111">IFERROR(_xlfn.XLOOKUP(1,('env Parameter'!$A:$A=$A111)*('env Parameter'!$B:$B=$K111)*('env Parameter'!$C:$C=$L111),'env Parameter'!I:I,""),"")</f>
        <v>YR</v>
      </c>
    </row>
    <row r="112" spans="1:14">
      <c r="A112">
        <f>eDNA!A112</f>
        <v>20200716</v>
      </c>
      <c r="B112" s="10" t="str" cm="1">
        <f t="array" ref="B112">IFERROR(_xlfn.XLOOKUP(1,('env Parameter'!$A:$A=$A112)*('env Parameter'!$B:$B=$K112)*('env Parameter'!$C:$C=$L112),'env Parameter'!H:H,""),"")</f>
        <v>생물상 조사</v>
      </c>
      <c r="C112" s="10" cm="1">
        <f t="array" ref="C112">IFERROR(_xlfn.XLOOKUP(1,('env Parameter'!$A:$A=$A112)*('env Parameter'!$B:$B=$K112)*('env Parameter'!$C:$C=$L112),'env Parameter'!E:E,""),"")</f>
        <v>2.14</v>
      </c>
      <c r="D112" s="10" cm="1">
        <f t="array" ref="D112">IFERROR(_xlfn.XLOOKUP(1,('env Parameter'!$A:$A=$A112)*('env Parameter'!$B:$B=$K112)*('env Parameter'!$C:$C=$L112),'env Parameter'!F:F,""),"")</f>
        <v>478</v>
      </c>
      <c r="E112" s="10" cm="1">
        <f t="array" ref="E112">IFERROR(_xlfn.XLOOKUP(1,('env Parameter'!$A:$A=$A112)*('env Parameter'!$B:$B=$K112)*('env Parameter'!$C:$C=$L112),'env Parameter'!G:G,""),"")</f>
        <v>7.6</v>
      </c>
      <c r="F112" t="str">
        <f>eDNA!F112</f>
        <v>MiFish</v>
      </c>
      <c r="G112" t="str">
        <f>eDNA!D112</f>
        <v>Silurus soldatovi</v>
      </c>
      <c r="H112" t="str">
        <f>_xlfn.XLOOKUP(G112,'Common name (master file)'!$B:$B,'Common name (master file)'!$A:$A,"-------------")</f>
        <v>솔다토비 메기</v>
      </c>
      <c r="I112">
        <f>eDNA!E112</f>
        <v>2145</v>
      </c>
      <c r="J112" t="str">
        <f>_xlfn.XLOOKUP(G112,'Common name (master file)'!$B:$B,'Common name (master file)'!$C:$C,"")</f>
        <v>어류</v>
      </c>
      <c r="K112">
        <f>eDNA!B112</f>
        <v>126.8960105</v>
      </c>
      <c r="L112">
        <f>eDNA!C112</f>
        <v>37.403669399999998</v>
      </c>
      <c r="M112" s="10" t="str" cm="1">
        <f t="array" ref="M112">IFERROR(_xlfn.XLOOKUP(1,('env Parameter'!$A:$A=$A112)*('env Parameter'!$B:$B=$K112)*('env Parameter'!$C:$C=$L112),'env Parameter'!D:D,""),"")</f>
        <v>안양천-6</v>
      </c>
      <c r="N112" s="10" t="str" cm="1">
        <f t="array" ref="N112">IFERROR(_xlfn.XLOOKUP(1,('env Parameter'!$A:$A=$A112)*('env Parameter'!$B:$B=$K112)*('env Parameter'!$C:$C=$L112),'env Parameter'!I:I,""),"")</f>
        <v>YR</v>
      </c>
    </row>
    <row r="113" spans="1:14">
      <c r="A113">
        <f>eDNA!A113</f>
        <v>20200716</v>
      </c>
      <c r="B113" s="10" t="str" cm="1">
        <f t="array" ref="B113">IFERROR(_xlfn.XLOOKUP(1,('env Parameter'!$A:$A=$A113)*('env Parameter'!$B:$B=$K113)*('env Parameter'!$C:$C=$L113),'env Parameter'!H:H,""),"")</f>
        <v>생물상 조사</v>
      </c>
      <c r="C113" s="10" cm="1">
        <f t="array" ref="C113">IFERROR(_xlfn.XLOOKUP(1,('env Parameter'!$A:$A=$A113)*('env Parameter'!$B:$B=$K113)*('env Parameter'!$C:$C=$L113),'env Parameter'!E:E,""),"")</f>
        <v>2.14</v>
      </c>
      <c r="D113" s="10" cm="1">
        <f t="array" ref="D113">IFERROR(_xlfn.XLOOKUP(1,('env Parameter'!$A:$A=$A113)*('env Parameter'!$B:$B=$K113)*('env Parameter'!$C:$C=$L113),'env Parameter'!F:F,""),"")</f>
        <v>478</v>
      </c>
      <c r="E113" s="10" cm="1">
        <f t="array" ref="E113">IFERROR(_xlfn.XLOOKUP(1,('env Parameter'!$A:$A=$A113)*('env Parameter'!$B:$B=$K113)*('env Parameter'!$C:$C=$L113),'env Parameter'!G:G,""),"")</f>
        <v>7.6</v>
      </c>
      <c r="F113" t="str">
        <f>eDNA!F113</f>
        <v>MiFish</v>
      </c>
      <c r="G113" t="str">
        <f>eDNA!D113</f>
        <v>Carassius gibelio</v>
      </c>
      <c r="H113" t="str">
        <f>_xlfn.XLOOKUP(G113,'Common name (master file)'!$B:$B,'Common name (master file)'!$A:$A,"-------------")</f>
        <v>기벨리오 붕어</v>
      </c>
      <c r="I113">
        <f>eDNA!E113</f>
        <v>5641</v>
      </c>
      <c r="J113" t="str">
        <f>_xlfn.XLOOKUP(G113,'Common name (master file)'!$B:$B,'Common name (master file)'!$C:$C,"")</f>
        <v>어류</v>
      </c>
      <c r="K113">
        <f>eDNA!B113</f>
        <v>126.8960105</v>
      </c>
      <c r="L113">
        <f>eDNA!C113</f>
        <v>37.403669399999998</v>
      </c>
      <c r="M113" s="10" t="str" cm="1">
        <f t="array" ref="M113">IFERROR(_xlfn.XLOOKUP(1,('env Parameter'!$A:$A=$A113)*('env Parameter'!$B:$B=$K113)*('env Parameter'!$C:$C=$L113),'env Parameter'!D:D,""),"")</f>
        <v>안양천-6</v>
      </c>
      <c r="N113" s="10" t="str" cm="1">
        <f t="array" ref="N113">IFERROR(_xlfn.XLOOKUP(1,('env Parameter'!$A:$A=$A113)*('env Parameter'!$B:$B=$K113)*('env Parameter'!$C:$C=$L113),'env Parameter'!I:I,""),"")</f>
        <v>YR</v>
      </c>
    </row>
    <row r="114" spans="1:14">
      <c r="A114">
        <f>eDNA!A114</f>
        <v>20200716</v>
      </c>
      <c r="B114" s="10" t="str" cm="1">
        <f t="array" ref="B114">IFERROR(_xlfn.XLOOKUP(1,('env Parameter'!$A:$A=$A114)*('env Parameter'!$B:$B=$K114)*('env Parameter'!$C:$C=$L114),'env Parameter'!H:H,""),"")</f>
        <v>생물상 조사</v>
      </c>
      <c r="C114" s="10" cm="1">
        <f t="array" ref="C114">IFERROR(_xlfn.XLOOKUP(1,('env Parameter'!$A:$A=$A114)*('env Parameter'!$B:$B=$K114)*('env Parameter'!$C:$C=$L114),'env Parameter'!E:E,""),"")</f>
        <v>2.14</v>
      </c>
      <c r="D114" s="10" cm="1">
        <f t="array" ref="D114">IFERROR(_xlfn.XLOOKUP(1,('env Parameter'!$A:$A=$A114)*('env Parameter'!$B:$B=$K114)*('env Parameter'!$C:$C=$L114),'env Parameter'!F:F,""),"")</f>
        <v>478</v>
      </c>
      <c r="E114" s="10" cm="1">
        <f t="array" ref="E114">IFERROR(_xlfn.XLOOKUP(1,('env Parameter'!$A:$A=$A114)*('env Parameter'!$B:$B=$K114)*('env Parameter'!$C:$C=$L114),'env Parameter'!G:G,""),"")</f>
        <v>7.6</v>
      </c>
      <c r="F114" t="str">
        <f>eDNA!F114</f>
        <v>MiFish</v>
      </c>
      <c r="G114" t="str">
        <f>eDNA!D114</f>
        <v>Odontobutis interrupta</v>
      </c>
      <c r="H114" t="str">
        <f>_xlfn.XLOOKUP(G114,'Common name (master file)'!$B:$B,'Common name (master file)'!$A:$A,"-------------")</f>
        <v>얼록동사리</v>
      </c>
      <c r="I114">
        <f>eDNA!E114</f>
        <v>7754</v>
      </c>
      <c r="J114" t="str">
        <f>_xlfn.XLOOKUP(G114,'Common name (master file)'!$B:$B,'Common name (master file)'!$C:$C,"")</f>
        <v>어류</v>
      </c>
      <c r="K114">
        <f>eDNA!B114</f>
        <v>126.8960105</v>
      </c>
      <c r="L114">
        <f>eDNA!C114</f>
        <v>37.403669399999998</v>
      </c>
      <c r="M114" s="10" t="str" cm="1">
        <f t="array" ref="M114">IFERROR(_xlfn.XLOOKUP(1,('env Parameter'!$A:$A=$A114)*('env Parameter'!$B:$B=$K114)*('env Parameter'!$C:$C=$L114),'env Parameter'!D:D,""),"")</f>
        <v>안양천-6</v>
      </c>
      <c r="N114" s="10" t="str" cm="1">
        <f t="array" ref="N114">IFERROR(_xlfn.XLOOKUP(1,('env Parameter'!$A:$A=$A114)*('env Parameter'!$B:$B=$K114)*('env Parameter'!$C:$C=$L114),'env Parameter'!I:I,""),"")</f>
        <v>YR</v>
      </c>
    </row>
    <row r="115" spans="1:14">
      <c r="A115">
        <f>eDNA!A115</f>
        <v>20200716</v>
      </c>
      <c r="B115" s="10" t="str" cm="1">
        <f t="array" ref="B115">IFERROR(_xlfn.XLOOKUP(1,('env Parameter'!$A:$A=$A115)*('env Parameter'!$B:$B=$K115)*('env Parameter'!$C:$C=$L115),'env Parameter'!H:H,""),"")</f>
        <v>생물상 조사</v>
      </c>
      <c r="C115" s="10" cm="1">
        <f t="array" ref="C115">IFERROR(_xlfn.XLOOKUP(1,('env Parameter'!$A:$A=$A115)*('env Parameter'!$B:$B=$K115)*('env Parameter'!$C:$C=$L115),'env Parameter'!E:E,""),"")</f>
        <v>2.14</v>
      </c>
      <c r="D115" s="10" cm="1">
        <f t="array" ref="D115">IFERROR(_xlfn.XLOOKUP(1,('env Parameter'!$A:$A=$A115)*('env Parameter'!$B:$B=$K115)*('env Parameter'!$C:$C=$L115),'env Parameter'!F:F,""),"")</f>
        <v>478</v>
      </c>
      <c r="E115" s="10" cm="1">
        <f t="array" ref="E115">IFERROR(_xlfn.XLOOKUP(1,('env Parameter'!$A:$A=$A115)*('env Parameter'!$B:$B=$K115)*('env Parameter'!$C:$C=$L115),'env Parameter'!G:G,""),"")</f>
        <v>7.6</v>
      </c>
      <c r="F115" t="str">
        <f>eDNA!F115</f>
        <v>MiFish</v>
      </c>
      <c r="G115" t="str">
        <f>eDNA!D115</f>
        <v>Pseudorasbora parva</v>
      </c>
      <c r="H115" t="str">
        <f>_xlfn.XLOOKUP(G115,'Common name (master file)'!$B:$B,'Common name (master file)'!$A:$A,"-------------")</f>
        <v>참붕어</v>
      </c>
      <c r="I115">
        <f>eDNA!E115</f>
        <v>20543</v>
      </c>
      <c r="J115" t="str">
        <f>_xlfn.XLOOKUP(G115,'Common name (master file)'!$B:$B,'Common name (master file)'!$C:$C,"")</f>
        <v>어류</v>
      </c>
      <c r="K115">
        <f>eDNA!B115</f>
        <v>126.8960105</v>
      </c>
      <c r="L115">
        <f>eDNA!C115</f>
        <v>37.403669399999998</v>
      </c>
      <c r="M115" s="10" t="str" cm="1">
        <f t="array" ref="M115">IFERROR(_xlfn.XLOOKUP(1,('env Parameter'!$A:$A=$A115)*('env Parameter'!$B:$B=$K115)*('env Parameter'!$C:$C=$L115),'env Parameter'!D:D,""),"")</f>
        <v>안양천-6</v>
      </c>
      <c r="N115" s="10" t="str" cm="1">
        <f t="array" ref="N115">IFERROR(_xlfn.XLOOKUP(1,('env Parameter'!$A:$A=$A115)*('env Parameter'!$B:$B=$K115)*('env Parameter'!$C:$C=$L115),'env Parameter'!I:I,""),"")</f>
        <v>YR</v>
      </c>
    </row>
    <row r="116" spans="1:14">
      <c r="A116">
        <f>eDNA!A116</f>
        <v>20200716</v>
      </c>
      <c r="B116" s="10" t="str" cm="1">
        <f t="array" ref="B116">IFERROR(_xlfn.XLOOKUP(1,('env Parameter'!$A:$A=$A116)*('env Parameter'!$B:$B=$K116)*('env Parameter'!$C:$C=$L116),'env Parameter'!H:H,""),"")</f>
        <v>생물상 조사</v>
      </c>
      <c r="C116" s="10" cm="1">
        <f t="array" ref="C116">IFERROR(_xlfn.XLOOKUP(1,('env Parameter'!$A:$A=$A116)*('env Parameter'!$B:$B=$K116)*('env Parameter'!$C:$C=$L116),'env Parameter'!E:E,""),"")</f>
        <v>2.14</v>
      </c>
      <c r="D116" s="10" cm="1">
        <f t="array" ref="D116">IFERROR(_xlfn.XLOOKUP(1,('env Parameter'!$A:$A=$A116)*('env Parameter'!$B:$B=$K116)*('env Parameter'!$C:$C=$L116),'env Parameter'!F:F,""),"")</f>
        <v>478</v>
      </c>
      <c r="E116" s="10" cm="1">
        <f t="array" ref="E116">IFERROR(_xlfn.XLOOKUP(1,('env Parameter'!$A:$A=$A116)*('env Parameter'!$B:$B=$K116)*('env Parameter'!$C:$C=$L116),'env Parameter'!G:G,""),"")</f>
        <v>7.6</v>
      </c>
      <c r="F116" t="str">
        <f>eDNA!F116</f>
        <v>MiFish</v>
      </c>
      <c r="G116" t="str">
        <f>eDNA!D116</f>
        <v>Zacco platypus</v>
      </c>
      <c r="H116" t="str">
        <f>_xlfn.XLOOKUP(G116,'Common name (master file)'!$B:$B,'Common name (master file)'!$A:$A,"-------------")</f>
        <v>피라미</v>
      </c>
      <c r="I116">
        <f>eDNA!E116</f>
        <v>28041</v>
      </c>
      <c r="J116" t="str">
        <f>_xlfn.XLOOKUP(G116,'Common name (master file)'!$B:$B,'Common name (master file)'!$C:$C,"")</f>
        <v>어류</v>
      </c>
      <c r="K116">
        <f>eDNA!B116</f>
        <v>126.8960105</v>
      </c>
      <c r="L116">
        <f>eDNA!C116</f>
        <v>37.403669399999998</v>
      </c>
      <c r="M116" s="10" t="str" cm="1">
        <f t="array" ref="M116">IFERROR(_xlfn.XLOOKUP(1,('env Parameter'!$A:$A=$A116)*('env Parameter'!$B:$B=$K116)*('env Parameter'!$C:$C=$L116),'env Parameter'!D:D,""),"")</f>
        <v>안양천-6</v>
      </c>
      <c r="N116" s="10" t="str" cm="1">
        <f t="array" ref="N116">IFERROR(_xlfn.XLOOKUP(1,('env Parameter'!$A:$A=$A116)*('env Parameter'!$B:$B=$K116)*('env Parameter'!$C:$C=$L116),'env Parameter'!I:I,""),"")</f>
        <v>YR</v>
      </c>
    </row>
    <row r="117" spans="1:14">
      <c r="A117">
        <f>eDNA!A117</f>
        <v>20200716</v>
      </c>
      <c r="B117" s="10" t="str" cm="1">
        <f t="array" ref="B117">IFERROR(_xlfn.XLOOKUP(1,('env Parameter'!$A:$A=$A117)*('env Parameter'!$B:$B=$K117)*('env Parameter'!$C:$C=$L117),'env Parameter'!H:H,""),"")</f>
        <v>생물상 조사</v>
      </c>
      <c r="C117" s="10" cm="1">
        <f t="array" ref="C117">IFERROR(_xlfn.XLOOKUP(1,('env Parameter'!$A:$A=$A117)*('env Parameter'!$B:$B=$K117)*('env Parameter'!$C:$C=$L117),'env Parameter'!E:E,""),"")</f>
        <v>2.14</v>
      </c>
      <c r="D117" s="10" cm="1">
        <f t="array" ref="D117">IFERROR(_xlfn.XLOOKUP(1,('env Parameter'!$A:$A=$A117)*('env Parameter'!$B:$B=$K117)*('env Parameter'!$C:$C=$L117),'env Parameter'!F:F,""),"")</f>
        <v>478</v>
      </c>
      <c r="E117" s="10" cm="1">
        <f t="array" ref="E117">IFERROR(_xlfn.XLOOKUP(1,('env Parameter'!$A:$A=$A117)*('env Parameter'!$B:$B=$K117)*('env Parameter'!$C:$C=$L117),'env Parameter'!G:G,""),"")</f>
        <v>7.6</v>
      </c>
      <c r="F117" t="str">
        <f>eDNA!F117</f>
        <v>MiFish</v>
      </c>
      <c r="G117" t="str">
        <f>eDNA!D117</f>
        <v>Carassius cuvieri</v>
      </c>
      <c r="H117" t="str">
        <f>_xlfn.XLOOKUP(G117,'Common name (master file)'!$B:$B,'Common name (master file)'!$A:$A,"-------------")</f>
        <v>떡붕어</v>
      </c>
      <c r="I117">
        <f>eDNA!E117</f>
        <v>88</v>
      </c>
      <c r="J117" t="str">
        <f>_xlfn.XLOOKUP(G117,'Common name (master file)'!$B:$B,'Common name (master file)'!$C:$C,"")</f>
        <v>어류</v>
      </c>
      <c r="K117">
        <f>eDNA!B117</f>
        <v>126.89556140000001</v>
      </c>
      <c r="L117">
        <f>eDNA!C117</f>
        <v>37.418411599999999</v>
      </c>
      <c r="M117" s="10" t="str" cm="1">
        <f t="array" ref="M117">IFERROR(_xlfn.XLOOKUP(1,('env Parameter'!$A:$A=$A117)*('env Parameter'!$B:$B=$K117)*('env Parameter'!$C:$C=$L117),'env Parameter'!D:D,""),"")</f>
        <v>안양천-7</v>
      </c>
      <c r="N117" s="10" t="str" cm="1">
        <f t="array" ref="N117">IFERROR(_xlfn.XLOOKUP(1,('env Parameter'!$A:$A=$A117)*('env Parameter'!$B:$B=$K117)*('env Parameter'!$C:$C=$L117),'env Parameter'!I:I,""),"")</f>
        <v>YR</v>
      </c>
    </row>
    <row r="118" spans="1:14">
      <c r="A118">
        <f>eDNA!A118</f>
        <v>20200716</v>
      </c>
      <c r="B118" s="10" t="str" cm="1">
        <f t="array" ref="B118">IFERROR(_xlfn.XLOOKUP(1,('env Parameter'!$A:$A=$A118)*('env Parameter'!$B:$B=$K118)*('env Parameter'!$C:$C=$L118),'env Parameter'!H:H,""),"")</f>
        <v>생물상 조사</v>
      </c>
      <c r="C118" s="10" cm="1">
        <f t="array" ref="C118">IFERROR(_xlfn.XLOOKUP(1,('env Parameter'!$A:$A=$A118)*('env Parameter'!$B:$B=$K118)*('env Parameter'!$C:$C=$L118),'env Parameter'!E:E,""),"")</f>
        <v>2.14</v>
      </c>
      <c r="D118" s="10" cm="1">
        <f t="array" ref="D118">IFERROR(_xlfn.XLOOKUP(1,('env Parameter'!$A:$A=$A118)*('env Parameter'!$B:$B=$K118)*('env Parameter'!$C:$C=$L118),'env Parameter'!F:F,""),"")</f>
        <v>478</v>
      </c>
      <c r="E118" s="10" cm="1">
        <f t="array" ref="E118">IFERROR(_xlfn.XLOOKUP(1,('env Parameter'!$A:$A=$A118)*('env Parameter'!$B:$B=$K118)*('env Parameter'!$C:$C=$L118),'env Parameter'!G:G,""),"")</f>
        <v>7.6</v>
      </c>
      <c r="F118" t="str">
        <f>eDNA!F118</f>
        <v>MiFish</v>
      </c>
      <c r="G118" t="str">
        <f>eDNA!D118</f>
        <v>Carassius auratus</v>
      </c>
      <c r="H118" t="str">
        <f>_xlfn.XLOOKUP(G118,'Common name (master file)'!$B:$B,'Common name (master file)'!$A:$A,"-------------")</f>
        <v>붕어</v>
      </c>
      <c r="I118">
        <f>eDNA!E118</f>
        <v>36</v>
      </c>
      <c r="J118" t="str">
        <f>_xlfn.XLOOKUP(G118,'Common name (master file)'!$B:$B,'Common name (master file)'!$C:$C,"")</f>
        <v>어류</v>
      </c>
      <c r="K118">
        <f>eDNA!B118</f>
        <v>126.89556140000001</v>
      </c>
      <c r="L118">
        <f>eDNA!C118</f>
        <v>37.418411599999999</v>
      </c>
      <c r="M118" s="10" t="str" cm="1">
        <f t="array" ref="M118">IFERROR(_xlfn.XLOOKUP(1,('env Parameter'!$A:$A=$A118)*('env Parameter'!$B:$B=$K118)*('env Parameter'!$C:$C=$L118),'env Parameter'!D:D,""),"")</f>
        <v>안양천-7</v>
      </c>
      <c r="N118" s="10" t="str" cm="1">
        <f t="array" ref="N118">IFERROR(_xlfn.XLOOKUP(1,('env Parameter'!$A:$A=$A118)*('env Parameter'!$B:$B=$K118)*('env Parameter'!$C:$C=$L118),'env Parameter'!I:I,""),"")</f>
        <v>YR</v>
      </c>
    </row>
    <row r="119" spans="1:14">
      <c r="A119">
        <f>eDNA!A119</f>
        <v>20200716</v>
      </c>
      <c r="B119" s="10" t="str" cm="1">
        <f t="array" ref="B119">IFERROR(_xlfn.XLOOKUP(1,('env Parameter'!$A:$A=$A119)*('env Parameter'!$B:$B=$K119)*('env Parameter'!$C:$C=$L119),'env Parameter'!H:H,""),"")</f>
        <v>생물상 조사</v>
      </c>
      <c r="C119" s="10" cm="1">
        <f t="array" ref="C119">IFERROR(_xlfn.XLOOKUP(1,('env Parameter'!$A:$A=$A119)*('env Parameter'!$B:$B=$K119)*('env Parameter'!$C:$C=$L119),'env Parameter'!E:E,""),"")</f>
        <v>2.14</v>
      </c>
      <c r="D119" s="10" cm="1">
        <f t="array" ref="D119">IFERROR(_xlfn.XLOOKUP(1,('env Parameter'!$A:$A=$A119)*('env Parameter'!$B:$B=$K119)*('env Parameter'!$C:$C=$L119),'env Parameter'!F:F,""),"")</f>
        <v>478</v>
      </c>
      <c r="E119" s="10" cm="1">
        <f t="array" ref="E119">IFERROR(_xlfn.XLOOKUP(1,('env Parameter'!$A:$A=$A119)*('env Parameter'!$B:$B=$K119)*('env Parameter'!$C:$C=$L119),'env Parameter'!G:G,""),"")</f>
        <v>7.6</v>
      </c>
      <c r="F119" t="str">
        <f>eDNA!F119</f>
        <v>MiFish</v>
      </c>
      <c r="G119" t="str">
        <f>eDNA!D119</f>
        <v>Gnathopogon strigatus</v>
      </c>
      <c r="H119" t="str">
        <f>_xlfn.XLOOKUP(G119,'Common name (master file)'!$B:$B,'Common name (master file)'!$A:$A,"-------------")</f>
        <v>줄몰개</v>
      </c>
      <c r="I119">
        <f>eDNA!E119</f>
        <v>76</v>
      </c>
      <c r="J119" t="str">
        <f>_xlfn.XLOOKUP(G119,'Common name (master file)'!$B:$B,'Common name (master file)'!$C:$C,"")</f>
        <v>어류</v>
      </c>
      <c r="K119">
        <f>eDNA!B119</f>
        <v>126.89556140000001</v>
      </c>
      <c r="L119">
        <f>eDNA!C119</f>
        <v>37.418411599999999</v>
      </c>
      <c r="M119" s="10" t="str" cm="1">
        <f t="array" ref="M119">IFERROR(_xlfn.XLOOKUP(1,('env Parameter'!$A:$A=$A119)*('env Parameter'!$B:$B=$K119)*('env Parameter'!$C:$C=$L119),'env Parameter'!D:D,""),"")</f>
        <v>안양천-7</v>
      </c>
      <c r="N119" s="10" t="str" cm="1">
        <f t="array" ref="N119">IFERROR(_xlfn.XLOOKUP(1,('env Parameter'!$A:$A=$A119)*('env Parameter'!$B:$B=$K119)*('env Parameter'!$C:$C=$L119),'env Parameter'!I:I,""),"")</f>
        <v>YR</v>
      </c>
    </row>
    <row r="120" spans="1:14">
      <c r="A120">
        <f>eDNA!A120</f>
        <v>20200716</v>
      </c>
      <c r="B120" s="10" t="str" cm="1">
        <f t="array" ref="B120">IFERROR(_xlfn.XLOOKUP(1,('env Parameter'!$A:$A=$A120)*('env Parameter'!$B:$B=$K120)*('env Parameter'!$C:$C=$L120),'env Parameter'!H:H,""),"")</f>
        <v>생물상 조사</v>
      </c>
      <c r="C120" s="10" cm="1">
        <f t="array" ref="C120">IFERROR(_xlfn.XLOOKUP(1,('env Parameter'!$A:$A=$A120)*('env Parameter'!$B:$B=$K120)*('env Parameter'!$C:$C=$L120),'env Parameter'!E:E,""),"")</f>
        <v>2.14</v>
      </c>
      <c r="D120" s="10" cm="1">
        <f t="array" ref="D120">IFERROR(_xlfn.XLOOKUP(1,('env Parameter'!$A:$A=$A120)*('env Parameter'!$B:$B=$K120)*('env Parameter'!$C:$C=$L120),'env Parameter'!F:F,""),"")</f>
        <v>478</v>
      </c>
      <c r="E120" s="10" cm="1">
        <f t="array" ref="E120">IFERROR(_xlfn.XLOOKUP(1,('env Parameter'!$A:$A=$A120)*('env Parameter'!$B:$B=$K120)*('env Parameter'!$C:$C=$L120),'env Parameter'!G:G,""),"")</f>
        <v>7.6</v>
      </c>
      <c r="F120" t="str">
        <f>eDNA!F120</f>
        <v>MiFish</v>
      </c>
      <c r="G120" t="str">
        <f>eDNA!D120</f>
        <v>Paramisgurnus dabryanus</v>
      </c>
      <c r="H120" t="str">
        <f>_xlfn.XLOOKUP(G120,'Common name (master file)'!$B:$B,'Common name (master file)'!$A:$A,"-------------")</f>
        <v>중국미꾸라지</v>
      </c>
      <c r="I120">
        <f>eDNA!E120</f>
        <v>93</v>
      </c>
      <c r="J120" t="str">
        <f>_xlfn.XLOOKUP(G120,'Common name (master file)'!$B:$B,'Common name (master file)'!$C:$C,"")</f>
        <v>어류</v>
      </c>
      <c r="K120">
        <f>eDNA!B120</f>
        <v>126.89556140000001</v>
      </c>
      <c r="L120">
        <f>eDNA!C120</f>
        <v>37.418411599999999</v>
      </c>
      <c r="M120" s="10" t="str" cm="1">
        <f t="array" ref="M120">IFERROR(_xlfn.XLOOKUP(1,('env Parameter'!$A:$A=$A120)*('env Parameter'!$B:$B=$K120)*('env Parameter'!$C:$C=$L120),'env Parameter'!D:D,""),"")</f>
        <v>안양천-7</v>
      </c>
      <c r="N120" s="10" t="str" cm="1">
        <f t="array" ref="N120">IFERROR(_xlfn.XLOOKUP(1,('env Parameter'!$A:$A=$A120)*('env Parameter'!$B:$B=$K120)*('env Parameter'!$C:$C=$L120),'env Parameter'!I:I,""),"")</f>
        <v>YR</v>
      </c>
    </row>
    <row r="121" spans="1:14">
      <c r="A121">
        <f>eDNA!A121</f>
        <v>20200716</v>
      </c>
      <c r="B121" s="10" t="str" cm="1">
        <f t="array" ref="B121">IFERROR(_xlfn.XLOOKUP(1,('env Parameter'!$A:$A=$A121)*('env Parameter'!$B:$B=$K121)*('env Parameter'!$C:$C=$L121),'env Parameter'!H:H,""),"")</f>
        <v>생물상 조사</v>
      </c>
      <c r="C121" s="10" cm="1">
        <f t="array" ref="C121">IFERROR(_xlfn.XLOOKUP(1,('env Parameter'!$A:$A=$A121)*('env Parameter'!$B:$B=$K121)*('env Parameter'!$C:$C=$L121),'env Parameter'!E:E,""),"")</f>
        <v>2.14</v>
      </c>
      <c r="D121" s="10" cm="1">
        <f t="array" ref="D121">IFERROR(_xlfn.XLOOKUP(1,('env Parameter'!$A:$A=$A121)*('env Parameter'!$B:$B=$K121)*('env Parameter'!$C:$C=$L121),'env Parameter'!F:F,""),"")</f>
        <v>478</v>
      </c>
      <c r="E121" s="10" cm="1">
        <f t="array" ref="E121">IFERROR(_xlfn.XLOOKUP(1,('env Parameter'!$A:$A=$A121)*('env Parameter'!$B:$B=$K121)*('env Parameter'!$C:$C=$L121),'env Parameter'!G:G,""),"")</f>
        <v>7.6</v>
      </c>
      <c r="F121" t="str">
        <f>eDNA!F121</f>
        <v>MiFish</v>
      </c>
      <c r="G121" t="str">
        <f>eDNA!D121</f>
        <v>Misgurnus anguillicaudatus</v>
      </c>
      <c r="H121" t="str">
        <f>_xlfn.XLOOKUP(G121,'Common name (master file)'!$B:$B,'Common name (master file)'!$A:$A,"-------------")</f>
        <v>미꾸리</v>
      </c>
      <c r="I121">
        <f>eDNA!E121</f>
        <v>110</v>
      </c>
      <c r="J121" t="str">
        <f>_xlfn.XLOOKUP(G121,'Common name (master file)'!$B:$B,'Common name (master file)'!$C:$C,"")</f>
        <v>어류</v>
      </c>
      <c r="K121">
        <f>eDNA!B121</f>
        <v>126.89556140000001</v>
      </c>
      <c r="L121">
        <f>eDNA!C121</f>
        <v>37.418411599999999</v>
      </c>
      <c r="M121" s="10" t="str" cm="1">
        <f t="array" ref="M121">IFERROR(_xlfn.XLOOKUP(1,('env Parameter'!$A:$A=$A121)*('env Parameter'!$B:$B=$K121)*('env Parameter'!$C:$C=$L121),'env Parameter'!D:D,""),"")</f>
        <v>안양천-7</v>
      </c>
      <c r="N121" s="10" t="str" cm="1">
        <f t="array" ref="N121">IFERROR(_xlfn.XLOOKUP(1,('env Parameter'!$A:$A=$A121)*('env Parameter'!$B:$B=$K121)*('env Parameter'!$C:$C=$L121),'env Parameter'!I:I,""),"")</f>
        <v>YR</v>
      </c>
    </row>
    <row r="122" spans="1:14">
      <c r="A122">
        <f>eDNA!A122</f>
        <v>20200716</v>
      </c>
      <c r="B122" s="10" t="str" cm="1">
        <f t="array" ref="B122">IFERROR(_xlfn.XLOOKUP(1,('env Parameter'!$A:$A=$A122)*('env Parameter'!$B:$B=$K122)*('env Parameter'!$C:$C=$L122),'env Parameter'!H:H,""),"")</f>
        <v>생물상 조사</v>
      </c>
      <c r="C122" s="10" cm="1">
        <f t="array" ref="C122">IFERROR(_xlfn.XLOOKUP(1,('env Parameter'!$A:$A=$A122)*('env Parameter'!$B:$B=$K122)*('env Parameter'!$C:$C=$L122),'env Parameter'!E:E,""),"")</f>
        <v>2.14</v>
      </c>
      <c r="D122" s="10" cm="1">
        <f t="array" ref="D122">IFERROR(_xlfn.XLOOKUP(1,('env Parameter'!$A:$A=$A122)*('env Parameter'!$B:$B=$K122)*('env Parameter'!$C:$C=$L122),'env Parameter'!F:F,""),"")</f>
        <v>478</v>
      </c>
      <c r="E122" s="10" cm="1">
        <f t="array" ref="E122">IFERROR(_xlfn.XLOOKUP(1,('env Parameter'!$A:$A=$A122)*('env Parameter'!$B:$B=$K122)*('env Parameter'!$C:$C=$L122),'env Parameter'!G:G,""),"")</f>
        <v>7.6</v>
      </c>
      <c r="F122" t="str">
        <f>eDNA!F122</f>
        <v>MiFish</v>
      </c>
      <c r="G122" t="str">
        <f>eDNA!D122</f>
        <v>Pelodiscus sinensis</v>
      </c>
      <c r="H122" t="str">
        <f>_xlfn.XLOOKUP(G122,'Common name (master file)'!$B:$B,'Common name (master file)'!$A:$A,"-------------")</f>
        <v>중국자라</v>
      </c>
      <c r="I122">
        <f>eDNA!E122</f>
        <v>130</v>
      </c>
      <c r="J122" t="str">
        <f>_xlfn.XLOOKUP(G122,'Common name (master file)'!$B:$B,'Common name (master file)'!$C:$C,"")</f>
        <v>양서파충류</v>
      </c>
      <c r="K122">
        <f>eDNA!B122</f>
        <v>126.89556140000001</v>
      </c>
      <c r="L122">
        <f>eDNA!C122</f>
        <v>37.418411599999999</v>
      </c>
      <c r="M122" s="10" t="str" cm="1">
        <f t="array" ref="M122">IFERROR(_xlfn.XLOOKUP(1,('env Parameter'!$A:$A=$A122)*('env Parameter'!$B:$B=$K122)*('env Parameter'!$C:$C=$L122),'env Parameter'!D:D,""),"")</f>
        <v>안양천-7</v>
      </c>
      <c r="N122" s="10" t="str" cm="1">
        <f t="array" ref="N122">IFERROR(_xlfn.XLOOKUP(1,('env Parameter'!$A:$A=$A122)*('env Parameter'!$B:$B=$K122)*('env Parameter'!$C:$C=$L122),'env Parameter'!I:I,""),"")</f>
        <v>YR</v>
      </c>
    </row>
    <row r="123" spans="1:14">
      <c r="A123">
        <f>eDNA!A123</f>
        <v>20200716</v>
      </c>
      <c r="B123" s="10" t="str" cm="1">
        <f t="array" ref="B123">IFERROR(_xlfn.XLOOKUP(1,('env Parameter'!$A:$A=$A123)*('env Parameter'!$B:$B=$K123)*('env Parameter'!$C:$C=$L123),'env Parameter'!H:H,""),"")</f>
        <v>생물상 조사</v>
      </c>
      <c r="C123" s="10" cm="1">
        <f t="array" ref="C123">IFERROR(_xlfn.XLOOKUP(1,('env Parameter'!$A:$A=$A123)*('env Parameter'!$B:$B=$K123)*('env Parameter'!$C:$C=$L123),'env Parameter'!E:E,""),"")</f>
        <v>2.14</v>
      </c>
      <c r="D123" s="10" cm="1">
        <f t="array" ref="D123">IFERROR(_xlfn.XLOOKUP(1,('env Parameter'!$A:$A=$A123)*('env Parameter'!$B:$B=$K123)*('env Parameter'!$C:$C=$L123),'env Parameter'!F:F,""),"")</f>
        <v>478</v>
      </c>
      <c r="E123" s="10" cm="1">
        <f t="array" ref="E123">IFERROR(_xlfn.XLOOKUP(1,('env Parameter'!$A:$A=$A123)*('env Parameter'!$B:$B=$K123)*('env Parameter'!$C:$C=$L123),'env Parameter'!G:G,""),"")</f>
        <v>7.6</v>
      </c>
      <c r="F123" t="str">
        <f>eDNA!F123</f>
        <v>MiFish</v>
      </c>
      <c r="G123" t="str">
        <f>eDNA!D123</f>
        <v>Pseudogobio esocinus</v>
      </c>
      <c r="H123" t="str">
        <f>_xlfn.XLOOKUP(G123,'Common name (master file)'!$B:$B,'Common name (master file)'!$A:$A,"-------------")</f>
        <v>모래무지</v>
      </c>
      <c r="I123">
        <f>eDNA!E123</f>
        <v>186</v>
      </c>
      <c r="J123" t="str">
        <f>_xlfn.XLOOKUP(G123,'Common name (master file)'!$B:$B,'Common name (master file)'!$C:$C,"")</f>
        <v>어류</v>
      </c>
      <c r="K123">
        <f>eDNA!B123</f>
        <v>126.89556140000001</v>
      </c>
      <c r="L123">
        <f>eDNA!C123</f>
        <v>37.418411599999999</v>
      </c>
      <c r="M123" s="10" t="str" cm="1">
        <f t="array" ref="M123">IFERROR(_xlfn.XLOOKUP(1,('env Parameter'!$A:$A=$A123)*('env Parameter'!$B:$B=$K123)*('env Parameter'!$C:$C=$L123),'env Parameter'!D:D,""),"")</f>
        <v>안양천-7</v>
      </c>
      <c r="N123" s="10" t="str" cm="1">
        <f t="array" ref="N123">IFERROR(_xlfn.XLOOKUP(1,('env Parameter'!$A:$A=$A123)*('env Parameter'!$B:$B=$K123)*('env Parameter'!$C:$C=$L123),'env Parameter'!I:I,""),"")</f>
        <v>YR</v>
      </c>
    </row>
    <row r="124" spans="1:14">
      <c r="A124">
        <f>eDNA!A124</f>
        <v>20200716</v>
      </c>
      <c r="B124" s="10" t="str" cm="1">
        <f t="array" ref="B124">IFERROR(_xlfn.XLOOKUP(1,('env Parameter'!$A:$A=$A124)*('env Parameter'!$B:$B=$K124)*('env Parameter'!$C:$C=$L124),'env Parameter'!H:H,""),"")</f>
        <v>생물상 조사</v>
      </c>
      <c r="C124" s="10" cm="1">
        <f t="array" ref="C124">IFERROR(_xlfn.XLOOKUP(1,('env Parameter'!$A:$A=$A124)*('env Parameter'!$B:$B=$K124)*('env Parameter'!$C:$C=$L124),'env Parameter'!E:E,""),"")</f>
        <v>2.14</v>
      </c>
      <c r="D124" s="10" cm="1">
        <f t="array" ref="D124">IFERROR(_xlfn.XLOOKUP(1,('env Parameter'!$A:$A=$A124)*('env Parameter'!$B:$B=$K124)*('env Parameter'!$C:$C=$L124),'env Parameter'!F:F,""),"")</f>
        <v>478</v>
      </c>
      <c r="E124" s="10" cm="1">
        <f t="array" ref="E124">IFERROR(_xlfn.XLOOKUP(1,('env Parameter'!$A:$A=$A124)*('env Parameter'!$B:$B=$K124)*('env Parameter'!$C:$C=$L124),'env Parameter'!G:G,""),"")</f>
        <v>7.6</v>
      </c>
      <c r="F124" t="str">
        <f>eDNA!F124</f>
        <v>MiFish</v>
      </c>
      <c r="G124" t="str">
        <f>eDNA!D124</f>
        <v>Micropterus salmoides</v>
      </c>
      <c r="H124" t="str">
        <f>_xlfn.XLOOKUP(G124,'Common name (master file)'!$B:$B,'Common name (master file)'!$A:$A,"-------------")</f>
        <v>큰입배스</v>
      </c>
      <c r="I124">
        <f>eDNA!E124</f>
        <v>280</v>
      </c>
      <c r="J124" t="str">
        <f>_xlfn.XLOOKUP(G124,'Common name (master file)'!$B:$B,'Common name (master file)'!$C:$C,"")</f>
        <v>어류</v>
      </c>
      <c r="K124">
        <f>eDNA!B124</f>
        <v>126.89556140000001</v>
      </c>
      <c r="L124">
        <f>eDNA!C124</f>
        <v>37.418411599999999</v>
      </c>
      <c r="M124" s="10" t="str" cm="1">
        <f t="array" ref="M124">IFERROR(_xlfn.XLOOKUP(1,('env Parameter'!$A:$A=$A124)*('env Parameter'!$B:$B=$K124)*('env Parameter'!$C:$C=$L124),'env Parameter'!D:D,""),"")</f>
        <v>안양천-7</v>
      </c>
      <c r="N124" s="10" t="str" cm="1">
        <f t="array" ref="N124">IFERROR(_xlfn.XLOOKUP(1,('env Parameter'!$A:$A=$A124)*('env Parameter'!$B:$B=$K124)*('env Parameter'!$C:$C=$L124),'env Parameter'!I:I,""),"")</f>
        <v>YR</v>
      </c>
    </row>
    <row r="125" spans="1:14">
      <c r="A125">
        <f>eDNA!A125</f>
        <v>20200716</v>
      </c>
      <c r="B125" s="10" t="str" cm="1">
        <f t="array" ref="B125">IFERROR(_xlfn.XLOOKUP(1,('env Parameter'!$A:$A=$A125)*('env Parameter'!$B:$B=$K125)*('env Parameter'!$C:$C=$L125),'env Parameter'!H:H,""),"")</f>
        <v>생물상 조사</v>
      </c>
      <c r="C125" s="10" cm="1">
        <f t="array" ref="C125">IFERROR(_xlfn.XLOOKUP(1,('env Parameter'!$A:$A=$A125)*('env Parameter'!$B:$B=$K125)*('env Parameter'!$C:$C=$L125),'env Parameter'!E:E,""),"")</f>
        <v>2.14</v>
      </c>
      <c r="D125" s="10" cm="1">
        <f t="array" ref="D125">IFERROR(_xlfn.XLOOKUP(1,('env Parameter'!$A:$A=$A125)*('env Parameter'!$B:$B=$K125)*('env Parameter'!$C:$C=$L125),'env Parameter'!F:F,""),"")</f>
        <v>478</v>
      </c>
      <c r="E125" s="10" cm="1">
        <f t="array" ref="E125">IFERROR(_xlfn.XLOOKUP(1,('env Parameter'!$A:$A=$A125)*('env Parameter'!$B:$B=$K125)*('env Parameter'!$C:$C=$L125),'env Parameter'!G:G,""),"")</f>
        <v>7.6</v>
      </c>
      <c r="F125" t="str">
        <f>eDNA!F125</f>
        <v>MiFish</v>
      </c>
      <c r="G125" t="str">
        <f>eDNA!D125</f>
        <v>Zacco platypus</v>
      </c>
      <c r="H125" t="str">
        <f>_xlfn.XLOOKUP(G125,'Common name (master file)'!$B:$B,'Common name (master file)'!$A:$A,"-------------")</f>
        <v>피라미</v>
      </c>
      <c r="I125">
        <f>eDNA!E125</f>
        <v>1485</v>
      </c>
      <c r="J125" t="str">
        <f>_xlfn.XLOOKUP(G125,'Common name (master file)'!$B:$B,'Common name (master file)'!$C:$C,"")</f>
        <v>어류</v>
      </c>
      <c r="K125">
        <f>eDNA!B125</f>
        <v>126.89556140000001</v>
      </c>
      <c r="L125">
        <f>eDNA!C125</f>
        <v>37.418411599999999</v>
      </c>
      <c r="M125" s="10" t="str" cm="1">
        <f t="array" ref="M125">IFERROR(_xlfn.XLOOKUP(1,('env Parameter'!$A:$A=$A125)*('env Parameter'!$B:$B=$K125)*('env Parameter'!$C:$C=$L125),'env Parameter'!D:D,""),"")</f>
        <v>안양천-7</v>
      </c>
      <c r="N125" s="10" t="str" cm="1">
        <f t="array" ref="N125">IFERROR(_xlfn.XLOOKUP(1,('env Parameter'!$A:$A=$A125)*('env Parameter'!$B:$B=$K125)*('env Parameter'!$C:$C=$L125),'env Parameter'!I:I,""),"")</f>
        <v>YR</v>
      </c>
    </row>
    <row r="126" spans="1:14">
      <c r="A126">
        <f>eDNA!A126</f>
        <v>20200716</v>
      </c>
      <c r="B126" s="10" t="str" cm="1">
        <f t="array" ref="B126">IFERROR(_xlfn.XLOOKUP(1,('env Parameter'!$A:$A=$A126)*('env Parameter'!$B:$B=$K126)*('env Parameter'!$C:$C=$L126),'env Parameter'!H:H,""),"")</f>
        <v>생물상 조사</v>
      </c>
      <c r="C126" s="10" cm="1">
        <f t="array" ref="C126">IFERROR(_xlfn.XLOOKUP(1,('env Parameter'!$A:$A=$A126)*('env Parameter'!$B:$B=$K126)*('env Parameter'!$C:$C=$L126),'env Parameter'!E:E,""),"")</f>
        <v>2.14</v>
      </c>
      <c r="D126" s="10" cm="1">
        <f t="array" ref="D126">IFERROR(_xlfn.XLOOKUP(1,('env Parameter'!$A:$A=$A126)*('env Parameter'!$B:$B=$K126)*('env Parameter'!$C:$C=$L126),'env Parameter'!F:F,""),"")</f>
        <v>478</v>
      </c>
      <c r="E126" s="10" cm="1">
        <f t="array" ref="E126">IFERROR(_xlfn.XLOOKUP(1,('env Parameter'!$A:$A=$A126)*('env Parameter'!$B:$B=$K126)*('env Parameter'!$C:$C=$L126),'env Parameter'!G:G,""),"")</f>
        <v>7.6</v>
      </c>
      <c r="F126" t="str">
        <f>eDNA!F126</f>
        <v>MiFish</v>
      </c>
      <c r="G126" t="str">
        <f>eDNA!D126</f>
        <v>Carassius sp.</v>
      </c>
      <c r="H126" t="str">
        <f>_xlfn.XLOOKUP(G126,'Common name (master file)'!$B:$B,'Common name (master file)'!$A:$A,"-------------")</f>
        <v>붕어 속</v>
      </c>
      <c r="I126">
        <f>eDNA!E126</f>
        <v>1188</v>
      </c>
      <c r="J126" t="str">
        <f>_xlfn.XLOOKUP(G126,'Common name (master file)'!$B:$B,'Common name (master file)'!$C:$C,"")</f>
        <v>어류</v>
      </c>
      <c r="K126">
        <f>eDNA!B126</f>
        <v>126.89556140000001</v>
      </c>
      <c r="L126">
        <f>eDNA!C126</f>
        <v>37.418411599999999</v>
      </c>
      <c r="M126" s="10" t="str" cm="1">
        <f t="array" ref="M126">IFERROR(_xlfn.XLOOKUP(1,('env Parameter'!$A:$A=$A126)*('env Parameter'!$B:$B=$K126)*('env Parameter'!$C:$C=$L126),'env Parameter'!D:D,""),"")</f>
        <v>안양천-7</v>
      </c>
      <c r="N126" s="10" t="str" cm="1">
        <f t="array" ref="N126">IFERROR(_xlfn.XLOOKUP(1,('env Parameter'!$A:$A=$A126)*('env Parameter'!$B:$B=$K126)*('env Parameter'!$C:$C=$L126),'env Parameter'!I:I,""),"")</f>
        <v>YR</v>
      </c>
    </row>
    <row r="127" spans="1:14">
      <c r="A127">
        <f>eDNA!A127</f>
        <v>20200716</v>
      </c>
      <c r="B127" s="10" t="str" cm="1">
        <f t="array" ref="B127">IFERROR(_xlfn.XLOOKUP(1,('env Parameter'!$A:$A=$A127)*('env Parameter'!$B:$B=$K127)*('env Parameter'!$C:$C=$L127),'env Parameter'!H:H,""),"")</f>
        <v>생물상 조사</v>
      </c>
      <c r="C127" s="10" cm="1">
        <f t="array" ref="C127">IFERROR(_xlfn.XLOOKUP(1,('env Parameter'!$A:$A=$A127)*('env Parameter'!$B:$B=$K127)*('env Parameter'!$C:$C=$L127),'env Parameter'!E:E,""),"")</f>
        <v>2.14</v>
      </c>
      <c r="D127" s="10" cm="1">
        <f t="array" ref="D127">IFERROR(_xlfn.XLOOKUP(1,('env Parameter'!$A:$A=$A127)*('env Parameter'!$B:$B=$K127)*('env Parameter'!$C:$C=$L127),'env Parameter'!F:F,""),"")</f>
        <v>478</v>
      </c>
      <c r="E127" s="10" cm="1">
        <f t="array" ref="E127">IFERROR(_xlfn.XLOOKUP(1,('env Parameter'!$A:$A=$A127)*('env Parameter'!$B:$B=$K127)*('env Parameter'!$C:$C=$L127),'env Parameter'!G:G,""),"")</f>
        <v>7.6</v>
      </c>
      <c r="F127" t="str">
        <f>eDNA!F127</f>
        <v>MiFish</v>
      </c>
      <c r="G127" t="str">
        <f>eDNA!D127</f>
        <v>Channa argus</v>
      </c>
      <c r="H127" t="str">
        <f>_xlfn.XLOOKUP(G127,'Common name (master file)'!$B:$B,'Common name (master file)'!$A:$A,"-------------")</f>
        <v>가물치</v>
      </c>
      <c r="I127">
        <f>eDNA!E127</f>
        <v>2233</v>
      </c>
      <c r="J127" t="str">
        <f>_xlfn.XLOOKUP(G127,'Common name (master file)'!$B:$B,'Common name (master file)'!$C:$C,"")</f>
        <v>어류</v>
      </c>
      <c r="K127">
        <f>eDNA!B127</f>
        <v>126.89556140000001</v>
      </c>
      <c r="L127">
        <f>eDNA!C127</f>
        <v>37.418411599999999</v>
      </c>
      <c r="M127" s="10" t="str" cm="1">
        <f t="array" ref="M127">IFERROR(_xlfn.XLOOKUP(1,('env Parameter'!$A:$A=$A127)*('env Parameter'!$B:$B=$K127)*('env Parameter'!$C:$C=$L127),'env Parameter'!D:D,""),"")</f>
        <v>안양천-7</v>
      </c>
      <c r="N127" s="10" t="str" cm="1">
        <f t="array" ref="N127">IFERROR(_xlfn.XLOOKUP(1,('env Parameter'!$A:$A=$A127)*('env Parameter'!$B:$B=$K127)*('env Parameter'!$C:$C=$L127),'env Parameter'!I:I,""),"")</f>
        <v>YR</v>
      </c>
    </row>
    <row r="128" spans="1:14">
      <c r="A128">
        <f>eDNA!A128</f>
        <v>20200716</v>
      </c>
      <c r="B128" s="10" t="str" cm="1">
        <f t="array" ref="B128">IFERROR(_xlfn.XLOOKUP(1,('env Parameter'!$A:$A=$A128)*('env Parameter'!$B:$B=$K128)*('env Parameter'!$C:$C=$L128),'env Parameter'!H:H,""),"")</f>
        <v>생물상 조사</v>
      </c>
      <c r="C128" s="10" cm="1">
        <f t="array" ref="C128">IFERROR(_xlfn.XLOOKUP(1,('env Parameter'!$A:$A=$A128)*('env Parameter'!$B:$B=$K128)*('env Parameter'!$C:$C=$L128),'env Parameter'!E:E,""),"")</f>
        <v>2.14</v>
      </c>
      <c r="D128" s="10" cm="1">
        <f t="array" ref="D128">IFERROR(_xlfn.XLOOKUP(1,('env Parameter'!$A:$A=$A128)*('env Parameter'!$B:$B=$K128)*('env Parameter'!$C:$C=$L128),'env Parameter'!F:F,""),"")</f>
        <v>478</v>
      </c>
      <c r="E128" s="10" cm="1">
        <f t="array" ref="E128">IFERROR(_xlfn.XLOOKUP(1,('env Parameter'!$A:$A=$A128)*('env Parameter'!$B:$B=$K128)*('env Parameter'!$C:$C=$L128),'env Parameter'!G:G,""),"")</f>
        <v>7.6</v>
      </c>
      <c r="F128" t="str">
        <f>eDNA!F128</f>
        <v>MiFish</v>
      </c>
      <c r="G128" t="str">
        <f>eDNA!D128</f>
        <v>Misgurnus mizolepis</v>
      </c>
      <c r="H128" t="str">
        <f>_xlfn.XLOOKUP(G128,'Common name (master file)'!$B:$B,'Common name (master file)'!$A:$A,"-------------")</f>
        <v>미꾸라지</v>
      </c>
      <c r="I128">
        <f>eDNA!E128</f>
        <v>1899</v>
      </c>
      <c r="J128" t="str">
        <f>_xlfn.XLOOKUP(G128,'Common name (master file)'!$B:$B,'Common name (master file)'!$C:$C,"")</f>
        <v>어류</v>
      </c>
      <c r="K128">
        <f>eDNA!B128</f>
        <v>126.89556140000001</v>
      </c>
      <c r="L128">
        <f>eDNA!C128</f>
        <v>37.418411599999999</v>
      </c>
      <c r="M128" s="10" t="str" cm="1">
        <f t="array" ref="M128">IFERROR(_xlfn.XLOOKUP(1,('env Parameter'!$A:$A=$A128)*('env Parameter'!$B:$B=$K128)*('env Parameter'!$C:$C=$L128),'env Parameter'!D:D,""),"")</f>
        <v>안양천-7</v>
      </c>
      <c r="N128" s="10" t="str" cm="1">
        <f t="array" ref="N128">IFERROR(_xlfn.XLOOKUP(1,('env Parameter'!$A:$A=$A128)*('env Parameter'!$B:$B=$K128)*('env Parameter'!$C:$C=$L128),'env Parameter'!I:I,""),"")</f>
        <v>YR</v>
      </c>
    </row>
    <row r="129" spans="1:14">
      <c r="A129">
        <f>eDNA!A129</f>
        <v>20200716</v>
      </c>
      <c r="B129" s="10" t="str" cm="1">
        <f t="array" ref="B129">IFERROR(_xlfn.XLOOKUP(1,('env Parameter'!$A:$A=$A129)*('env Parameter'!$B:$B=$K129)*('env Parameter'!$C:$C=$L129),'env Parameter'!H:H,""),"")</f>
        <v>생물상 조사</v>
      </c>
      <c r="C129" s="10" cm="1">
        <f t="array" ref="C129">IFERROR(_xlfn.XLOOKUP(1,('env Parameter'!$A:$A=$A129)*('env Parameter'!$B:$B=$K129)*('env Parameter'!$C:$C=$L129),'env Parameter'!E:E,""),"")</f>
        <v>2.14</v>
      </c>
      <c r="D129" s="10" cm="1">
        <f t="array" ref="D129">IFERROR(_xlfn.XLOOKUP(1,('env Parameter'!$A:$A=$A129)*('env Parameter'!$B:$B=$K129)*('env Parameter'!$C:$C=$L129),'env Parameter'!F:F,""),"")</f>
        <v>478</v>
      </c>
      <c r="E129" s="10" cm="1">
        <f t="array" ref="E129">IFERROR(_xlfn.XLOOKUP(1,('env Parameter'!$A:$A=$A129)*('env Parameter'!$B:$B=$K129)*('env Parameter'!$C:$C=$L129),'env Parameter'!G:G,""),"")</f>
        <v>7.6</v>
      </c>
      <c r="F129" t="str">
        <f>eDNA!F129</f>
        <v>MiFish</v>
      </c>
      <c r="G129" t="str">
        <f>eDNA!D129</f>
        <v>Culter dabryi</v>
      </c>
      <c r="H129" t="str">
        <f>_xlfn.XLOOKUP(G129,'Common name (master file)'!$B:$B,'Common name (master file)'!$A:$A,"-------------")</f>
        <v>다브리날카로운입치</v>
      </c>
      <c r="I129">
        <f>eDNA!E129</f>
        <v>2648</v>
      </c>
      <c r="J129" t="str">
        <f>_xlfn.XLOOKUP(G129,'Common name (master file)'!$B:$B,'Common name (master file)'!$C:$C,"")</f>
        <v>어류</v>
      </c>
      <c r="K129">
        <f>eDNA!B129</f>
        <v>126.89556140000001</v>
      </c>
      <c r="L129">
        <f>eDNA!C129</f>
        <v>37.418411599999999</v>
      </c>
      <c r="M129" s="10" t="str" cm="1">
        <f t="array" ref="M129">IFERROR(_xlfn.XLOOKUP(1,('env Parameter'!$A:$A=$A129)*('env Parameter'!$B:$B=$K129)*('env Parameter'!$C:$C=$L129),'env Parameter'!D:D,""),"")</f>
        <v>안양천-7</v>
      </c>
      <c r="N129" s="10" t="str" cm="1">
        <f t="array" ref="N129">IFERROR(_xlfn.XLOOKUP(1,('env Parameter'!$A:$A=$A129)*('env Parameter'!$B:$B=$K129)*('env Parameter'!$C:$C=$L129),'env Parameter'!I:I,""),"")</f>
        <v>YR</v>
      </c>
    </row>
    <row r="130" spans="1:14">
      <c r="A130">
        <f>eDNA!A130</f>
        <v>20200716</v>
      </c>
      <c r="B130" s="10" t="str" cm="1">
        <f t="array" ref="B130">IFERROR(_xlfn.XLOOKUP(1,('env Parameter'!$A:$A=$A130)*('env Parameter'!$B:$B=$K130)*('env Parameter'!$C:$C=$L130),'env Parameter'!H:H,""),"")</f>
        <v>생물상 조사</v>
      </c>
      <c r="C130" s="10" cm="1">
        <f t="array" ref="C130">IFERROR(_xlfn.XLOOKUP(1,('env Parameter'!$A:$A=$A130)*('env Parameter'!$B:$B=$K130)*('env Parameter'!$C:$C=$L130),'env Parameter'!E:E,""),"")</f>
        <v>2.14</v>
      </c>
      <c r="D130" s="10" cm="1">
        <f t="array" ref="D130">IFERROR(_xlfn.XLOOKUP(1,('env Parameter'!$A:$A=$A130)*('env Parameter'!$B:$B=$K130)*('env Parameter'!$C:$C=$L130),'env Parameter'!F:F,""),"")</f>
        <v>478</v>
      </c>
      <c r="E130" s="10" cm="1">
        <f t="array" ref="E130">IFERROR(_xlfn.XLOOKUP(1,('env Parameter'!$A:$A=$A130)*('env Parameter'!$B:$B=$K130)*('env Parameter'!$C:$C=$L130),'env Parameter'!G:G,""),"")</f>
        <v>7.6</v>
      </c>
      <c r="F130" t="str">
        <f>eDNA!F130</f>
        <v>MiFish</v>
      </c>
      <c r="G130" t="str">
        <f>eDNA!D130</f>
        <v>Silurus soldatovi</v>
      </c>
      <c r="H130" t="str">
        <f>_xlfn.XLOOKUP(G130,'Common name (master file)'!$B:$B,'Common name (master file)'!$A:$A,"-------------")</f>
        <v>솔다토비 메기</v>
      </c>
      <c r="I130">
        <f>eDNA!E130</f>
        <v>2852</v>
      </c>
      <c r="J130" t="str">
        <f>_xlfn.XLOOKUP(G130,'Common name (master file)'!$B:$B,'Common name (master file)'!$C:$C,"")</f>
        <v>어류</v>
      </c>
      <c r="K130">
        <f>eDNA!B130</f>
        <v>126.89556140000001</v>
      </c>
      <c r="L130">
        <f>eDNA!C130</f>
        <v>37.418411599999999</v>
      </c>
      <c r="M130" s="10" t="str" cm="1">
        <f t="array" ref="M130">IFERROR(_xlfn.XLOOKUP(1,('env Parameter'!$A:$A=$A130)*('env Parameter'!$B:$B=$K130)*('env Parameter'!$C:$C=$L130),'env Parameter'!D:D,""),"")</f>
        <v>안양천-7</v>
      </c>
      <c r="N130" s="10" t="str" cm="1">
        <f t="array" ref="N130">IFERROR(_xlfn.XLOOKUP(1,('env Parameter'!$A:$A=$A130)*('env Parameter'!$B:$B=$K130)*('env Parameter'!$C:$C=$L130),'env Parameter'!I:I,""),"")</f>
        <v>YR</v>
      </c>
    </row>
    <row r="131" spans="1:14">
      <c r="A131">
        <f>eDNA!A131</f>
        <v>20200716</v>
      </c>
      <c r="B131" s="10" t="str" cm="1">
        <f t="array" ref="B131">IFERROR(_xlfn.XLOOKUP(1,('env Parameter'!$A:$A=$A131)*('env Parameter'!$B:$B=$K131)*('env Parameter'!$C:$C=$L131),'env Parameter'!H:H,""),"")</f>
        <v>생물상 조사</v>
      </c>
      <c r="C131" s="10" cm="1">
        <f t="array" ref="C131">IFERROR(_xlfn.XLOOKUP(1,('env Parameter'!$A:$A=$A131)*('env Parameter'!$B:$B=$K131)*('env Parameter'!$C:$C=$L131),'env Parameter'!E:E,""),"")</f>
        <v>2.14</v>
      </c>
      <c r="D131" s="10" cm="1">
        <f t="array" ref="D131">IFERROR(_xlfn.XLOOKUP(1,('env Parameter'!$A:$A=$A131)*('env Parameter'!$B:$B=$K131)*('env Parameter'!$C:$C=$L131),'env Parameter'!F:F,""),"")</f>
        <v>478</v>
      </c>
      <c r="E131" s="10" cm="1">
        <f t="array" ref="E131">IFERROR(_xlfn.XLOOKUP(1,('env Parameter'!$A:$A=$A131)*('env Parameter'!$B:$B=$K131)*('env Parameter'!$C:$C=$L131),'env Parameter'!G:G,""),"")</f>
        <v>7.6</v>
      </c>
      <c r="F131" t="str">
        <f>eDNA!F131</f>
        <v>MiFish</v>
      </c>
      <c r="G131" t="str">
        <f>eDNA!D131</f>
        <v>Pseudorasbora parva</v>
      </c>
      <c r="H131" t="str">
        <f>_xlfn.XLOOKUP(G131,'Common name (master file)'!$B:$B,'Common name (master file)'!$A:$A,"-------------")</f>
        <v>참붕어</v>
      </c>
      <c r="I131">
        <f>eDNA!E131</f>
        <v>20184</v>
      </c>
      <c r="J131" t="str">
        <f>_xlfn.XLOOKUP(G131,'Common name (master file)'!$B:$B,'Common name (master file)'!$C:$C,"")</f>
        <v>어류</v>
      </c>
      <c r="K131">
        <f>eDNA!B131</f>
        <v>126.89556140000001</v>
      </c>
      <c r="L131">
        <f>eDNA!C131</f>
        <v>37.418411599999999</v>
      </c>
      <c r="M131" s="10" t="str" cm="1">
        <f t="array" ref="M131">IFERROR(_xlfn.XLOOKUP(1,('env Parameter'!$A:$A=$A131)*('env Parameter'!$B:$B=$K131)*('env Parameter'!$C:$C=$L131),'env Parameter'!D:D,""),"")</f>
        <v>안양천-7</v>
      </c>
      <c r="N131" s="10" t="str" cm="1">
        <f t="array" ref="N131">IFERROR(_xlfn.XLOOKUP(1,('env Parameter'!$A:$A=$A131)*('env Parameter'!$B:$B=$K131)*('env Parameter'!$C:$C=$L131),'env Parameter'!I:I,""),"")</f>
        <v>YR</v>
      </c>
    </row>
    <row r="132" spans="1:14">
      <c r="A132">
        <f>eDNA!A132</f>
        <v>20200716</v>
      </c>
      <c r="B132" s="10" t="str" cm="1">
        <f t="array" ref="B132">IFERROR(_xlfn.XLOOKUP(1,('env Parameter'!$A:$A=$A132)*('env Parameter'!$B:$B=$K132)*('env Parameter'!$C:$C=$L132),'env Parameter'!H:H,""),"")</f>
        <v>생물상 조사</v>
      </c>
      <c r="C132" s="10" cm="1">
        <f t="array" ref="C132">IFERROR(_xlfn.XLOOKUP(1,('env Parameter'!$A:$A=$A132)*('env Parameter'!$B:$B=$K132)*('env Parameter'!$C:$C=$L132),'env Parameter'!E:E,""),"")</f>
        <v>2.14</v>
      </c>
      <c r="D132" s="10" cm="1">
        <f t="array" ref="D132">IFERROR(_xlfn.XLOOKUP(1,('env Parameter'!$A:$A=$A132)*('env Parameter'!$B:$B=$K132)*('env Parameter'!$C:$C=$L132),'env Parameter'!F:F,""),"")</f>
        <v>478</v>
      </c>
      <c r="E132" s="10" cm="1">
        <f t="array" ref="E132">IFERROR(_xlfn.XLOOKUP(1,('env Parameter'!$A:$A=$A132)*('env Parameter'!$B:$B=$K132)*('env Parameter'!$C:$C=$L132),'env Parameter'!G:G,""),"")</f>
        <v>7.6</v>
      </c>
      <c r="F132" t="str">
        <f>eDNA!F132</f>
        <v>MiFish</v>
      </c>
      <c r="G132" t="str">
        <f>eDNA!D132</f>
        <v>Odontobutis interrupta</v>
      </c>
      <c r="H132" t="str">
        <f>_xlfn.XLOOKUP(G132,'Common name (master file)'!$B:$B,'Common name (master file)'!$A:$A,"-------------")</f>
        <v>얼록동사리</v>
      </c>
      <c r="I132">
        <f>eDNA!E132</f>
        <v>29195</v>
      </c>
      <c r="J132" t="str">
        <f>_xlfn.XLOOKUP(G132,'Common name (master file)'!$B:$B,'Common name (master file)'!$C:$C,"")</f>
        <v>어류</v>
      </c>
      <c r="K132">
        <f>eDNA!B132</f>
        <v>126.89556140000001</v>
      </c>
      <c r="L132">
        <f>eDNA!C132</f>
        <v>37.418411599999999</v>
      </c>
      <c r="M132" s="10" t="str" cm="1">
        <f t="array" ref="M132">IFERROR(_xlfn.XLOOKUP(1,('env Parameter'!$A:$A=$A132)*('env Parameter'!$B:$B=$K132)*('env Parameter'!$C:$C=$L132),'env Parameter'!D:D,""),"")</f>
        <v>안양천-7</v>
      </c>
      <c r="N132" s="10" t="str" cm="1">
        <f t="array" ref="N132">IFERROR(_xlfn.XLOOKUP(1,('env Parameter'!$A:$A=$A132)*('env Parameter'!$B:$B=$K132)*('env Parameter'!$C:$C=$L132),'env Parameter'!I:I,""),"")</f>
        <v>YR</v>
      </c>
    </row>
    <row r="133" spans="1:14">
      <c r="A133">
        <f>eDNA!A133</f>
        <v>20200716</v>
      </c>
      <c r="B133" s="10" t="str" cm="1">
        <f t="array" ref="B133">IFERROR(_xlfn.XLOOKUP(1,('env Parameter'!$A:$A=$A133)*('env Parameter'!$B:$B=$K133)*('env Parameter'!$C:$C=$L133),'env Parameter'!H:H,""),"")</f>
        <v>생물상 조사</v>
      </c>
      <c r="C133" s="10" cm="1">
        <f t="array" ref="C133">IFERROR(_xlfn.XLOOKUP(1,('env Parameter'!$A:$A=$A133)*('env Parameter'!$B:$B=$K133)*('env Parameter'!$C:$C=$L133),'env Parameter'!E:E,""),"")</f>
        <v>2.14</v>
      </c>
      <c r="D133" s="10" cm="1">
        <f t="array" ref="D133">IFERROR(_xlfn.XLOOKUP(1,('env Parameter'!$A:$A=$A133)*('env Parameter'!$B:$B=$K133)*('env Parameter'!$C:$C=$L133),'env Parameter'!F:F,""),"")</f>
        <v>478</v>
      </c>
      <c r="E133" s="10" cm="1">
        <f t="array" ref="E133">IFERROR(_xlfn.XLOOKUP(1,('env Parameter'!$A:$A=$A133)*('env Parameter'!$B:$B=$K133)*('env Parameter'!$C:$C=$L133),'env Parameter'!G:G,""),"")</f>
        <v>7.6</v>
      </c>
      <c r="F133" t="str">
        <f>eDNA!F133</f>
        <v>MiFish</v>
      </c>
      <c r="G133" t="str">
        <f>eDNA!D133</f>
        <v>Carassius gibelio</v>
      </c>
      <c r="H133" t="str">
        <f>_xlfn.XLOOKUP(G133,'Common name (master file)'!$B:$B,'Common name (master file)'!$A:$A,"-------------")</f>
        <v>기벨리오 붕어</v>
      </c>
      <c r="I133">
        <f>eDNA!E133</f>
        <v>31368</v>
      </c>
      <c r="J133" t="str">
        <f>_xlfn.XLOOKUP(G133,'Common name (master file)'!$B:$B,'Common name (master file)'!$C:$C,"")</f>
        <v>어류</v>
      </c>
      <c r="K133">
        <f>eDNA!B133</f>
        <v>126.89556140000001</v>
      </c>
      <c r="L133">
        <f>eDNA!C133</f>
        <v>37.418411599999999</v>
      </c>
      <c r="M133" s="10" t="str" cm="1">
        <f t="array" ref="M133">IFERROR(_xlfn.XLOOKUP(1,('env Parameter'!$A:$A=$A133)*('env Parameter'!$B:$B=$K133)*('env Parameter'!$C:$C=$L133),'env Parameter'!D:D,""),"")</f>
        <v>안양천-7</v>
      </c>
      <c r="N133" s="10" t="str" cm="1">
        <f t="array" ref="N133">IFERROR(_xlfn.XLOOKUP(1,('env Parameter'!$A:$A=$A133)*('env Parameter'!$B:$B=$K133)*('env Parameter'!$C:$C=$L133),'env Parameter'!I:I,""),"")</f>
        <v>YR</v>
      </c>
    </row>
    <row r="134" spans="1:14">
      <c r="A134">
        <f>eDNA!A134</f>
        <v>20200716</v>
      </c>
      <c r="B134" s="10" t="str" cm="1">
        <f t="array" ref="B134">IFERROR(_xlfn.XLOOKUP(1,('env Parameter'!$A:$A=$A134)*('env Parameter'!$B:$B=$K134)*('env Parameter'!$C:$C=$L134),'env Parameter'!H:H,""),"")</f>
        <v>생물상 조사</v>
      </c>
      <c r="C134" s="10" cm="1">
        <f t="array" ref="C134">IFERROR(_xlfn.XLOOKUP(1,('env Parameter'!$A:$A=$A134)*('env Parameter'!$B:$B=$K134)*('env Parameter'!$C:$C=$L134),'env Parameter'!E:E,""),"")</f>
        <v>2.14</v>
      </c>
      <c r="D134" s="10" cm="1">
        <f t="array" ref="D134">IFERROR(_xlfn.XLOOKUP(1,('env Parameter'!$A:$A=$A134)*('env Parameter'!$B:$B=$K134)*('env Parameter'!$C:$C=$L134),'env Parameter'!F:F,""),"")</f>
        <v>478</v>
      </c>
      <c r="E134" s="10" cm="1">
        <f t="array" ref="E134">IFERROR(_xlfn.XLOOKUP(1,('env Parameter'!$A:$A=$A134)*('env Parameter'!$B:$B=$K134)*('env Parameter'!$C:$C=$L134),'env Parameter'!G:G,""),"")</f>
        <v>7.6</v>
      </c>
      <c r="F134" t="str">
        <f>eDNA!F134</f>
        <v>MiFish</v>
      </c>
      <c r="G134" t="str">
        <f>eDNA!D134</f>
        <v>Carassius cuvieri</v>
      </c>
      <c r="H134" t="str">
        <f>_xlfn.XLOOKUP(G134,'Common name (master file)'!$B:$B,'Common name (master file)'!$A:$A,"-------------")</f>
        <v>떡붕어</v>
      </c>
      <c r="I134">
        <f>eDNA!E134</f>
        <v>39</v>
      </c>
      <c r="J134" t="str">
        <f>_xlfn.XLOOKUP(G134,'Common name (master file)'!$B:$B,'Common name (master file)'!$C:$C,"")</f>
        <v>어류</v>
      </c>
      <c r="K134">
        <f>eDNA!B134</f>
        <v>126.9007862</v>
      </c>
      <c r="L134">
        <f>eDNA!C134</f>
        <v>37.438687899999998</v>
      </c>
      <c r="M134" s="10" t="str" cm="1">
        <f t="array" ref="M134">IFERROR(_xlfn.XLOOKUP(1,('env Parameter'!$A:$A=$A134)*('env Parameter'!$B:$B=$K134)*('env Parameter'!$C:$C=$L134),'env Parameter'!D:D,""),"")</f>
        <v>안양천-8</v>
      </c>
      <c r="N134" s="10" t="str" cm="1">
        <f t="array" ref="N134">IFERROR(_xlfn.XLOOKUP(1,('env Parameter'!$A:$A=$A134)*('env Parameter'!$B:$B=$K134)*('env Parameter'!$C:$C=$L134),'env Parameter'!I:I,""),"")</f>
        <v>YR</v>
      </c>
    </row>
    <row r="135" spans="1:14">
      <c r="A135">
        <f>eDNA!A135</f>
        <v>20200716</v>
      </c>
      <c r="B135" s="10" t="str" cm="1">
        <f t="array" ref="B135">IFERROR(_xlfn.XLOOKUP(1,('env Parameter'!$A:$A=$A135)*('env Parameter'!$B:$B=$K135)*('env Parameter'!$C:$C=$L135),'env Parameter'!H:H,""),"")</f>
        <v>생물상 조사</v>
      </c>
      <c r="C135" s="10" cm="1">
        <f t="array" ref="C135">IFERROR(_xlfn.XLOOKUP(1,('env Parameter'!$A:$A=$A135)*('env Parameter'!$B:$B=$K135)*('env Parameter'!$C:$C=$L135),'env Parameter'!E:E,""),"")</f>
        <v>2.14</v>
      </c>
      <c r="D135" s="10" cm="1">
        <f t="array" ref="D135">IFERROR(_xlfn.XLOOKUP(1,('env Parameter'!$A:$A=$A135)*('env Parameter'!$B:$B=$K135)*('env Parameter'!$C:$C=$L135),'env Parameter'!F:F,""),"")</f>
        <v>478</v>
      </c>
      <c r="E135" s="10" cm="1">
        <f t="array" ref="E135">IFERROR(_xlfn.XLOOKUP(1,('env Parameter'!$A:$A=$A135)*('env Parameter'!$B:$B=$K135)*('env Parameter'!$C:$C=$L135),'env Parameter'!G:G,""),"")</f>
        <v>7.6</v>
      </c>
      <c r="F135" t="str">
        <f>eDNA!F135</f>
        <v>MiFish</v>
      </c>
      <c r="G135" t="str">
        <f>eDNA!D135</f>
        <v>Hemibarbus maculatus</v>
      </c>
      <c r="H135" t="str">
        <f>_xlfn.XLOOKUP(G135,'Common name (master file)'!$B:$B,'Common name (master file)'!$A:$A,"-------------")</f>
        <v>알락누치</v>
      </c>
      <c r="I135">
        <f>eDNA!E135</f>
        <v>54</v>
      </c>
      <c r="J135" t="str">
        <f>_xlfn.XLOOKUP(G135,'Common name (master file)'!$B:$B,'Common name (master file)'!$C:$C,"")</f>
        <v>어류</v>
      </c>
      <c r="K135">
        <f>eDNA!B135</f>
        <v>126.9007862</v>
      </c>
      <c r="L135">
        <f>eDNA!C135</f>
        <v>37.438687899999998</v>
      </c>
      <c r="M135" s="10" t="str" cm="1">
        <f t="array" ref="M135">IFERROR(_xlfn.XLOOKUP(1,('env Parameter'!$A:$A=$A135)*('env Parameter'!$B:$B=$K135)*('env Parameter'!$C:$C=$L135),'env Parameter'!D:D,""),"")</f>
        <v>안양천-8</v>
      </c>
      <c r="N135" s="10" t="str" cm="1">
        <f t="array" ref="N135">IFERROR(_xlfn.XLOOKUP(1,('env Parameter'!$A:$A=$A135)*('env Parameter'!$B:$B=$K135)*('env Parameter'!$C:$C=$L135),'env Parameter'!I:I,""),"")</f>
        <v>YR</v>
      </c>
    </row>
    <row r="136" spans="1:14">
      <c r="A136">
        <f>eDNA!A136</f>
        <v>20200717</v>
      </c>
      <c r="B136" s="10" t="str" cm="1">
        <f t="array" ref="B136">IFERROR(_xlfn.XLOOKUP(1,('env Parameter'!$A:$A=$A136)*('env Parameter'!$B:$B=$K136)*('env Parameter'!$C:$C=$L136),'env Parameter'!H:H,""),"")</f>
        <v>생물상 조사</v>
      </c>
      <c r="C136" s="10" cm="1">
        <f t="array" ref="C136">IFERROR(_xlfn.XLOOKUP(1,('env Parameter'!$A:$A=$A136)*('env Parameter'!$B:$B=$K136)*('env Parameter'!$C:$C=$L136),'env Parameter'!E:E,""),"")</f>
        <v>2.14</v>
      </c>
      <c r="D136" s="10" cm="1">
        <f t="array" ref="D136">IFERROR(_xlfn.XLOOKUP(1,('env Parameter'!$A:$A=$A136)*('env Parameter'!$B:$B=$K136)*('env Parameter'!$C:$C=$L136),'env Parameter'!F:F,""),"")</f>
        <v>478</v>
      </c>
      <c r="E136" s="10" cm="1">
        <f t="array" ref="E136">IFERROR(_xlfn.XLOOKUP(1,('env Parameter'!$A:$A=$A136)*('env Parameter'!$B:$B=$K136)*('env Parameter'!$C:$C=$L136),'env Parameter'!G:G,""),"")</f>
        <v>7.6</v>
      </c>
      <c r="F136" t="str">
        <f>eDNA!F136</f>
        <v>MiFish</v>
      </c>
      <c r="G136" t="str">
        <f>eDNA!D136</f>
        <v>Trachemys scripta</v>
      </c>
      <c r="H136" t="str">
        <f>_xlfn.XLOOKUP(G136,'Common name (master file)'!$B:$B,'Common name (master file)'!$A:$A,"-------------")</f>
        <v>연못거북</v>
      </c>
      <c r="I136">
        <f>eDNA!E136</f>
        <v>79</v>
      </c>
      <c r="J136" t="str">
        <f>_xlfn.XLOOKUP(G136,'Common name (master file)'!$B:$B,'Common name (master file)'!$C:$C,"")</f>
        <v>양서파충류</v>
      </c>
      <c r="K136">
        <f>eDNA!B136</f>
        <v>126.9007862</v>
      </c>
      <c r="L136">
        <f>eDNA!C136</f>
        <v>37.438687899999998</v>
      </c>
      <c r="M136" s="10" t="str" cm="1">
        <f t="array" ref="M136">IFERROR(_xlfn.XLOOKUP(1,('env Parameter'!$A:$A=$A136)*('env Parameter'!$B:$B=$K136)*('env Parameter'!$C:$C=$L136),'env Parameter'!D:D,""),"")</f>
        <v>안양천-8</v>
      </c>
      <c r="N136" s="10" t="str" cm="1">
        <f t="array" ref="N136">IFERROR(_xlfn.XLOOKUP(1,('env Parameter'!$A:$A=$A136)*('env Parameter'!$B:$B=$K136)*('env Parameter'!$C:$C=$L136),'env Parameter'!I:I,""),"")</f>
        <v>YR</v>
      </c>
    </row>
    <row r="137" spans="1:14">
      <c r="A137">
        <f>eDNA!A137</f>
        <v>20200717</v>
      </c>
      <c r="B137" s="10" t="str" cm="1">
        <f t="array" ref="B137">IFERROR(_xlfn.XLOOKUP(1,('env Parameter'!$A:$A=$A137)*('env Parameter'!$B:$B=$K137)*('env Parameter'!$C:$C=$L137),'env Parameter'!H:H,""),"")</f>
        <v>생물상 조사</v>
      </c>
      <c r="C137" s="10" cm="1">
        <f t="array" ref="C137">IFERROR(_xlfn.XLOOKUP(1,('env Parameter'!$A:$A=$A137)*('env Parameter'!$B:$B=$K137)*('env Parameter'!$C:$C=$L137),'env Parameter'!E:E,""),"")</f>
        <v>2.14</v>
      </c>
      <c r="D137" s="10" cm="1">
        <f t="array" ref="D137">IFERROR(_xlfn.XLOOKUP(1,('env Parameter'!$A:$A=$A137)*('env Parameter'!$B:$B=$K137)*('env Parameter'!$C:$C=$L137),'env Parameter'!F:F,""),"")</f>
        <v>478</v>
      </c>
      <c r="E137" s="10" cm="1">
        <f t="array" ref="E137">IFERROR(_xlfn.XLOOKUP(1,('env Parameter'!$A:$A=$A137)*('env Parameter'!$B:$B=$K137)*('env Parameter'!$C:$C=$L137),'env Parameter'!G:G,""),"")</f>
        <v>7.6</v>
      </c>
      <c r="F137" t="str">
        <f>eDNA!F137</f>
        <v>MiFish</v>
      </c>
      <c r="G137" t="str">
        <f>eDNA!D137</f>
        <v>Carassius auratus</v>
      </c>
      <c r="H137" t="str">
        <f>_xlfn.XLOOKUP(G137,'Common name (master file)'!$B:$B,'Common name (master file)'!$A:$A,"-------------")</f>
        <v>붕어</v>
      </c>
      <c r="I137">
        <f>eDNA!E137</f>
        <v>81</v>
      </c>
      <c r="J137" t="str">
        <f>_xlfn.XLOOKUP(G137,'Common name (master file)'!$B:$B,'Common name (master file)'!$C:$C,"")</f>
        <v>어류</v>
      </c>
      <c r="K137">
        <f>eDNA!B137</f>
        <v>126.9007862</v>
      </c>
      <c r="L137">
        <f>eDNA!C137</f>
        <v>37.438687899999998</v>
      </c>
      <c r="M137" s="10" t="str" cm="1">
        <f t="array" ref="M137">IFERROR(_xlfn.XLOOKUP(1,('env Parameter'!$A:$A=$A137)*('env Parameter'!$B:$B=$K137)*('env Parameter'!$C:$C=$L137),'env Parameter'!D:D,""),"")</f>
        <v>안양천-8</v>
      </c>
      <c r="N137" s="10" t="str" cm="1">
        <f t="array" ref="N137">IFERROR(_xlfn.XLOOKUP(1,('env Parameter'!$A:$A=$A137)*('env Parameter'!$B:$B=$K137)*('env Parameter'!$C:$C=$L137),'env Parameter'!I:I,""),"")</f>
        <v>YR</v>
      </c>
    </row>
    <row r="138" spans="1:14">
      <c r="A138">
        <f>eDNA!A138</f>
        <v>20200717</v>
      </c>
      <c r="B138" s="10" t="str" cm="1">
        <f t="array" ref="B138">IFERROR(_xlfn.XLOOKUP(1,('env Parameter'!$A:$A=$A138)*('env Parameter'!$B:$B=$K138)*('env Parameter'!$C:$C=$L138),'env Parameter'!H:H,""),"")</f>
        <v>생물상 조사</v>
      </c>
      <c r="C138" s="10" cm="1">
        <f t="array" ref="C138">IFERROR(_xlfn.XLOOKUP(1,('env Parameter'!$A:$A=$A138)*('env Parameter'!$B:$B=$K138)*('env Parameter'!$C:$C=$L138),'env Parameter'!E:E,""),"")</f>
        <v>2.14</v>
      </c>
      <c r="D138" s="10" cm="1">
        <f t="array" ref="D138">IFERROR(_xlfn.XLOOKUP(1,('env Parameter'!$A:$A=$A138)*('env Parameter'!$B:$B=$K138)*('env Parameter'!$C:$C=$L138),'env Parameter'!F:F,""),"")</f>
        <v>478</v>
      </c>
      <c r="E138" s="10" cm="1">
        <f t="array" ref="E138">IFERROR(_xlfn.XLOOKUP(1,('env Parameter'!$A:$A=$A138)*('env Parameter'!$B:$B=$K138)*('env Parameter'!$C:$C=$L138),'env Parameter'!G:G,""),"")</f>
        <v>7.6</v>
      </c>
      <c r="F138" t="str">
        <f>eDNA!F138</f>
        <v>MiFish</v>
      </c>
      <c r="G138" t="str">
        <f>eDNA!D138</f>
        <v>Gnathopogon strigatus</v>
      </c>
      <c r="H138" t="str">
        <f>_xlfn.XLOOKUP(G138,'Common name (master file)'!$B:$B,'Common name (master file)'!$A:$A,"-------------")</f>
        <v>줄몰개</v>
      </c>
      <c r="I138">
        <f>eDNA!E138</f>
        <v>91</v>
      </c>
      <c r="J138" t="str">
        <f>_xlfn.XLOOKUP(G138,'Common name (master file)'!$B:$B,'Common name (master file)'!$C:$C,"")</f>
        <v>어류</v>
      </c>
      <c r="K138">
        <f>eDNA!B138</f>
        <v>126.9007862</v>
      </c>
      <c r="L138">
        <f>eDNA!C138</f>
        <v>37.438687899999998</v>
      </c>
      <c r="M138" s="10" t="str" cm="1">
        <f t="array" ref="M138">IFERROR(_xlfn.XLOOKUP(1,('env Parameter'!$A:$A=$A138)*('env Parameter'!$B:$B=$K138)*('env Parameter'!$C:$C=$L138),'env Parameter'!D:D,""),"")</f>
        <v>안양천-8</v>
      </c>
      <c r="N138" s="10" t="str" cm="1">
        <f t="array" ref="N138">IFERROR(_xlfn.XLOOKUP(1,('env Parameter'!$A:$A=$A138)*('env Parameter'!$B:$B=$K138)*('env Parameter'!$C:$C=$L138),'env Parameter'!I:I,""),"")</f>
        <v>YR</v>
      </c>
    </row>
    <row r="139" spans="1:14">
      <c r="A139">
        <f>eDNA!A139</f>
        <v>20200717</v>
      </c>
      <c r="B139" s="10" t="str" cm="1">
        <f t="array" ref="B139">IFERROR(_xlfn.XLOOKUP(1,('env Parameter'!$A:$A=$A139)*('env Parameter'!$B:$B=$K139)*('env Parameter'!$C:$C=$L139),'env Parameter'!H:H,""),"")</f>
        <v>생물상 조사</v>
      </c>
      <c r="C139" s="10" cm="1">
        <f t="array" ref="C139">IFERROR(_xlfn.XLOOKUP(1,('env Parameter'!$A:$A=$A139)*('env Parameter'!$B:$B=$K139)*('env Parameter'!$C:$C=$L139),'env Parameter'!E:E,""),"")</f>
        <v>2.14</v>
      </c>
      <c r="D139" s="10" cm="1">
        <f t="array" ref="D139">IFERROR(_xlfn.XLOOKUP(1,('env Parameter'!$A:$A=$A139)*('env Parameter'!$B:$B=$K139)*('env Parameter'!$C:$C=$L139),'env Parameter'!F:F,""),"")</f>
        <v>478</v>
      </c>
      <c r="E139" s="10" cm="1">
        <f t="array" ref="E139">IFERROR(_xlfn.XLOOKUP(1,('env Parameter'!$A:$A=$A139)*('env Parameter'!$B:$B=$K139)*('env Parameter'!$C:$C=$L139),'env Parameter'!G:G,""),"")</f>
        <v>7.6</v>
      </c>
      <c r="F139" t="str">
        <f>eDNA!F139</f>
        <v>MiFish</v>
      </c>
      <c r="G139" t="str">
        <f>eDNA!D139</f>
        <v>Tridentiger obscurus</v>
      </c>
      <c r="H139" t="str">
        <f>_xlfn.XLOOKUP(G139,'Common name (master file)'!$B:$B,'Common name (master file)'!$A:$A,"-------------")</f>
        <v>검정망둑</v>
      </c>
      <c r="I139">
        <f>eDNA!E139</f>
        <v>165</v>
      </c>
      <c r="J139" t="str">
        <f>_xlfn.XLOOKUP(G139,'Common name (master file)'!$B:$B,'Common name (master file)'!$C:$C,"")</f>
        <v>어류</v>
      </c>
      <c r="K139">
        <f>eDNA!B139</f>
        <v>126.9007862</v>
      </c>
      <c r="L139">
        <f>eDNA!C139</f>
        <v>37.438687899999998</v>
      </c>
      <c r="M139" s="10" t="str" cm="1">
        <f t="array" ref="M139">IFERROR(_xlfn.XLOOKUP(1,('env Parameter'!$A:$A=$A139)*('env Parameter'!$B:$B=$K139)*('env Parameter'!$C:$C=$L139),'env Parameter'!D:D,""),"")</f>
        <v>안양천-8</v>
      </c>
      <c r="N139" s="10" t="str" cm="1">
        <f t="array" ref="N139">IFERROR(_xlfn.XLOOKUP(1,('env Parameter'!$A:$A=$A139)*('env Parameter'!$B:$B=$K139)*('env Parameter'!$C:$C=$L139),'env Parameter'!I:I,""),"")</f>
        <v>YR</v>
      </c>
    </row>
    <row r="140" spans="1:14">
      <c r="A140">
        <f>eDNA!A140</f>
        <v>20200717</v>
      </c>
      <c r="B140" s="10" t="str" cm="1">
        <f t="array" ref="B140">IFERROR(_xlfn.XLOOKUP(1,('env Parameter'!$A:$A=$A140)*('env Parameter'!$B:$B=$K140)*('env Parameter'!$C:$C=$L140),'env Parameter'!H:H,""),"")</f>
        <v>생물상 조사</v>
      </c>
      <c r="C140" s="10" cm="1">
        <f t="array" ref="C140">IFERROR(_xlfn.XLOOKUP(1,('env Parameter'!$A:$A=$A140)*('env Parameter'!$B:$B=$K140)*('env Parameter'!$C:$C=$L140),'env Parameter'!E:E,""),"")</f>
        <v>2.14</v>
      </c>
      <c r="D140" s="10" cm="1">
        <f t="array" ref="D140">IFERROR(_xlfn.XLOOKUP(1,('env Parameter'!$A:$A=$A140)*('env Parameter'!$B:$B=$K140)*('env Parameter'!$C:$C=$L140),'env Parameter'!F:F,""),"")</f>
        <v>478</v>
      </c>
      <c r="E140" s="10" cm="1">
        <f t="array" ref="E140">IFERROR(_xlfn.XLOOKUP(1,('env Parameter'!$A:$A=$A140)*('env Parameter'!$B:$B=$K140)*('env Parameter'!$C:$C=$L140),'env Parameter'!G:G,""),"")</f>
        <v>7.6</v>
      </c>
      <c r="F140" t="str">
        <f>eDNA!F140</f>
        <v>MiFish</v>
      </c>
      <c r="G140" t="str">
        <f>eDNA!D140</f>
        <v>Paramisgurnus dabryanus</v>
      </c>
      <c r="H140" t="str">
        <f>_xlfn.XLOOKUP(G140,'Common name (master file)'!$B:$B,'Common name (master file)'!$A:$A,"-------------")</f>
        <v>중국미꾸라지</v>
      </c>
      <c r="I140">
        <f>eDNA!E140</f>
        <v>195</v>
      </c>
      <c r="J140" t="str">
        <f>_xlfn.XLOOKUP(G140,'Common name (master file)'!$B:$B,'Common name (master file)'!$C:$C,"")</f>
        <v>어류</v>
      </c>
      <c r="K140">
        <f>eDNA!B140</f>
        <v>126.9007862</v>
      </c>
      <c r="L140">
        <f>eDNA!C140</f>
        <v>37.438687899999998</v>
      </c>
      <c r="M140" s="10" t="str" cm="1">
        <f t="array" ref="M140">IFERROR(_xlfn.XLOOKUP(1,('env Parameter'!$A:$A=$A140)*('env Parameter'!$B:$B=$K140)*('env Parameter'!$C:$C=$L140),'env Parameter'!D:D,""),"")</f>
        <v>안양천-8</v>
      </c>
      <c r="N140" s="10" t="str" cm="1">
        <f t="array" ref="N140">IFERROR(_xlfn.XLOOKUP(1,('env Parameter'!$A:$A=$A140)*('env Parameter'!$B:$B=$K140)*('env Parameter'!$C:$C=$L140),'env Parameter'!I:I,""),"")</f>
        <v>YR</v>
      </c>
    </row>
    <row r="141" spans="1:14">
      <c r="A141">
        <f>eDNA!A141</f>
        <v>20200717</v>
      </c>
      <c r="B141" s="10" t="str" cm="1">
        <f t="array" ref="B141">IFERROR(_xlfn.XLOOKUP(1,('env Parameter'!$A:$A=$A141)*('env Parameter'!$B:$B=$K141)*('env Parameter'!$C:$C=$L141),'env Parameter'!H:H,""),"")</f>
        <v>생물상 조사</v>
      </c>
      <c r="C141" s="10" cm="1">
        <f t="array" ref="C141">IFERROR(_xlfn.XLOOKUP(1,('env Parameter'!$A:$A=$A141)*('env Parameter'!$B:$B=$K141)*('env Parameter'!$C:$C=$L141),'env Parameter'!E:E,""),"")</f>
        <v>2.14</v>
      </c>
      <c r="D141" s="10" cm="1">
        <f t="array" ref="D141">IFERROR(_xlfn.XLOOKUP(1,('env Parameter'!$A:$A=$A141)*('env Parameter'!$B:$B=$K141)*('env Parameter'!$C:$C=$L141),'env Parameter'!F:F,""),"")</f>
        <v>478</v>
      </c>
      <c r="E141" s="10" cm="1">
        <f t="array" ref="E141">IFERROR(_xlfn.XLOOKUP(1,('env Parameter'!$A:$A=$A141)*('env Parameter'!$B:$B=$K141)*('env Parameter'!$C:$C=$L141),'env Parameter'!G:G,""),"")</f>
        <v>7.6</v>
      </c>
      <c r="F141" t="str">
        <f>eDNA!F141</f>
        <v>MiFish</v>
      </c>
      <c r="G141" t="str">
        <f>eDNA!D141</f>
        <v>Bos taurus</v>
      </c>
      <c r="H141" t="str">
        <f>_xlfn.XLOOKUP(G141,'Common name (master file)'!$B:$B,'Common name (master file)'!$A:$A,"-------------")</f>
        <v>소</v>
      </c>
      <c r="I141">
        <f>eDNA!E141</f>
        <v>219</v>
      </c>
      <c r="J141" t="str">
        <f>_xlfn.XLOOKUP(G141,'Common name (master file)'!$B:$B,'Common name (master file)'!$C:$C,"")</f>
        <v>포유류</v>
      </c>
      <c r="K141">
        <f>eDNA!B141</f>
        <v>126.9007862</v>
      </c>
      <c r="L141">
        <f>eDNA!C141</f>
        <v>37.438687899999998</v>
      </c>
      <c r="M141" s="10" t="str" cm="1">
        <f t="array" ref="M141">IFERROR(_xlfn.XLOOKUP(1,('env Parameter'!$A:$A=$A141)*('env Parameter'!$B:$B=$K141)*('env Parameter'!$C:$C=$L141),'env Parameter'!D:D,""),"")</f>
        <v>안양천-8</v>
      </c>
      <c r="N141" s="10" t="str" cm="1">
        <f t="array" ref="N141">IFERROR(_xlfn.XLOOKUP(1,('env Parameter'!$A:$A=$A141)*('env Parameter'!$B:$B=$K141)*('env Parameter'!$C:$C=$L141),'env Parameter'!I:I,""),"")</f>
        <v>YR</v>
      </c>
    </row>
    <row r="142" spans="1:14">
      <c r="A142">
        <f>eDNA!A142</f>
        <v>20200717</v>
      </c>
      <c r="B142" s="10" t="str" cm="1">
        <f t="array" ref="B142">IFERROR(_xlfn.XLOOKUP(1,('env Parameter'!$A:$A=$A142)*('env Parameter'!$B:$B=$K142)*('env Parameter'!$C:$C=$L142),'env Parameter'!H:H,""),"")</f>
        <v>생물상 조사</v>
      </c>
      <c r="C142" s="10" cm="1">
        <f t="array" ref="C142">IFERROR(_xlfn.XLOOKUP(1,('env Parameter'!$A:$A=$A142)*('env Parameter'!$B:$B=$K142)*('env Parameter'!$C:$C=$L142),'env Parameter'!E:E,""),"")</f>
        <v>2.14</v>
      </c>
      <c r="D142" s="10" cm="1">
        <f t="array" ref="D142">IFERROR(_xlfn.XLOOKUP(1,('env Parameter'!$A:$A=$A142)*('env Parameter'!$B:$B=$K142)*('env Parameter'!$C:$C=$L142),'env Parameter'!F:F,""),"")</f>
        <v>478</v>
      </c>
      <c r="E142" s="10" cm="1">
        <f t="array" ref="E142">IFERROR(_xlfn.XLOOKUP(1,('env Parameter'!$A:$A=$A142)*('env Parameter'!$B:$B=$K142)*('env Parameter'!$C:$C=$L142),'env Parameter'!G:G,""),"")</f>
        <v>7.6</v>
      </c>
      <c r="F142" t="str">
        <f>eDNA!F142</f>
        <v>MiFish</v>
      </c>
      <c r="G142" t="str">
        <f>eDNA!D142</f>
        <v>Pseudogobio esocinus</v>
      </c>
      <c r="H142" t="str">
        <f>_xlfn.XLOOKUP(G142,'Common name (master file)'!$B:$B,'Common name (master file)'!$A:$A,"-------------")</f>
        <v>모래무지</v>
      </c>
      <c r="I142">
        <f>eDNA!E142</f>
        <v>323</v>
      </c>
      <c r="J142" t="str">
        <f>_xlfn.XLOOKUP(G142,'Common name (master file)'!$B:$B,'Common name (master file)'!$C:$C,"")</f>
        <v>어류</v>
      </c>
      <c r="K142">
        <f>eDNA!B142</f>
        <v>126.9007862</v>
      </c>
      <c r="L142">
        <f>eDNA!C142</f>
        <v>37.438687899999998</v>
      </c>
      <c r="M142" s="10" t="str" cm="1">
        <f t="array" ref="M142">IFERROR(_xlfn.XLOOKUP(1,('env Parameter'!$A:$A=$A142)*('env Parameter'!$B:$B=$K142)*('env Parameter'!$C:$C=$L142),'env Parameter'!D:D,""),"")</f>
        <v>안양천-8</v>
      </c>
      <c r="N142" s="10" t="str" cm="1">
        <f t="array" ref="N142">IFERROR(_xlfn.XLOOKUP(1,('env Parameter'!$A:$A=$A142)*('env Parameter'!$B:$B=$K142)*('env Parameter'!$C:$C=$L142),'env Parameter'!I:I,""),"")</f>
        <v>YR</v>
      </c>
    </row>
    <row r="143" spans="1:14">
      <c r="A143">
        <f>eDNA!A143</f>
        <v>20200717</v>
      </c>
      <c r="B143" s="10" t="str" cm="1">
        <f t="array" ref="B143">IFERROR(_xlfn.XLOOKUP(1,('env Parameter'!$A:$A=$A143)*('env Parameter'!$B:$B=$K143)*('env Parameter'!$C:$C=$L143),'env Parameter'!H:H,""),"")</f>
        <v>생물상 조사</v>
      </c>
      <c r="C143" s="10" cm="1">
        <f t="array" ref="C143">IFERROR(_xlfn.XLOOKUP(1,('env Parameter'!$A:$A=$A143)*('env Parameter'!$B:$B=$K143)*('env Parameter'!$C:$C=$L143),'env Parameter'!E:E,""),"")</f>
        <v>2.14</v>
      </c>
      <c r="D143" s="10" cm="1">
        <f t="array" ref="D143">IFERROR(_xlfn.XLOOKUP(1,('env Parameter'!$A:$A=$A143)*('env Parameter'!$B:$B=$K143)*('env Parameter'!$C:$C=$L143),'env Parameter'!F:F,""),"")</f>
        <v>478</v>
      </c>
      <c r="E143" s="10" cm="1">
        <f t="array" ref="E143">IFERROR(_xlfn.XLOOKUP(1,('env Parameter'!$A:$A=$A143)*('env Parameter'!$B:$B=$K143)*('env Parameter'!$C:$C=$L143),'env Parameter'!G:G,""),"")</f>
        <v>7.6</v>
      </c>
      <c r="F143" t="str">
        <f>eDNA!F143</f>
        <v>MiFish</v>
      </c>
      <c r="G143" t="str">
        <f>eDNA!D143</f>
        <v>Misgurnus mizolepis</v>
      </c>
      <c r="H143" t="str">
        <f>_xlfn.XLOOKUP(G143,'Common name (master file)'!$B:$B,'Common name (master file)'!$A:$A,"-------------")</f>
        <v>미꾸라지</v>
      </c>
      <c r="I143">
        <f>eDNA!E143</f>
        <v>327</v>
      </c>
      <c r="J143" t="str">
        <f>_xlfn.XLOOKUP(G143,'Common name (master file)'!$B:$B,'Common name (master file)'!$C:$C,"")</f>
        <v>어류</v>
      </c>
      <c r="K143">
        <f>eDNA!B143</f>
        <v>126.9007862</v>
      </c>
      <c r="L143">
        <f>eDNA!C143</f>
        <v>37.438687899999998</v>
      </c>
      <c r="M143" s="10" t="str" cm="1">
        <f t="array" ref="M143">IFERROR(_xlfn.XLOOKUP(1,('env Parameter'!$A:$A=$A143)*('env Parameter'!$B:$B=$K143)*('env Parameter'!$C:$C=$L143),'env Parameter'!D:D,""),"")</f>
        <v>안양천-8</v>
      </c>
      <c r="N143" s="10" t="str" cm="1">
        <f t="array" ref="N143">IFERROR(_xlfn.XLOOKUP(1,('env Parameter'!$A:$A=$A143)*('env Parameter'!$B:$B=$K143)*('env Parameter'!$C:$C=$L143),'env Parameter'!I:I,""),"")</f>
        <v>YR</v>
      </c>
    </row>
    <row r="144" spans="1:14">
      <c r="A144">
        <f>eDNA!A144</f>
        <v>20200717</v>
      </c>
      <c r="B144" s="10" t="str" cm="1">
        <f t="array" ref="B144">IFERROR(_xlfn.XLOOKUP(1,('env Parameter'!$A:$A=$A144)*('env Parameter'!$B:$B=$K144)*('env Parameter'!$C:$C=$L144),'env Parameter'!H:H,""),"")</f>
        <v>생물상 조사</v>
      </c>
      <c r="C144" s="10" cm="1">
        <f t="array" ref="C144">IFERROR(_xlfn.XLOOKUP(1,('env Parameter'!$A:$A=$A144)*('env Parameter'!$B:$B=$K144)*('env Parameter'!$C:$C=$L144),'env Parameter'!E:E,""),"")</f>
        <v>2.14</v>
      </c>
      <c r="D144" s="10" cm="1">
        <f t="array" ref="D144">IFERROR(_xlfn.XLOOKUP(1,('env Parameter'!$A:$A=$A144)*('env Parameter'!$B:$B=$K144)*('env Parameter'!$C:$C=$L144),'env Parameter'!F:F,""),"")</f>
        <v>478</v>
      </c>
      <c r="E144" s="10" cm="1">
        <f t="array" ref="E144">IFERROR(_xlfn.XLOOKUP(1,('env Parameter'!$A:$A=$A144)*('env Parameter'!$B:$B=$K144)*('env Parameter'!$C:$C=$L144),'env Parameter'!G:G,""),"")</f>
        <v>7.6</v>
      </c>
      <c r="F144" t="str">
        <f>eDNA!F144</f>
        <v>MiFish</v>
      </c>
      <c r="G144" t="str">
        <f>eDNA!D144</f>
        <v>Homo sapiens</v>
      </c>
      <c r="H144" t="str">
        <f>_xlfn.XLOOKUP(G144,'Common name (master file)'!$B:$B,'Common name (master file)'!$A:$A,"-------------")</f>
        <v>사람</v>
      </c>
      <c r="I144">
        <f>eDNA!E144</f>
        <v>363</v>
      </c>
      <c r="J144" t="str">
        <f>_xlfn.XLOOKUP(G144,'Common name (master file)'!$B:$B,'Common name (master file)'!$C:$C,"")</f>
        <v>포유류</v>
      </c>
      <c r="K144">
        <f>eDNA!B144</f>
        <v>126.9007862</v>
      </c>
      <c r="L144">
        <f>eDNA!C144</f>
        <v>37.438687899999998</v>
      </c>
      <c r="M144" s="10" t="str" cm="1">
        <f t="array" ref="M144">IFERROR(_xlfn.XLOOKUP(1,('env Parameter'!$A:$A=$A144)*('env Parameter'!$B:$B=$K144)*('env Parameter'!$C:$C=$L144),'env Parameter'!D:D,""),"")</f>
        <v>안양천-8</v>
      </c>
      <c r="N144" s="10" t="str" cm="1">
        <f t="array" ref="N144">IFERROR(_xlfn.XLOOKUP(1,('env Parameter'!$A:$A=$A144)*('env Parameter'!$B:$B=$K144)*('env Parameter'!$C:$C=$L144),'env Parameter'!I:I,""),"")</f>
        <v>YR</v>
      </c>
    </row>
    <row r="145" spans="1:14">
      <c r="A145">
        <f>eDNA!A145</f>
        <v>20200717</v>
      </c>
      <c r="B145" s="10" t="str" cm="1">
        <f t="array" ref="B145">IFERROR(_xlfn.XLOOKUP(1,('env Parameter'!$A:$A=$A145)*('env Parameter'!$B:$B=$K145)*('env Parameter'!$C:$C=$L145),'env Parameter'!H:H,""),"")</f>
        <v>생물상 조사</v>
      </c>
      <c r="C145" s="10" cm="1">
        <f t="array" ref="C145">IFERROR(_xlfn.XLOOKUP(1,('env Parameter'!$A:$A=$A145)*('env Parameter'!$B:$B=$K145)*('env Parameter'!$C:$C=$L145),'env Parameter'!E:E,""),"")</f>
        <v>2.14</v>
      </c>
      <c r="D145" s="10" cm="1">
        <f t="array" ref="D145">IFERROR(_xlfn.XLOOKUP(1,('env Parameter'!$A:$A=$A145)*('env Parameter'!$B:$B=$K145)*('env Parameter'!$C:$C=$L145),'env Parameter'!F:F,""),"")</f>
        <v>478</v>
      </c>
      <c r="E145" s="10" cm="1">
        <f t="array" ref="E145">IFERROR(_xlfn.XLOOKUP(1,('env Parameter'!$A:$A=$A145)*('env Parameter'!$B:$B=$K145)*('env Parameter'!$C:$C=$L145),'env Parameter'!G:G,""),"")</f>
        <v>7.6</v>
      </c>
      <c r="F145" t="str">
        <f>eDNA!F145</f>
        <v>MiFish</v>
      </c>
      <c r="G145" t="str">
        <f>eDNA!D145</f>
        <v>Channa argus</v>
      </c>
      <c r="H145" t="str">
        <f>_xlfn.XLOOKUP(G145,'Common name (master file)'!$B:$B,'Common name (master file)'!$A:$A,"-------------")</f>
        <v>가물치</v>
      </c>
      <c r="I145">
        <f>eDNA!E145</f>
        <v>348</v>
      </c>
      <c r="J145" t="str">
        <f>_xlfn.XLOOKUP(G145,'Common name (master file)'!$B:$B,'Common name (master file)'!$C:$C,"")</f>
        <v>어류</v>
      </c>
      <c r="K145">
        <f>eDNA!B145</f>
        <v>126.9007862</v>
      </c>
      <c r="L145">
        <f>eDNA!C145</f>
        <v>37.438687899999998</v>
      </c>
      <c r="M145" s="10" t="str" cm="1">
        <f t="array" ref="M145">IFERROR(_xlfn.XLOOKUP(1,('env Parameter'!$A:$A=$A145)*('env Parameter'!$B:$B=$K145)*('env Parameter'!$C:$C=$L145),'env Parameter'!D:D,""),"")</f>
        <v>안양천-8</v>
      </c>
      <c r="N145" s="10" t="str" cm="1">
        <f t="array" ref="N145">IFERROR(_xlfn.XLOOKUP(1,('env Parameter'!$A:$A=$A145)*('env Parameter'!$B:$B=$K145)*('env Parameter'!$C:$C=$L145),'env Parameter'!I:I,""),"")</f>
        <v>YR</v>
      </c>
    </row>
    <row r="146" spans="1:14">
      <c r="A146">
        <f>eDNA!A146</f>
        <v>20200717</v>
      </c>
      <c r="B146" s="10" t="str" cm="1">
        <f t="array" ref="B146">IFERROR(_xlfn.XLOOKUP(1,('env Parameter'!$A:$A=$A146)*('env Parameter'!$B:$B=$K146)*('env Parameter'!$C:$C=$L146),'env Parameter'!H:H,""),"")</f>
        <v>생물상 조사</v>
      </c>
      <c r="C146" s="10" cm="1">
        <f t="array" ref="C146">IFERROR(_xlfn.XLOOKUP(1,('env Parameter'!$A:$A=$A146)*('env Parameter'!$B:$B=$K146)*('env Parameter'!$C:$C=$L146),'env Parameter'!E:E,""),"")</f>
        <v>2.14</v>
      </c>
      <c r="D146" s="10" cm="1">
        <f t="array" ref="D146">IFERROR(_xlfn.XLOOKUP(1,('env Parameter'!$A:$A=$A146)*('env Parameter'!$B:$B=$K146)*('env Parameter'!$C:$C=$L146),'env Parameter'!F:F,""),"")</f>
        <v>478</v>
      </c>
      <c r="E146" s="10" cm="1">
        <f t="array" ref="E146">IFERROR(_xlfn.XLOOKUP(1,('env Parameter'!$A:$A=$A146)*('env Parameter'!$B:$B=$K146)*('env Parameter'!$C:$C=$L146),'env Parameter'!G:G,""),"")</f>
        <v>7.6</v>
      </c>
      <c r="F146" t="str">
        <f>eDNA!F146</f>
        <v>MiFish</v>
      </c>
      <c r="G146" t="str">
        <f>eDNA!D146</f>
        <v>Hemibarbus sp.</v>
      </c>
      <c r="H146" t="str">
        <f>_xlfn.XLOOKUP(G146,'Common name (master file)'!$B:$B,'Common name (master file)'!$A:$A,"-------------")</f>
        <v>누치 속</v>
      </c>
      <c r="I146">
        <f>eDNA!E146</f>
        <v>815</v>
      </c>
      <c r="J146" t="str">
        <f>_xlfn.XLOOKUP(G146,'Common name (master file)'!$B:$B,'Common name (master file)'!$C:$C,"")</f>
        <v>어류</v>
      </c>
      <c r="K146">
        <f>eDNA!B146</f>
        <v>126.9007862</v>
      </c>
      <c r="L146">
        <f>eDNA!C146</f>
        <v>37.438687899999998</v>
      </c>
      <c r="M146" s="10" t="str" cm="1">
        <f t="array" ref="M146">IFERROR(_xlfn.XLOOKUP(1,('env Parameter'!$A:$A=$A146)*('env Parameter'!$B:$B=$K146)*('env Parameter'!$C:$C=$L146),'env Parameter'!D:D,""),"")</f>
        <v>안양천-8</v>
      </c>
      <c r="N146" s="10" t="str" cm="1">
        <f t="array" ref="N146">IFERROR(_xlfn.XLOOKUP(1,('env Parameter'!$A:$A=$A146)*('env Parameter'!$B:$B=$K146)*('env Parameter'!$C:$C=$L146),'env Parameter'!I:I,""),"")</f>
        <v>YR</v>
      </c>
    </row>
    <row r="147" spans="1:14">
      <c r="A147">
        <f>eDNA!A147</f>
        <v>20200717</v>
      </c>
      <c r="B147" s="10" t="str" cm="1">
        <f t="array" ref="B147">IFERROR(_xlfn.XLOOKUP(1,('env Parameter'!$A:$A=$A147)*('env Parameter'!$B:$B=$K147)*('env Parameter'!$C:$C=$L147),'env Parameter'!H:H,""),"")</f>
        <v>생물상 조사</v>
      </c>
      <c r="C147" s="10" cm="1">
        <f t="array" ref="C147">IFERROR(_xlfn.XLOOKUP(1,('env Parameter'!$A:$A=$A147)*('env Parameter'!$B:$B=$K147)*('env Parameter'!$C:$C=$L147),'env Parameter'!E:E,""),"")</f>
        <v>2.14</v>
      </c>
      <c r="D147" s="10" cm="1">
        <f t="array" ref="D147">IFERROR(_xlfn.XLOOKUP(1,('env Parameter'!$A:$A=$A147)*('env Parameter'!$B:$B=$K147)*('env Parameter'!$C:$C=$L147),'env Parameter'!F:F,""),"")</f>
        <v>478</v>
      </c>
      <c r="E147" s="10" cm="1">
        <f t="array" ref="E147">IFERROR(_xlfn.XLOOKUP(1,('env Parameter'!$A:$A=$A147)*('env Parameter'!$B:$B=$K147)*('env Parameter'!$C:$C=$L147),'env Parameter'!G:G,""),"")</f>
        <v>7.6</v>
      </c>
      <c r="F147" t="str">
        <f>eDNA!F147</f>
        <v>MiFish</v>
      </c>
      <c r="G147" t="str">
        <f>eDNA!D147</f>
        <v>Cyprinus carpio</v>
      </c>
      <c r="H147" t="str">
        <f>_xlfn.XLOOKUP(G147,'Common name (master file)'!$B:$B,'Common name (master file)'!$A:$A,"-------------")</f>
        <v>잉어</v>
      </c>
      <c r="I147">
        <f>eDNA!E147</f>
        <v>858</v>
      </c>
      <c r="J147" t="str">
        <f>_xlfn.XLOOKUP(G147,'Common name (master file)'!$B:$B,'Common name (master file)'!$C:$C,"")</f>
        <v>어류</v>
      </c>
      <c r="K147">
        <f>eDNA!B147</f>
        <v>126.9007862</v>
      </c>
      <c r="L147">
        <f>eDNA!C147</f>
        <v>37.438687899999998</v>
      </c>
      <c r="M147" s="10" t="str" cm="1">
        <f t="array" ref="M147">IFERROR(_xlfn.XLOOKUP(1,('env Parameter'!$A:$A=$A147)*('env Parameter'!$B:$B=$K147)*('env Parameter'!$C:$C=$L147),'env Parameter'!D:D,""),"")</f>
        <v>안양천-8</v>
      </c>
      <c r="N147" s="10" t="str" cm="1">
        <f t="array" ref="N147">IFERROR(_xlfn.XLOOKUP(1,('env Parameter'!$A:$A=$A147)*('env Parameter'!$B:$B=$K147)*('env Parameter'!$C:$C=$L147),'env Parameter'!I:I,""),"")</f>
        <v>YR</v>
      </c>
    </row>
    <row r="148" spans="1:14">
      <c r="A148">
        <f>eDNA!A148</f>
        <v>20200717</v>
      </c>
      <c r="B148" s="10" t="str" cm="1">
        <f t="array" ref="B148">IFERROR(_xlfn.XLOOKUP(1,('env Parameter'!$A:$A=$A148)*('env Parameter'!$B:$B=$K148)*('env Parameter'!$C:$C=$L148),'env Parameter'!H:H,""),"")</f>
        <v>생물상 조사</v>
      </c>
      <c r="C148" s="10" cm="1">
        <f t="array" ref="C148">IFERROR(_xlfn.XLOOKUP(1,('env Parameter'!$A:$A=$A148)*('env Parameter'!$B:$B=$K148)*('env Parameter'!$C:$C=$L148),'env Parameter'!E:E,""),"")</f>
        <v>2.14</v>
      </c>
      <c r="D148" s="10" cm="1">
        <f t="array" ref="D148">IFERROR(_xlfn.XLOOKUP(1,('env Parameter'!$A:$A=$A148)*('env Parameter'!$B:$B=$K148)*('env Parameter'!$C:$C=$L148),'env Parameter'!F:F,""),"")</f>
        <v>478</v>
      </c>
      <c r="E148" s="10" cm="1">
        <f t="array" ref="E148">IFERROR(_xlfn.XLOOKUP(1,('env Parameter'!$A:$A=$A148)*('env Parameter'!$B:$B=$K148)*('env Parameter'!$C:$C=$L148),'env Parameter'!G:G,""),"")</f>
        <v>7.6</v>
      </c>
      <c r="F148" t="str">
        <f>eDNA!F148</f>
        <v>MiFish</v>
      </c>
      <c r="G148" t="str">
        <f>eDNA!D148</f>
        <v>Zacco platypus</v>
      </c>
      <c r="H148" t="str">
        <f>_xlfn.XLOOKUP(G148,'Common name (master file)'!$B:$B,'Common name (master file)'!$A:$A,"-------------")</f>
        <v>피라미</v>
      </c>
      <c r="I148">
        <f>eDNA!E148</f>
        <v>2084</v>
      </c>
      <c r="J148" t="str">
        <f>_xlfn.XLOOKUP(G148,'Common name (master file)'!$B:$B,'Common name (master file)'!$C:$C,"")</f>
        <v>어류</v>
      </c>
      <c r="K148">
        <f>eDNA!B148</f>
        <v>126.9007862</v>
      </c>
      <c r="L148">
        <f>eDNA!C148</f>
        <v>37.438687899999998</v>
      </c>
      <c r="M148" s="10" t="str" cm="1">
        <f t="array" ref="M148">IFERROR(_xlfn.XLOOKUP(1,('env Parameter'!$A:$A=$A148)*('env Parameter'!$B:$B=$K148)*('env Parameter'!$C:$C=$L148),'env Parameter'!D:D,""),"")</f>
        <v>안양천-8</v>
      </c>
      <c r="N148" s="10" t="str" cm="1">
        <f t="array" ref="N148">IFERROR(_xlfn.XLOOKUP(1,('env Parameter'!$A:$A=$A148)*('env Parameter'!$B:$B=$K148)*('env Parameter'!$C:$C=$L148),'env Parameter'!I:I,""),"")</f>
        <v>YR</v>
      </c>
    </row>
    <row r="149" spans="1:14">
      <c r="A149">
        <f>eDNA!A149</f>
        <v>20200717</v>
      </c>
      <c r="B149" s="10" t="str" cm="1">
        <f t="array" ref="B149">IFERROR(_xlfn.XLOOKUP(1,('env Parameter'!$A:$A=$A149)*('env Parameter'!$B:$B=$K149)*('env Parameter'!$C:$C=$L149),'env Parameter'!H:H,""),"")</f>
        <v>생물상 조사</v>
      </c>
      <c r="C149" s="10" cm="1">
        <f t="array" ref="C149">IFERROR(_xlfn.XLOOKUP(1,('env Parameter'!$A:$A=$A149)*('env Parameter'!$B:$B=$K149)*('env Parameter'!$C:$C=$L149),'env Parameter'!E:E,""),"")</f>
        <v>2.14</v>
      </c>
      <c r="D149" s="10" cm="1">
        <f t="array" ref="D149">IFERROR(_xlfn.XLOOKUP(1,('env Parameter'!$A:$A=$A149)*('env Parameter'!$B:$B=$K149)*('env Parameter'!$C:$C=$L149),'env Parameter'!F:F,""),"")</f>
        <v>478</v>
      </c>
      <c r="E149" s="10" cm="1">
        <f t="array" ref="E149">IFERROR(_xlfn.XLOOKUP(1,('env Parameter'!$A:$A=$A149)*('env Parameter'!$B:$B=$K149)*('env Parameter'!$C:$C=$L149),'env Parameter'!G:G,""),"")</f>
        <v>7.6</v>
      </c>
      <c r="F149" t="str">
        <f>eDNA!F149</f>
        <v>MiFish</v>
      </c>
      <c r="G149" t="str">
        <f>eDNA!D149</f>
        <v>Carassius sp.</v>
      </c>
      <c r="H149" t="str">
        <f>_xlfn.XLOOKUP(G149,'Common name (master file)'!$B:$B,'Common name (master file)'!$A:$A,"-------------")</f>
        <v>붕어 속</v>
      </c>
      <c r="I149">
        <f>eDNA!E149</f>
        <v>1479</v>
      </c>
      <c r="J149" t="str">
        <f>_xlfn.XLOOKUP(G149,'Common name (master file)'!$B:$B,'Common name (master file)'!$C:$C,"")</f>
        <v>어류</v>
      </c>
      <c r="K149">
        <f>eDNA!B149</f>
        <v>126.9007862</v>
      </c>
      <c r="L149">
        <f>eDNA!C149</f>
        <v>37.438687899999998</v>
      </c>
      <c r="M149" s="10" t="str" cm="1">
        <f t="array" ref="M149">IFERROR(_xlfn.XLOOKUP(1,('env Parameter'!$A:$A=$A149)*('env Parameter'!$B:$B=$K149)*('env Parameter'!$C:$C=$L149),'env Parameter'!D:D,""),"")</f>
        <v>안양천-8</v>
      </c>
      <c r="N149" s="10" t="str" cm="1">
        <f t="array" ref="N149">IFERROR(_xlfn.XLOOKUP(1,('env Parameter'!$A:$A=$A149)*('env Parameter'!$B:$B=$K149)*('env Parameter'!$C:$C=$L149),'env Parameter'!I:I,""),"")</f>
        <v>YR</v>
      </c>
    </row>
    <row r="150" spans="1:14">
      <c r="A150">
        <f>eDNA!A150</f>
        <v>20200717</v>
      </c>
      <c r="B150" s="10" t="str" cm="1">
        <f t="array" ref="B150">IFERROR(_xlfn.XLOOKUP(1,('env Parameter'!$A:$A=$A150)*('env Parameter'!$B:$B=$K150)*('env Parameter'!$C:$C=$L150),'env Parameter'!H:H,""),"")</f>
        <v>생물상 조사</v>
      </c>
      <c r="C150" s="10" cm="1">
        <f t="array" ref="C150">IFERROR(_xlfn.XLOOKUP(1,('env Parameter'!$A:$A=$A150)*('env Parameter'!$B:$B=$K150)*('env Parameter'!$C:$C=$L150),'env Parameter'!E:E,""),"")</f>
        <v>2.14</v>
      </c>
      <c r="D150" s="10" cm="1">
        <f t="array" ref="D150">IFERROR(_xlfn.XLOOKUP(1,('env Parameter'!$A:$A=$A150)*('env Parameter'!$B:$B=$K150)*('env Parameter'!$C:$C=$L150),'env Parameter'!F:F,""),"")</f>
        <v>478</v>
      </c>
      <c r="E150" s="10" cm="1">
        <f t="array" ref="E150">IFERROR(_xlfn.XLOOKUP(1,('env Parameter'!$A:$A=$A150)*('env Parameter'!$B:$B=$K150)*('env Parameter'!$C:$C=$L150),'env Parameter'!G:G,""),"")</f>
        <v>7.6</v>
      </c>
      <c r="F150" t="str">
        <f>eDNA!F150</f>
        <v>MiFish</v>
      </c>
      <c r="G150" t="str">
        <f>eDNA!D150</f>
        <v>Silurus soldatovi</v>
      </c>
      <c r="H150" t="str">
        <f>_xlfn.XLOOKUP(G150,'Common name (master file)'!$B:$B,'Common name (master file)'!$A:$A,"-------------")</f>
        <v>솔다토비 메기</v>
      </c>
      <c r="I150">
        <f>eDNA!E150</f>
        <v>1723</v>
      </c>
      <c r="J150" t="str">
        <f>_xlfn.XLOOKUP(G150,'Common name (master file)'!$B:$B,'Common name (master file)'!$C:$C,"")</f>
        <v>어류</v>
      </c>
      <c r="K150">
        <f>eDNA!B150</f>
        <v>126.9007862</v>
      </c>
      <c r="L150">
        <f>eDNA!C150</f>
        <v>37.438687899999998</v>
      </c>
      <c r="M150" s="10" t="str" cm="1">
        <f t="array" ref="M150">IFERROR(_xlfn.XLOOKUP(1,('env Parameter'!$A:$A=$A150)*('env Parameter'!$B:$B=$K150)*('env Parameter'!$C:$C=$L150),'env Parameter'!D:D,""),"")</f>
        <v>안양천-8</v>
      </c>
      <c r="N150" s="10" t="str" cm="1">
        <f t="array" ref="N150">IFERROR(_xlfn.XLOOKUP(1,('env Parameter'!$A:$A=$A150)*('env Parameter'!$B:$B=$K150)*('env Parameter'!$C:$C=$L150),'env Parameter'!I:I,""),"")</f>
        <v>YR</v>
      </c>
    </row>
    <row r="151" spans="1:14">
      <c r="A151">
        <f>eDNA!A151</f>
        <v>20200717</v>
      </c>
      <c r="B151" s="10" t="str" cm="1">
        <f t="array" ref="B151">IFERROR(_xlfn.XLOOKUP(1,('env Parameter'!$A:$A=$A151)*('env Parameter'!$B:$B=$K151)*('env Parameter'!$C:$C=$L151),'env Parameter'!H:H,""),"")</f>
        <v>생물상 조사</v>
      </c>
      <c r="C151" s="10" cm="1">
        <f t="array" ref="C151">IFERROR(_xlfn.XLOOKUP(1,('env Parameter'!$A:$A=$A151)*('env Parameter'!$B:$B=$K151)*('env Parameter'!$C:$C=$L151),'env Parameter'!E:E,""),"")</f>
        <v>2.14</v>
      </c>
      <c r="D151" s="10" cm="1">
        <f t="array" ref="D151">IFERROR(_xlfn.XLOOKUP(1,('env Parameter'!$A:$A=$A151)*('env Parameter'!$B:$B=$K151)*('env Parameter'!$C:$C=$L151),'env Parameter'!F:F,""),"")</f>
        <v>478</v>
      </c>
      <c r="E151" s="10" cm="1">
        <f t="array" ref="E151">IFERROR(_xlfn.XLOOKUP(1,('env Parameter'!$A:$A=$A151)*('env Parameter'!$B:$B=$K151)*('env Parameter'!$C:$C=$L151),'env Parameter'!G:G,""),"")</f>
        <v>7.6</v>
      </c>
      <c r="F151" t="str">
        <f>eDNA!F151</f>
        <v>MiFish</v>
      </c>
      <c r="G151" t="str">
        <f>eDNA!D151</f>
        <v>Odontobutis interrupta</v>
      </c>
      <c r="H151" t="str">
        <f>_xlfn.XLOOKUP(G151,'Common name (master file)'!$B:$B,'Common name (master file)'!$A:$A,"-------------")</f>
        <v>얼록동사리</v>
      </c>
      <c r="I151">
        <f>eDNA!E151</f>
        <v>18460</v>
      </c>
      <c r="J151" t="str">
        <f>_xlfn.XLOOKUP(G151,'Common name (master file)'!$B:$B,'Common name (master file)'!$C:$C,"")</f>
        <v>어류</v>
      </c>
      <c r="K151">
        <f>eDNA!B151</f>
        <v>126.9007862</v>
      </c>
      <c r="L151">
        <f>eDNA!C151</f>
        <v>37.438687899999998</v>
      </c>
      <c r="M151" s="10" t="str" cm="1">
        <f t="array" ref="M151">IFERROR(_xlfn.XLOOKUP(1,('env Parameter'!$A:$A=$A151)*('env Parameter'!$B:$B=$K151)*('env Parameter'!$C:$C=$L151),'env Parameter'!D:D,""),"")</f>
        <v>안양천-8</v>
      </c>
      <c r="N151" s="10" t="str" cm="1">
        <f t="array" ref="N151">IFERROR(_xlfn.XLOOKUP(1,('env Parameter'!$A:$A=$A151)*('env Parameter'!$B:$B=$K151)*('env Parameter'!$C:$C=$L151),'env Parameter'!I:I,""),"")</f>
        <v>YR</v>
      </c>
    </row>
    <row r="152" spans="1:14">
      <c r="A152">
        <f>eDNA!A152</f>
        <v>20200717</v>
      </c>
      <c r="B152" s="10" t="str" cm="1">
        <f t="array" ref="B152">IFERROR(_xlfn.XLOOKUP(1,('env Parameter'!$A:$A=$A152)*('env Parameter'!$B:$B=$K152)*('env Parameter'!$C:$C=$L152),'env Parameter'!H:H,""),"")</f>
        <v>생물상 조사</v>
      </c>
      <c r="C152" s="10" cm="1">
        <f t="array" ref="C152">IFERROR(_xlfn.XLOOKUP(1,('env Parameter'!$A:$A=$A152)*('env Parameter'!$B:$B=$K152)*('env Parameter'!$C:$C=$L152),'env Parameter'!E:E,""),"")</f>
        <v>2.14</v>
      </c>
      <c r="D152" s="10" cm="1">
        <f t="array" ref="D152">IFERROR(_xlfn.XLOOKUP(1,('env Parameter'!$A:$A=$A152)*('env Parameter'!$B:$B=$K152)*('env Parameter'!$C:$C=$L152),'env Parameter'!F:F,""),"")</f>
        <v>478</v>
      </c>
      <c r="E152" s="10" cm="1">
        <f t="array" ref="E152">IFERROR(_xlfn.XLOOKUP(1,('env Parameter'!$A:$A=$A152)*('env Parameter'!$B:$B=$K152)*('env Parameter'!$C:$C=$L152),'env Parameter'!G:G,""),"")</f>
        <v>7.6</v>
      </c>
      <c r="F152" t="str">
        <f>eDNA!F152</f>
        <v>MiFish</v>
      </c>
      <c r="G152" t="str">
        <f>eDNA!D152</f>
        <v>Pseudorasbora parva</v>
      </c>
      <c r="H152" t="str">
        <f>_xlfn.XLOOKUP(G152,'Common name (master file)'!$B:$B,'Common name (master file)'!$A:$A,"-------------")</f>
        <v>참붕어</v>
      </c>
      <c r="I152">
        <f>eDNA!E152</f>
        <v>22078</v>
      </c>
      <c r="J152" t="str">
        <f>_xlfn.XLOOKUP(G152,'Common name (master file)'!$B:$B,'Common name (master file)'!$C:$C,"")</f>
        <v>어류</v>
      </c>
      <c r="K152">
        <f>eDNA!B152</f>
        <v>126.9007862</v>
      </c>
      <c r="L152">
        <f>eDNA!C152</f>
        <v>37.438687899999998</v>
      </c>
      <c r="M152" s="10" t="str" cm="1">
        <f t="array" ref="M152">IFERROR(_xlfn.XLOOKUP(1,('env Parameter'!$A:$A=$A152)*('env Parameter'!$B:$B=$K152)*('env Parameter'!$C:$C=$L152),'env Parameter'!D:D,""),"")</f>
        <v>안양천-8</v>
      </c>
      <c r="N152" s="10" t="str" cm="1">
        <f t="array" ref="N152">IFERROR(_xlfn.XLOOKUP(1,('env Parameter'!$A:$A=$A152)*('env Parameter'!$B:$B=$K152)*('env Parameter'!$C:$C=$L152),'env Parameter'!I:I,""),"")</f>
        <v>YR</v>
      </c>
    </row>
    <row r="153" spans="1:14">
      <c r="A153">
        <f>eDNA!A153</f>
        <v>20200717</v>
      </c>
      <c r="B153" s="10" t="str" cm="1">
        <f t="array" ref="B153">IFERROR(_xlfn.XLOOKUP(1,('env Parameter'!$A:$A=$A153)*('env Parameter'!$B:$B=$K153)*('env Parameter'!$C:$C=$L153),'env Parameter'!H:H,""),"")</f>
        <v>생물상 조사</v>
      </c>
      <c r="C153" s="10" cm="1">
        <f t="array" ref="C153">IFERROR(_xlfn.XLOOKUP(1,('env Parameter'!$A:$A=$A153)*('env Parameter'!$B:$B=$K153)*('env Parameter'!$C:$C=$L153),'env Parameter'!E:E,""),"")</f>
        <v>2.14</v>
      </c>
      <c r="D153" s="10" cm="1">
        <f t="array" ref="D153">IFERROR(_xlfn.XLOOKUP(1,('env Parameter'!$A:$A=$A153)*('env Parameter'!$B:$B=$K153)*('env Parameter'!$C:$C=$L153),'env Parameter'!F:F,""),"")</f>
        <v>478</v>
      </c>
      <c r="E153" s="10" cm="1">
        <f t="array" ref="E153">IFERROR(_xlfn.XLOOKUP(1,('env Parameter'!$A:$A=$A153)*('env Parameter'!$B:$B=$K153)*('env Parameter'!$C:$C=$L153),'env Parameter'!G:G,""),"")</f>
        <v>7.6</v>
      </c>
      <c r="F153" t="str">
        <f>eDNA!F153</f>
        <v>MiFish</v>
      </c>
      <c r="G153" t="str">
        <f>eDNA!D153</f>
        <v>Carassius gibelio</v>
      </c>
      <c r="H153" t="str">
        <f>_xlfn.XLOOKUP(G153,'Common name (master file)'!$B:$B,'Common name (master file)'!$A:$A,"-------------")</f>
        <v>기벨리오 붕어</v>
      </c>
      <c r="I153">
        <f>eDNA!E153</f>
        <v>33935</v>
      </c>
      <c r="J153" t="str">
        <f>_xlfn.XLOOKUP(G153,'Common name (master file)'!$B:$B,'Common name (master file)'!$C:$C,"")</f>
        <v>어류</v>
      </c>
      <c r="K153">
        <f>eDNA!B153</f>
        <v>126.9007862</v>
      </c>
      <c r="L153">
        <f>eDNA!C153</f>
        <v>37.438687899999998</v>
      </c>
      <c r="M153" s="10" t="str" cm="1">
        <f t="array" ref="M153">IFERROR(_xlfn.XLOOKUP(1,('env Parameter'!$A:$A=$A153)*('env Parameter'!$B:$B=$K153)*('env Parameter'!$C:$C=$L153),'env Parameter'!D:D,""),"")</f>
        <v>안양천-8</v>
      </c>
      <c r="N153" s="10" t="str" cm="1">
        <f t="array" ref="N153">IFERROR(_xlfn.XLOOKUP(1,('env Parameter'!$A:$A=$A153)*('env Parameter'!$B:$B=$K153)*('env Parameter'!$C:$C=$L153),'env Parameter'!I:I,""),"")</f>
        <v>YR</v>
      </c>
    </row>
    <row r="154" spans="1:14">
      <c r="A154">
        <f>eDNA!A154</f>
        <v>20200717</v>
      </c>
      <c r="B154" s="10" t="str" cm="1">
        <f t="array" ref="B154">IFERROR(_xlfn.XLOOKUP(1,('env Parameter'!$A:$A=$A154)*('env Parameter'!$B:$B=$K154)*('env Parameter'!$C:$C=$L154),'env Parameter'!H:H,""),"")</f>
        <v>생물상 조사</v>
      </c>
      <c r="C154" s="10" cm="1">
        <f t="array" ref="C154">IFERROR(_xlfn.XLOOKUP(1,('env Parameter'!$A:$A=$A154)*('env Parameter'!$B:$B=$K154)*('env Parameter'!$C:$C=$L154),'env Parameter'!E:E,""),"")</f>
        <v>2.14</v>
      </c>
      <c r="D154" s="10" cm="1">
        <f t="array" ref="D154">IFERROR(_xlfn.XLOOKUP(1,('env Parameter'!$A:$A=$A154)*('env Parameter'!$B:$B=$K154)*('env Parameter'!$C:$C=$L154),'env Parameter'!F:F,""),"")</f>
        <v>478</v>
      </c>
      <c r="E154" s="10" cm="1">
        <f t="array" ref="E154">IFERROR(_xlfn.XLOOKUP(1,('env Parameter'!$A:$A=$A154)*('env Parameter'!$B:$B=$K154)*('env Parameter'!$C:$C=$L154),'env Parameter'!G:G,""),"")</f>
        <v>7.6</v>
      </c>
      <c r="F154" t="str">
        <f>eDNA!F154</f>
        <v>MiFish</v>
      </c>
      <c r="G154" t="str">
        <f>eDNA!D154</f>
        <v>Hemibarbus umbrifer</v>
      </c>
      <c r="H154" t="str">
        <f>_xlfn.XLOOKUP(G154,'Common name (master file)'!$B:$B,'Common name (master file)'!$A:$A,"-------------")</f>
        <v>누치</v>
      </c>
      <c r="I154">
        <f>eDNA!E154</f>
        <v>22</v>
      </c>
      <c r="J154" t="str">
        <f>_xlfn.XLOOKUP(G154,'Common name (master file)'!$B:$B,'Common name (master file)'!$C:$C,"")</f>
        <v>어류</v>
      </c>
      <c r="K154">
        <f>eDNA!B154</f>
        <v>126.8910417</v>
      </c>
      <c r="L154">
        <f>eDNA!C154</f>
        <v>37.458163800000001</v>
      </c>
      <c r="M154" s="10" t="str" cm="1">
        <f t="array" ref="M154">IFERROR(_xlfn.XLOOKUP(1,('env Parameter'!$A:$A=$A154)*('env Parameter'!$B:$B=$K154)*('env Parameter'!$C:$C=$L154),'env Parameter'!D:D,""),"")</f>
        <v>안양천-9</v>
      </c>
      <c r="N154" s="10" t="str" cm="1">
        <f t="array" ref="N154">IFERROR(_xlfn.XLOOKUP(1,('env Parameter'!$A:$A=$A154)*('env Parameter'!$B:$B=$K154)*('env Parameter'!$C:$C=$L154),'env Parameter'!I:I,""),"")</f>
        <v>YR</v>
      </c>
    </row>
    <row r="155" spans="1:14">
      <c r="A155">
        <f>eDNA!A155</f>
        <v>20200717</v>
      </c>
      <c r="B155" s="10" t="str" cm="1">
        <f t="array" ref="B155">IFERROR(_xlfn.XLOOKUP(1,('env Parameter'!$A:$A=$A155)*('env Parameter'!$B:$B=$K155)*('env Parameter'!$C:$C=$L155),'env Parameter'!H:H,""),"")</f>
        <v>생물상 조사</v>
      </c>
      <c r="C155" s="10" cm="1">
        <f t="array" ref="C155">IFERROR(_xlfn.XLOOKUP(1,('env Parameter'!$A:$A=$A155)*('env Parameter'!$B:$B=$K155)*('env Parameter'!$C:$C=$L155),'env Parameter'!E:E,""),"")</f>
        <v>2.14</v>
      </c>
      <c r="D155" s="10" cm="1">
        <f t="array" ref="D155">IFERROR(_xlfn.XLOOKUP(1,('env Parameter'!$A:$A=$A155)*('env Parameter'!$B:$B=$K155)*('env Parameter'!$C:$C=$L155),'env Parameter'!F:F,""),"")</f>
        <v>478</v>
      </c>
      <c r="E155" s="10" cm="1">
        <f t="array" ref="E155">IFERROR(_xlfn.XLOOKUP(1,('env Parameter'!$A:$A=$A155)*('env Parameter'!$B:$B=$K155)*('env Parameter'!$C:$C=$L155),'env Parameter'!G:G,""),"")</f>
        <v>7.6</v>
      </c>
      <c r="F155" t="str">
        <f>eDNA!F155</f>
        <v>MiFish</v>
      </c>
      <c r="G155" t="str">
        <f>eDNA!D155</f>
        <v>Culter dabryi</v>
      </c>
      <c r="H155" t="str">
        <f>_xlfn.XLOOKUP(G155,'Common name (master file)'!$B:$B,'Common name (master file)'!$A:$A,"-------------")</f>
        <v>다브리날카로운입치</v>
      </c>
      <c r="I155">
        <f>eDNA!E155</f>
        <v>26</v>
      </c>
      <c r="J155" t="str">
        <f>_xlfn.XLOOKUP(G155,'Common name (master file)'!$B:$B,'Common name (master file)'!$C:$C,"")</f>
        <v>어류</v>
      </c>
      <c r="K155">
        <f>eDNA!B155</f>
        <v>126.8910417</v>
      </c>
      <c r="L155">
        <f>eDNA!C155</f>
        <v>37.458163800000001</v>
      </c>
      <c r="M155" s="10" t="str" cm="1">
        <f t="array" ref="M155">IFERROR(_xlfn.XLOOKUP(1,('env Parameter'!$A:$A=$A155)*('env Parameter'!$B:$B=$K155)*('env Parameter'!$C:$C=$L155),'env Parameter'!D:D,""),"")</f>
        <v>안양천-9</v>
      </c>
      <c r="N155" s="10" t="str" cm="1">
        <f t="array" ref="N155">IFERROR(_xlfn.XLOOKUP(1,('env Parameter'!$A:$A=$A155)*('env Parameter'!$B:$B=$K155)*('env Parameter'!$C:$C=$L155),'env Parameter'!I:I,""),"")</f>
        <v>YR</v>
      </c>
    </row>
    <row r="156" spans="1:14">
      <c r="A156">
        <f>eDNA!A156</f>
        <v>20200717</v>
      </c>
      <c r="B156" s="10" t="str" cm="1">
        <f t="array" ref="B156">IFERROR(_xlfn.XLOOKUP(1,('env Parameter'!$A:$A=$A156)*('env Parameter'!$B:$B=$K156)*('env Parameter'!$C:$C=$L156),'env Parameter'!H:H,""),"")</f>
        <v>생물상 조사</v>
      </c>
      <c r="C156" s="10" cm="1">
        <f t="array" ref="C156">IFERROR(_xlfn.XLOOKUP(1,('env Parameter'!$A:$A=$A156)*('env Parameter'!$B:$B=$K156)*('env Parameter'!$C:$C=$L156),'env Parameter'!E:E,""),"")</f>
        <v>2.14</v>
      </c>
      <c r="D156" s="10" cm="1">
        <f t="array" ref="D156">IFERROR(_xlfn.XLOOKUP(1,('env Parameter'!$A:$A=$A156)*('env Parameter'!$B:$B=$K156)*('env Parameter'!$C:$C=$L156),'env Parameter'!F:F,""),"")</f>
        <v>478</v>
      </c>
      <c r="E156" s="10" cm="1">
        <f t="array" ref="E156">IFERROR(_xlfn.XLOOKUP(1,('env Parameter'!$A:$A=$A156)*('env Parameter'!$B:$B=$K156)*('env Parameter'!$C:$C=$L156),'env Parameter'!G:G,""),"")</f>
        <v>7.6</v>
      </c>
      <c r="F156" t="str">
        <f>eDNA!F156</f>
        <v>MiFish</v>
      </c>
      <c r="G156" t="str">
        <f>eDNA!D156</f>
        <v>Rattus norvegicus</v>
      </c>
      <c r="H156" t="str">
        <f>_xlfn.XLOOKUP(G156,'Common name (master file)'!$B:$B,'Common name (master file)'!$A:$A,"-------------")</f>
        <v>시궁쥐</v>
      </c>
      <c r="I156">
        <f>eDNA!E156</f>
        <v>31</v>
      </c>
      <c r="J156" t="str">
        <f>_xlfn.XLOOKUP(G156,'Common name (master file)'!$B:$B,'Common name (master file)'!$C:$C,"")</f>
        <v>포유류</v>
      </c>
      <c r="K156">
        <f>eDNA!B156</f>
        <v>126.8910417</v>
      </c>
      <c r="L156">
        <f>eDNA!C156</f>
        <v>37.458163800000001</v>
      </c>
      <c r="M156" s="10" t="str" cm="1">
        <f t="array" ref="M156">IFERROR(_xlfn.XLOOKUP(1,('env Parameter'!$A:$A=$A156)*('env Parameter'!$B:$B=$K156)*('env Parameter'!$C:$C=$L156),'env Parameter'!D:D,""),"")</f>
        <v>안양천-9</v>
      </c>
      <c r="N156" s="10" t="str" cm="1">
        <f t="array" ref="N156">IFERROR(_xlfn.XLOOKUP(1,('env Parameter'!$A:$A=$A156)*('env Parameter'!$B:$B=$K156)*('env Parameter'!$C:$C=$L156),'env Parameter'!I:I,""),"")</f>
        <v>YR</v>
      </c>
    </row>
    <row r="157" spans="1:14">
      <c r="A157">
        <f>eDNA!A157</f>
        <v>20200717</v>
      </c>
      <c r="B157" s="10" t="str" cm="1">
        <f t="array" ref="B157">IFERROR(_xlfn.XLOOKUP(1,('env Parameter'!$A:$A=$A157)*('env Parameter'!$B:$B=$K157)*('env Parameter'!$C:$C=$L157),'env Parameter'!H:H,""),"")</f>
        <v>생물상 조사</v>
      </c>
      <c r="C157" s="10" cm="1">
        <f t="array" ref="C157">IFERROR(_xlfn.XLOOKUP(1,('env Parameter'!$A:$A=$A157)*('env Parameter'!$B:$B=$K157)*('env Parameter'!$C:$C=$L157),'env Parameter'!E:E,""),"")</f>
        <v>2.14</v>
      </c>
      <c r="D157" s="10" cm="1">
        <f t="array" ref="D157">IFERROR(_xlfn.XLOOKUP(1,('env Parameter'!$A:$A=$A157)*('env Parameter'!$B:$B=$K157)*('env Parameter'!$C:$C=$L157),'env Parameter'!F:F,""),"")</f>
        <v>478</v>
      </c>
      <c r="E157" s="10" cm="1">
        <f t="array" ref="E157">IFERROR(_xlfn.XLOOKUP(1,('env Parameter'!$A:$A=$A157)*('env Parameter'!$B:$B=$K157)*('env Parameter'!$C:$C=$L157),'env Parameter'!G:G,""),"")</f>
        <v>7.6</v>
      </c>
      <c r="F157" t="str">
        <f>eDNA!F157</f>
        <v>MiFish</v>
      </c>
      <c r="G157" t="str">
        <f>eDNA!D157</f>
        <v>Pelodiscus sinensis</v>
      </c>
      <c r="H157" t="str">
        <f>_xlfn.XLOOKUP(G157,'Common name (master file)'!$B:$B,'Common name (master file)'!$A:$A,"-------------")</f>
        <v>중국자라</v>
      </c>
      <c r="I157">
        <f>eDNA!E157</f>
        <v>32</v>
      </c>
      <c r="J157" t="str">
        <f>_xlfn.XLOOKUP(G157,'Common name (master file)'!$B:$B,'Common name (master file)'!$C:$C,"")</f>
        <v>양서파충류</v>
      </c>
      <c r="K157">
        <f>eDNA!B157</f>
        <v>126.8910417</v>
      </c>
      <c r="L157">
        <f>eDNA!C157</f>
        <v>37.458163800000001</v>
      </c>
      <c r="M157" s="10" t="str" cm="1">
        <f t="array" ref="M157">IFERROR(_xlfn.XLOOKUP(1,('env Parameter'!$A:$A=$A157)*('env Parameter'!$B:$B=$K157)*('env Parameter'!$C:$C=$L157),'env Parameter'!D:D,""),"")</f>
        <v>안양천-9</v>
      </c>
      <c r="N157" s="10" t="str" cm="1">
        <f t="array" ref="N157">IFERROR(_xlfn.XLOOKUP(1,('env Parameter'!$A:$A=$A157)*('env Parameter'!$B:$B=$K157)*('env Parameter'!$C:$C=$L157),'env Parameter'!I:I,""),"")</f>
        <v>YR</v>
      </c>
    </row>
    <row r="158" spans="1:14">
      <c r="A158">
        <f>eDNA!A158</f>
        <v>20200717</v>
      </c>
      <c r="B158" s="10" t="str" cm="1">
        <f t="array" ref="B158">IFERROR(_xlfn.XLOOKUP(1,('env Parameter'!$A:$A=$A158)*('env Parameter'!$B:$B=$K158)*('env Parameter'!$C:$C=$L158),'env Parameter'!H:H,""),"")</f>
        <v>생물상 조사</v>
      </c>
      <c r="C158" s="10" cm="1">
        <f t="array" ref="C158">IFERROR(_xlfn.XLOOKUP(1,('env Parameter'!$A:$A=$A158)*('env Parameter'!$B:$B=$K158)*('env Parameter'!$C:$C=$L158),'env Parameter'!E:E,""),"")</f>
        <v>2.14</v>
      </c>
      <c r="D158" s="10" cm="1">
        <f t="array" ref="D158">IFERROR(_xlfn.XLOOKUP(1,('env Parameter'!$A:$A=$A158)*('env Parameter'!$B:$B=$K158)*('env Parameter'!$C:$C=$L158),'env Parameter'!F:F,""),"")</f>
        <v>478</v>
      </c>
      <c r="E158" s="10" cm="1">
        <f t="array" ref="E158">IFERROR(_xlfn.XLOOKUP(1,('env Parameter'!$A:$A=$A158)*('env Parameter'!$B:$B=$K158)*('env Parameter'!$C:$C=$L158),'env Parameter'!G:G,""),"")</f>
        <v>7.6</v>
      </c>
      <c r="F158" t="str">
        <f>eDNA!F158</f>
        <v>MiFish</v>
      </c>
      <c r="G158" t="str">
        <f>eDNA!D158</f>
        <v>Hemibarbus sp.</v>
      </c>
      <c r="H158" t="str">
        <f>_xlfn.XLOOKUP(G158,'Common name (master file)'!$B:$B,'Common name (master file)'!$A:$A,"-------------")</f>
        <v>누치 속</v>
      </c>
      <c r="I158">
        <f>eDNA!E158</f>
        <v>33</v>
      </c>
      <c r="J158" t="str">
        <f>_xlfn.XLOOKUP(G158,'Common name (master file)'!$B:$B,'Common name (master file)'!$C:$C,"")</f>
        <v>어류</v>
      </c>
      <c r="K158">
        <f>eDNA!B158</f>
        <v>126.8910417</v>
      </c>
      <c r="L158">
        <f>eDNA!C158</f>
        <v>37.458163800000001</v>
      </c>
      <c r="M158" s="10" t="str" cm="1">
        <f t="array" ref="M158">IFERROR(_xlfn.XLOOKUP(1,('env Parameter'!$A:$A=$A158)*('env Parameter'!$B:$B=$K158)*('env Parameter'!$C:$C=$L158),'env Parameter'!D:D,""),"")</f>
        <v>안양천-9</v>
      </c>
      <c r="N158" s="10" t="str" cm="1">
        <f t="array" ref="N158">IFERROR(_xlfn.XLOOKUP(1,('env Parameter'!$A:$A=$A158)*('env Parameter'!$B:$B=$K158)*('env Parameter'!$C:$C=$L158),'env Parameter'!I:I,""),"")</f>
        <v>YR</v>
      </c>
    </row>
    <row r="159" spans="1:14">
      <c r="A159">
        <f>eDNA!A159</f>
        <v>20200717</v>
      </c>
      <c r="B159" s="10" t="str" cm="1">
        <f t="array" ref="B159">IFERROR(_xlfn.XLOOKUP(1,('env Parameter'!$A:$A=$A159)*('env Parameter'!$B:$B=$K159)*('env Parameter'!$C:$C=$L159),'env Parameter'!H:H,""),"")</f>
        <v>생물상 조사</v>
      </c>
      <c r="C159" s="10" cm="1">
        <f t="array" ref="C159">IFERROR(_xlfn.XLOOKUP(1,('env Parameter'!$A:$A=$A159)*('env Parameter'!$B:$B=$K159)*('env Parameter'!$C:$C=$L159),'env Parameter'!E:E,""),"")</f>
        <v>2.14</v>
      </c>
      <c r="D159" s="10" cm="1">
        <f t="array" ref="D159">IFERROR(_xlfn.XLOOKUP(1,('env Parameter'!$A:$A=$A159)*('env Parameter'!$B:$B=$K159)*('env Parameter'!$C:$C=$L159),'env Parameter'!F:F,""),"")</f>
        <v>478</v>
      </c>
      <c r="E159" s="10" cm="1">
        <f t="array" ref="E159">IFERROR(_xlfn.XLOOKUP(1,('env Parameter'!$A:$A=$A159)*('env Parameter'!$B:$B=$K159)*('env Parameter'!$C:$C=$L159),'env Parameter'!G:G,""),"")</f>
        <v>7.6</v>
      </c>
      <c r="F159" t="str">
        <f>eDNA!F159</f>
        <v>MiFish</v>
      </c>
      <c r="G159" t="str">
        <f>eDNA!D159</f>
        <v>Bos taurus</v>
      </c>
      <c r="H159" t="str">
        <f>_xlfn.XLOOKUP(G159,'Common name (master file)'!$B:$B,'Common name (master file)'!$A:$A,"-------------")</f>
        <v>소</v>
      </c>
      <c r="I159">
        <f>eDNA!E159</f>
        <v>37</v>
      </c>
      <c r="J159" t="str">
        <f>_xlfn.XLOOKUP(G159,'Common name (master file)'!$B:$B,'Common name (master file)'!$C:$C,"")</f>
        <v>포유류</v>
      </c>
      <c r="K159">
        <f>eDNA!B159</f>
        <v>126.8910417</v>
      </c>
      <c r="L159">
        <f>eDNA!C159</f>
        <v>37.458163800000001</v>
      </c>
      <c r="M159" s="10" t="str" cm="1">
        <f t="array" ref="M159">IFERROR(_xlfn.XLOOKUP(1,('env Parameter'!$A:$A=$A159)*('env Parameter'!$B:$B=$K159)*('env Parameter'!$C:$C=$L159),'env Parameter'!D:D,""),"")</f>
        <v>안양천-9</v>
      </c>
      <c r="N159" s="10" t="str" cm="1">
        <f t="array" ref="N159">IFERROR(_xlfn.XLOOKUP(1,('env Parameter'!$A:$A=$A159)*('env Parameter'!$B:$B=$K159)*('env Parameter'!$C:$C=$L159),'env Parameter'!I:I,""),"")</f>
        <v>YR</v>
      </c>
    </row>
    <row r="160" spans="1:14">
      <c r="A160">
        <f>eDNA!A160</f>
        <v>20200717</v>
      </c>
      <c r="B160" s="10" t="str" cm="1">
        <f t="array" ref="B160">IFERROR(_xlfn.XLOOKUP(1,('env Parameter'!$A:$A=$A160)*('env Parameter'!$B:$B=$K160)*('env Parameter'!$C:$C=$L160),'env Parameter'!H:H,""),"")</f>
        <v>생물상 조사</v>
      </c>
      <c r="C160" s="10" cm="1">
        <f t="array" ref="C160">IFERROR(_xlfn.XLOOKUP(1,('env Parameter'!$A:$A=$A160)*('env Parameter'!$B:$B=$K160)*('env Parameter'!$C:$C=$L160),'env Parameter'!E:E,""),"")</f>
        <v>2.14</v>
      </c>
      <c r="D160" s="10" cm="1">
        <f t="array" ref="D160">IFERROR(_xlfn.XLOOKUP(1,('env Parameter'!$A:$A=$A160)*('env Parameter'!$B:$B=$K160)*('env Parameter'!$C:$C=$L160),'env Parameter'!F:F,""),"")</f>
        <v>478</v>
      </c>
      <c r="E160" s="10" cm="1">
        <f t="array" ref="E160">IFERROR(_xlfn.XLOOKUP(1,('env Parameter'!$A:$A=$A160)*('env Parameter'!$B:$B=$K160)*('env Parameter'!$C:$C=$L160),'env Parameter'!G:G,""),"")</f>
        <v>7.6</v>
      </c>
      <c r="F160" t="str">
        <f>eDNA!F160</f>
        <v>MiFish</v>
      </c>
      <c r="G160" t="str">
        <f>eDNA!D160</f>
        <v>Pseudogobio esocinus</v>
      </c>
      <c r="H160" t="str">
        <f>_xlfn.XLOOKUP(G160,'Common name (master file)'!$B:$B,'Common name (master file)'!$A:$A,"-------------")</f>
        <v>모래무지</v>
      </c>
      <c r="I160">
        <f>eDNA!E160</f>
        <v>45</v>
      </c>
      <c r="J160" t="str">
        <f>_xlfn.XLOOKUP(G160,'Common name (master file)'!$B:$B,'Common name (master file)'!$C:$C,"")</f>
        <v>어류</v>
      </c>
      <c r="K160">
        <f>eDNA!B160</f>
        <v>126.8910417</v>
      </c>
      <c r="L160">
        <f>eDNA!C160</f>
        <v>37.458163800000001</v>
      </c>
      <c r="M160" s="10" t="str" cm="1">
        <f t="array" ref="M160">IFERROR(_xlfn.XLOOKUP(1,('env Parameter'!$A:$A=$A160)*('env Parameter'!$B:$B=$K160)*('env Parameter'!$C:$C=$L160),'env Parameter'!D:D,""),"")</f>
        <v>안양천-9</v>
      </c>
      <c r="N160" s="10" t="str" cm="1">
        <f t="array" ref="N160">IFERROR(_xlfn.XLOOKUP(1,('env Parameter'!$A:$A=$A160)*('env Parameter'!$B:$B=$K160)*('env Parameter'!$C:$C=$L160),'env Parameter'!I:I,""),"")</f>
        <v>YR</v>
      </c>
    </row>
    <row r="161" spans="1:14">
      <c r="A161">
        <f>eDNA!A161</f>
        <v>20200717</v>
      </c>
      <c r="B161" s="10" t="str" cm="1">
        <f t="array" ref="B161">IFERROR(_xlfn.XLOOKUP(1,('env Parameter'!$A:$A=$A161)*('env Parameter'!$B:$B=$K161)*('env Parameter'!$C:$C=$L161),'env Parameter'!H:H,""),"")</f>
        <v>생물상 조사</v>
      </c>
      <c r="C161" s="10" cm="1">
        <f t="array" ref="C161">IFERROR(_xlfn.XLOOKUP(1,('env Parameter'!$A:$A=$A161)*('env Parameter'!$B:$B=$K161)*('env Parameter'!$C:$C=$L161),'env Parameter'!E:E,""),"")</f>
        <v>2.14</v>
      </c>
      <c r="D161" s="10" cm="1">
        <f t="array" ref="D161">IFERROR(_xlfn.XLOOKUP(1,('env Parameter'!$A:$A=$A161)*('env Parameter'!$B:$B=$K161)*('env Parameter'!$C:$C=$L161),'env Parameter'!F:F,""),"")</f>
        <v>478</v>
      </c>
      <c r="E161" s="10" cm="1">
        <f t="array" ref="E161">IFERROR(_xlfn.XLOOKUP(1,('env Parameter'!$A:$A=$A161)*('env Parameter'!$B:$B=$K161)*('env Parameter'!$C:$C=$L161),'env Parameter'!G:G,""),"")</f>
        <v>7.6</v>
      </c>
      <c r="F161" t="str">
        <f>eDNA!F161</f>
        <v>MiFish</v>
      </c>
      <c r="G161" t="str">
        <f>eDNA!D161</f>
        <v>Cyprinus megalophthalmus</v>
      </c>
      <c r="H161" t="str">
        <f>_xlfn.XLOOKUP(G161,'Common name (master file)'!$B:$B,'Common name (master file)'!$A:$A,"-------------")</f>
        <v>큰눈잉어</v>
      </c>
      <c r="I161">
        <f>eDNA!E161</f>
        <v>63</v>
      </c>
      <c r="J161" t="str">
        <f>_xlfn.XLOOKUP(G161,'Common name (master file)'!$B:$B,'Common name (master file)'!$C:$C,"")</f>
        <v>어류</v>
      </c>
      <c r="K161">
        <f>eDNA!B161</f>
        <v>126.8910417</v>
      </c>
      <c r="L161">
        <f>eDNA!C161</f>
        <v>37.458163800000001</v>
      </c>
      <c r="M161" s="10" t="str" cm="1">
        <f t="array" ref="M161">IFERROR(_xlfn.XLOOKUP(1,('env Parameter'!$A:$A=$A161)*('env Parameter'!$B:$B=$K161)*('env Parameter'!$C:$C=$L161),'env Parameter'!D:D,""),"")</f>
        <v>안양천-9</v>
      </c>
      <c r="N161" s="10" t="str" cm="1">
        <f t="array" ref="N161">IFERROR(_xlfn.XLOOKUP(1,('env Parameter'!$A:$A=$A161)*('env Parameter'!$B:$B=$K161)*('env Parameter'!$C:$C=$L161),'env Parameter'!I:I,""),"")</f>
        <v>YR</v>
      </c>
    </row>
    <row r="162" spans="1:14">
      <c r="A162">
        <f>eDNA!A162</f>
        <v>20200717</v>
      </c>
      <c r="B162" s="10" t="str" cm="1">
        <f t="array" ref="B162">IFERROR(_xlfn.XLOOKUP(1,('env Parameter'!$A:$A=$A162)*('env Parameter'!$B:$B=$K162)*('env Parameter'!$C:$C=$L162),'env Parameter'!H:H,""),"")</f>
        <v>생물상 조사</v>
      </c>
      <c r="C162" s="10" cm="1">
        <f t="array" ref="C162">IFERROR(_xlfn.XLOOKUP(1,('env Parameter'!$A:$A=$A162)*('env Parameter'!$B:$B=$K162)*('env Parameter'!$C:$C=$L162),'env Parameter'!E:E,""),"")</f>
        <v>2.14</v>
      </c>
      <c r="D162" s="10" cm="1">
        <f t="array" ref="D162">IFERROR(_xlfn.XLOOKUP(1,('env Parameter'!$A:$A=$A162)*('env Parameter'!$B:$B=$K162)*('env Parameter'!$C:$C=$L162),'env Parameter'!F:F,""),"")</f>
        <v>478</v>
      </c>
      <c r="E162" s="10" cm="1">
        <f t="array" ref="E162">IFERROR(_xlfn.XLOOKUP(1,('env Parameter'!$A:$A=$A162)*('env Parameter'!$B:$B=$K162)*('env Parameter'!$C:$C=$L162),'env Parameter'!G:G,""),"")</f>
        <v>7.6</v>
      </c>
      <c r="F162" t="str">
        <f>eDNA!F162</f>
        <v>MiFish</v>
      </c>
      <c r="G162" t="str">
        <f>eDNA!D162</f>
        <v>Rhinogobius sp.</v>
      </c>
      <c r="H162" t="str">
        <f>_xlfn.XLOOKUP(G162,'Common name (master file)'!$B:$B,'Common name (master file)'!$A:$A,"-------------")</f>
        <v>밀어</v>
      </c>
      <c r="I162">
        <f>eDNA!E162</f>
        <v>67</v>
      </c>
      <c r="J162" t="str">
        <f>_xlfn.XLOOKUP(G162,'Common name (master file)'!$B:$B,'Common name (master file)'!$C:$C,"")</f>
        <v>어류</v>
      </c>
      <c r="K162">
        <f>eDNA!B162</f>
        <v>126.8910417</v>
      </c>
      <c r="L162">
        <f>eDNA!C162</f>
        <v>37.458163800000001</v>
      </c>
      <c r="M162" s="10" t="str" cm="1">
        <f t="array" ref="M162">IFERROR(_xlfn.XLOOKUP(1,('env Parameter'!$A:$A=$A162)*('env Parameter'!$B:$B=$K162)*('env Parameter'!$C:$C=$L162),'env Parameter'!D:D,""),"")</f>
        <v>안양천-9</v>
      </c>
      <c r="N162" s="10" t="str" cm="1">
        <f t="array" ref="N162">IFERROR(_xlfn.XLOOKUP(1,('env Parameter'!$A:$A=$A162)*('env Parameter'!$B:$B=$K162)*('env Parameter'!$C:$C=$L162),'env Parameter'!I:I,""),"")</f>
        <v>YR</v>
      </c>
    </row>
    <row r="163" spans="1:14">
      <c r="A163">
        <f>eDNA!A163</f>
        <v>20200717</v>
      </c>
      <c r="B163" s="10" t="str" cm="1">
        <f t="array" ref="B163">IFERROR(_xlfn.XLOOKUP(1,('env Parameter'!$A:$A=$A163)*('env Parameter'!$B:$B=$K163)*('env Parameter'!$C:$C=$L163),'env Parameter'!H:H,""),"")</f>
        <v>생물상 조사</v>
      </c>
      <c r="C163" s="10" cm="1">
        <f t="array" ref="C163">IFERROR(_xlfn.XLOOKUP(1,('env Parameter'!$A:$A=$A163)*('env Parameter'!$B:$B=$K163)*('env Parameter'!$C:$C=$L163),'env Parameter'!E:E,""),"")</f>
        <v>2.14</v>
      </c>
      <c r="D163" s="10" cm="1">
        <f t="array" ref="D163">IFERROR(_xlfn.XLOOKUP(1,('env Parameter'!$A:$A=$A163)*('env Parameter'!$B:$B=$K163)*('env Parameter'!$C:$C=$L163),'env Parameter'!F:F,""),"")</f>
        <v>478</v>
      </c>
      <c r="E163" s="10" cm="1">
        <f t="array" ref="E163">IFERROR(_xlfn.XLOOKUP(1,('env Parameter'!$A:$A=$A163)*('env Parameter'!$B:$B=$K163)*('env Parameter'!$C:$C=$L163),'env Parameter'!G:G,""),"")</f>
        <v>7.6</v>
      </c>
      <c r="F163" t="str">
        <f>eDNA!F163</f>
        <v>MiFish</v>
      </c>
      <c r="G163" t="str">
        <f>eDNA!D163</f>
        <v>Oryzias sinensis</v>
      </c>
      <c r="H163" t="str">
        <f>_xlfn.XLOOKUP(G163,'Common name (master file)'!$B:$B,'Common name (master file)'!$A:$A,"-------------")</f>
        <v>대륙송사리</v>
      </c>
      <c r="I163">
        <f>eDNA!E163</f>
        <v>72</v>
      </c>
      <c r="J163" t="str">
        <f>_xlfn.XLOOKUP(G163,'Common name (master file)'!$B:$B,'Common name (master file)'!$C:$C,"")</f>
        <v>어류</v>
      </c>
      <c r="K163">
        <f>eDNA!B163</f>
        <v>126.8910417</v>
      </c>
      <c r="L163">
        <f>eDNA!C163</f>
        <v>37.458163800000001</v>
      </c>
      <c r="M163" s="10" t="str" cm="1">
        <f t="array" ref="M163">IFERROR(_xlfn.XLOOKUP(1,('env Parameter'!$A:$A=$A163)*('env Parameter'!$B:$B=$K163)*('env Parameter'!$C:$C=$L163),'env Parameter'!D:D,""),"")</f>
        <v>안양천-9</v>
      </c>
      <c r="N163" s="10" t="str" cm="1">
        <f t="array" ref="N163">IFERROR(_xlfn.XLOOKUP(1,('env Parameter'!$A:$A=$A163)*('env Parameter'!$B:$B=$K163)*('env Parameter'!$C:$C=$L163),'env Parameter'!I:I,""),"")</f>
        <v>YR</v>
      </c>
    </row>
    <row r="164" spans="1:14">
      <c r="A164">
        <f>eDNA!A164</f>
        <v>20200717</v>
      </c>
      <c r="B164" s="10" t="str" cm="1">
        <f t="array" ref="B164">IFERROR(_xlfn.XLOOKUP(1,('env Parameter'!$A:$A=$A164)*('env Parameter'!$B:$B=$K164)*('env Parameter'!$C:$C=$L164),'env Parameter'!H:H,""),"")</f>
        <v>생물상 조사</v>
      </c>
      <c r="C164" s="10" cm="1">
        <f t="array" ref="C164">IFERROR(_xlfn.XLOOKUP(1,('env Parameter'!$A:$A=$A164)*('env Parameter'!$B:$B=$K164)*('env Parameter'!$C:$C=$L164),'env Parameter'!E:E,""),"")</f>
        <v>2.14</v>
      </c>
      <c r="D164" s="10" cm="1">
        <f t="array" ref="D164">IFERROR(_xlfn.XLOOKUP(1,('env Parameter'!$A:$A=$A164)*('env Parameter'!$B:$B=$K164)*('env Parameter'!$C:$C=$L164),'env Parameter'!F:F,""),"")</f>
        <v>478</v>
      </c>
      <c r="E164" s="10" cm="1">
        <f t="array" ref="E164">IFERROR(_xlfn.XLOOKUP(1,('env Parameter'!$A:$A=$A164)*('env Parameter'!$B:$B=$K164)*('env Parameter'!$C:$C=$L164),'env Parameter'!G:G,""),"")</f>
        <v>7.6</v>
      </c>
      <c r="F164" t="str">
        <f>eDNA!F164</f>
        <v>MiFish</v>
      </c>
      <c r="G164" t="str">
        <f>eDNA!D164</f>
        <v>Gnathopogon strigatus</v>
      </c>
      <c r="H164" t="str">
        <f>_xlfn.XLOOKUP(G164,'Common name (master file)'!$B:$B,'Common name (master file)'!$A:$A,"-------------")</f>
        <v>줄몰개</v>
      </c>
      <c r="I164">
        <f>eDNA!E164</f>
        <v>158</v>
      </c>
      <c r="J164" t="str">
        <f>_xlfn.XLOOKUP(G164,'Common name (master file)'!$B:$B,'Common name (master file)'!$C:$C,"")</f>
        <v>어류</v>
      </c>
      <c r="K164">
        <f>eDNA!B164</f>
        <v>126.8910417</v>
      </c>
      <c r="L164">
        <f>eDNA!C164</f>
        <v>37.458163800000001</v>
      </c>
      <c r="M164" s="10" t="str" cm="1">
        <f t="array" ref="M164">IFERROR(_xlfn.XLOOKUP(1,('env Parameter'!$A:$A=$A164)*('env Parameter'!$B:$B=$K164)*('env Parameter'!$C:$C=$L164),'env Parameter'!D:D,""),"")</f>
        <v>안양천-9</v>
      </c>
      <c r="N164" s="10" t="str" cm="1">
        <f t="array" ref="N164">IFERROR(_xlfn.XLOOKUP(1,('env Parameter'!$A:$A=$A164)*('env Parameter'!$B:$B=$K164)*('env Parameter'!$C:$C=$L164),'env Parameter'!I:I,""),"")</f>
        <v>YR</v>
      </c>
    </row>
    <row r="165" spans="1:14">
      <c r="A165">
        <f>eDNA!A165</f>
        <v>20200717</v>
      </c>
      <c r="B165" s="10" t="str" cm="1">
        <f t="array" ref="B165">IFERROR(_xlfn.XLOOKUP(1,('env Parameter'!$A:$A=$A165)*('env Parameter'!$B:$B=$K165)*('env Parameter'!$C:$C=$L165),'env Parameter'!H:H,""),"")</f>
        <v>생물상 조사</v>
      </c>
      <c r="C165" s="10" cm="1">
        <f t="array" ref="C165">IFERROR(_xlfn.XLOOKUP(1,('env Parameter'!$A:$A=$A165)*('env Parameter'!$B:$B=$K165)*('env Parameter'!$C:$C=$L165),'env Parameter'!E:E,""),"")</f>
        <v>2.14</v>
      </c>
      <c r="D165" s="10" cm="1">
        <f t="array" ref="D165">IFERROR(_xlfn.XLOOKUP(1,('env Parameter'!$A:$A=$A165)*('env Parameter'!$B:$B=$K165)*('env Parameter'!$C:$C=$L165),'env Parameter'!F:F,""),"")</f>
        <v>478</v>
      </c>
      <c r="E165" s="10" cm="1">
        <f t="array" ref="E165">IFERROR(_xlfn.XLOOKUP(1,('env Parameter'!$A:$A=$A165)*('env Parameter'!$B:$B=$K165)*('env Parameter'!$C:$C=$L165),'env Parameter'!G:G,""),"")</f>
        <v>7.6</v>
      </c>
      <c r="F165" t="str">
        <f>eDNA!F165</f>
        <v>MiFish</v>
      </c>
      <c r="G165" t="str">
        <f>eDNA!D165</f>
        <v>Carassius auratus</v>
      </c>
      <c r="H165" t="str">
        <f>_xlfn.XLOOKUP(G165,'Common name (master file)'!$B:$B,'Common name (master file)'!$A:$A,"-------------")</f>
        <v>붕어</v>
      </c>
      <c r="I165">
        <f>eDNA!E165</f>
        <v>112</v>
      </c>
      <c r="J165" t="str">
        <f>_xlfn.XLOOKUP(G165,'Common name (master file)'!$B:$B,'Common name (master file)'!$C:$C,"")</f>
        <v>어류</v>
      </c>
      <c r="K165">
        <f>eDNA!B165</f>
        <v>126.8910417</v>
      </c>
      <c r="L165">
        <f>eDNA!C165</f>
        <v>37.458163800000001</v>
      </c>
      <c r="M165" s="10" t="str" cm="1">
        <f t="array" ref="M165">IFERROR(_xlfn.XLOOKUP(1,('env Parameter'!$A:$A=$A165)*('env Parameter'!$B:$B=$K165)*('env Parameter'!$C:$C=$L165),'env Parameter'!D:D,""),"")</f>
        <v>안양천-9</v>
      </c>
      <c r="N165" s="10" t="str" cm="1">
        <f t="array" ref="N165">IFERROR(_xlfn.XLOOKUP(1,('env Parameter'!$A:$A=$A165)*('env Parameter'!$B:$B=$K165)*('env Parameter'!$C:$C=$L165),'env Parameter'!I:I,""),"")</f>
        <v>YR</v>
      </c>
    </row>
    <row r="166" spans="1:14">
      <c r="A166">
        <f>eDNA!A166</f>
        <v>20200717</v>
      </c>
      <c r="B166" s="10" t="str" cm="1">
        <f t="array" ref="B166">IFERROR(_xlfn.XLOOKUP(1,('env Parameter'!$A:$A=$A166)*('env Parameter'!$B:$B=$K166)*('env Parameter'!$C:$C=$L166),'env Parameter'!H:H,""),"")</f>
        <v>생물상 조사</v>
      </c>
      <c r="C166" s="10" cm="1">
        <f t="array" ref="C166">IFERROR(_xlfn.XLOOKUP(1,('env Parameter'!$A:$A=$A166)*('env Parameter'!$B:$B=$K166)*('env Parameter'!$C:$C=$L166),'env Parameter'!E:E,""),"")</f>
        <v>2.14</v>
      </c>
      <c r="D166" s="10" cm="1">
        <f t="array" ref="D166">IFERROR(_xlfn.XLOOKUP(1,('env Parameter'!$A:$A=$A166)*('env Parameter'!$B:$B=$K166)*('env Parameter'!$C:$C=$L166),'env Parameter'!F:F,""),"")</f>
        <v>478</v>
      </c>
      <c r="E166" s="10" cm="1">
        <f t="array" ref="E166">IFERROR(_xlfn.XLOOKUP(1,('env Parameter'!$A:$A=$A166)*('env Parameter'!$B:$B=$K166)*('env Parameter'!$C:$C=$L166),'env Parameter'!G:G,""),"")</f>
        <v>7.6</v>
      </c>
      <c r="F166" t="str">
        <f>eDNA!F166</f>
        <v>MiFish</v>
      </c>
      <c r="G166" t="str">
        <f>eDNA!D166</f>
        <v>Lateolabrax maculatus</v>
      </c>
      <c r="H166" t="str">
        <f>_xlfn.XLOOKUP(G166,'Common name (master file)'!$B:$B,'Common name (master file)'!$A:$A,"-------------")</f>
        <v>점농어</v>
      </c>
      <c r="I166">
        <f>eDNA!E166</f>
        <v>117</v>
      </c>
      <c r="J166" t="str">
        <f>_xlfn.XLOOKUP(G166,'Common name (master file)'!$B:$B,'Common name (master file)'!$C:$C,"")</f>
        <v>어류</v>
      </c>
      <c r="K166">
        <f>eDNA!B166</f>
        <v>126.8910417</v>
      </c>
      <c r="L166">
        <f>eDNA!C166</f>
        <v>37.458163800000001</v>
      </c>
      <c r="M166" s="10" t="str" cm="1">
        <f t="array" ref="M166">IFERROR(_xlfn.XLOOKUP(1,('env Parameter'!$A:$A=$A166)*('env Parameter'!$B:$B=$K166)*('env Parameter'!$C:$C=$L166),'env Parameter'!D:D,""),"")</f>
        <v>안양천-9</v>
      </c>
      <c r="N166" s="10" t="str" cm="1">
        <f t="array" ref="N166">IFERROR(_xlfn.XLOOKUP(1,('env Parameter'!$A:$A=$A166)*('env Parameter'!$B:$B=$K166)*('env Parameter'!$C:$C=$L166),'env Parameter'!I:I,""),"")</f>
        <v>YR</v>
      </c>
    </row>
    <row r="167" spans="1:14">
      <c r="A167">
        <f>eDNA!A167</f>
        <v>20200717</v>
      </c>
      <c r="B167" s="10" t="str" cm="1">
        <f t="array" ref="B167">IFERROR(_xlfn.XLOOKUP(1,('env Parameter'!$A:$A=$A167)*('env Parameter'!$B:$B=$K167)*('env Parameter'!$C:$C=$L167),'env Parameter'!H:H,""),"")</f>
        <v>생물상 조사</v>
      </c>
      <c r="C167" s="10" cm="1">
        <f t="array" ref="C167">IFERROR(_xlfn.XLOOKUP(1,('env Parameter'!$A:$A=$A167)*('env Parameter'!$B:$B=$K167)*('env Parameter'!$C:$C=$L167),'env Parameter'!E:E,""),"")</f>
        <v>2.14</v>
      </c>
      <c r="D167" s="10" cm="1">
        <f t="array" ref="D167">IFERROR(_xlfn.XLOOKUP(1,('env Parameter'!$A:$A=$A167)*('env Parameter'!$B:$B=$K167)*('env Parameter'!$C:$C=$L167),'env Parameter'!F:F,""),"")</f>
        <v>478</v>
      </c>
      <c r="E167" s="10" cm="1">
        <f t="array" ref="E167">IFERROR(_xlfn.XLOOKUP(1,('env Parameter'!$A:$A=$A167)*('env Parameter'!$B:$B=$K167)*('env Parameter'!$C:$C=$L167),'env Parameter'!G:G,""),"")</f>
        <v>7.6</v>
      </c>
      <c r="F167" t="str">
        <f>eDNA!F167</f>
        <v>MiFish</v>
      </c>
      <c r="G167" t="str">
        <f>eDNA!D167</f>
        <v>Sus scrofa</v>
      </c>
      <c r="H167" t="str">
        <f>_xlfn.XLOOKUP(G167,'Common name (master file)'!$B:$B,'Common name (master file)'!$A:$A,"-------------")</f>
        <v>멧돼지</v>
      </c>
      <c r="I167">
        <f>eDNA!E167</f>
        <v>357</v>
      </c>
      <c r="J167" t="str">
        <f>_xlfn.XLOOKUP(G167,'Common name (master file)'!$B:$B,'Common name (master file)'!$C:$C,"")</f>
        <v>포유류</v>
      </c>
      <c r="K167">
        <f>eDNA!B167</f>
        <v>126.8910417</v>
      </c>
      <c r="L167">
        <f>eDNA!C167</f>
        <v>37.458163800000001</v>
      </c>
      <c r="M167" s="10" t="str" cm="1">
        <f t="array" ref="M167">IFERROR(_xlfn.XLOOKUP(1,('env Parameter'!$A:$A=$A167)*('env Parameter'!$B:$B=$K167)*('env Parameter'!$C:$C=$L167),'env Parameter'!D:D,""),"")</f>
        <v>안양천-9</v>
      </c>
      <c r="N167" s="10" t="str" cm="1">
        <f t="array" ref="N167">IFERROR(_xlfn.XLOOKUP(1,('env Parameter'!$A:$A=$A167)*('env Parameter'!$B:$B=$K167)*('env Parameter'!$C:$C=$L167),'env Parameter'!I:I,""),"")</f>
        <v>YR</v>
      </c>
    </row>
    <row r="168" spans="1:14">
      <c r="A168">
        <f>eDNA!A168</f>
        <v>20200717</v>
      </c>
      <c r="B168" s="10" t="str" cm="1">
        <f t="array" ref="B168">IFERROR(_xlfn.XLOOKUP(1,('env Parameter'!$A:$A=$A168)*('env Parameter'!$B:$B=$K168)*('env Parameter'!$C:$C=$L168),'env Parameter'!H:H,""),"")</f>
        <v>생물상 조사</v>
      </c>
      <c r="C168" s="10" cm="1">
        <f t="array" ref="C168">IFERROR(_xlfn.XLOOKUP(1,('env Parameter'!$A:$A=$A168)*('env Parameter'!$B:$B=$K168)*('env Parameter'!$C:$C=$L168),'env Parameter'!E:E,""),"")</f>
        <v>2.14</v>
      </c>
      <c r="D168" s="10" cm="1">
        <f t="array" ref="D168">IFERROR(_xlfn.XLOOKUP(1,('env Parameter'!$A:$A=$A168)*('env Parameter'!$B:$B=$K168)*('env Parameter'!$C:$C=$L168),'env Parameter'!F:F,""),"")</f>
        <v>478</v>
      </c>
      <c r="E168" s="10" cm="1">
        <f t="array" ref="E168">IFERROR(_xlfn.XLOOKUP(1,('env Parameter'!$A:$A=$A168)*('env Parameter'!$B:$B=$K168)*('env Parameter'!$C:$C=$L168),'env Parameter'!G:G,""),"")</f>
        <v>7.6</v>
      </c>
      <c r="F168" t="str">
        <f>eDNA!F168</f>
        <v>MiFish</v>
      </c>
      <c r="G168" t="str">
        <f>eDNA!D168</f>
        <v>Misgurnus mizolepis</v>
      </c>
      <c r="H168" t="str">
        <f>_xlfn.XLOOKUP(G168,'Common name (master file)'!$B:$B,'Common name (master file)'!$A:$A,"-------------")</f>
        <v>미꾸라지</v>
      </c>
      <c r="I168">
        <f>eDNA!E168</f>
        <v>157</v>
      </c>
      <c r="J168" t="str">
        <f>_xlfn.XLOOKUP(G168,'Common name (master file)'!$B:$B,'Common name (master file)'!$C:$C,"")</f>
        <v>어류</v>
      </c>
      <c r="K168">
        <f>eDNA!B168</f>
        <v>126.8910417</v>
      </c>
      <c r="L168">
        <f>eDNA!C168</f>
        <v>37.458163800000001</v>
      </c>
      <c r="M168" s="10" t="str" cm="1">
        <f t="array" ref="M168">IFERROR(_xlfn.XLOOKUP(1,('env Parameter'!$A:$A=$A168)*('env Parameter'!$B:$B=$K168)*('env Parameter'!$C:$C=$L168),'env Parameter'!D:D,""),"")</f>
        <v>안양천-9</v>
      </c>
      <c r="N168" s="10" t="str" cm="1">
        <f t="array" ref="N168">IFERROR(_xlfn.XLOOKUP(1,('env Parameter'!$A:$A=$A168)*('env Parameter'!$B:$B=$K168)*('env Parameter'!$C:$C=$L168),'env Parameter'!I:I,""),"")</f>
        <v>YR</v>
      </c>
    </row>
    <row r="169" spans="1:14">
      <c r="A169">
        <f>eDNA!A169</f>
        <v>20200717</v>
      </c>
      <c r="B169" s="10" t="str" cm="1">
        <f t="array" ref="B169">IFERROR(_xlfn.XLOOKUP(1,('env Parameter'!$A:$A=$A169)*('env Parameter'!$B:$B=$K169)*('env Parameter'!$C:$C=$L169),'env Parameter'!H:H,""),"")</f>
        <v>생물상 조사</v>
      </c>
      <c r="C169" s="10" cm="1">
        <f t="array" ref="C169">IFERROR(_xlfn.XLOOKUP(1,('env Parameter'!$A:$A=$A169)*('env Parameter'!$B:$B=$K169)*('env Parameter'!$C:$C=$L169),'env Parameter'!E:E,""),"")</f>
        <v>2.14</v>
      </c>
      <c r="D169" s="10" cm="1">
        <f t="array" ref="D169">IFERROR(_xlfn.XLOOKUP(1,('env Parameter'!$A:$A=$A169)*('env Parameter'!$B:$B=$K169)*('env Parameter'!$C:$C=$L169),'env Parameter'!F:F,""),"")</f>
        <v>478</v>
      </c>
      <c r="E169" s="10" cm="1">
        <f t="array" ref="E169">IFERROR(_xlfn.XLOOKUP(1,('env Parameter'!$A:$A=$A169)*('env Parameter'!$B:$B=$K169)*('env Parameter'!$C:$C=$L169),'env Parameter'!G:G,""),"")</f>
        <v>7.6</v>
      </c>
      <c r="F169" t="str">
        <f>eDNA!F169</f>
        <v>MiFish</v>
      </c>
      <c r="G169" t="str">
        <f>eDNA!D169</f>
        <v>Zacco platypus</v>
      </c>
      <c r="H169" t="str">
        <f>_xlfn.XLOOKUP(G169,'Common name (master file)'!$B:$B,'Common name (master file)'!$A:$A,"-------------")</f>
        <v>피라미</v>
      </c>
      <c r="I169">
        <f>eDNA!E169</f>
        <v>355</v>
      </c>
      <c r="J169" t="str">
        <f>_xlfn.XLOOKUP(G169,'Common name (master file)'!$B:$B,'Common name (master file)'!$C:$C,"")</f>
        <v>어류</v>
      </c>
      <c r="K169">
        <f>eDNA!B169</f>
        <v>126.8910417</v>
      </c>
      <c r="L169">
        <f>eDNA!C169</f>
        <v>37.458163800000001</v>
      </c>
      <c r="M169" s="10" t="str" cm="1">
        <f t="array" ref="M169">IFERROR(_xlfn.XLOOKUP(1,('env Parameter'!$A:$A=$A169)*('env Parameter'!$B:$B=$K169)*('env Parameter'!$C:$C=$L169),'env Parameter'!D:D,""),"")</f>
        <v>안양천-9</v>
      </c>
      <c r="N169" s="10" t="str" cm="1">
        <f t="array" ref="N169">IFERROR(_xlfn.XLOOKUP(1,('env Parameter'!$A:$A=$A169)*('env Parameter'!$B:$B=$K169)*('env Parameter'!$C:$C=$L169),'env Parameter'!I:I,""),"")</f>
        <v>YR</v>
      </c>
    </row>
    <row r="170" spans="1:14">
      <c r="A170">
        <f>eDNA!A170</f>
        <v>20200717</v>
      </c>
      <c r="B170" s="10" t="str" cm="1">
        <f t="array" ref="B170">IFERROR(_xlfn.XLOOKUP(1,('env Parameter'!$A:$A=$A170)*('env Parameter'!$B:$B=$K170)*('env Parameter'!$C:$C=$L170),'env Parameter'!H:H,""),"")</f>
        <v>생물상 조사</v>
      </c>
      <c r="C170" s="10" cm="1">
        <f t="array" ref="C170">IFERROR(_xlfn.XLOOKUP(1,('env Parameter'!$A:$A=$A170)*('env Parameter'!$B:$B=$K170)*('env Parameter'!$C:$C=$L170),'env Parameter'!E:E,""),"")</f>
        <v>2.14</v>
      </c>
      <c r="D170" s="10" cm="1">
        <f t="array" ref="D170">IFERROR(_xlfn.XLOOKUP(1,('env Parameter'!$A:$A=$A170)*('env Parameter'!$B:$B=$K170)*('env Parameter'!$C:$C=$L170),'env Parameter'!F:F,""),"")</f>
        <v>478</v>
      </c>
      <c r="E170" s="10" cm="1">
        <f t="array" ref="E170">IFERROR(_xlfn.XLOOKUP(1,('env Parameter'!$A:$A=$A170)*('env Parameter'!$B:$B=$K170)*('env Parameter'!$C:$C=$L170),'env Parameter'!G:G,""),"")</f>
        <v>7.6</v>
      </c>
      <c r="F170" t="str">
        <f>eDNA!F170</f>
        <v>MiFish</v>
      </c>
      <c r="G170" t="str">
        <f>eDNA!D170</f>
        <v>Cyprinus carpio</v>
      </c>
      <c r="H170" t="str">
        <f>_xlfn.XLOOKUP(G170,'Common name (master file)'!$B:$B,'Common name (master file)'!$A:$A,"-------------")</f>
        <v>잉어</v>
      </c>
      <c r="I170">
        <f>eDNA!E170</f>
        <v>355</v>
      </c>
      <c r="J170" t="str">
        <f>_xlfn.XLOOKUP(G170,'Common name (master file)'!$B:$B,'Common name (master file)'!$C:$C,"")</f>
        <v>어류</v>
      </c>
      <c r="K170">
        <f>eDNA!B170</f>
        <v>126.8910417</v>
      </c>
      <c r="L170">
        <f>eDNA!C170</f>
        <v>37.458163800000001</v>
      </c>
      <c r="M170" s="10" t="str" cm="1">
        <f t="array" ref="M170">IFERROR(_xlfn.XLOOKUP(1,('env Parameter'!$A:$A=$A170)*('env Parameter'!$B:$B=$K170)*('env Parameter'!$C:$C=$L170),'env Parameter'!D:D,""),"")</f>
        <v>안양천-9</v>
      </c>
      <c r="N170" s="10" t="str" cm="1">
        <f t="array" ref="N170">IFERROR(_xlfn.XLOOKUP(1,('env Parameter'!$A:$A=$A170)*('env Parameter'!$B:$B=$K170)*('env Parameter'!$C:$C=$L170),'env Parameter'!I:I,""),"")</f>
        <v>YR</v>
      </c>
    </row>
    <row r="171" spans="1:14">
      <c r="A171">
        <f>eDNA!A171</f>
        <v>20200717</v>
      </c>
      <c r="B171" s="10" t="str" cm="1">
        <f t="array" ref="B171">IFERROR(_xlfn.XLOOKUP(1,('env Parameter'!$A:$A=$A171)*('env Parameter'!$B:$B=$K171)*('env Parameter'!$C:$C=$L171),'env Parameter'!H:H,""),"")</f>
        <v>생물상 조사</v>
      </c>
      <c r="C171" s="10" cm="1">
        <f t="array" ref="C171">IFERROR(_xlfn.XLOOKUP(1,('env Parameter'!$A:$A=$A171)*('env Parameter'!$B:$B=$K171)*('env Parameter'!$C:$C=$L171),'env Parameter'!E:E,""),"")</f>
        <v>2.14</v>
      </c>
      <c r="D171" s="10" cm="1">
        <f t="array" ref="D171">IFERROR(_xlfn.XLOOKUP(1,('env Parameter'!$A:$A=$A171)*('env Parameter'!$B:$B=$K171)*('env Parameter'!$C:$C=$L171),'env Parameter'!F:F,""),"")</f>
        <v>478</v>
      </c>
      <c r="E171" s="10" cm="1">
        <f t="array" ref="E171">IFERROR(_xlfn.XLOOKUP(1,('env Parameter'!$A:$A=$A171)*('env Parameter'!$B:$B=$K171)*('env Parameter'!$C:$C=$L171),'env Parameter'!G:G,""),"")</f>
        <v>7.6</v>
      </c>
      <c r="F171" t="str">
        <f>eDNA!F171</f>
        <v>MiFish</v>
      </c>
      <c r="G171" t="str">
        <f>eDNA!D171</f>
        <v>Homo sapiens</v>
      </c>
      <c r="H171" t="str">
        <f>_xlfn.XLOOKUP(G171,'Common name (master file)'!$B:$B,'Common name (master file)'!$A:$A,"-------------")</f>
        <v>사람</v>
      </c>
      <c r="I171">
        <f>eDNA!E171</f>
        <v>434</v>
      </c>
      <c r="J171" t="str">
        <f>_xlfn.XLOOKUP(G171,'Common name (master file)'!$B:$B,'Common name (master file)'!$C:$C,"")</f>
        <v>포유류</v>
      </c>
      <c r="K171">
        <f>eDNA!B171</f>
        <v>126.8910417</v>
      </c>
      <c r="L171">
        <f>eDNA!C171</f>
        <v>37.458163800000001</v>
      </c>
      <c r="M171" s="10" t="str" cm="1">
        <f t="array" ref="M171">IFERROR(_xlfn.XLOOKUP(1,('env Parameter'!$A:$A=$A171)*('env Parameter'!$B:$B=$K171)*('env Parameter'!$C:$C=$L171),'env Parameter'!D:D,""),"")</f>
        <v>안양천-9</v>
      </c>
      <c r="N171" s="10" t="str" cm="1">
        <f t="array" ref="N171">IFERROR(_xlfn.XLOOKUP(1,('env Parameter'!$A:$A=$A171)*('env Parameter'!$B:$B=$K171)*('env Parameter'!$C:$C=$L171),'env Parameter'!I:I,""),"")</f>
        <v>YR</v>
      </c>
    </row>
    <row r="172" spans="1:14">
      <c r="A172">
        <f>eDNA!A172</f>
        <v>20200717</v>
      </c>
      <c r="B172" s="10" t="str" cm="1">
        <f t="array" ref="B172">IFERROR(_xlfn.XLOOKUP(1,('env Parameter'!$A:$A=$A172)*('env Parameter'!$B:$B=$K172)*('env Parameter'!$C:$C=$L172),'env Parameter'!H:H,""),"")</f>
        <v>생물상 조사</v>
      </c>
      <c r="C172" s="10" cm="1">
        <f t="array" ref="C172">IFERROR(_xlfn.XLOOKUP(1,('env Parameter'!$A:$A=$A172)*('env Parameter'!$B:$B=$K172)*('env Parameter'!$C:$C=$L172),'env Parameter'!E:E,""),"")</f>
        <v>2.14</v>
      </c>
      <c r="D172" s="10" cm="1">
        <f t="array" ref="D172">IFERROR(_xlfn.XLOOKUP(1,('env Parameter'!$A:$A=$A172)*('env Parameter'!$B:$B=$K172)*('env Parameter'!$C:$C=$L172),'env Parameter'!F:F,""),"")</f>
        <v>478</v>
      </c>
      <c r="E172" s="10" cm="1">
        <f t="array" ref="E172">IFERROR(_xlfn.XLOOKUP(1,('env Parameter'!$A:$A=$A172)*('env Parameter'!$B:$B=$K172)*('env Parameter'!$C:$C=$L172),'env Parameter'!G:G,""),"")</f>
        <v>7.6</v>
      </c>
      <c r="F172" t="str">
        <f>eDNA!F172</f>
        <v>MiFish</v>
      </c>
      <c r="G172" t="str">
        <f>eDNA!D172</f>
        <v>Carassius sp.</v>
      </c>
      <c r="H172" t="str">
        <f>_xlfn.XLOOKUP(G172,'Common name (master file)'!$B:$B,'Common name (master file)'!$A:$A,"-------------")</f>
        <v>붕어 속</v>
      </c>
      <c r="I172">
        <f>eDNA!E172</f>
        <v>1668</v>
      </c>
      <c r="J172" t="str">
        <f>_xlfn.XLOOKUP(G172,'Common name (master file)'!$B:$B,'Common name (master file)'!$C:$C,"")</f>
        <v>어류</v>
      </c>
      <c r="K172">
        <f>eDNA!B172</f>
        <v>126.8910417</v>
      </c>
      <c r="L172">
        <f>eDNA!C172</f>
        <v>37.458163800000001</v>
      </c>
      <c r="M172" s="10" t="str" cm="1">
        <f t="array" ref="M172">IFERROR(_xlfn.XLOOKUP(1,('env Parameter'!$A:$A=$A172)*('env Parameter'!$B:$B=$K172)*('env Parameter'!$C:$C=$L172),'env Parameter'!D:D,""),"")</f>
        <v>안양천-9</v>
      </c>
      <c r="N172" s="10" t="str" cm="1">
        <f t="array" ref="N172">IFERROR(_xlfn.XLOOKUP(1,('env Parameter'!$A:$A=$A172)*('env Parameter'!$B:$B=$K172)*('env Parameter'!$C:$C=$L172),'env Parameter'!I:I,""),"")</f>
        <v>YR</v>
      </c>
    </row>
    <row r="173" spans="1:14">
      <c r="A173">
        <f>eDNA!A173</f>
        <v>20200717</v>
      </c>
      <c r="B173" s="10" t="str" cm="1">
        <f t="array" ref="B173">IFERROR(_xlfn.XLOOKUP(1,('env Parameter'!$A:$A=$A173)*('env Parameter'!$B:$B=$K173)*('env Parameter'!$C:$C=$L173),'env Parameter'!H:H,""),"")</f>
        <v>생물상 조사</v>
      </c>
      <c r="C173" s="10" cm="1">
        <f t="array" ref="C173">IFERROR(_xlfn.XLOOKUP(1,('env Parameter'!$A:$A=$A173)*('env Parameter'!$B:$B=$K173)*('env Parameter'!$C:$C=$L173),'env Parameter'!E:E,""),"")</f>
        <v>2.14</v>
      </c>
      <c r="D173" s="10" cm="1">
        <f t="array" ref="D173">IFERROR(_xlfn.XLOOKUP(1,('env Parameter'!$A:$A=$A173)*('env Parameter'!$B:$B=$K173)*('env Parameter'!$C:$C=$L173),'env Parameter'!F:F,""),"")</f>
        <v>478</v>
      </c>
      <c r="E173" s="10" cm="1">
        <f t="array" ref="E173">IFERROR(_xlfn.XLOOKUP(1,('env Parameter'!$A:$A=$A173)*('env Parameter'!$B:$B=$K173)*('env Parameter'!$C:$C=$L173),'env Parameter'!G:G,""),"")</f>
        <v>7.6</v>
      </c>
      <c r="F173" t="str">
        <f>eDNA!F173</f>
        <v>MiFish</v>
      </c>
      <c r="G173" t="str">
        <f>eDNA!D173</f>
        <v>Silurus soldatovi</v>
      </c>
      <c r="H173" t="str">
        <f>_xlfn.XLOOKUP(G173,'Common name (master file)'!$B:$B,'Common name (master file)'!$A:$A,"-------------")</f>
        <v>솔다토비 메기</v>
      </c>
      <c r="I173">
        <f>eDNA!E173</f>
        <v>1694</v>
      </c>
      <c r="J173" t="str">
        <f>_xlfn.XLOOKUP(G173,'Common name (master file)'!$B:$B,'Common name (master file)'!$C:$C,"")</f>
        <v>어류</v>
      </c>
      <c r="K173">
        <f>eDNA!B173</f>
        <v>126.8910417</v>
      </c>
      <c r="L173">
        <f>eDNA!C173</f>
        <v>37.458163800000001</v>
      </c>
      <c r="M173" s="10" t="str" cm="1">
        <f t="array" ref="M173">IFERROR(_xlfn.XLOOKUP(1,('env Parameter'!$A:$A=$A173)*('env Parameter'!$B:$B=$K173)*('env Parameter'!$C:$C=$L173),'env Parameter'!D:D,""),"")</f>
        <v>안양천-9</v>
      </c>
      <c r="N173" s="10" t="str" cm="1">
        <f t="array" ref="N173">IFERROR(_xlfn.XLOOKUP(1,('env Parameter'!$A:$A=$A173)*('env Parameter'!$B:$B=$K173)*('env Parameter'!$C:$C=$L173),'env Parameter'!I:I,""),"")</f>
        <v>YR</v>
      </c>
    </row>
    <row r="174" spans="1:14">
      <c r="A174">
        <f>eDNA!A174</f>
        <v>20200717</v>
      </c>
      <c r="B174" s="10" t="str" cm="1">
        <f t="array" ref="B174">IFERROR(_xlfn.XLOOKUP(1,('env Parameter'!$A:$A=$A174)*('env Parameter'!$B:$B=$K174)*('env Parameter'!$C:$C=$L174),'env Parameter'!H:H,""),"")</f>
        <v>생물상 조사</v>
      </c>
      <c r="C174" s="10" cm="1">
        <f t="array" ref="C174">IFERROR(_xlfn.XLOOKUP(1,('env Parameter'!$A:$A=$A174)*('env Parameter'!$B:$B=$K174)*('env Parameter'!$C:$C=$L174),'env Parameter'!E:E,""),"")</f>
        <v>2.14</v>
      </c>
      <c r="D174" s="10" cm="1">
        <f t="array" ref="D174">IFERROR(_xlfn.XLOOKUP(1,('env Parameter'!$A:$A=$A174)*('env Parameter'!$B:$B=$K174)*('env Parameter'!$C:$C=$L174),'env Parameter'!F:F,""),"")</f>
        <v>478</v>
      </c>
      <c r="E174" s="10" cm="1">
        <f t="array" ref="E174">IFERROR(_xlfn.XLOOKUP(1,('env Parameter'!$A:$A=$A174)*('env Parameter'!$B:$B=$K174)*('env Parameter'!$C:$C=$L174),'env Parameter'!G:G,""),"")</f>
        <v>7.6</v>
      </c>
      <c r="F174" t="str">
        <f>eDNA!F174</f>
        <v>MiFish</v>
      </c>
      <c r="G174" t="str">
        <f>eDNA!D174</f>
        <v>Channa argus</v>
      </c>
      <c r="H174" t="str">
        <f>_xlfn.XLOOKUP(G174,'Common name (master file)'!$B:$B,'Common name (master file)'!$A:$A,"-------------")</f>
        <v>가물치</v>
      </c>
      <c r="I174">
        <f>eDNA!E174</f>
        <v>3439</v>
      </c>
      <c r="J174" t="str">
        <f>_xlfn.XLOOKUP(G174,'Common name (master file)'!$B:$B,'Common name (master file)'!$C:$C,"")</f>
        <v>어류</v>
      </c>
      <c r="K174">
        <f>eDNA!B174</f>
        <v>126.8910417</v>
      </c>
      <c r="L174">
        <f>eDNA!C174</f>
        <v>37.458163800000001</v>
      </c>
      <c r="M174" s="10" t="str" cm="1">
        <f t="array" ref="M174">IFERROR(_xlfn.XLOOKUP(1,('env Parameter'!$A:$A=$A174)*('env Parameter'!$B:$B=$K174)*('env Parameter'!$C:$C=$L174),'env Parameter'!D:D,""),"")</f>
        <v>안양천-9</v>
      </c>
      <c r="N174" s="10" t="str" cm="1">
        <f t="array" ref="N174">IFERROR(_xlfn.XLOOKUP(1,('env Parameter'!$A:$A=$A174)*('env Parameter'!$B:$B=$K174)*('env Parameter'!$C:$C=$L174),'env Parameter'!I:I,""),"")</f>
        <v>YR</v>
      </c>
    </row>
    <row r="175" spans="1:14">
      <c r="A175">
        <f>eDNA!A175</f>
        <v>20200717</v>
      </c>
      <c r="B175" s="10" t="str" cm="1">
        <f t="array" ref="B175">IFERROR(_xlfn.XLOOKUP(1,('env Parameter'!$A:$A=$A175)*('env Parameter'!$B:$B=$K175)*('env Parameter'!$C:$C=$L175),'env Parameter'!H:H,""),"")</f>
        <v>생물상 조사</v>
      </c>
      <c r="C175" s="10" cm="1">
        <f t="array" ref="C175">IFERROR(_xlfn.XLOOKUP(1,('env Parameter'!$A:$A=$A175)*('env Parameter'!$B:$B=$K175)*('env Parameter'!$C:$C=$L175),'env Parameter'!E:E,""),"")</f>
        <v>2.14</v>
      </c>
      <c r="D175" s="10" cm="1">
        <f t="array" ref="D175">IFERROR(_xlfn.XLOOKUP(1,('env Parameter'!$A:$A=$A175)*('env Parameter'!$B:$B=$K175)*('env Parameter'!$C:$C=$L175),'env Parameter'!F:F,""),"")</f>
        <v>478</v>
      </c>
      <c r="E175" s="10" cm="1">
        <f t="array" ref="E175">IFERROR(_xlfn.XLOOKUP(1,('env Parameter'!$A:$A=$A175)*('env Parameter'!$B:$B=$K175)*('env Parameter'!$C:$C=$L175),'env Parameter'!G:G,""),"")</f>
        <v>7.6</v>
      </c>
      <c r="F175" t="str">
        <f>eDNA!F175</f>
        <v>MiFish</v>
      </c>
      <c r="G175" t="str">
        <f>eDNA!D175</f>
        <v>Odontobutis interrupta</v>
      </c>
      <c r="H175" t="str">
        <f>_xlfn.XLOOKUP(G175,'Common name (master file)'!$B:$B,'Common name (master file)'!$A:$A,"-------------")</f>
        <v>얼록동사리</v>
      </c>
      <c r="I175">
        <f>eDNA!E175</f>
        <v>10686</v>
      </c>
      <c r="J175" t="str">
        <f>_xlfn.XLOOKUP(G175,'Common name (master file)'!$B:$B,'Common name (master file)'!$C:$C,"")</f>
        <v>어류</v>
      </c>
      <c r="K175">
        <f>eDNA!B175</f>
        <v>126.8910417</v>
      </c>
      <c r="L175">
        <f>eDNA!C175</f>
        <v>37.458163800000001</v>
      </c>
      <c r="M175" s="10" t="str" cm="1">
        <f t="array" ref="M175">IFERROR(_xlfn.XLOOKUP(1,('env Parameter'!$A:$A=$A175)*('env Parameter'!$B:$B=$K175)*('env Parameter'!$C:$C=$L175),'env Parameter'!D:D,""),"")</f>
        <v>안양천-9</v>
      </c>
      <c r="N175" s="10" t="str" cm="1">
        <f t="array" ref="N175">IFERROR(_xlfn.XLOOKUP(1,('env Parameter'!$A:$A=$A175)*('env Parameter'!$B:$B=$K175)*('env Parameter'!$C:$C=$L175),'env Parameter'!I:I,""),"")</f>
        <v>YR</v>
      </c>
    </row>
    <row r="176" spans="1:14">
      <c r="A176">
        <f>eDNA!A176</f>
        <v>20200717</v>
      </c>
      <c r="B176" s="10" t="str" cm="1">
        <f t="array" ref="B176">IFERROR(_xlfn.XLOOKUP(1,('env Parameter'!$A:$A=$A176)*('env Parameter'!$B:$B=$K176)*('env Parameter'!$C:$C=$L176),'env Parameter'!H:H,""),"")</f>
        <v>생물상 조사</v>
      </c>
      <c r="C176" s="10" cm="1">
        <f t="array" ref="C176">IFERROR(_xlfn.XLOOKUP(1,('env Parameter'!$A:$A=$A176)*('env Parameter'!$B:$B=$K176)*('env Parameter'!$C:$C=$L176),'env Parameter'!E:E,""),"")</f>
        <v>2.14</v>
      </c>
      <c r="D176" s="10" cm="1">
        <f t="array" ref="D176">IFERROR(_xlfn.XLOOKUP(1,('env Parameter'!$A:$A=$A176)*('env Parameter'!$B:$B=$K176)*('env Parameter'!$C:$C=$L176),'env Parameter'!F:F,""),"")</f>
        <v>478</v>
      </c>
      <c r="E176" s="10" cm="1">
        <f t="array" ref="E176">IFERROR(_xlfn.XLOOKUP(1,('env Parameter'!$A:$A=$A176)*('env Parameter'!$B:$B=$K176)*('env Parameter'!$C:$C=$L176),'env Parameter'!G:G,""),"")</f>
        <v>7.6</v>
      </c>
      <c r="F176" t="str">
        <f>eDNA!F176</f>
        <v>MiFish</v>
      </c>
      <c r="G176" t="str">
        <f>eDNA!D176</f>
        <v>Pseudorasbora parva</v>
      </c>
      <c r="H176" t="str">
        <f>_xlfn.XLOOKUP(G176,'Common name (master file)'!$B:$B,'Common name (master file)'!$A:$A,"-------------")</f>
        <v>참붕어</v>
      </c>
      <c r="I176">
        <f>eDNA!E176</f>
        <v>26191</v>
      </c>
      <c r="J176" t="str">
        <f>_xlfn.XLOOKUP(G176,'Common name (master file)'!$B:$B,'Common name (master file)'!$C:$C,"")</f>
        <v>어류</v>
      </c>
      <c r="K176">
        <f>eDNA!B176</f>
        <v>126.8910417</v>
      </c>
      <c r="L176">
        <f>eDNA!C176</f>
        <v>37.458163800000001</v>
      </c>
      <c r="M176" s="10" t="str" cm="1">
        <f t="array" ref="M176">IFERROR(_xlfn.XLOOKUP(1,('env Parameter'!$A:$A=$A176)*('env Parameter'!$B:$B=$K176)*('env Parameter'!$C:$C=$L176),'env Parameter'!D:D,""),"")</f>
        <v>안양천-9</v>
      </c>
      <c r="N176" s="10" t="str" cm="1">
        <f t="array" ref="N176">IFERROR(_xlfn.XLOOKUP(1,('env Parameter'!$A:$A=$A176)*('env Parameter'!$B:$B=$K176)*('env Parameter'!$C:$C=$L176),'env Parameter'!I:I,""),"")</f>
        <v>YR</v>
      </c>
    </row>
    <row r="177" spans="1:14">
      <c r="A177">
        <f>eDNA!A177</f>
        <v>20200717</v>
      </c>
      <c r="B177" s="10" t="str" cm="1">
        <f t="array" ref="B177">IFERROR(_xlfn.XLOOKUP(1,('env Parameter'!$A:$A=$A177)*('env Parameter'!$B:$B=$K177)*('env Parameter'!$C:$C=$L177),'env Parameter'!H:H,""),"")</f>
        <v>생물상 조사</v>
      </c>
      <c r="C177" s="10" cm="1">
        <f t="array" ref="C177">IFERROR(_xlfn.XLOOKUP(1,('env Parameter'!$A:$A=$A177)*('env Parameter'!$B:$B=$K177)*('env Parameter'!$C:$C=$L177),'env Parameter'!E:E,""),"")</f>
        <v>2.14</v>
      </c>
      <c r="D177" s="10" cm="1">
        <f t="array" ref="D177">IFERROR(_xlfn.XLOOKUP(1,('env Parameter'!$A:$A=$A177)*('env Parameter'!$B:$B=$K177)*('env Parameter'!$C:$C=$L177),'env Parameter'!F:F,""),"")</f>
        <v>478</v>
      </c>
      <c r="E177" s="10" cm="1">
        <f t="array" ref="E177">IFERROR(_xlfn.XLOOKUP(1,('env Parameter'!$A:$A=$A177)*('env Parameter'!$B:$B=$K177)*('env Parameter'!$C:$C=$L177),'env Parameter'!G:G,""),"")</f>
        <v>7.6</v>
      </c>
      <c r="F177" t="str">
        <f>eDNA!F177</f>
        <v>MiFish</v>
      </c>
      <c r="G177" t="str">
        <f>eDNA!D177</f>
        <v>Carassius gibelio</v>
      </c>
      <c r="H177" t="str">
        <f>_xlfn.XLOOKUP(G177,'Common name (master file)'!$B:$B,'Common name (master file)'!$A:$A,"-------------")</f>
        <v>기벨리오 붕어</v>
      </c>
      <c r="I177">
        <f>eDNA!E177</f>
        <v>30449</v>
      </c>
      <c r="J177" t="str">
        <f>_xlfn.XLOOKUP(G177,'Common name (master file)'!$B:$B,'Common name (master file)'!$C:$C,"")</f>
        <v>어류</v>
      </c>
      <c r="K177">
        <f>eDNA!B177</f>
        <v>126.8910417</v>
      </c>
      <c r="L177">
        <f>eDNA!C177</f>
        <v>37.458163800000001</v>
      </c>
      <c r="M177" s="10" t="str" cm="1">
        <f t="array" ref="M177">IFERROR(_xlfn.XLOOKUP(1,('env Parameter'!$A:$A=$A177)*('env Parameter'!$B:$B=$K177)*('env Parameter'!$C:$C=$L177),'env Parameter'!D:D,""),"")</f>
        <v>안양천-9</v>
      </c>
      <c r="N177" s="10" t="str" cm="1">
        <f t="array" ref="N177">IFERROR(_xlfn.XLOOKUP(1,('env Parameter'!$A:$A=$A177)*('env Parameter'!$B:$B=$K177)*('env Parameter'!$C:$C=$L177),'env Parameter'!I:I,""),"")</f>
        <v>YR</v>
      </c>
    </row>
    <row r="178" spans="1:14">
      <c r="A178">
        <f>eDNA!A178</f>
        <v>20200717</v>
      </c>
      <c r="B178" s="10" t="str" cm="1">
        <f t="array" ref="B178">IFERROR(_xlfn.XLOOKUP(1,('env Parameter'!$A:$A=$A178)*('env Parameter'!$B:$B=$K178)*('env Parameter'!$C:$C=$L178),'env Parameter'!H:H,""),"")</f>
        <v>생물상 조사</v>
      </c>
      <c r="C178" s="10" cm="1">
        <f t="array" ref="C178">IFERROR(_xlfn.XLOOKUP(1,('env Parameter'!$A:$A=$A178)*('env Parameter'!$B:$B=$K178)*('env Parameter'!$C:$C=$L178),'env Parameter'!E:E,""),"")</f>
        <v>2.14</v>
      </c>
      <c r="D178" s="10" cm="1">
        <f t="array" ref="D178">IFERROR(_xlfn.XLOOKUP(1,('env Parameter'!$A:$A=$A178)*('env Parameter'!$B:$B=$K178)*('env Parameter'!$C:$C=$L178),'env Parameter'!F:F,""),"")</f>
        <v>478</v>
      </c>
      <c r="E178" s="10" cm="1">
        <f t="array" ref="E178">IFERROR(_xlfn.XLOOKUP(1,('env Parameter'!$A:$A=$A178)*('env Parameter'!$B:$B=$K178)*('env Parameter'!$C:$C=$L178),'env Parameter'!G:G,""),"")</f>
        <v>7.6</v>
      </c>
      <c r="F178" t="str">
        <f>eDNA!F178</f>
        <v>MiFish</v>
      </c>
      <c r="G178" t="str">
        <f>eDNA!D178</f>
        <v>Culter dabryi</v>
      </c>
      <c r="H178" t="str">
        <f>_xlfn.XLOOKUP(G178,'Common name (master file)'!$B:$B,'Common name (master file)'!$A:$A,"-------------")</f>
        <v>다브리날카로운입치</v>
      </c>
      <c r="I178">
        <f>eDNA!E178</f>
        <v>13</v>
      </c>
      <c r="J178" t="str">
        <f>_xlfn.XLOOKUP(G178,'Common name (master file)'!$B:$B,'Common name (master file)'!$C:$C,"")</f>
        <v>어류</v>
      </c>
      <c r="K178">
        <f>eDNA!B178</f>
        <v>126.8772417</v>
      </c>
      <c r="L178">
        <f>eDNA!C178</f>
        <v>37.474826299999997</v>
      </c>
      <c r="M178" s="10" t="str" cm="1">
        <f t="array" ref="M178">IFERROR(_xlfn.XLOOKUP(1,('env Parameter'!$A:$A=$A178)*('env Parameter'!$B:$B=$K178)*('env Parameter'!$C:$C=$L178),'env Parameter'!D:D,""),"")</f>
        <v>안양천-10</v>
      </c>
      <c r="N178" s="10" t="str" cm="1">
        <f t="array" ref="N178">IFERROR(_xlfn.XLOOKUP(1,('env Parameter'!$A:$A=$A178)*('env Parameter'!$B:$B=$K178)*('env Parameter'!$C:$C=$L178),'env Parameter'!I:I,""),"")</f>
        <v>YR</v>
      </c>
    </row>
    <row r="179" spans="1:14">
      <c r="A179">
        <f>eDNA!A179</f>
        <v>20200717</v>
      </c>
      <c r="B179" s="10" t="str" cm="1">
        <f t="array" ref="B179">IFERROR(_xlfn.XLOOKUP(1,('env Parameter'!$A:$A=$A179)*('env Parameter'!$B:$B=$K179)*('env Parameter'!$C:$C=$L179),'env Parameter'!H:H,""),"")</f>
        <v>생물상 조사</v>
      </c>
      <c r="C179" s="10" cm="1">
        <f t="array" ref="C179">IFERROR(_xlfn.XLOOKUP(1,('env Parameter'!$A:$A=$A179)*('env Parameter'!$B:$B=$K179)*('env Parameter'!$C:$C=$L179),'env Parameter'!E:E,""),"")</f>
        <v>2.14</v>
      </c>
      <c r="D179" s="10" cm="1">
        <f t="array" ref="D179">IFERROR(_xlfn.XLOOKUP(1,('env Parameter'!$A:$A=$A179)*('env Parameter'!$B:$B=$K179)*('env Parameter'!$C:$C=$L179),'env Parameter'!F:F,""),"")</f>
        <v>478</v>
      </c>
      <c r="E179" s="10" cm="1">
        <f t="array" ref="E179">IFERROR(_xlfn.XLOOKUP(1,('env Parameter'!$A:$A=$A179)*('env Parameter'!$B:$B=$K179)*('env Parameter'!$C:$C=$L179),'env Parameter'!G:G,""),"")</f>
        <v>7.6</v>
      </c>
      <c r="F179" t="str">
        <f>eDNA!F179</f>
        <v>MiFish</v>
      </c>
      <c r="G179" t="str">
        <f>eDNA!D179</f>
        <v>Paramisgurnus dabryanus</v>
      </c>
      <c r="H179" t="str">
        <f>_xlfn.XLOOKUP(G179,'Common name (master file)'!$B:$B,'Common name (master file)'!$A:$A,"-------------")</f>
        <v>중국미꾸라지</v>
      </c>
      <c r="I179">
        <f>eDNA!E179</f>
        <v>14</v>
      </c>
      <c r="J179" t="str">
        <f>_xlfn.XLOOKUP(G179,'Common name (master file)'!$B:$B,'Common name (master file)'!$C:$C,"")</f>
        <v>어류</v>
      </c>
      <c r="K179">
        <f>eDNA!B179</f>
        <v>126.8772417</v>
      </c>
      <c r="L179">
        <f>eDNA!C179</f>
        <v>37.474826299999997</v>
      </c>
      <c r="M179" s="10" t="str" cm="1">
        <f t="array" ref="M179">IFERROR(_xlfn.XLOOKUP(1,('env Parameter'!$A:$A=$A179)*('env Parameter'!$B:$B=$K179)*('env Parameter'!$C:$C=$L179),'env Parameter'!D:D,""),"")</f>
        <v>안양천-10</v>
      </c>
      <c r="N179" s="10" t="str" cm="1">
        <f t="array" ref="N179">IFERROR(_xlfn.XLOOKUP(1,('env Parameter'!$A:$A=$A179)*('env Parameter'!$B:$B=$K179)*('env Parameter'!$C:$C=$L179),'env Parameter'!I:I,""),"")</f>
        <v>YR</v>
      </c>
    </row>
    <row r="180" spans="1:14">
      <c r="A180">
        <f>eDNA!A180</f>
        <v>20200717</v>
      </c>
      <c r="B180" s="10" t="str" cm="1">
        <f t="array" ref="B180">IFERROR(_xlfn.XLOOKUP(1,('env Parameter'!$A:$A=$A180)*('env Parameter'!$B:$B=$K180)*('env Parameter'!$C:$C=$L180),'env Parameter'!H:H,""),"")</f>
        <v>생물상 조사</v>
      </c>
      <c r="C180" s="10" cm="1">
        <f t="array" ref="C180">IFERROR(_xlfn.XLOOKUP(1,('env Parameter'!$A:$A=$A180)*('env Parameter'!$B:$B=$K180)*('env Parameter'!$C:$C=$L180),'env Parameter'!E:E,""),"")</f>
        <v>2.14</v>
      </c>
      <c r="D180" s="10" cm="1">
        <f t="array" ref="D180">IFERROR(_xlfn.XLOOKUP(1,('env Parameter'!$A:$A=$A180)*('env Parameter'!$B:$B=$K180)*('env Parameter'!$C:$C=$L180),'env Parameter'!F:F,""),"")</f>
        <v>478</v>
      </c>
      <c r="E180" s="10" cm="1">
        <f t="array" ref="E180">IFERROR(_xlfn.XLOOKUP(1,('env Parameter'!$A:$A=$A180)*('env Parameter'!$B:$B=$K180)*('env Parameter'!$C:$C=$L180),'env Parameter'!G:G,""),"")</f>
        <v>7.6</v>
      </c>
      <c r="F180" t="str">
        <f>eDNA!F180</f>
        <v>MiFish</v>
      </c>
      <c r="G180" t="str">
        <f>eDNA!D180</f>
        <v>Bos taurus</v>
      </c>
      <c r="H180" t="str">
        <f>_xlfn.XLOOKUP(G180,'Common name (master file)'!$B:$B,'Common name (master file)'!$A:$A,"-------------")</f>
        <v>소</v>
      </c>
      <c r="I180">
        <f>eDNA!E180</f>
        <v>15</v>
      </c>
      <c r="J180" t="str">
        <f>_xlfn.XLOOKUP(G180,'Common name (master file)'!$B:$B,'Common name (master file)'!$C:$C,"")</f>
        <v>포유류</v>
      </c>
      <c r="K180">
        <f>eDNA!B180</f>
        <v>126.8772417</v>
      </c>
      <c r="L180">
        <f>eDNA!C180</f>
        <v>37.474826299999997</v>
      </c>
      <c r="M180" s="10" t="str" cm="1">
        <f t="array" ref="M180">IFERROR(_xlfn.XLOOKUP(1,('env Parameter'!$A:$A=$A180)*('env Parameter'!$B:$B=$K180)*('env Parameter'!$C:$C=$L180),'env Parameter'!D:D,""),"")</f>
        <v>안양천-10</v>
      </c>
      <c r="N180" s="10" t="str" cm="1">
        <f t="array" ref="N180">IFERROR(_xlfn.XLOOKUP(1,('env Parameter'!$A:$A=$A180)*('env Parameter'!$B:$B=$K180)*('env Parameter'!$C:$C=$L180),'env Parameter'!I:I,""),"")</f>
        <v>YR</v>
      </c>
    </row>
    <row r="181" spans="1:14">
      <c r="A181">
        <f>eDNA!A181</f>
        <v>20200717</v>
      </c>
      <c r="B181" s="10" t="str" cm="1">
        <f t="array" ref="B181">IFERROR(_xlfn.XLOOKUP(1,('env Parameter'!$A:$A=$A181)*('env Parameter'!$B:$B=$K181)*('env Parameter'!$C:$C=$L181),'env Parameter'!H:H,""),"")</f>
        <v>생물상 조사</v>
      </c>
      <c r="C181" s="10" cm="1">
        <f t="array" ref="C181">IFERROR(_xlfn.XLOOKUP(1,('env Parameter'!$A:$A=$A181)*('env Parameter'!$B:$B=$K181)*('env Parameter'!$C:$C=$L181),'env Parameter'!E:E,""),"")</f>
        <v>2.14</v>
      </c>
      <c r="D181" s="10" cm="1">
        <f t="array" ref="D181">IFERROR(_xlfn.XLOOKUP(1,('env Parameter'!$A:$A=$A181)*('env Parameter'!$B:$B=$K181)*('env Parameter'!$C:$C=$L181),'env Parameter'!F:F,""),"")</f>
        <v>478</v>
      </c>
      <c r="E181" s="10" cm="1">
        <f t="array" ref="E181">IFERROR(_xlfn.XLOOKUP(1,('env Parameter'!$A:$A=$A181)*('env Parameter'!$B:$B=$K181)*('env Parameter'!$C:$C=$L181),'env Parameter'!G:G,""),"")</f>
        <v>7.6</v>
      </c>
      <c r="F181" t="str">
        <f>eDNA!F181</f>
        <v>MiFish</v>
      </c>
      <c r="G181" t="str">
        <f>eDNA!D181</f>
        <v>Scomber japonicus</v>
      </c>
      <c r="H181" t="str">
        <f>_xlfn.XLOOKUP(G181,'Common name (master file)'!$B:$B,'Common name (master file)'!$A:$A,"-------------")</f>
        <v>참고등어</v>
      </c>
      <c r="I181">
        <f>eDNA!E181</f>
        <v>20</v>
      </c>
      <c r="J181" t="str">
        <f>_xlfn.XLOOKUP(G181,'Common name (master file)'!$B:$B,'Common name (master file)'!$C:$C,"")</f>
        <v>어류</v>
      </c>
      <c r="K181">
        <f>eDNA!B181</f>
        <v>126.8772417</v>
      </c>
      <c r="L181">
        <f>eDNA!C181</f>
        <v>37.474826299999997</v>
      </c>
      <c r="M181" s="10" t="str" cm="1">
        <f t="array" ref="M181">IFERROR(_xlfn.XLOOKUP(1,('env Parameter'!$A:$A=$A181)*('env Parameter'!$B:$B=$K181)*('env Parameter'!$C:$C=$L181),'env Parameter'!D:D,""),"")</f>
        <v>안양천-10</v>
      </c>
      <c r="N181" s="10" t="str" cm="1">
        <f t="array" ref="N181">IFERROR(_xlfn.XLOOKUP(1,('env Parameter'!$A:$A=$A181)*('env Parameter'!$B:$B=$K181)*('env Parameter'!$C:$C=$L181),'env Parameter'!I:I,""),"")</f>
        <v>YR</v>
      </c>
    </row>
    <row r="182" spans="1:14">
      <c r="A182">
        <f>eDNA!A182</f>
        <v>20200717</v>
      </c>
      <c r="B182" s="10" t="str" cm="1">
        <f t="array" ref="B182">IFERROR(_xlfn.XLOOKUP(1,('env Parameter'!$A:$A=$A182)*('env Parameter'!$B:$B=$K182)*('env Parameter'!$C:$C=$L182),'env Parameter'!H:H,""),"")</f>
        <v>생물상 조사</v>
      </c>
      <c r="C182" s="10" cm="1">
        <f t="array" ref="C182">IFERROR(_xlfn.XLOOKUP(1,('env Parameter'!$A:$A=$A182)*('env Parameter'!$B:$B=$K182)*('env Parameter'!$C:$C=$L182),'env Parameter'!E:E,""),"")</f>
        <v>2.14</v>
      </c>
      <c r="D182" s="10" cm="1">
        <f t="array" ref="D182">IFERROR(_xlfn.XLOOKUP(1,('env Parameter'!$A:$A=$A182)*('env Parameter'!$B:$B=$K182)*('env Parameter'!$C:$C=$L182),'env Parameter'!F:F,""),"")</f>
        <v>478</v>
      </c>
      <c r="E182" s="10" cm="1">
        <f t="array" ref="E182">IFERROR(_xlfn.XLOOKUP(1,('env Parameter'!$A:$A=$A182)*('env Parameter'!$B:$B=$K182)*('env Parameter'!$C:$C=$L182),'env Parameter'!G:G,""),"")</f>
        <v>7.6</v>
      </c>
      <c r="F182" t="str">
        <f>eDNA!F182</f>
        <v>MiFish</v>
      </c>
      <c r="G182" t="str">
        <f>eDNA!D182</f>
        <v>Carassius cuvieri</v>
      </c>
      <c r="H182" t="str">
        <f>_xlfn.XLOOKUP(G182,'Common name (master file)'!$B:$B,'Common name (master file)'!$A:$A,"-------------")</f>
        <v>떡붕어</v>
      </c>
      <c r="I182">
        <f>eDNA!E182</f>
        <v>25</v>
      </c>
      <c r="J182" t="str">
        <f>_xlfn.XLOOKUP(G182,'Common name (master file)'!$B:$B,'Common name (master file)'!$C:$C,"")</f>
        <v>어류</v>
      </c>
      <c r="K182">
        <f>eDNA!B182</f>
        <v>126.8772417</v>
      </c>
      <c r="L182">
        <f>eDNA!C182</f>
        <v>37.474826299999997</v>
      </c>
      <c r="M182" s="10" t="str" cm="1">
        <f t="array" ref="M182">IFERROR(_xlfn.XLOOKUP(1,('env Parameter'!$A:$A=$A182)*('env Parameter'!$B:$B=$K182)*('env Parameter'!$C:$C=$L182),'env Parameter'!D:D,""),"")</f>
        <v>안양천-10</v>
      </c>
      <c r="N182" s="10" t="str" cm="1">
        <f t="array" ref="N182">IFERROR(_xlfn.XLOOKUP(1,('env Parameter'!$A:$A=$A182)*('env Parameter'!$B:$B=$K182)*('env Parameter'!$C:$C=$L182),'env Parameter'!I:I,""),"")</f>
        <v>YR</v>
      </c>
    </row>
    <row r="183" spans="1:14">
      <c r="A183">
        <f>eDNA!A183</f>
        <v>20200717</v>
      </c>
      <c r="B183" s="10" t="str" cm="1">
        <f t="array" ref="B183">IFERROR(_xlfn.XLOOKUP(1,('env Parameter'!$A:$A=$A183)*('env Parameter'!$B:$B=$K183)*('env Parameter'!$C:$C=$L183),'env Parameter'!H:H,""),"")</f>
        <v>생물상 조사</v>
      </c>
      <c r="C183" s="10" cm="1">
        <f t="array" ref="C183">IFERROR(_xlfn.XLOOKUP(1,('env Parameter'!$A:$A=$A183)*('env Parameter'!$B:$B=$K183)*('env Parameter'!$C:$C=$L183),'env Parameter'!E:E,""),"")</f>
        <v>2.14</v>
      </c>
      <c r="D183" s="10" cm="1">
        <f t="array" ref="D183">IFERROR(_xlfn.XLOOKUP(1,('env Parameter'!$A:$A=$A183)*('env Parameter'!$B:$B=$K183)*('env Parameter'!$C:$C=$L183),'env Parameter'!F:F,""),"")</f>
        <v>478</v>
      </c>
      <c r="E183" s="10" cm="1">
        <f t="array" ref="E183">IFERROR(_xlfn.XLOOKUP(1,('env Parameter'!$A:$A=$A183)*('env Parameter'!$B:$B=$K183)*('env Parameter'!$C:$C=$L183),'env Parameter'!G:G,""),"")</f>
        <v>7.6</v>
      </c>
      <c r="F183" t="str">
        <f>eDNA!F183</f>
        <v>MiFish</v>
      </c>
      <c r="G183" t="str">
        <f>eDNA!D183</f>
        <v>Pseudogobio esocinus</v>
      </c>
      <c r="H183" t="str">
        <f>_xlfn.XLOOKUP(G183,'Common name (master file)'!$B:$B,'Common name (master file)'!$A:$A,"-------------")</f>
        <v>모래무지</v>
      </c>
      <c r="I183">
        <f>eDNA!E183</f>
        <v>26</v>
      </c>
      <c r="J183" t="str">
        <f>_xlfn.XLOOKUP(G183,'Common name (master file)'!$B:$B,'Common name (master file)'!$C:$C,"")</f>
        <v>어류</v>
      </c>
      <c r="K183">
        <f>eDNA!B183</f>
        <v>126.8772417</v>
      </c>
      <c r="L183">
        <f>eDNA!C183</f>
        <v>37.474826299999997</v>
      </c>
      <c r="M183" s="10" t="str" cm="1">
        <f t="array" ref="M183">IFERROR(_xlfn.XLOOKUP(1,('env Parameter'!$A:$A=$A183)*('env Parameter'!$B:$B=$K183)*('env Parameter'!$C:$C=$L183),'env Parameter'!D:D,""),"")</f>
        <v>안양천-10</v>
      </c>
      <c r="N183" s="10" t="str" cm="1">
        <f t="array" ref="N183">IFERROR(_xlfn.XLOOKUP(1,('env Parameter'!$A:$A=$A183)*('env Parameter'!$B:$B=$K183)*('env Parameter'!$C:$C=$L183),'env Parameter'!I:I,""),"")</f>
        <v>YR</v>
      </c>
    </row>
    <row r="184" spans="1:14">
      <c r="A184">
        <f>eDNA!A184</f>
        <v>20200717</v>
      </c>
      <c r="B184" s="10" t="str" cm="1">
        <f t="array" ref="B184">IFERROR(_xlfn.XLOOKUP(1,('env Parameter'!$A:$A=$A184)*('env Parameter'!$B:$B=$K184)*('env Parameter'!$C:$C=$L184),'env Parameter'!H:H,""),"")</f>
        <v>생물상 조사</v>
      </c>
      <c r="C184" s="10" cm="1">
        <f t="array" ref="C184">IFERROR(_xlfn.XLOOKUP(1,('env Parameter'!$A:$A=$A184)*('env Parameter'!$B:$B=$K184)*('env Parameter'!$C:$C=$L184),'env Parameter'!E:E,""),"")</f>
        <v>2.14</v>
      </c>
      <c r="D184" s="10" cm="1">
        <f t="array" ref="D184">IFERROR(_xlfn.XLOOKUP(1,('env Parameter'!$A:$A=$A184)*('env Parameter'!$B:$B=$K184)*('env Parameter'!$C:$C=$L184),'env Parameter'!F:F,""),"")</f>
        <v>478</v>
      </c>
      <c r="E184" s="10" cm="1">
        <f t="array" ref="E184">IFERROR(_xlfn.XLOOKUP(1,('env Parameter'!$A:$A=$A184)*('env Parameter'!$B:$B=$K184)*('env Parameter'!$C:$C=$L184),'env Parameter'!G:G,""),"")</f>
        <v>7.6</v>
      </c>
      <c r="F184" t="str">
        <f>eDNA!F184</f>
        <v>MiFish</v>
      </c>
      <c r="G184" t="str">
        <f>eDNA!D184</f>
        <v>Pelodiscus sinensis</v>
      </c>
      <c r="H184" t="str">
        <f>_xlfn.XLOOKUP(G184,'Common name (master file)'!$B:$B,'Common name (master file)'!$A:$A,"-------------")</f>
        <v>중국자라</v>
      </c>
      <c r="I184">
        <f>eDNA!E184</f>
        <v>27</v>
      </c>
      <c r="J184" t="str">
        <f>_xlfn.XLOOKUP(G184,'Common name (master file)'!$B:$B,'Common name (master file)'!$C:$C,"")</f>
        <v>양서파충류</v>
      </c>
      <c r="K184">
        <f>eDNA!B184</f>
        <v>126.8772417</v>
      </c>
      <c r="L184">
        <f>eDNA!C184</f>
        <v>37.474826299999997</v>
      </c>
      <c r="M184" s="10" t="str" cm="1">
        <f t="array" ref="M184">IFERROR(_xlfn.XLOOKUP(1,('env Parameter'!$A:$A=$A184)*('env Parameter'!$B:$B=$K184)*('env Parameter'!$C:$C=$L184),'env Parameter'!D:D,""),"")</f>
        <v>안양천-10</v>
      </c>
      <c r="N184" s="10" t="str" cm="1">
        <f t="array" ref="N184">IFERROR(_xlfn.XLOOKUP(1,('env Parameter'!$A:$A=$A184)*('env Parameter'!$B:$B=$K184)*('env Parameter'!$C:$C=$L184),'env Parameter'!I:I,""),"")</f>
        <v>YR</v>
      </c>
    </row>
    <row r="185" spans="1:14">
      <c r="A185">
        <f>eDNA!A185</f>
        <v>20200717</v>
      </c>
      <c r="B185" s="10" t="str" cm="1">
        <f t="array" ref="B185">IFERROR(_xlfn.XLOOKUP(1,('env Parameter'!$A:$A=$A185)*('env Parameter'!$B:$B=$K185)*('env Parameter'!$C:$C=$L185),'env Parameter'!H:H,""),"")</f>
        <v>생물상 조사</v>
      </c>
      <c r="C185" s="10" cm="1">
        <f t="array" ref="C185">IFERROR(_xlfn.XLOOKUP(1,('env Parameter'!$A:$A=$A185)*('env Parameter'!$B:$B=$K185)*('env Parameter'!$C:$C=$L185),'env Parameter'!E:E,""),"")</f>
        <v>2.14</v>
      </c>
      <c r="D185" s="10" cm="1">
        <f t="array" ref="D185">IFERROR(_xlfn.XLOOKUP(1,('env Parameter'!$A:$A=$A185)*('env Parameter'!$B:$B=$K185)*('env Parameter'!$C:$C=$L185),'env Parameter'!F:F,""),"")</f>
        <v>478</v>
      </c>
      <c r="E185" s="10" cm="1">
        <f t="array" ref="E185">IFERROR(_xlfn.XLOOKUP(1,('env Parameter'!$A:$A=$A185)*('env Parameter'!$B:$B=$K185)*('env Parameter'!$C:$C=$L185),'env Parameter'!G:G,""),"")</f>
        <v>7.6</v>
      </c>
      <c r="F185" t="str">
        <f>eDNA!F185</f>
        <v>MiFish</v>
      </c>
      <c r="G185" t="str">
        <f>eDNA!D185</f>
        <v>Rattus norvegicus</v>
      </c>
      <c r="H185" t="str">
        <f>_xlfn.XLOOKUP(G185,'Common name (master file)'!$B:$B,'Common name (master file)'!$A:$A,"-------------")</f>
        <v>시궁쥐</v>
      </c>
      <c r="I185">
        <f>eDNA!E185</f>
        <v>32</v>
      </c>
      <c r="J185" t="str">
        <f>_xlfn.XLOOKUP(G185,'Common name (master file)'!$B:$B,'Common name (master file)'!$C:$C,"")</f>
        <v>포유류</v>
      </c>
      <c r="K185">
        <f>eDNA!B185</f>
        <v>126.8772417</v>
      </c>
      <c r="L185">
        <f>eDNA!C185</f>
        <v>37.474826299999997</v>
      </c>
      <c r="M185" s="10" t="str" cm="1">
        <f t="array" ref="M185">IFERROR(_xlfn.XLOOKUP(1,('env Parameter'!$A:$A=$A185)*('env Parameter'!$B:$B=$K185)*('env Parameter'!$C:$C=$L185),'env Parameter'!D:D,""),"")</f>
        <v>안양천-10</v>
      </c>
      <c r="N185" s="10" t="str" cm="1">
        <f t="array" ref="N185">IFERROR(_xlfn.XLOOKUP(1,('env Parameter'!$A:$A=$A185)*('env Parameter'!$B:$B=$K185)*('env Parameter'!$C:$C=$L185),'env Parameter'!I:I,""),"")</f>
        <v>YR</v>
      </c>
    </row>
    <row r="186" spans="1:14">
      <c r="A186">
        <f>eDNA!A186</f>
        <v>20200717</v>
      </c>
      <c r="B186" s="10" t="str" cm="1">
        <f t="array" ref="B186">IFERROR(_xlfn.XLOOKUP(1,('env Parameter'!$A:$A=$A186)*('env Parameter'!$B:$B=$K186)*('env Parameter'!$C:$C=$L186),'env Parameter'!H:H,""),"")</f>
        <v>생물상 조사</v>
      </c>
      <c r="C186" s="10" cm="1">
        <f t="array" ref="C186">IFERROR(_xlfn.XLOOKUP(1,('env Parameter'!$A:$A=$A186)*('env Parameter'!$B:$B=$K186)*('env Parameter'!$C:$C=$L186),'env Parameter'!E:E,""),"")</f>
        <v>2.14</v>
      </c>
      <c r="D186" s="10" cm="1">
        <f t="array" ref="D186">IFERROR(_xlfn.XLOOKUP(1,('env Parameter'!$A:$A=$A186)*('env Parameter'!$B:$B=$K186)*('env Parameter'!$C:$C=$L186),'env Parameter'!F:F,""),"")</f>
        <v>478</v>
      </c>
      <c r="E186" s="10" cm="1">
        <f t="array" ref="E186">IFERROR(_xlfn.XLOOKUP(1,('env Parameter'!$A:$A=$A186)*('env Parameter'!$B:$B=$K186)*('env Parameter'!$C:$C=$L186),'env Parameter'!G:G,""),"")</f>
        <v>7.6</v>
      </c>
      <c r="F186" t="str">
        <f>eDNA!F186</f>
        <v>MiFish</v>
      </c>
      <c r="G186" t="str">
        <f>eDNA!D186</f>
        <v>Chelon melinopterus</v>
      </c>
      <c r="H186" t="str">
        <f>_xlfn.XLOOKUP(G186,'Common name (master file)'!$B:$B,'Common name (master file)'!$A:$A,"-------------")</f>
        <v>검정꼬리숭어</v>
      </c>
      <c r="I186">
        <f>eDNA!E186</f>
        <v>43</v>
      </c>
      <c r="J186" t="str">
        <f>_xlfn.XLOOKUP(G186,'Common name (master file)'!$B:$B,'Common name (master file)'!$C:$C,"")</f>
        <v>어류</v>
      </c>
      <c r="K186">
        <f>eDNA!B186</f>
        <v>126.8771357</v>
      </c>
      <c r="L186">
        <f>eDNA!C186</f>
        <v>37.553306900000003</v>
      </c>
      <c r="M186" s="10" t="str" cm="1">
        <f t="array" ref="M186">IFERROR(_xlfn.XLOOKUP(1,('env Parameter'!$A:$A=$A186)*('env Parameter'!$B:$B=$K186)*('env Parameter'!$C:$C=$L186),'env Parameter'!D:D,""),"")</f>
        <v>안양천-11</v>
      </c>
      <c r="N186" s="10" t="str" cm="1">
        <f t="array" ref="N186">IFERROR(_xlfn.XLOOKUP(1,('env Parameter'!$A:$A=$A186)*('env Parameter'!$B:$B=$K186)*('env Parameter'!$C:$C=$L186),'env Parameter'!I:I,""),"")</f>
        <v>YR</v>
      </c>
    </row>
    <row r="187" spans="1:14">
      <c r="A187">
        <f>eDNA!A187</f>
        <v>20200717</v>
      </c>
      <c r="B187" s="10" t="str" cm="1">
        <f t="array" ref="B187">IFERROR(_xlfn.XLOOKUP(1,('env Parameter'!$A:$A=$A187)*('env Parameter'!$B:$B=$K187)*('env Parameter'!$C:$C=$L187),'env Parameter'!H:H,""),"")</f>
        <v>생물상 조사</v>
      </c>
      <c r="C187" s="10" cm="1">
        <f t="array" ref="C187">IFERROR(_xlfn.XLOOKUP(1,('env Parameter'!$A:$A=$A187)*('env Parameter'!$B:$B=$K187)*('env Parameter'!$C:$C=$L187),'env Parameter'!E:E,""),"")</f>
        <v>2.14</v>
      </c>
      <c r="D187" s="10" cm="1">
        <f t="array" ref="D187">IFERROR(_xlfn.XLOOKUP(1,('env Parameter'!$A:$A=$A187)*('env Parameter'!$B:$B=$K187)*('env Parameter'!$C:$C=$L187),'env Parameter'!F:F,""),"")</f>
        <v>478</v>
      </c>
      <c r="E187" s="10" cm="1">
        <f t="array" ref="E187">IFERROR(_xlfn.XLOOKUP(1,('env Parameter'!$A:$A=$A187)*('env Parameter'!$B:$B=$K187)*('env Parameter'!$C:$C=$L187),'env Parameter'!G:G,""),"")</f>
        <v>7.6</v>
      </c>
      <c r="F187" t="str">
        <f>eDNA!F187</f>
        <v>MiFish</v>
      </c>
      <c r="G187" t="str">
        <f>eDNA!D187</f>
        <v>Theragra chalcogramma</v>
      </c>
      <c r="H187" t="str">
        <f>_xlfn.XLOOKUP(G187,'Common name (master file)'!$B:$B,'Common name (master file)'!$A:$A,"-------------")</f>
        <v>명태</v>
      </c>
      <c r="I187">
        <f>eDNA!E187</f>
        <v>36</v>
      </c>
      <c r="J187" t="str">
        <f>_xlfn.XLOOKUP(G187,'Common name (master file)'!$B:$B,'Common name (master file)'!$C:$C,"")</f>
        <v>어류</v>
      </c>
      <c r="K187">
        <f>eDNA!B187</f>
        <v>126.8772417</v>
      </c>
      <c r="L187">
        <f>eDNA!C187</f>
        <v>37.474826299999997</v>
      </c>
      <c r="M187" s="10" t="str" cm="1">
        <f t="array" ref="M187">IFERROR(_xlfn.XLOOKUP(1,('env Parameter'!$A:$A=$A187)*('env Parameter'!$B:$B=$K187)*('env Parameter'!$C:$C=$L187),'env Parameter'!D:D,""),"")</f>
        <v>안양천-10</v>
      </c>
      <c r="N187" s="10" t="str" cm="1">
        <f t="array" ref="N187">IFERROR(_xlfn.XLOOKUP(1,('env Parameter'!$A:$A=$A187)*('env Parameter'!$B:$B=$K187)*('env Parameter'!$C:$C=$L187),'env Parameter'!I:I,""),"")</f>
        <v>YR</v>
      </c>
    </row>
    <row r="188" spans="1:14">
      <c r="A188">
        <f>eDNA!A188</f>
        <v>20200717</v>
      </c>
      <c r="B188" s="10" t="str" cm="1">
        <f t="array" ref="B188">IFERROR(_xlfn.XLOOKUP(1,('env Parameter'!$A:$A=$A188)*('env Parameter'!$B:$B=$K188)*('env Parameter'!$C:$C=$L188),'env Parameter'!H:H,""),"")</f>
        <v>생물상 조사</v>
      </c>
      <c r="C188" s="10" cm="1">
        <f t="array" ref="C188">IFERROR(_xlfn.XLOOKUP(1,('env Parameter'!$A:$A=$A188)*('env Parameter'!$B:$B=$K188)*('env Parameter'!$C:$C=$L188),'env Parameter'!E:E,""),"")</f>
        <v>2.14</v>
      </c>
      <c r="D188" s="10" cm="1">
        <f t="array" ref="D188">IFERROR(_xlfn.XLOOKUP(1,('env Parameter'!$A:$A=$A188)*('env Parameter'!$B:$B=$K188)*('env Parameter'!$C:$C=$L188),'env Parameter'!F:F,""),"")</f>
        <v>478</v>
      </c>
      <c r="E188" s="10" cm="1">
        <f t="array" ref="E188">IFERROR(_xlfn.XLOOKUP(1,('env Parameter'!$A:$A=$A188)*('env Parameter'!$B:$B=$K188)*('env Parameter'!$C:$C=$L188),'env Parameter'!G:G,""),"")</f>
        <v>7.6</v>
      </c>
      <c r="F188" t="str">
        <f>eDNA!F188</f>
        <v>MiFish</v>
      </c>
      <c r="G188" t="str">
        <f>eDNA!D188</f>
        <v>Gnathopogon strigatus</v>
      </c>
      <c r="H188" t="str">
        <f>_xlfn.XLOOKUP(G188,'Common name (master file)'!$B:$B,'Common name (master file)'!$A:$A,"-------------")</f>
        <v>줄몰개</v>
      </c>
      <c r="I188">
        <f>eDNA!E188</f>
        <v>39</v>
      </c>
      <c r="J188" t="str">
        <f>_xlfn.XLOOKUP(G188,'Common name (master file)'!$B:$B,'Common name (master file)'!$C:$C,"")</f>
        <v>어류</v>
      </c>
      <c r="K188">
        <f>eDNA!B188</f>
        <v>126.8772417</v>
      </c>
      <c r="L188">
        <f>eDNA!C188</f>
        <v>37.474826299999997</v>
      </c>
      <c r="M188" s="10" t="str" cm="1">
        <f t="array" ref="M188">IFERROR(_xlfn.XLOOKUP(1,('env Parameter'!$A:$A=$A188)*('env Parameter'!$B:$B=$K188)*('env Parameter'!$C:$C=$L188),'env Parameter'!D:D,""),"")</f>
        <v>안양천-10</v>
      </c>
      <c r="N188" s="10" t="str" cm="1">
        <f t="array" ref="N188">IFERROR(_xlfn.XLOOKUP(1,('env Parameter'!$A:$A=$A188)*('env Parameter'!$B:$B=$K188)*('env Parameter'!$C:$C=$L188),'env Parameter'!I:I,""),"")</f>
        <v>YR</v>
      </c>
    </row>
    <row r="189" spans="1:14">
      <c r="A189">
        <f>eDNA!A189</f>
        <v>20200717</v>
      </c>
      <c r="B189" s="10" t="str" cm="1">
        <f t="array" ref="B189">IFERROR(_xlfn.XLOOKUP(1,('env Parameter'!$A:$A=$A189)*('env Parameter'!$B:$B=$K189)*('env Parameter'!$C:$C=$L189),'env Parameter'!H:H,""),"")</f>
        <v>생물상 조사</v>
      </c>
      <c r="C189" s="10" cm="1">
        <f t="array" ref="C189">IFERROR(_xlfn.XLOOKUP(1,('env Parameter'!$A:$A=$A189)*('env Parameter'!$B:$B=$K189)*('env Parameter'!$C:$C=$L189),'env Parameter'!E:E,""),"")</f>
        <v>2.14</v>
      </c>
      <c r="D189" s="10" cm="1">
        <f t="array" ref="D189">IFERROR(_xlfn.XLOOKUP(1,('env Parameter'!$A:$A=$A189)*('env Parameter'!$B:$B=$K189)*('env Parameter'!$C:$C=$L189),'env Parameter'!F:F,""),"")</f>
        <v>478</v>
      </c>
      <c r="E189" s="10" cm="1">
        <f t="array" ref="E189">IFERROR(_xlfn.XLOOKUP(1,('env Parameter'!$A:$A=$A189)*('env Parameter'!$B:$B=$K189)*('env Parameter'!$C:$C=$L189),'env Parameter'!G:G,""),"")</f>
        <v>7.6</v>
      </c>
      <c r="F189" t="str">
        <f>eDNA!F189</f>
        <v>MiFish</v>
      </c>
      <c r="G189" t="str">
        <f>eDNA!D189</f>
        <v>Lophius litulon</v>
      </c>
      <c r="H189" t="str">
        <f>_xlfn.XLOOKUP(G189,'Common name (master file)'!$B:$B,'Common name (master file)'!$A:$A,"-------------")</f>
        <v>황아귀</v>
      </c>
      <c r="I189">
        <f>eDNA!E189</f>
        <v>43</v>
      </c>
      <c r="J189" t="str">
        <f>_xlfn.XLOOKUP(G189,'Common name (master file)'!$B:$B,'Common name (master file)'!$C:$C,"")</f>
        <v>어류</v>
      </c>
      <c r="K189">
        <f>eDNA!B189</f>
        <v>126.8772417</v>
      </c>
      <c r="L189">
        <f>eDNA!C189</f>
        <v>37.474826299999997</v>
      </c>
      <c r="M189" s="10" t="str" cm="1">
        <f t="array" ref="M189">IFERROR(_xlfn.XLOOKUP(1,('env Parameter'!$A:$A=$A189)*('env Parameter'!$B:$B=$K189)*('env Parameter'!$C:$C=$L189),'env Parameter'!D:D,""),"")</f>
        <v>안양천-10</v>
      </c>
      <c r="N189" s="10" t="str" cm="1">
        <f t="array" ref="N189">IFERROR(_xlfn.XLOOKUP(1,('env Parameter'!$A:$A=$A189)*('env Parameter'!$B:$B=$K189)*('env Parameter'!$C:$C=$L189),'env Parameter'!I:I,""),"")</f>
        <v>YR</v>
      </c>
    </row>
    <row r="190" spans="1:14">
      <c r="A190">
        <f>eDNA!A190</f>
        <v>20200717</v>
      </c>
      <c r="B190" s="10" t="str" cm="1">
        <f t="array" ref="B190">IFERROR(_xlfn.XLOOKUP(1,('env Parameter'!$A:$A=$A190)*('env Parameter'!$B:$B=$K190)*('env Parameter'!$C:$C=$L190),'env Parameter'!H:H,""),"")</f>
        <v>생물상 조사</v>
      </c>
      <c r="C190" s="10" cm="1">
        <f t="array" ref="C190">IFERROR(_xlfn.XLOOKUP(1,('env Parameter'!$A:$A=$A190)*('env Parameter'!$B:$B=$K190)*('env Parameter'!$C:$C=$L190),'env Parameter'!E:E,""),"")</f>
        <v>2.14</v>
      </c>
      <c r="D190" s="10" cm="1">
        <f t="array" ref="D190">IFERROR(_xlfn.XLOOKUP(1,('env Parameter'!$A:$A=$A190)*('env Parameter'!$B:$B=$K190)*('env Parameter'!$C:$C=$L190),'env Parameter'!F:F,""),"")</f>
        <v>478</v>
      </c>
      <c r="E190" s="10" cm="1">
        <f t="array" ref="E190">IFERROR(_xlfn.XLOOKUP(1,('env Parameter'!$A:$A=$A190)*('env Parameter'!$B:$B=$K190)*('env Parameter'!$C:$C=$L190),'env Parameter'!G:G,""),"")</f>
        <v>7.6</v>
      </c>
      <c r="F190" t="str">
        <f>eDNA!F190</f>
        <v>MiFish</v>
      </c>
      <c r="G190" t="str">
        <f>eDNA!D190</f>
        <v>Sus scrofa</v>
      </c>
      <c r="H190" t="str">
        <f>_xlfn.XLOOKUP(G190,'Common name (master file)'!$B:$B,'Common name (master file)'!$A:$A,"-------------")</f>
        <v>멧돼지</v>
      </c>
      <c r="I190">
        <f>eDNA!E190</f>
        <v>79</v>
      </c>
      <c r="J190" t="str">
        <f>_xlfn.XLOOKUP(G190,'Common name (master file)'!$B:$B,'Common name (master file)'!$C:$C,"")</f>
        <v>포유류</v>
      </c>
      <c r="K190">
        <f>eDNA!B190</f>
        <v>126.8772417</v>
      </c>
      <c r="L190">
        <f>eDNA!C190</f>
        <v>37.474826299999997</v>
      </c>
      <c r="M190" s="10" t="str" cm="1">
        <f t="array" ref="M190">IFERROR(_xlfn.XLOOKUP(1,('env Parameter'!$A:$A=$A190)*('env Parameter'!$B:$B=$K190)*('env Parameter'!$C:$C=$L190),'env Parameter'!D:D,""),"")</f>
        <v>안양천-10</v>
      </c>
      <c r="N190" s="10" t="str" cm="1">
        <f t="array" ref="N190">IFERROR(_xlfn.XLOOKUP(1,('env Parameter'!$A:$A=$A190)*('env Parameter'!$B:$B=$K190)*('env Parameter'!$C:$C=$L190),'env Parameter'!I:I,""),"")</f>
        <v>YR</v>
      </c>
    </row>
    <row r="191" spans="1:14">
      <c r="A191">
        <f>eDNA!A191</f>
        <v>20200717</v>
      </c>
      <c r="B191" s="10" t="str" cm="1">
        <f t="array" ref="B191">IFERROR(_xlfn.XLOOKUP(1,('env Parameter'!$A:$A=$A191)*('env Parameter'!$B:$B=$K191)*('env Parameter'!$C:$C=$L191),'env Parameter'!H:H,""),"")</f>
        <v>생물상 조사</v>
      </c>
      <c r="C191" s="10" cm="1">
        <f t="array" ref="C191">IFERROR(_xlfn.XLOOKUP(1,('env Parameter'!$A:$A=$A191)*('env Parameter'!$B:$B=$K191)*('env Parameter'!$C:$C=$L191),'env Parameter'!E:E,""),"")</f>
        <v>2.14</v>
      </c>
      <c r="D191" s="10" cm="1">
        <f t="array" ref="D191">IFERROR(_xlfn.XLOOKUP(1,('env Parameter'!$A:$A=$A191)*('env Parameter'!$B:$B=$K191)*('env Parameter'!$C:$C=$L191),'env Parameter'!F:F,""),"")</f>
        <v>478</v>
      </c>
      <c r="E191" s="10" cm="1">
        <f t="array" ref="E191">IFERROR(_xlfn.XLOOKUP(1,('env Parameter'!$A:$A=$A191)*('env Parameter'!$B:$B=$K191)*('env Parameter'!$C:$C=$L191),'env Parameter'!G:G,""),"")</f>
        <v>7.6</v>
      </c>
      <c r="F191" t="str">
        <f>eDNA!F191</f>
        <v>MiFish</v>
      </c>
      <c r="G191" t="str">
        <f>eDNA!D191</f>
        <v>Misgurnus bipartitus</v>
      </c>
      <c r="H191" t="str">
        <f>_xlfn.XLOOKUP(G191,'Common name (master file)'!$B:$B,'Common name (master file)'!$A:$A,"-------------")</f>
        <v>쌍무늬미꾸리</v>
      </c>
      <c r="I191">
        <f>eDNA!E191</f>
        <v>57</v>
      </c>
      <c r="J191" t="str">
        <f>_xlfn.XLOOKUP(G191,'Common name (master file)'!$B:$B,'Common name (master file)'!$C:$C,"")</f>
        <v>어류</v>
      </c>
      <c r="K191">
        <f>eDNA!B191</f>
        <v>126.8772417</v>
      </c>
      <c r="L191">
        <f>eDNA!C191</f>
        <v>37.474826299999997</v>
      </c>
      <c r="M191" s="10" t="str" cm="1">
        <f t="array" ref="M191">IFERROR(_xlfn.XLOOKUP(1,('env Parameter'!$A:$A=$A191)*('env Parameter'!$B:$B=$K191)*('env Parameter'!$C:$C=$L191),'env Parameter'!D:D,""),"")</f>
        <v>안양천-10</v>
      </c>
      <c r="N191" s="10" t="str" cm="1">
        <f t="array" ref="N191">IFERROR(_xlfn.XLOOKUP(1,('env Parameter'!$A:$A=$A191)*('env Parameter'!$B:$B=$K191)*('env Parameter'!$C:$C=$L191),'env Parameter'!I:I,""),"")</f>
        <v>YR</v>
      </c>
    </row>
    <row r="192" spans="1:14">
      <c r="A192">
        <f>eDNA!A192</f>
        <v>20200717</v>
      </c>
      <c r="B192" s="10" t="str" cm="1">
        <f t="array" ref="B192">IFERROR(_xlfn.XLOOKUP(1,('env Parameter'!$A:$A=$A192)*('env Parameter'!$B:$B=$K192)*('env Parameter'!$C:$C=$L192),'env Parameter'!H:H,""),"")</f>
        <v>생물상 조사</v>
      </c>
      <c r="C192" s="10" cm="1">
        <f t="array" ref="C192">IFERROR(_xlfn.XLOOKUP(1,('env Parameter'!$A:$A=$A192)*('env Parameter'!$B:$B=$K192)*('env Parameter'!$C:$C=$L192),'env Parameter'!E:E,""),"")</f>
        <v>2.14</v>
      </c>
      <c r="D192" s="10" cm="1">
        <f t="array" ref="D192">IFERROR(_xlfn.XLOOKUP(1,('env Parameter'!$A:$A=$A192)*('env Parameter'!$B:$B=$K192)*('env Parameter'!$C:$C=$L192),'env Parameter'!F:F,""),"")</f>
        <v>478</v>
      </c>
      <c r="E192" s="10" cm="1">
        <f t="array" ref="E192">IFERROR(_xlfn.XLOOKUP(1,('env Parameter'!$A:$A=$A192)*('env Parameter'!$B:$B=$K192)*('env Parameter'!$C:$C=$L192),'env Parameter'!G:G,""),"")</f>
        <v>7.6</v>
      </c>
      <c r="F192" t="str">
        <f>eDNA!F192</f>
        <v>MiFish</v>
      </c>
      <c r="G192" t="str">
        <f>eDNA!D192</f>
        <v>Carassius auratus</v>
      </c>
      <c r="H192" t="str">
        <f>_xlfn.XLOOKUP(G192,'Common name (master file)'!$B:$B,'Common name (master file)'!$A:$A,"-------------")</f>
        <v>붕어</v>
      </c>
      <c r="I192">
        <f>eDNA!E192</f>
        <v>60</v>
      </c>
      <c r="J192" t="str">
        <f>_xlfn.XLOOKUP(G192,'Common name (master file)'!$B:$B,'Common name (master file)'!$C:$C,"")</f>
        <v>어류</v>
      </c>
      <c r="K192">
        <f>eDNA!B192</f>
        <v>126.8772417</v>
      </c>
      <c r="L192">
        <f>eDNA!C192</f>
        <v>37.474826299999997</v>
      </c>
      <c r="M192" s="10" t="str" cm="1">
        <f t="array" ref="M192">IFERROR(_xlfn.XLOOKUP(1,('env Parameter'!$A:$A=$A192)*('env Parameter'!$B:$B=$K192)*('env Parameter'!$C:$C=$L192),'env Parameter'!D:D,""),"")</f>
        <v>안양천-10</v>
      </c>
      <c r="N192" s="10" t="str" cm="1">
        <f t="array" ref="N192">IFERROR(_xlfn.XLOOKUP(1,('env Parameter'!$A:$A=$A192)*('env Parameter'!$B:$B=$K192)*('env Parameter'!$C:$C=$L192),'env Parameter'!I:I,""),"")</f>
        <v>YR</v>
      </c>
    </row>
    <row r="193" spans="1:14">
      <c r="A193">
        <f>eDNA!A193</f>
        <v>20200717</v>
      </c>
      <c r="B193" s="10" t="str" cm="1">
        <f t="array" ref="B193">IFERROR(_xlfn.XLOOKUP(1,('env Parameter'!$A:$A=$A193)*('env Parameter'!$B:$B=$K193)*('env Parameter'!$C:$C=$L193),'env Parameter'!H:H,""),"")</f>
        <v>생물상 조사</v>
      </c>
      <c r="C193" s="10" cm="1">
        <f t="array" ref="C193">IFERROR(_xlfn.XLOOKUP(1,('env Parameter'!$A:$A=$A193)*('env Parameter'!$B:$B=$K193)*('env Parameter'!$C:$C=$L193),'env Parameter'!E:E,""),"")</f>
        <v>2.14</v>
      </c>
      <c r="D193" s="10" cm="1">
        <f t="array" ref="D193">IFERROR(_xlfn.XLOOKUP(1,('env Parameter'!$A:$A=$A193)*('env Parameter'!$B:$B=$K193)*('env Parameter'!$C:$C=$L193),'env Parameter'!F:F,""),"")</f>
        <v>478</v>
      </c>
      <c r="E193" s="10" cm="1">
        <f t="array" ref="E193">IFERROR(_xlfn.XLOOKUP(1,('env Parameter'!$A:$A=$A193)*('env Parameter'!$B:$B=$K193)*('env Parameter'!$C:$C=$L193),'env Parameter'!G:G,""),"")</f>
        <v>7.6</v>
      </c>
      <c r="F193" t="str">
        <f>eDNA!F193</f>
        <v>MiFish</v>
      </c>
      <c r="G193" t="str">
        <f>eDNA!D193</f>
        <v>Anguilla japonica</v>
      </c>
      <c r="H193" t="str">
        <f>_xlfn.XLOOKUP(G193,'Common name (master file)'!$B:$B,'Common name (master file)'!$A:$A,"-------------")</f>
        <v>뱀장어</v>
      </c>
      <c r="I193">
        <f>eDNA!E193</f>
        <v>90</v>
      </c>
      <c r="J193" t="str">
        <f>_xlfn.XLOOKUP(G193,'Common name (master file)'!$B:$B,'Common name (master file)'!$C:$C,"")</f>
        <v>어류</v>
      </c>
      <c r="K193">
        <f>eDNA!B193</f>
        <v>126.8772417</v>
      </c>
      <c r="L193">
        <f>eDNA!C193</f>
        <v>37.474826299999997</v>
      </c>
      <c r="M193" s="10" t="str" cm="1">
        <f t="array" ref="M193">IFERROR(_xlfn.XLOOKUP(1,('env Parameter'!$A:$A=$A193)*('env Parameter'!$B:$B=$K193)*('env Parameter'!$C:$C=$L193),'env Parameter'!D:D,""),"")</f>
        <v>안양천-10</v>
      </c>
      <c r="N193" s="10" t="str" cm="1">
        <f t="array" ref="N193">IFERROR(_xlfn.XLOOKUP(1,('env Parameter'!$A:$A=$A193)*('env Parameter'!$B:$B=$K193)*('env Parameter'!$C:$C=$L193),'env Parameter'!I:I,""),"")</f>
        <v>YR</v>
      </c>
    </row>
    <row r="194" spans="1:14">
      <c r="A194">
        <f>eDNA!A194</f>
        <v>20200717</v>
      </c>
      <c r="B194" s="10" t="str" cm="1">
        <f t="array" ref="B194">IFERROR(_xlfn.XLOOKUP(1,('env Parameter'!$A:$A=$A194)*('env Parameter'!$B:$B=$K194)*('env Parameter'!$C:$C=$L194),'env Parameter'!H:H,""),"")</f>
        <v>생물상 조사</v>
      </c>
      <c r="C194" s="10" cm="1">
        <f t="array" ref="C194">IFERROR(_xlfn.XLOOKUP(1,('env Parameter'!$A:$A=$A194)*('env Parameter'!$B:$B=$K194)*('env Parameter'!$C:$C=$L194),'env Parameter'!E:E,""),"")</f>
        <v>2.14</v>
      </c>
      <c r="D194" s="10" cm="1">
        <f t="array" ref="D194">IFERROR(_xlfn.XLOOKUP(1,('env Parameter'!$A:$A=$A194)*('env Parameter'!$B:$B=$K194)*('env Parameter'!$C:$C=$L194),'env Parameter'!F:F,""),"")</f>
        <v>478</v>
      </c>
      <c r="E194" s="10" cm="1">
        <f t="array" ref="E194">IFERROR(_xlfn.XLOOKUP(1,('env Parameter'!$A:$A=$A194)*('env Parameter'!$B:$B=$K194)*('env Parameter'!$C:$C=$L194),'env Parameter'!G:G,""),"")</f>
        <v>7.6</v>
      </c>
      <c r="F194" t="str">
        <f>eDNA!F194</f>
        <v>MiFish</v>
      </c>
      <c r="G194" t="str">
        <f>eDNA!D194</f>
        <v>Zacco platypus</v>
      </c>
      <c r="H194" t="str">
        <f>_xlfn.XLOOKUP(G194,'Common name (master file)'!$B:$B,'Common name (master file)'!$A:$A,"-------------")</f>
        <v>피라미</v>
      </c>
      <c r="I194">
        <f>eDNA!E194</f>
        <v>235</v>
      </c>
      <c r="J194" t="str">
        <f>_xlfn.XLOOKUP(G194,'Common name (master file)'!$B:$B,'Common name (master file)'!$C:$C,"")</f>
        <v>어류</v>
      </c>
      <c r="K194">
        <f>eDNA!B194</f>
        <v>126.8772417</v>
      </c>
      <c r="L194">
        <f>eDNA!C194</f>
        <v>37.474826299999997</v>
      </c>
      <c r="M194" s="10" t="str" cm="1">
        <f t="array" ref="M194">IFERROR(_xlfn.XLOOKUP(1,('env Parameter'!$A:$A=$A194)*('env Parameter'!$B:$B=$K194)*('env Parameter'!$C:$C=$L194),'env Parameter'!D:D,""),"")</f>
        <v>안양천-10</v>
      </c>
      <c r="N194" s="10" t="str" cm="1">
        <f t="array" ref="N194">IFERROR(_xlfn.XLOOKUP(1,('env Parameter'!$A:$A=$A194)*('env Parameter'!$B:$B=$K194)*('env Parameter'!$C:$C=$L194),'env Parameter'!I:I,""),"")</f>
        <v>YR</v>
      </c>
    </row>
    <row r="195" spans="1:14">
      <c r="A195">
        <f>eDNA!A195</f>
        <v>20200717</v>
      </c>
      <c r="B195" s="10" t="str" cm="1">
        <f t="array" ref="B195">IFERROR(_xlfn.XLOOKUP(1,('env Parameter'!$A:$A=$A195)*('env Parameter'!$B:$B=$K195)*('env Parameter'!$C:$C=$L195),'env Parameter'!H:H,""),"")</f>
        <v>생물상 조사</v>
      </c>
      <c r="C195" s="10" cm="1">
        <f t="array" ref="C195">IFERROR(_xlfn.XLOOKUP(1,('env Parameter'!$A:$A=$A195)*('env Parameter'!$B:$B=$K195)*('env Parameter'!$C:$C=$L195),'env Parameter'!E:E,""),"")</f>
        <v>2.14</v>
      </c>
      <c r="D195" s="10" cm="1">
        <f t="array" ref="D195">IFERROR(_xlfn.XLOOKUP(1,('env Parameter'!$A:$A=$A195)*('env Parameter'!$B:$B=$K195)*('env Parameter'!$C:$C=$L195),'env Parameter'!F:F,""),"")</f>
        <v>478</v>
      </c>
      <c r="E195" s="10" cm="1">
        <f t="array" ref="E195">IFERROR(_xlfn.XLOOKUP(1,('env Parameter'!$A:$A=$A195)*('env Parameter'!$B:$B=$K195)*('env Parameter'!$C:$C=$L195),'env Parameter'!G:G,""),"")</f>
        <v>7.6</v>
      </c>
      <c r="F195" t="str">
        <f>eDNA!F195</f>
        <v>MiFish</v>
      </c>
      <c r="G195" t="str">
        <f>eDNA!D195</f>
        <v>Misgurnus mizolepis</v>
      </c>
      <c r="H195" t="str">
        <f>_xlfn.XLOOKUP(G195,'Common name (master file)'!$B:$B,'Common name (master file)'!$A:$A,"-------------")</f>
        <v>미꾸라지</v>
      </c>
      <c r="I195">
        <f>eDNA!E195</f>
        <v>259</v>
      </c>
      <c r="J195" t="str">
        <f>_xlfn.XLOOKUP(G195,'Common name (master file)'!$B:$B,'Common name (master file)'!$C:$C,"")</f>
        <v>어류</v>
      </c>
      <c r="K195">
        <f>eDNA!B195</f>
        <v>126.8772417</v>
      </c>
      <c r="L195">
        <f>eDNA!C195</f>
        <v>37.474826299999997</v>
      </c>
      <c r="M195" s="10" t="str" cm="1">
        <f t="array" ref="M195">IFERROR(_xlfn.XLOOKUP(1,('env Parameter'!$A:$A=$A195)*('env Parameter'!$B:$B=$K195)*('env Parameter'!$C:$C=$L195),'env Parameter'!D:D,""),"")</f>
        <v>안양천-10</v>
      </c>
      <c r="N195" s="10" t="str" cm="1">
        <f t="array" ref="N195">IFERROR(_xlfn.XLOOKUP(1,('env Parameter'!$A:$A=$A195)*('env Parameter'!$B:$B=$K195)*('env Parameter'!$C:$C=$L195),'env Parameter'!I:I,""),"")</f>
        <v>YR</v>
      </c>
    </row>
    <row r="196" spans="1:14">
      <c r="A196">
        <f>eDNA!A196</f>
        <v>20200717</v>
      </c>
      <c r="B196" s="10" t="str" cm="1">
        <f t="array" ref="B196">IFERROR(_xlfn.XLOOKUP(1,('env Parameter'!$A:$A=$A196)*('env Parameter'!$B:$B=$K196)*('env Parameter'!$C:$C=$L196),'env Parameter'!H:H,""),"")</f>
        <v>생물상 조사</v>
      </c>
      <c r="C196" s="10" cm="1">
        <f t="array" ref="C196">IFERROR(_xlfn.XLOOKUP(1,('env Parameter'!$A:$A=$A196)*('env Parameter'!$B:$B=$K196)*('env Parameter'!$C:$C=$L196),'env Parameter'!E:E,""),"")</f>
        <v>2.14</v>
      </c>
      <c r="D196" s="10" cm="1">
        <f t="array" ref="D196">IFERROR(_xlfn.XLOOKUP(1,('env Parameter'!$A:$A=$A196)*('env Parameter'!$B:$B=$K196)*('env Parameter'!$C:$C=$L196),'env Parameter'!F:F,""),"")</f>
        <v>478</v>
      </c>
      <c r="E196" s="10" cm="1">
        <f t="array" ref="E196">IFERROR(_xlfn.XLOOKUP(1,('env Parameter'!$A:$A=$A196)*('env Parameter'!$B:$B=$K196)*('env Parameter'!$C:$C=$L196),'env Parameter'!G:G,""),"")</f>
        <v>7.6</v>
      </c>
      <c r="F196" t="str">
        <f>eDNA!F196</f>
        <v>MiFish</v>
      </c>
      <c r="G196" t="str">
        <f>eDNA!D196</f>
        <v>Bos taurus</v>
      </c>
      <c r="H196" t="str">
        <f>_xlfn.XLOOKUP(G196,'Common name (master file)'!$B:$B,'Common name (master file)'!$A:$A,"-------------")</f>
        <v>소</v>
      </c>
      <c r="I196">
        <f>eDNA!E196</f>
        <v>280</v>
      </c>
      <c r="J196" t="str">
        <f>_xlfn.XLOOKUP(G196,'Common name (master file)'!$B:$B,'Common name (master file)'!$C:$C,"")</f>
        <v>포유류</v>
      </c>
      <c r="K196">
        <f>eDNA!B196</f>
        <v>126.8772417</v>
      </c>
      <c r="L196">
        <f>eDNA!C196</f>
        <v>37.474826299999997</v>
      </c>
      <c r="M196" s="10" t="str" cm="1">
        <f t="array" ref="M196">IFERROR(_xlfn.XLOOKUP(1,('env Parameter'!$A:$A=$A196)*('env Parameter'!$B:$B=$K196)*('env Parameter'!$C:$C=$L196),'env Parameter'!D:D,""),"")</f>
        <v>안양천-10</v>
      </c>
      <c r="N196" s="10" t="str" cm="1">
        <f t="array" ref="N196">IFERROR(_xlfn.XLOOKUP(1,('env Parameter'!$A:$A=$A196)*('env Parameter'!$B:$B=$K196)*('env Parameter'!$C:$C=$L196),'env Parameter'!I:I,""),"")</f>
        <v>YR</v>
      </c>
    </row>
    <row r="197" spans="1:14">
      <c r="A197">
        <f>eDNA!A197</f>
        <v>20200717</v>
      </c>
      <c r="B197" s="10" t="str" cm="1">
        <f t="array" ref="B197">IFERROR(_xlfn.XLOOKUP(1,('env Parameter'!$A:$A=$A197)*('env Parameter'!$B:$B=$K197)*('env Parameter'!$C:$C=$L197),'env Parameter'!H:H,""),"")</f>
        <v>생물상 조사</v>
      </c>
      <c r="C197" s="10" cm="1">
        <f t="array" ref="C197">IFERROR(_xlfn.XLOOKUP(1,('env Parameter'!$A:$A=$A197)*('env Parameter'!$B:$B=$K197)*('env Parameter'!$C:$C=$L197),'env Parameter'!E:E,""),"")</f>
        <v>2.14</v>
      </c>
      <c r="D197" s="10" cm="1">
        <f t="array" ref="D197">IFERROR(_xlfn.XLOOKUP(1,('env Parameter'!$A:$A=$A197)*('env Parameter'!$B:$B=$K197)*('env Parameter'!$C:$C=$L197),'env Parameter'!F:F,""),"")</f>
        <v>478</v>
      </c>
      <c r="E197" s="10" cm="1">
        <f t="array" ref="E197">IFERROR(_xlfn.XLOOKUP(1,('env Parameter'!$A:$A=$A197)*('env Parameter'!$B:$B=$K197)*('env Parameter'!$C:$C=$L197),'env Parameter'!G:G,""),"")</f>
        <v>7.6</v>
      </c>
      <c r="F197" t="str">
        <f>eDNA!F197</f>
        <v>MiFish</v>
      </c>
      <c r="G197" t="str">
        <f>eDNA!D197</f>
        <v>Homo sapiens</v>
      </c>
      <c r="H197" t="str">
        <f>_xlfn.XLOOKUP(G197,'Common name (master file)'!$B:$B,'Common name (master file)'!$A:$A,"-------------")</f>
        <v>사람</v>
      </c>
      <c r="I197">
        <f>eDNA!E197</f>
        <v>444</v>
      </c>
      <c r="J197" t="str">
        <f>_xlfn.XLOOKUP(G197,'Common name (master file)'!$B:$B,'Common name (master file)'!$C:$C,"")</f>
        <v>포유류</v>
      </c>
      <c r="K197">
        <f>eDNA!B197</f>
        <v>126.8772417</v>
      </c>
      <c r="L197">
        <f>eDNA!C197</f>
        <v>37.474826299999997</v>
      </c>
      <c r="M197" s="10" t="str" cm="1">
        <f t="array" ref="M197">IFERROR(_xlfn.XLOOKUP(1,('env Parameter'!$A:$A=$A197)*('env Parameter'!$B:$B=$K197)*('env Parameter'!$C:$C=$L197),'env Parameter'!D:D,""),"")</f>
        <v>안양천-10</v>
      </c>
      <c r="N197" s="10" t="str" cm="1">
        <f t="array" ref="N197">IFERROR(_xlfn.XLOOKUP(1,('env Parameter'!$A:$A=$A197)*('env Parameter'!$B:$B=$K197)*('env Parameter'!$C:$C=$L197),'env Parameter'!I:I,""),"")</f>
        <v>YR</v>
      </c>
    </row>
    <row r="198" spans="1:14">
      <c r="A198">
        <f>eDNA!A198</f>
        <v>20200717</v>
      </c>
      <c r="B198" s="10" t="str" cm="1">
        <f t="array" ref="B198">IFERROR(_xlfn.XLOOKUP(1,('env Parameter'!$A:$A=$A198)*('env Parameter'!$B:$B=$K198)*('env Parameter'!$C:$C=$L198),'env Parameter'!H:H,""),"")</f>
        <v>생물상 조사</v>
      </c>
      <c r="C198" s="10" cm="1">
        <f t="array" ref="C198">IFERROR(_xlfn.XLOOKUP(1,('env Parameter'!$A:$A=$A198)*('env Parameter'!$B:$B=$K198)*('env Parameter'!$C:$C=$L198),'env Parameter'!E:E,""),"")</f>
        <v>2.14</v>
      </c>
      <c r="D198" s="10" cm="1">
        <f t="array" ref="D198">IFERROR(_xlfn.XLOOKUP(1,('env Parameter'!$A:$A=$A198)*('env Parameter'!$B:$B=$K198)*('env Parameter'!$C:$C=$L198),'env Parameter'!F:F,""),"")</f>
        <v>478</v>
      </c>
      <c r="E198" s="10" cm="1">
        <f t="array" ref="E198">IFERROR(_xlfn.XLOOKUP(1,('env Parameter'!$A:$A=$A198)*('env Parameter'!$B:$B=$K198)*('env Parameter'!$C:$C=$L198),'env Parameter'!G:G,""),"")</f>
        <v>7.6</v>
      </c>
      <c r="F198" t="str">
        <f>eDNA!F198</f>
        <v>MiFish</v>
      </c>
      <c r="G198" t="str">
        <f>eDNA!D198</f>
        <v>Cyprinus carpio</v>
      </c>
      <c r="H198" t="str">
        <f>_xlfn.XLOOKUP(G198,'Common name (master file)'!$B:$B,'Common name (master file)'!$A:$A,"-------------")</f>
        <v>잉어</v>
      </c>
      <c r="I198">
        <f>eDNA!E198</f>
        <v>493</v>
      </c>
      <c r="J198" t="str">
        <f>_xlfn.XLOOKUP(G198,'Common name (master file)'!$B:$B,'Common name (master file)'!$C:$C,"")</f>
        <v>어류</v>
      </c>
      <c r="K198">
        <f>eDNA!B198</f>
        <v>126.8772417</v>
      </c>
      <c r="L198">
        <f>eDNA!C198</f>
        <v>37.474826299999997</v>
      </c>
      <c r="M198" s="10" t="str" cm="1">
        <f t="array" ref="M198">IFERROR(_xlfn.XLOOKUP(1,('env Parameter'!$A:$A=$A198)*('env Parameter'!$B:$B=$K198)*('env Parameter'!$C:$C=$L198),'env Parameter'!D:D,""),"")</f>
        <v>안양천-10</v>
      </c>
      <c r="N198" s="10" t="str" cm="1">
        <f t="array" ref="N198">IFERROR(_xlfn.XLOOKUP(1,('env Parameter'!$A:$A=$A198)*('env Parameter'!$B:$B=$K198)*('env Parameter'!$C:$C=$L198),'env Parameter'!I:I,""),"")</f>
        <v>YR</v>
      </c>
    </row>
    <row r="199" spans="1:14">
      <c r="A199">
        <f>eDNA!A199</f>
        <v>20200717</v>
      </c>
      <c r="B199" s="10" t="str" cm="1">
        <f t="array" ref="B199">IFERROR(_xlfn.XLOOKUP(1,('env Parameter'!$A:$A=$A199)*('env Parameter'!$B:$B=$K199)*('env Parameter'!$C:$C=$L199),'env Parameter'!H:H,""),"")</f>
        <v>생물상 조사</v>
      </c>
      <c r="C199" s="10" cm="1">
        <f t="array" ref="C199">IFERROR(_xlfn.XLOOKUP(1,('env Parameter'!$A:$A=$A199)*('env Parameter'!$B:$B=$K199)*('env Parameter'!$C:$C=$L199),'env Parameter'!E:E,""),"")</f>
        <v>2.14</v>
      </c>
      <c r="D199" s="10" cm="1">
        <f t="array" ref="D199">IFERROR(_xlfn.XLOOKUP(1,('env Parameter'!$A:$A=$A199)*('env Parameter'!$B:$B=$K199)*('env Parameter'!$C:$C=$L199),'env Parameter'!F:F,""),"")</f>
        <v>478</v>
      </c>
      <c r="E199" s="10" cm="1">
        <f t="array" ref="E199">IFERROR(_xlfn.XLOOKUP(1,('env Parameter'!$A:$A=$A199)*('env Parameter'!$B:$B=$K199)*('env Parameter'!$C:$C=$L199),'env Parameter'!G:G,""),"")</f>
        <v>7.6</v>
      </c>
      <c r="F199" t="str">
        <f>eDNA!F199</f>
        <v>MiFish</v>
      </c>
      <c r="G199" t="str">
        <f>eDNA!D199</f>
        <v>Channa argus</v>
      </c>
      <c r="H199" t="str">
        <f>_xlfn.XLOOKUP(G199,'Common name (master file)'!$B:$B,'Common name (master file)'!$A:$A,"-------------")</f>
        <v>가물치</v>
      </c>
      <c r="I199">
        <f>eDNA!E199</f>
        <v>930</v>
      </c>
      <c r="J199" t="str">
        <f>_xlfn.XLOOKUP(G199,'Common name (master file)'!$B:$B,'Common name (master file)'!$C:$C,"")</f>
        <v>어류</v>
      </c>
      <c r="K199">
        <f>eDNA!B199</f>
        <v>126.8772417</v>
      </c>
      <c r="L199">
        <f>eDNA!C199</f>
        <v>37.474826299999997</v>
      </c>
      <c r="M199" s="10" t="str" cm="1">
        <f t="array" ref="M199">IFERROR(_xlfn.XLOOKUP(1,('env Parameter'!$A:$A=$A199)*('env Parameter'!$B:$B=$K199)*('env Parameter'!$C:$C=$L199),'env Parameter'!D:D,""),"")</f>
        <v>안양천-10</v>
      </c>
      <c r="N199" s="10" t="str" cm="1">
        <f t="array" ref="N199">IFERROR(_xlfn.XLOOKUP(1,('env Parameter'!$A:$A=$A199)*('env Parameter'!$B:$B=$K199)*('env Parameter'!$C:$C=$L199),'env Parameter'!I:I,""),"")</f>
        <v>YR</v>
      </c>
    </row>
    <row r="200" spans="1:14">
      <c r="A200">
        <f>eDNA!A200</f>
        <v>20200717</v>
      </c>
      <c r="B200" s="10" t="str" cm="1">
        <f t="array" ref="B200">IFERROR(_xlfn.XLOOKUP(1,('env Parameter'!$A:$A=$A200)*('env Parameter'!$B:$B=$K200)*('env Parameter'!$C:$C=$L200),'env Parameter'!H:H,""),"")</f>
        <v>생물상 조사</v>
      </c>
      <c r="C200" s="10" cm="1">
        <f t="array" ref="C200">IFERROR(_xlfn.XLOOKUP(1,('env Parameter'!$A:$A=$A200)*('env Parameter'!$B:$B=$K200)*('env Parameter'!$C:$C=$L200),'env Parameter'!E:E,""),"")</f>
        <v>2.14</v>
      </c>
      <c r="D200" s="10" cm="1">
        <f t="array" ref="D200">IFERROR(_xlfn.XLOOKUP(1,('env Parameter'!$A:$A=$A200)*('env Parameter'!$B:$B=$K200)*('env Parameter'!$C:$C=$L200),'env Parameter'!F:F,""),"")</f>
        <v>478</v>
      </c>
      <c r="E200" s="10" cm="1">
        <f t="array" ref="E200">IFERROR(_xlfn.XLOOKUP(1,('env Parameter'!$A:$A=$A200)*('env Parameter'!$B:$B=$K200)*('env Parameter'!$C:$C=$L200),'env Parameter'!G:G,""),"")</f>
        <v>7.6</v>
      </c>
      <c r="F200" t="str">
        <f>eDNA!F200</f>
        <v>MiFish</v>
      </c>
      <c r="G200" t="str">
        <f>eDNA!D200</f>
        <v>Carassius sp.</v>
      </c>
      <c r="H200" t="str">
        <f>_xlfn.XLOOKUP(G200,'Common name (master file)'!$B:$B,'Common name (master file)'!$A:$A,"-------------")</f>
        <v>붕어 속</v>
      </c>
      <c r="I200">
        <f>eDNA!E200</f>
        <v>1604</v>
      </c>
      <c r="J200" t="str">
        <f>_xlfn.XLOOKUP(G200,'Common name (master file)'!$B:$B,'Common name (master file)'!$C:$C,"")</f>
        <v>어류</v>
      </c>
      <c r="K200">
        <f>eDNA!B200</f>
        <v>126.8772417</v>
      </c>
      <c r="L200">
        <f>eDNA!C200</f>
        <v>37.474826299999997</v>
      </c>
      <c r="M200" s="10" t="str" cm="1">
        <f t="array" ref="M200">IFERROR(_xlfn.XLOOKUP(1,('env Parameter'!$A:$A=$A200)*('env Parameter'!$B:$B=$K200)*('env Parameter'!$C:$C=$L200),'env Parameter'!D:D,""),"")</f>
        <v>안양천-10</v>
      </c>
      <c r="N200" s="10" t="str" cm="1">
        <f t="array" ref="N200">IFERROR(_xlfn.XLOOKUP(1,('env Parameter'!$A:$A=$A200)*('env Parameter'!$B:$B=$K200)*('env Parameter'!$C:$C=$L200),'env Parameter'!I:I,""),"")</f>
        <v>YR</v>
      </c>
    </row>
    <row r="201" spans="1:14">
      <c r="A201">
        <f>eDNA!A201</f>
        <v>20200717</v>
      </c>
      <c r="B201" s="10" t="str" cm="1">
        <f t="array" ref="B201">IFERROR(_xlfn.XLOOKUP(1,('env Parameter'!$A:$A=$A201)*('env Parameter'!$B:$B=$K201)*('env Parameter'!$C:$C=$L201),'env Parameter'!H:H,""),"")</f>
        <v>생물상 조사</v>
      </c>
      <c r="C201" s="10" cm="1">
        <f t="array" ref="C201">IFERROR(_xlfn.XLOOKUP(1,('env Parameter'!$A:$A=$A201)*('env Parameter'!$B:$B=$K201)*('env Parameter'!$C:$C=$L201),'env Parameter'!E:E,""),"")</f>
        <v>2.14</v>
      </c>
      <c r="D201" s="10" cm="1">
        <f t="array" ref="D201">IFERROR(_xlfn.XLOOKUP(1,('env Parameter'!$A:$A=$A201)*('env Parameter'!$B:$B=$K201)*('env Parameter'!$C:$C=$L201),'env Parameter'!F:F,""),"")</f>
        <v>478</v>
      </c>
      <c r="E201" s="10" cm="1">
        <f t="array" ref="E201">IFERROR(_xlfn.XLOOKUP(1,('env Parameter'!$A:$A=$A201)*('env Parameter'!$B:$B=$K201)*('env Parameter'!$C:$C=$L201),'env Parameter'!G:G,""),"")</f>
        <v>7.6</v>
      </c>
      <c r="F201" t="str">
        <f>eDNA!F201</f>
        <v>MiFish</v>
      </c>
      <c r="G201" t="str">
        <f>eDNA!D201</f>
        <v>Silurus soldatovi</v>
      </c>
      <c r="H201" t="str">
        <f>_xlfn.XLOOKUP(G201,'Common name (master file)'!$B:$B,'Common name (master file)'!$A:$A,"-------------")</f>
        <v>솔다토비 메기</v>
      </c>
      <c r="I201">
        <f>eDNA!E201</f>
        <v>2521</v>
      </c>
      <c r="J201" t="str">
        <f>_xlfn.XLOOKUP(G201,'Common name (master file)'!$B:$B,'Common name (master file)'!$C:$C,"")</f>
        <v>어류</v>
      </c>
      <c r="K201">
        <f>eDNA!B201</f>
        <v>126.8772417</v>
      </c>
      <c r="L201">
        <f>eDNA!C201</f>
        <v>37.474826299999997</v>
      </c>
      <c r="M201" s="10" t="str" cm="1">
        <f t="array" ref="M201">IFERROR(_xlfn.XLOOKUP(1,('env Parameter'!$A:$A=$A201)*('env Parameter'!$B:$B=$K201)*('env Parameter'!$C:$C=$L201),'env Parameter'!D:D,""),"")</f>
        <v>안양천-10</v>
      </c>
      <c r="N201" s="10" t="str" cm="1">
        <f t="array" ref="N201">IFERROR(_xlfn.XLOOKUP(1,('env Parameter'!$A:$A=$A201)*('env Parameter'!$B:$B=$K201)*('env Parameter'!$C:$C=$L201),'env Parameter'!I:I,""),"")</f>
        <v>YR</v>
      </c>
    </row>
    <row r="202" spans="1:14">
      <c r="A202">
        <f>eDNA!A202</f>
        <v>20200717</v>
      </c>
      <c r="B202" s="10" t="str" cm="1">
        <f t="array" ref="B202">IFERROR(_xlfn.XLOOKUP(1,('env Parameter'!$A:$A=$A202)*('env Parameter'!$B:$B=$K202)*('env Parameter'!$C:$C=$L202),'env Parameter'!H:H,""),"")</f>
        <v>생물상 조사</v>
      </c>
      <c r="C202" s="10" cm="1">
        <f t="array" ref="C202">IFERROR(_xlfn.XLOOKUP(1,('env Parameter'!$A:$A=$A202)*('env Parameter'!$B:$B=$K202)*('env Parameter'!$C:$C=$L202),'env Parameter'!E:E,""),"")</f>
        <v>2.14</v>
      </c>
      <c r="D202" s="10" cm="1">
        <f t="array" ref="D202">IFERROR(_xlfn.XLOOKUP(1,('env Parameter'!$A:$A=$A202)*('env Parameter'!$B:$B=$K202)*('env Parameter'!$C:$C=$L202),'env Parameter'!F:F,""),"")</f>
        <v>478</v>
      </c>
      <c r="E202" s="10" cm="1">
        <f t="array" ref="E202">IFERROR(_xlfn.XLOOKUP(1,('env Parameter'!$A:$A=$A202)*('env Parameter'!$B:$B=$K202)*('env Parameter'!$C:$C=$L202),'env Parameter'!G:G,""),"")</f>
        <v>7.6</v>
      </c>
      <c r="F202" t="str">
        <f>eDNA!F202</f>
        <v>MiFish</v>
      </c>
      <c r="G202" t="str">
        <f>eDNA!D202</f>
        <v>Oryzias sinensis</v>
      </c>
      <c r="H202" t="str">
        <f>_xlfn.XLOOKUP(G202,'Common name (master file)'!$B:$B,'Common name (master file)'!$A:$A,"-------------")</f>
        <v>대륙송사리</v>
      </c>
      <c r="I202">
        <f>eDNA!E202</f>
        <v>4191</v>
      </c>
      <c r="J202" t="str">
        <f>_xlfn.XLOOKUP(G202,'Common name (master file)'!$B:$B,'Common name (master file)'!$C:$C,"")</f>
        <v>어류</v>
      </c>
      <c r="K202">
        <f>eDNA!B202</f>
        <v>126.8772417</v>
      </c>
      <c r="L202">
        <f>eDNA!C202</f>
        <v>37.474826299999997</v>
      </c>
      <c r="M202" s="10" t="str" cm="1">
        <f t="array" ref="M202">IFERROR(_xlfn.XLOOKUP(1,('env Parameter'!$A:$A=$A202)*('env Parameter'!$B:$B=$K202)*('env Parameter'!$C:$C=$L202),'env Parameter'!D:D,""),"")</f>
        <v>안양천-10</v>
      </c>
      <c r="N202" s="10" t="str" cm="1">
        <f t="array" ref="N202">IFERROR(_xlfn.XLOOKUP(1,('env Parameter'!$A:$A=$A202)*('env Parameter'!$B:$B=$K202)*('env Parameter'!$C:$C=$L202),'env Parameter'!I:I,""),"")</f>
        <v>YR</v>
      </c>
    </row>
    <row r="203" spans="1:14">
      <c r="A203">
        <f>eDNA!A203</f>
        <v>20200717</v>
      </c>
      <c r="B203" s="10" t="str" cm="1">
        <f t="array" ref="B203">IFERROR(_xlfn.XLOOKUP(1,('env Parameter'!$A:$A=$A203)*('env Parameter'!$B:$B=$K203)*('env Parameter'!$C:$C=$L203),'env Parameter'!H:H,""),"")</f>
        <v>생물상 조사</v>
      </c>
      <c r="C203" s="10" cm="1">
        <f t="array" ref="C203">IFERROR(_xlfn.XLOOKUP(1,('env Parameter'!$A:$A=$A203)*('env Parameter'!$B:$B=$K203)*('env Parameter'!$C:$C=$L203),'env Parameter'!E:E,""),"")</f>
        <v>2.14</v>
      </c>
      <c r="D203" s="10" cm="1">
        <f t="array" ref="D203">IFERROR(_xlfn.XLOOKUP(1,('env Parameter'!$A:$A=$A203)*('env Parameter'!$B:$B=$K203)*('env Parameter'!$C:$C=$L203),'env Parameter'!F:F,""),"")</f>
        <v>478</v>
      </c>
      <c r="E203" s="10" cm="1">
        <f t="array" ref="E203">IFERROR(_xlfn.XLOOKUP(1,('env Parameter'!$A:$A=$A203)*('env Parameter'!$B:$B=$K203)*('env Parameter'!$C:$C=$L203),'env Parameter'!G:G,""),"")</f>
        <v>7.6</v>
      </c>
      <c r="F203" t="str">
        <f>eDNA!F203</f>
        <v>MiFish</v>
      </c>
      <c r="G203" t="str">
        <f>eDNA!D203</f>
        <v>Odontobutis interrupta</v>
      </c>
      <c r="H203" t="str">
        <f>_xlfn.XLOOKUP(G203,'Common name (master file)'!$B:$B,'Common name (master file)'!$A:$A,"-------------")</f>
        <v>얼록동사리</v>
      </c>
      <c r="I203">
        <f>eDNA!E203</f>
        <v>6555</v>
      </c>
      <c r="J203" t="str">
        <f>_xlfn.XLOOKUP(G203,'Common name (master file)'!$B:$B,'Common name (master file)'!$C:$C,"")</f>
        <v>어류</v>
      </c>
      <c r="K203">
        <f>eDNA!B203</f>
        <v>126.8772417</v>
      </c>
      <c r="L203">
        <f>eDNA!C203</f>
        <v>37.474826299999997</v>
      </c>
      <c r="M203" s="10" t="str" cm="1">
        <f t="array" ref="M203">IFERROR(_xlfn.XLOOKUP(1,('env Parameter'!$A:$A=$A203)*('env Parameter'!$B:$B=$K203)*('env Parameter'!$C:$C=$L203),'env Parameter'!D:D,""),"")</f>
        <v>안양천-10</v>
      </c>
      <c r="N203" s="10" t="str" cm="1">
        <f t="array" ref="N203">IFERROR(_xlfn.XLOOKUP(1,('env Parameter'!$A:$A=$A203)*('env Parameter'!$B:$B=$K203)*('env Parameter'!$C:$C=$L203),'env Parameter'!I:I,""),"")</f>
        <v>YR</v>
      </c>
    </row>
    <row r="204" spans="1:14">
      <c r="A204">
        <f>eDNA!A204</f>
        <v>20200717</v>
      </c>
      <c r="B204" s="10" t="str" cm="1">
        <f t="array" ref="B204">IFERROR(_xlfn.XLOOKUP(1,('env Parameter'!$A:$A=$A204)*('env Parameter'!$B:$B=$K204)*('env Parameter'!$C:$C=$L204),'env Parameter'!H:H,""),"")</f>
        <v>생물상 조사</v>
      </c>
      <c r="C204" s="10" cm="1">
        <f t="array" ref="C204">IFERROR(_xlfn.XLOOKUP(1,('env Parameter'!$A:$A=$A204)*('env Parameter'!$B:$B=$K204)*('env Parameter'!$C:$C=$L204),'env Parameter'!E:E,""),"")</f>
        <v>2.14</v>
      </c>
      <c r="D204" s="10" cm="1">
        <f t="array" ref="D204">IFERROR(_xlfn.XLOOKUP(1,('env Parameter'!$A:$A=$A204)*('env Parameter'!$B:$B=$K204)*('env Parameter'!$C:$C=$L204),'env Parameter'!F:F,""),"")</f>
        <v>478</v>
      </c>
      <c r="E204" s="10" cm="1">
        <f t="array" ref="E204">IFERROR(_xlfn.XLOOKUP(1,('env Parameter'!$A:$A=$A204)*('env Parameter'!$B:$B=$K204)*('env Parameter'!$C:$C=$L204),'env Parameter'!G:G,""),"")</f>
        <v>7.6</v>
      </c>
      <c r="F204" t="str">
        <f>eDNA!F204</f>
        <v>MiFish</v>
      </c>
      <c r="G204" t="str">
        <f>eDNA!D204</f>
        <v>Pseudorasbora parva</v>
      </c>
      <c r="H204" t="str">
        <f>_xlfn.XLOOKUP(G204,'Common name (master file)'!$B:$B,'Common name (master file)'!$A:$A,"-------------")</f>
        <v>참붕어</v>
      </c>
      <c r="I204">
        <f>eDNA!E204</f>
        <v>15709</v>
      </c>
      <c r="J204" t="str">
        <f>_xlfn.XLOOKUP(G204,'Common name (master file)'!$B:$B,'Common name (master file)'!$C:$C,"")</f>
        <v>어류</v>
      </c>
      <c r="K204">
        <f>eDNA!B204</f>
        <v>126.8772417</v>
      </c>
      <c r="L204">
        <f>eDNA!C204</f>
        <v>37.474826299999997</v>
      </c>
      <c r="M204" s="10" t="str" cm="1">
        <f t="array" ref="M204">IFERROR(_xlfn.XLOOKUP(1,('env Parameter'!$A:$A=$A204)*('env Parameter'!$B:$B=$K204)*('env Parameter'!$C:$C=$L204),'env Parameter'!D:D,""),"")</f>
        <v>안양천-10</v>
      </c>
      <c r="N204" s="10" t="str" cm="1">
        <f t="array" ref="N204">IFERROR(_xlfn.XLOOKUP(1,('env Parameter'!$A:$A=$A204)*('env Parameter'!$B:$B=$K204)*('env Parameter'!$C:$C=$L204),'env Parameter'!I:I,""),"")</f>
        <v>YR</v>
      </c>
    </row>
    <row r="205" spans="1:14">
      <c r="A205">
        <f>eDNA!A205</f>
        <v>20200717</v>
      </c>
      <c r="B205" s="10" t="str" cm="1">
        <f t="array" ref="B205">IFERROR(_xlfn.XLOOKUP(1,('env Parameter'!$A:$A=$A205)*('env Parameter'!$B:$B=$K205)*('env Parameter'!$C:$C=$L205),'env Parameter'!H:H,""),"")</f>
        <v>생물상 조사</v>
      </c>
      <c r="C205" s="10" cm="1">
        <f t="array" ref="C205">IFERROR(_xlfn.XLOOKUP(1,('env Parameter'!$A:$A=$A205)*('env Parameter'!$B:$B=$K205)*('env Parameter'!$C:$C=$L205),'env Parameter'!E:E,""),"")</f>
        <v>2.14</v>
      </c>
      <c r="D205" s="10" cm="1">
        <f t="array" ref="D205">IFERROR(_xlfn.XLOOKUP(1,('env Parameter'!$A:$A=$A205)*('env Parameter'!$B:$B=$K205)*('env Parameter'!$C:$C=$L205),'env Parameter'!F:F,""),"")</f>
        <v>478</v>
      </c>
      <c r="E205" s="10" cm="1">
        <f t="array" ref="E205">IFERROR(_xlfn.XLOOKUP(1,('env Parameter'!$A:$A=$A205)*('env Parameter'!$B:$B=$K205)*('env Parameter'!$C:$C=$L205),'env Parameter'!G:G,""),"")</f>
        <v>7.6</v>
      </c>
      <c r="F205" t="str">
        <f>eDNA!F205</f>
        <v>MiFish</v>
      </c>
      <c r="G205" t="str">
        <f>eDNA!D205</f>
        <v>Carassius gibelio</v>
      </c>
      <c r="H205" t="str">
        <f>_xlfn.XLOOKUP(G205,'Common name (master file)'!$B:$B,'Common name (master file)'!$A:$A,"-------------")</f>
        <v>기벨리오 붕어</v>
      </c>
      <c r="I205">
        <f>eDNA!E205</f>
        <v>30544</v>
      </c>
      <c r="J205" t="str">
        <f>_xlfn.XLOOKUP(G205,'Common name (master file)'!$B:$B,'Common name (master file)'!$C:$C,"")</f>
        <v>어류</v>
      </c>
      <c r="K205">
        <f>eDNA!B205</f>
        <v>126.8772417</v>
      </c>
      <c r="L205">
        <f>eDNA!C205</f>
        <v>37.474826299999997</v>
      </c>
      <c r="M205" s="10" t="str" cm="1">
        <f t="array" ref="M205">IFERROR(_xlfn.XLOOKUP(1,('env Parameter'!$A:$A=$A205)*('env Parameter'!$B:$B=$K205)*('env Parameter'!$C:$C=$L205),'env Parameter'!D:D,""),"")</f>
        <v>안양천-10</v>
      </c>
      <c r="N205" s="10" t="str" cm="1">
        <f t="array" ref="N205">IFERROR(_xlfn.XLOOKUP(1,('env Parameter'!$A:$A=$A205)*('env Parameter'!$B:$B=$K205)*('env Parameter'!$C:$C=$L205),'env Parameter'!I:I,""),"")</f>
        <v>YR</v>
      </c>
    </row>
    <row r="206" spans="1:14">
      <c r="A206">
        <f>eDNA!A206</f>
        <v>20200717</v>
      </c>
      <c r="B206" s="10" t="str" cm="1">
        <f t="array" ref="B206">IFERROR(_xlfn.XLOOKUP(1,('env Parameter'!$A:$A=$A206)*('env Parameter'!$B:$B=$K206)*('env Parameter'!$C:$C=$L206),'env Parameter'!H:H,""),"")</f>
        <v>생물상 조사</v>
      </c>
      <c r="C206" s="10" cm="1">
        <f t="array" ref="C206">IFERROR(_xlfn.XLOOKUP(1,('env Parameter'!$A:$A=$A206)*('env Parameter'!$B:$B=$K206)*('env Parameter'!$C:$C=$L206),'env Parameter'!E:E,""),"")</f>
        <v>2.14</v>
      </c>
      <c r="D206" s="10" cm="1">
        <f t="array" ref="D206">IFERROR(_xlfn.XLOOKUP(1,('env Parameter'!$A:$A=$A206)*('env Parameter'!$B:$B=$K206)*('env Parameter'!$C:$C=$L206),'env Parameter'!F:F,""),"")</f>
        <v>478</v>
      </c>
      <c r="E206" s="10" cm="1">
        <f t="array" ref="E206">IFERROR(_xlfn.XLOOKUP(1,('env Parameter'!$A:$A=$A206)*('env Parameter'!$B:$B=$K206)*('env Parameter'!$C:$C=$L206),'env Parameter'!G:G,""),"")</f>
        <v>7.6</v>
      </c>
      <c r="F206" t="str">
        <f>eDNA!F206</f>
        <v>MiFish</v>
      </c>
      <c r="G206" t="str">
        <f>eDNA!D206</f>
        <v>Squalidus gracilis majimae</v>
      </c>
      <c r="H206" t="str">
        <f>_xlfn.XLOOKUP(G206,'Common name (master file)'!$B:$B,'Common name (master file)'!$A:$A,"-------------")</f>
        <v>긴몰개</v>
      </c>
      <c r="I206">
        <f>eDNA!E206</f>
        <v>16</v>
      </c>
      <c r="J206" t="str">
        <f>_xlfn.XLOOKUP(G206,'Common name (master file)'!$B:$B,'Common name (master file)'!$C:$C,"")</f>
        <v>어류</v>
      </c>
      <c r="K206">
        <f>eDNA!B206</f>
        <v>126.87060049999999</v>
      </c>
      <c r="L206">
        <f>eDNA!C206</f>
        <v>37.492184199999997</v>
      </c>
      <c r="M206" s="10" t="str" cm="1">
        <f t="array" ref="M206">IFERROR(_xlfn.XLOOKUP(1,('env Parameter'!$A:$A=$A206)*('env Parameter'!$B:$B=$K206)*('env Parameter'!$C:$C=$L206),'env Parameter'!D:D,""),"")</f>
        <v>안양천-12</v>
      </c>
      <c r="N206" s="10" t="str" cm="1">
        <f t="array" ref="N206">IFERROR(_xlfn.XLOOKUP(1,('env Parameter'!$A:$A=$A206)*('env Parameter'!$B:$B=$K206)*('env Parameter'!$C:$C=$L206),'env Parameter'!I:I,""),"")</f>
        <v>YR</v>
      </c>
    </row>
    <row r="207" spans="1:14">
      <c r="A207">
        <f>eDNA!A207</f>
        <v>20200717</v>
      </c>
      <c r="B207" s="10" t="str" cm="1">
        <f t="array" ref="B207">IFERROR(_xlfn.XLOOKUP(1,('env Parameter'!$A:$A=$A207)*('env Parameter'!$B:$B=$K207)*('env Parameter'!$C:$C=$L207),'env Parameter'!H:H,""),"")</f>
        <v>생물상 조사</v>
      </c>
      <c r="C207" s="10" cm="1">
        <f t="array" ref="C207">IFERROR(_xlfn.XLOOKUP(1,('env Parameter'!$A:$A=$A207)*('env Parameter'!$B:$B=$K207)*('env Parameter'!$C:$C=$L207),'env Parameter'!E:E,""),"")</f>
        <v>2.14</v>
      </c>
      <c r="D207" s="10" cm="1">
        <f t="array" ref="D207">IFERROR(_xlfn.XLOOKUP(1,('env Parameter'!$A:$A=$A207)*('env Parameter'!$B:$B=$K207)*('env Parameter'!$C:$C=$L207),'env Parameter'!F:F,""),"")</f>
        <v>478</v>
      </c>
      <c r="E207" s="10" cm="1">
        <f t="array" ref="E207">IFERROR(_xlfn.XLOOKUP(1,('env Parameter'!$A:$A=$A207)*('env Parameter'!$B:$B=$K207)*('env Parameter'!$C:$C=$L207),'env Parameter'!G:G,""),"")</f>
        <v>7.6</v>
      </c>
      <c r="F207" t="str">
        <f>eDNA!F207</f>
        <v>MiFish</v>
      </c>
      <c r="G207" t="str">
        <f>eDNA!D207</f>
        <v>Rattus norvegicus</v>
      </c>
      <c r="H207" t="str">
        <f>_xlfn.XLOOKUP(G207,'Common name (master file)'!$B:$B,'Common name (master file)'!$A:$A,"-------------")</f>
        <v>시궁쥐</v>
      </c>
      <c r="I207">
        <f>eDNA!E207</f>
        <v>22</v>
      </c>
      <c r="J207" t="str">
        <f>_xlfn.XLOOKUP(G207,'Common name (master file)'!$B:$B,'Common name (master file)'!$C:$C,"")</f>
        <v>포유류</v>
      </c>
      <c r="K207">
        <f>eDNA!B207</f>
        <v>126.87060049999999</v>
      </c>
      <c r="L207">
        <f>eDNA!C207</f>
        <v>37.492184199999997</v>
      </c>
      <c r="M207" s="10" t="str" cm="1">
        <f t="array" ref="M207">IFERROR(_xlfn.XLOOKUP(1,('env Parameter'!$A:$A=$A207)*('env Parameter'!$B:$B=$K207)*('env Parameter'!$C:$C=$L207),'env Parameter'!D:D,""),"")</f>
        <v>안양천-12</v>
      </c>
      <c r="N207" s="10" t="str" cm="1">
        <f t="array" ref="N207">IFERROR(_xlfn.XLOOKUP(1,('env Parameter'!$A:$A=$A207)*('env Parameter'!$B:$B=$K207)*('env Parameter'!$C:$C=$L207),'env Parameter'!I:I,""),"")</f>
        <v>YR</v>
      </c>
    </row>
    <row r="208" spans="1:14">
      <c r="A208">
        <f>eDNA!A208</f>
        <v>20200717</v>
      </c>
      <c r="B208" s="10" t="str" cm="1">
        <f t="array" ref="B208">IFERROR(_xlfn.XLOOKUP(1,('env Parameter'!$A:$A=$A208)*('env Parameter'!$B:$B=$K208)*('env Parameter'!$C:$C=$L208),'env Parameter'!H:H,""),"")</f>
        <v>생물상 조사</v>
      </c>
      <c r="C208" s="10" cm="1">
        <f t="array" ref="C208">IFERROR(_xlfn.XLOOKUP(1,('env Parameter'!$A:$A=$A208)*('env Parameter'!$B:$B=$K208)*('env Parameter'!$C:$C=$L208),'env Parameter'!E:E,""),"")</f>
        <v>2.14</v>
      </c>
      <c r="D208" s="10" cm="1">
        <f t="array" ref="D208">IFERROR(_xlfn.XLOOKUP(1,('env Parameter'!$A:$A=$A208)*('env Parameter'!$B:$B=$K208)*('env Parameter'!$C:$C=$L208),'env Parameter'!F:F,""),"")</f>
        <v>478</v>
      </c>
      <c r="E208" s="10" cm="1">
        <f t="array" ref="E208">IFERROR(_xlfn.XLOOKUP(1,('env Parameter'!$A:$A=$A208)*('env Parameter'!$B:$B=$K208)*('env Parameter'!$C:$C=$L208),'env Parameter'!G:G,""),"")</f>
        <v>7.6</v>
      </c>
      <c r="F208" t="str">
        <f>eDNA!F208</f>
        <v>MiFish</v>
      </c>
      <c r="G208" t="str">
        <f>eDNA!D208</f>
        <v>Pelodiscus sinensis</v>
      </c>
      <c r="H208" t="str">
        <f>_xlfn.XLOOKUP(G208,'Common name (master file)'!$B:$B,'Common name (master file)'!$A:$A,"-------------")</f>
        <v>중국자라</v>
      </c>
      <c r="I208">
        <f>eDNA!E208</f>
        <v>22</v>
      </c>
      <c r="J208" t="str">
        <f>_xlfn.XLOOKUP(G208,'Common name (master file)'!$B:$B,'Common name (master file)'!$C:$C,"")</f>
        <v>양서파충류</v>
      </c>
      <c r="K208">
        <f>eDNA!B208</f>
        <v>126.87060049999999</v>
      </c>
      <c r="L208">
        <f>eDNA!C208</f>
        <v>37.492184199999997</v>
      </c>
      <c r="M208" s="10" t="str" cm="1">
        <f t="array" ref="M208">IFERROR(_xlfn.XLOOKUP(1,('env Parameter'!$A:$A=$A208)*('env Parameter'!$B:$B=$K208)*('env Parameter'!$C:$C=$L208),'env Parameter'!D:D,""),"")</f>
        <v>안양천-12</v>
      </c>
      <c r="N208" s="10" t="str" cm="1">
        <f t="array" ref="N208">IFERROR(_xlfn.XLOOKUP(1,('env Parameter'!$A:$A=$A208)*('env Parameter'!$B:$B=$K208)*('env Parameter'!$C:$C=$L208),'env Parameter'!I:I,""),"")</f>
        <v>YR</v>
      </c>
    </row>
    <row r="209" spans="1:14">
      <c r="A209">
        <f>eDNA!A209</f>
        <v>20200717</v>
      </c>
      <c r="B209" s="10" t="str" cm="1">
        <f t="array" ref="B209">IFERROR(_xlfn.XLOOKUP(1,('env Parameter'!$A:$A=$A209)*('env Parameter'!$B:$B=$K209)*('env Parameter'!$C:$C=$L209),'env Parameter'!H:H,""),"")</f>
        <v>생물상 조사</v>
      </c>
      <c r="C209" s="10" cm="1">
        <f t="array" ref="C209">IFERROR(_xlfn.XLOOKUP(1,('env Parameter'!$A:$A=$A209)*('env Parameter'!$B:$B=$K209)*('env Parameter'!$C:$C=$L209),'env Parameter'!E:E,""),"")</f>
        <v>2.14</v>
      </c>
      <c r="D209" s="10" cm="1">
        <f t="array" ref="D209">IFERROR(_xlfn.XLOOKUP(1,('env Parameter'!$A:$A=$A209)*('env Parameter'!$B:$B=$K209)*('env Parameter'!$C:$C=$L209),'env Parameter'!F:F,""),"")</f>
        <v>478</v>
      </c>
      <c r="E209" s="10" cm="1">
        <f t="array" ref="E209">IFERROR(_xlfn.XLOOKUP(1,('env Parameter'!$A:$A=$A209)*('env Parameter'!$B:$B=$K209)*('env Parameter'!$C:$C=$L209),'env Parameter'!G:G,""),"")</f>
        <v>7.6</v>
      </c>
      <c r="F209" t="str">
        <f>eDNA!F209</f>
        <v>MiFish</v>
      </c>
      <c r="G209" t="str">
        <f>eDNA!D209</f>
        <v>Acheilognathus macropterus</v>
      </c>
      <c r="H209" t="str">
        <f>_xlfn.XLOOKUP(G209,'Common name (master file)'!$B:$B,'Common name (master file)'!$A:$A,"-------------")</f>
        <v>큰납지리</v>
      </c>
      <c r="I209">
        <f>eDNA!E209</f>
        <v>25</v>
      </c>
      <c r="J209" t="str">
        <f>_xlfn.XLOOKUP(G209,'Common name (master file)'!$B:$B,'Common name (master file)'!$C:$C,"")</f>
        <v>어류</v>
      </c>
      <c r="K209">
        <f>eDNA!B209</f>
        <v>126.87060049999999</v>
      </c>
      <c r="L209">
        <f>eDNA!C209</f>
        <v>37.492184199999997</v>
      </c>
      <c r="M209" s="10" t="str" cm="1">
        <f t="array" ref="M209">IFERROR(_xlfn.XLOOKUP(1,('env Parameter'!$A:$A=$A209)*('env Parameter'!$B:$B=$K209)*('env Parameter'!$C:$C=$L209),'env Parameter'!D:D,""),"")</f>
        <v>안양천-12</v>
      </c>
      <c r="N209" s="10" t="str" cm="1">
        <f t="array" ref="N209">IFERROR(_xlfn.XLOOKUP(1,('env Parameter'!$A:$A=$A209)*('env Parameter'!$B:$B=$K209)*('env Parameter'!$C:$C=$L209),'env Parameter'!I:I,""),"")</f>
        <v>YR</v>
      </c>
    </row>
    <row r="210" spans="1:14">
      <c r="A210">
        <f>eDNA!A210</f>
        <v>20200717</v>
      </c>
      <c r="B210" s="10" t="str" cm="1">
        <f t="array" ref="B210">IFERROR(_xlfn.XLOOKUP(1,('env Parameter'!$A:$A=$A210)*('env Parameter'!$B:$B=$K210)*('env Parameter'!$C:$C=$L210),'env Parameter'!H:H,""),"")</f>
        <v>생물상 조사</v>
      </c>
      <c r="C210" s="10" cm="1">
        <f t="array" ref="C210">IFERROR(_xlfn.XLOOKUP(1,('env Parameter'!$A:$A=$A210)*('env Parameter'!$B:$B=$K210)*('env Parameter'!$C:$C=$L210),'env Parameter'!E:E,""),"")</f>
        <v>2.14</v>
      </c>
      <c r="D210" s="10" cm="1">
        <f t="array" ref="D210">IFERROR(_xlfn.XLOOKUP(1,('env Parameter'!$A:$A=$A210)*('env Parameter'!$B:$B=$K210)*('env Parameter'!$C:$C=$L210),'env Parameter'!F:F,""),"")</f>
        <v>478</v>
      </c>
      <c r="E210" s="10" cm="1">
        <f t="array" ref="E210">IFERROR(_xlfn.XLOOKUP(1,('env Parameter'!$A:$A=$A210)*('env Parameter'!$B:$B=$K210)*('env Parameter'!$C:$C=$L210),'env Parameter'!G:G,""),"")</f>
        <v>7.6</v>
      </c>
      <c r="F210" t="str">
        <f>eDNA!F210</f>
        <v>MiFish</v>
      </c>
      <c r="G210" t="str">
        <f>eDNA!D210</f>
        <v>Carassius cuvieri</v>
      </c>
      <c r="H210" t="str">
        <f>_xlfn.XLOOKUP(G210,'Common name (master file)'!$B:$B,'Common name (master file)'!$A:$A,"-------------")</f>
        <v>떡붕어</v>
      </c>
      <c r="I210">
        <f>eDNA!E210</f>
        <v>44</v>
      </c>
      <c r="J210" t="str">
        <f>_xlfn.XLOOKUP(G210,'Common name (master file)'!$B:$B,'Common name (master file)'!$C:$C,"")</f>
        <v>어류</v>
      </c>
      <c r="K210">
        <f>eDNA!B210</f>
        <v>126.87060049999999</v>
      </c>
      <c r="L210">
        <f>eDNA!C210</f>
        <v>37.492184199999997</v>
      </c>
      <c r="M210" s="10" t="str" cm="1">
        <f t="array" ref="M210">IFERROR(_xlfn.XLOOKUP(1,('env Parameter'!$A:$A=$A210)*('env Parameter'!$B:$B=$K210)*('env Parameter'!$C:$C=$L210),'env Parameter'!D:D,""),"")</f>
        <v>안양천-12</v>
      </c>
      <c r="N210" s="10" t="str" cm="1">
        <f t="array" ref="N210">IFERROR(_xlfn.XLOOKUP(1,('env Parameter'!$A:$A=$A210)*('env Parameter'!$B:$B=$K210)*('env Parameter'!$C:$C=$L210),'env Parameter'!I:I,""),"")</f>
        <v>YR</v>
      </c>
    </row>
    <row r="211" spans="1:14">
      <c r="A211">
        <f>eDNA!A211</f>
        <v>20200717</v>
      </c>
      <c r="B211" s="10" t="str" cm="1">
        <f t="array" ref="B211">IFERROR(_xlfn.XLOOKUP(1,('env Parameter'!$A:$A=$A211)*('env Parameter'!$B:$B=$K211)*('env Parameter'!$C:$C=$L211),'env Parameter'!H:H,""),"")</f>
        <v>생물상 조사</v>
      </c>
      <c r="C211" s="10" cm="1">
        <f t="array" ref="C211">IFERROR(_xlfn.XLOOKUP(1,('env Parameter'!$A:$A=$A211)*('env Parameter'!$B:$B=$K211)*('env Parameter'!$C:$C=$L211),'env Parameter'!E:E,""),"")</f>
        <v>2.14</v>
      </c>
      <c r="D211" s="10" cm="1">
        <f t="array" ref="D211">IFERROR(_xlfn.XLOOKUP(1,('env Parameter'!$A:$A=$A211)*('env Parameter'!$B:$B=$K211)*('env Parameter'!$C:$C=$L211),'env Parameter'!F:F,""),"")</f>
        <v>478</v>
      </c>
      <c r="E211" s="10" cm="1">
        <f t="array" ref="E211">IFERROR(_xlfn.XLOOKUP(1,('env Parameter'!$A:$A=$A211)*('env Parameter'!$B:$B=$K211)*('env Parameter'!$C:$C=$L211),'env Parameter'!G:G,""),"")</f>
        <v>7.6</v>
      </c>
      <c r="F211" t="str">
        <f>eDNA!F211</f>
        <v>MiFish</v>
      </c>
      <c r="G211" t="str">
        <f>eDNA!D211</f>
        <v>Bos taurus</v>
      </c>
      <c r="H211" t="str">
        <f>_xlfn.XLOOKUP(G211,'Common name (master file)'!$B:$B,'Common name (master file)'!$A:$A,"-------------")</f>
        <v>소</v>
      </c>
      <c r="I211">
        <f>eDNA!E211</f>
        <v>26</v>
      </c>
      <c r="J211" t="str">
        <f>_xlfn.XLOOKUP(G211,'Common name (master file)'!$B:$B,'Common name (master file)'!$C:$C,"")</f>
        <v>포유류</v>
      </c>
      <c r="K211">
        <f>eDNA!B211</f>
        <v>126.87060049999999</v>
      </c>
      <c r="L211">
        <f>eDNA!C211</f>
        <v>37.492184199999997</v>
      </c>
      <c r="M211" s="10" t="str" cm="1">
        <f t="array" ref="M211">IFERROR(_xlfn.XLOOKUP(1,('env Parameter'!$A:$A=$A211)*('env Parameter'!$B:$B=$K211)*('env Parameter'!$C:$C=$L211),'env Parameter'!D:D,""),"")</f>
        <v>안양천-12</v>
      </c>
      <c r="N211" s="10" t="str" cm="1">
        <f t="array" ref="N211">IFERROR(_xlfn.XLOOKUP(1,('env Parameter'!$A:$A=$A211)*('env Parameter'!$B:$B=$K211)*('env Parameter'!$C:$C=$L211),'env Parameter'!I:I,""),"")</f>
        <v>YR</v>
      </c>
    </row>
    <row r="212" spans="1:14">
      <c r="A212">
        <f>eDNA!A212</f>
        <v>20200717</v>
      </c>
      <c r="B212" s="10" t="str" cm="1">
        <f t="array" ref="B212">IFERROR(_xlfn.XLOOKUP(1,('env Parameter'!$A:$A=$A212)*('env Parameter'!$B:$B=$K212)*('env Parameter'!$C:$C=$L212),'env Parameter'!H:H,""),"")</f>
        <v>생물상 조사</v>
      </c>
      <c r="C212" s="10" cm="1">
        <f t="array" ref="C212">IFERROR(_xlfn.XLOOKUP(1,('env Parameter'!$A:$A=$A212)*('env Parameter'!$B:$B=$K212)*('env Parameter'!$C:$C=$L212),'env Parameter'!E:E,""),"")</f>
        <v>2.14</v>
      </c>
      <c r="D212" s="10" cm="1">
        <f t="array" ref="D212">IFERROR(_xlfn.XLOOKUP(1,('env Parameter'!$A:$A=$A212)*('env Parameter'!$B:$B=$K212)*('env Parameter'!$C:$C=$L212),'env Parameter'!F:F,""),"")</f>
        <v>478</v>
      </c>
      <c r="E212" s="10" cm="1">
        <f t="array" ref="E212">IFERROR(_xlfn.XLOOKUP(1,('env Parameter'!$A:$A=$A212)*('env Parameter'!$B:$B=$K212)*('env Parameter'!$C:$C=$L212),'env Parameter'!G:G,""),"")</f>
        <v>7.6</v>
      </c>
      <c r="F212" t="str">
        <f>eDNA!F212</f>
        <v>MiFish</v>
      </c>
      <c r="G212" t="str">
        <f>eDNA!D212</f>
        <v>Tadorna tadorna</v>
      </c>
      <c r="H212" t="str">
        <f>_xlfn.XLOOKUP(G212,'Common name (master file)'!$B:$B,'Common name (master file)'!$A:$A,"-------------")</f>
        <v>혹부리오리</v>
      </c>
      <c r="I212">
        <f>eDNA!E212</f>
        <v>27</v>
      </c>
      <c r="J212" t="str">
        <f>_xlfn.XLOOKUP(G212,'Common name (master file)'!$B:$B,'Common name (master file)'!$C:$C,"")</f>
        <v>조류</v>
      </c>
      <c r="K212">
        <f>eDNA!B212</f>
        <v>126.87060049999999</v>
      </c>
      <c r="L212">
        <f>eDNA!C212</f>
        <v>37.492184199999997</v>
      </c>
      <c r="M212" s="10" t="str" cm="1">
        <f t="array" ref="M212">IFERROR(_xlfn.XLOOKUP(1,('env Parameter'!$A:$A=$A212)*('env Parameter'!$B:$B=$K212)*('env Parameter'!$C:$C=$L212),'env Parameter'!D:D,""),"")</f>
        <v>안양천-12</v>
      </c>
      <c r="N212" s="10" t="str" cm="1">
        <f t="array" ref="N212">IFERROR(_xlfn.XLOOKUP(1,('env Parameter'!$A:$A=$A212)*('env Parameter'!$B:$B=$K212)*('env Parameter'!$C:$C=$L212),'env Parameter'!I:I,""),"")</f>
        <v>YR</v>
      </c>
    </row>
    <row r="213" spans="1:14">
      <c r="A213">
        <f>eDNA!A213</f>
        <v>20200717</v>
      </c>
      <c r="B213" s="10" t="str" cm="1">
        <f t="array" ref="B213">IFERROR(_xlfn.XLOOKUP(1,('env Parameter'!$A:$A=$A213)*('env Parameter'!$B:$B=$K213)*('env Parameter'!$C:$C=$L213),'env Parameter'!H:H,""),"")</f>
        <v>생물상 조사</v>
      </c>
      <c r="C213" s="10" cm="1">
        <f t="array" ref="C213">IFERROR(_xlfn.XLOOKUP(1,('env Parameter'!$A:$A=$A213)*('env Parameter'!$B:$B=$K213)*('env Parameter'!$C:$C=$L213),'env Parameter'!E:E,""),"")</f>
        <v>2.14</v>
      </c>
      <c r="D213" s="10" cm="1">
        <f t="array" ref="D213">IFERROR(_xlfn.XLOOKUP(1,('env Parameter'!$A:$A=$A213)*('env Parameter'!$B:$B=$K213)*('env Parameter'!$C:$C=$L213),'env Parameter'!F:F,""),"")</f>
        <v>478</v>
      </c>
      <c r="E213" s="10" cm="1">
        <f t="array" ref="E213">IFERROR(_xlfn.XLOOKUP(1,('env Parameter'!$A:$A=$A213)*('env Parameter'!$B:$B=$K213)*('env Parameter'!$C:$C=$L213),'env Parameter'!G:G,""),"")</f>
        <v>7.6</v>
      </c>
      <c r="F213" t="str">
        <f>eDNA!F213</f>
        <v>MiFish</v>
      </c>
      <c r="G213" t="str">
        <f>eDNA!D213</f>
        <v>Misgurnus anguillicaudatus</v>
      </c>
      <c r="H213" t="str">
        <f>_xlfn.XLOOKUP(G213,'Common name (master file)'!$B:$B,'Common name (master file)'!$A:$A,"-------------")</f>
        <v>미꾸리</v>
      </c>
      <c r="I213">
        <f>eDNA!E213</f>
        <v>34</v>
      </c>
      <c r="J213" t="str">
        <f>_xlfn.XLOOKUP(G213,'Common name (master file)'!$B:$B,'Common name (master file)'!$C:$C,"")</f>
        <v>어류</v>
      </c>
      <c r="K213">
        <f>eDNA!B213</f>
        <v>126.87060049999999</v>
      </c>
      <c r="L213">
        <f>eDNA!C213</f>
        <v>37.492184199999997</v>
      </c>
      <c r="M213" s="10" t="str" cm="1">
        <f t="array" ref="M213">IFERROR(_xlfn.XLOOKUP(1,('env Parameter'!$A:$A=$A213)*('env Parameter'!$B:$B=$K213)*('env Parameter'!$C:$C=$L213),'env Parameter'!D:D,""),"")</f>
        <v>안양천-12</v>
      </c>
      <c r="N213" s="10" t="str" cm="1">
        <f t="array" ref="N213">IFERROR(_xlfn.XLOOKUP(1,('env Parameter'!$A:$A=$A213)*('env Parameter'!$B:$B=$K213)*('env Parameter'!$C:$C=$L213),'env Parameter'!I:I,""),"")</f>
        <v>YR</v>
      </c>
    </row>
    <row r="214" spans="1:14">
      <c r="A214">
        <f>eDNA!A214</f>
        <v>20200717</v>
      </c>
      <c r="B214" s="10" t="str" cm="1">
        <f t="array" ref="B214">IFERROR(_xlfn.XLOOKUP(1,('env Parameter'!$A:$A=$A214)*('env Parameter'!$B:$B=$K214)*('env Parameter'!$C:$C=$L214),'env Parameter'!H:H,""),"")</f>
        <v>생물상 조사</v>
      </c>
      <c r="C214" s="10" cm="1">
        <f t="array" ref="C214">IFERROR(_xlfn.XLOOKUP(1,('env Parameter'!$A:$A=$A214)*('env Parameter'!$B:$B=$K214)*('env Parameter'!$C:$C=$L214),'env Parameter'!E:E,""),"")</f>
        <v>2.14</v>
      </c>
      <c r="D214" s="10" cm="1">
        <f t="array" ref="D214">IFERROR(_xlfn.XLOOKUP(1,('env Parameter'!$A:$A=$A214)*('env Parameter'!$B:$B=$K214)*('env Parameter'!$C:$C=$L214),'env Parameter'!F:F,""),"")</f>
        <v>478</v>
      </c>
      <c r="E214" s="10" cm="1">
        <f t="array" ref="E214">IFERROR(_xlfn.XLOOKUP(1,('env Parameter'!$A:$A=$A214)*('env Parameter'!$B:$B=$K214)*('env Parameter'!$C:$C=$L214),'env Parameter'!G:G,""),"")</f>
        <v>7.6</v>
      </c>
      <c r="F214" t="str">
        <f>eDNA!F214</f>
        <v>MiFish</v>
      </c>
      <c r="G214" t="str">
        <f>eDNA!D214</f>
        <v>Sus scrofa</v>
      </c>
      <c r="H214" t="str">
        <f>_xlfn.XLOOKUP(G214,'Common name (master file)'!$B:$B,'Common name (master file)'!$A:$A,"-------------")</f>
        <v>멧돼지</v>
      </c>
      <c r="I214">
        <f>eDNA!E214</f>
        <v>133</v>
      </c>
      <c r="J214" t="str">
        <f>_xlfn.XLOOKUP(G214,'Common name (master file)'!$B:$B,'Common name (master file)'!$C:$C,"")</f>
        <v>포유류</v>
      </c>
      <c r="K214">
        <f>eDNA!B214</f>
        <v>126.87060049999999</v>
      </c>
      <c r="L214">
        <f>eDNA!C214</f>
        <v>37.492184199999997</v>
      </c>
      <c r="M214" s="10" t="str" cm="1">
        <f t="array" ref="M214">IFERROR(_xlfn.XLOOKUP(1,('env Parameter'!$A:$A=$A214)*('env Parameter'!$B:$B=$K214)*('env Parameter'!$C:$C=$L214),'env Parameter'!D:D,""),"")</f>
        <v>안양천-12</v>
      </c>
      <c r="N214" s="10" t="str" cm="1">
        <f t="array" ref="N214">IFERROR(_xlfn.XLOOKUP(1,('env Parameter'!$A:$A=$A214)*('env Parameter'!$B:$B=$K214)*('env Parameter'!$C:$C=$L214),'env Parameter'!I:I,""),"")</f>
        <v>YR</v>
      </c>
    </row>
    <row r="215" spans="1:14">
      <c r="A215">
        <f>eDNA!A215</f>
        <v>20200717</v>
      </c>
      <c r="B215" s="10" t="str" cm="1">
        <f t="array" ref="B215">IFERROR(_xlfn.XLOOKUP(1,('env Parameter'!$A:$A=$A215)*('env Parameter'!$B:$B=$K215)*('env Parameter'!$C:$C=$L215),'env Parameter'!H:H,""),"")</f>
        <v>생물상 조사</v>
      </c>
      <c r="C215" s="10" cm="1">
        <f t="array" ref="C215">IFERROR(_xlfn.XLOOKUP(1,('env Parameter'!$A:$A=$A215)*('env Parameter'!$B:$B=$K215)*('env Parameter'!$C:$C=$L215),'env Parameter'!E:E,""),"")</f>
        <v>2.14</v>
      </c>
      <c r="D215" s="10" cm="1">
        <f t="array" ref="D215">IFERROR(_xlfn.XLOOKUP(1,('env Parameter'!$A:$A=$A215)*('env Parameter'!$B:$B=$K215)*('env Parameter'!$C:$C=$L215),'env Parameter'!F:F,""),"")</f>
        <v>478</v>
      </c>
      <c r="E215" s="10" cm="1">
        <f t="array" ref="E215">IFERROR(_xlfn.XLOOKUP(1,('env Parameter'!$A:$A=$A215)*('env Parameter'!$B:$B=$K215)*('env Parameter'!$C:$C=$L215),'env Parameter'!G:G,""),"")</f>
        <v>7.6</v>
      </c>
      <c r="F215" t="str">
        <f>eDNA!F215</f>
        <v>MiFish</v>
      </c>
      <c r="G215" t="str">
        <f>eDNA!D215</f>
        <v>Pseudogobio esocinus</v>
      </c>
      <c r="H215" t="str">
        <f>_xlfn.XLOOKUP(G215,'Common name (master file)'!$B:$B,'Common name (master file)'!$A:$A,"-------------")</f>
        <v>모래무지</v>
      </c>
      <c r="I215">
        <f>eDNA!E215</f>
        <v>42</v>
      </c>
      <c r="J215" t="str">
        <f>_xlfn.XLOOKUP(G215,'Common name (master file)'!$B:$B,'Common name (master file)'!$C:$C,"")</f>
        <v>어류</v>
      </c>
      <c r="K215">
        <f>eDNA!B215</f>
        <v>126.87060049999999</v>
      </c>
      <c r="L215">
        <f>eDNA!C215</f>
        <v>37.492184199999997</v>
      </c>
      <c r="M215" s="10" t="str" cm="1">
        <f t="array" ref="M215">IFERROR(_xlfn.XLOOKUP(1,('env Parameter'!$A:$A=$A215)*('env Parameter'!$B:$B=$K215)*('env Parameter'!$C:$C=$L215),'env Parameter'!D:D,""),"")</f>
        <v>안양천-12</v>
      </c>
      <c r="N215" s="10" t="str" cm="1">
        <f t="array" ref="N215">IFERROR(_xlfn.XLOOKUP(1,('env Parameter'!$A:$A=$A215)*('env Parameter'!$B:$B=$K215)*('env Parameter'!$C:$C=$L215),'env Parameter'!I:I,""),"")</f>
        <v>YR</v>
      </c>
    </row>
    <row r="216" spans="1:14">
      <c r="A216">
        <f>eDNA!A216</f>
        <v>20200717</v>
      </c>
      <c r="B216" s="10" t="str" cm="1">
        <f t="array" ref="B216">IFERROR(_xlfn.XLOOKUP(1,('env Parameter'!$A:$A=$A216)*('env Parameter'!$B:$B=$K216)*('env Parameter'!$C:$C=$L216),'env Parameter'!H:H,""),"")</f>
        <v>생물상 조사</v>
      </c>
      <c r="C216" s="10" cm="1">
        <f t="array" ref="C216">IFERROR(_xlfn.XLOOKUP(1,('env Parameter'!$A:$A=$A216)*('env Parameter'!$B:$B=$K216)*('env Parameter'!$C:$C=$L216),'env Parameter'!E:E,""),"")</f>
        <v>2.14</v>
      </c>
      <c r="D216" s="10" cm="1">
        <f t="array" ref="D216">IFERROR(_xlfn.XLOOKUP(1,('env Parameter'!$A:$A=$A216)*('env Parameter'!$B:$B=$K216)*('env Parameter'!$C:$C=$L216),'env Parameter'!F:F,""),"")</f>
        <v>478</v>
      </c>
      <c r="E216" s="10" cm="1">
        <f t="array" ref="E216">IFERROR(_xlfn.XLOOKUP(1,('env Parameter'!$A:$A=$A216)*('env Parameter'!$B:$B=$K216)*('env Parameter'!$C:$C=$L216),'env Parameter'!G:G,""),"")</f>
        <v>7.6</v>
      </c>
      <c r="F216" t="str">
        <f>eDNA!F216</f>
        <v>MiFish</v>
      </c>
      <c r="G216" t="str">
        <f>eDNA!D216</f>
        <v>Hemibarbus sp.</v>
      </c>
      <c r="H216" t="str">
        <f>_xlfn.XLOOKUP(G216,'Common name (master file)'!$B:$B,'Common name (master file)'!$A:$A,"-------------")</f>
        <v>누치 속</v>
      </c>
      <c r="I216">
        <f>eDNA!E216</f>
        <v>66</v>
      </c>
      <c r="J216" t="str">
        <f>_xlfn.XLOOKUP(G216,'Common name (master file)'!$B:$B,'Common name (master file)'!$C:$C,"")</f>
        <v>어류</v>
      </c>
      <c r="K216">
        <f>eDNA!B216</f>
        <v>126.87060049999999</v>
      </c>
      <c r="L216">
        <f>eDNA!C216</f>
        <v>37.492184199999997</v>
      </c>
      <c r="M216" s="10" t="str" cm="1">
        <f t="array" ref="M216">IFERROR(_xlfn.XLOOKUP(1,('env Parameter'!$A:$A=$A216)*('env Parameter'!$B:$B=$K216)*('env Parameter'!$C:$C=$L216),'env Parameter'!D:D,""),"")</f>
        <v>안양천-12</v>
      </c>
      <c r="N216" s="10" t="str" cm="1">
        <f t="array" ref="N216">IFERROR(_xlfn.XLOOKUP(1,('env Parameter'!$A:$A=$A216)*('env Parameter'!$B:$B=$K216)*('env Parameter'!$C:$C=$L216),'env Parameter'!I:I,""),"")</f>
        <v>YR</v>
      </c>
    </row>
    <row r="217" spans="1:14">
      <c r="A217">
        <f>eDNA!A217</f>
        <v>20200717</v>
      </c>
      <c r="B217" s="10" t="str" cm="1">
        <f t="array" ref="B217">IFERROR(_xlfn.XLOOKUP(1,('env Parameter'!$A:$A=$A217)*('env Parameter'!$B:$B=$K217)*('env Parameter'!$C:$C=$L217),'env Parameter'!H:H,""),"")</f>
        <v>생물상 조사</v>
      </c>
      <c r="C217" s="10" cm="1">
        <f t="array" ref="C217">IFERROR(_xlfn.XLOOKUP(1,('env Parameter'!$A:$A=$A217)*('env Parameter'!$B:$B=$K217)*('env Parameter'!$C:$C=$L217),'env Parameter'!E:E,""),"")</f>
        <v>2.14</v>
      </c>
      <c r="D217" s="10" cm="1">
        <f t="array" ref="D217">IFERROR(_xlfn.XLOOKUP(1,('env Parameter'!$A:$A=$A217)*('env Parameter'!$B:$B=$K217)*('env Parameter'!$C:$C=$L217),'env Parameter'!F:F,""),"")</f>
        <v>478</v>
      </c>
      <c r="E217" s="10" cm="1">
        <f t="array" ref="E217">IFERROR(_xlfn.XLOOKUP(1,('env Parameter'!$A:$A=$A217)*('env Parameter'!$B:$B=$K217)*('env Parameter'!$C:$C=$L217),'env Parameter'!G:G,""),"")</f>
        <v>7.6</v>
      </c>
      <c r="F217" t="str">
        <f>eDNA!F217</f>
        <v>MiFish</v>
      </c>
      <c r="G217" t="str">
        <f>eDNA!D217</f>
        <v>Micropterus salmoides</v>
      </c>
      <c r="H217" t="str">
        <f>_xlfn.XLOOKUP(G217,'Common name (master file)'!$B:$B,'Common name (master file)'!$A:$A,"-------------")</f>
        <v>큰입배스</v>
      </c>
      <c r="I217">
        <f>eDNA!E217</f>
        <v>93</v>
      </c>
      <c r="J217" t="str">
        <f>_xlfn.XLOOKUP(G217,'Common name (master file)'!$B:$B,'Common name (master file)'!$C:$C,"")</f>
        <v>어류</v>
      </c>
      <c r="K217">
        <f>eDNA!B217</f>
        <v>126.87060049999999</v>
      </c>
      <c r="L217">
        <f>eDNA!C217</f>
        <v>37.492184199999997</v>
      </c>
      <c r="M217" s="10" t="str" cm="1">
        <f t="array" ref="M217">IFERROR(_xlfn.XLOOKUP(1,('env Parameter'!$A:$A=$A217)*('env Parameter'!$B:$B=$K217)*('env Parameter'!$C:$C=$L217),'env Parameter'!D:D,""),"")</f>
        <v>안양천-12</v>
      </c>
      <c r="N217" s="10" t="str" cm="1">
        <f t="array" ref="N217">IFERROR(_xlfn.XLOOKUP(1,('env Parameter'!$A:$A=$A217)*('env Parameter'!$B:$B=$K217)*('env Parameter'!$C:$C=$L217),'env Parameter'!I:I,""),"")</f>
        <v>YR</v>
      </c>
    </row>
    <row r="218" spans="1:14">
      <c r="A218">
        <f>eDNA!A218</f>
        <v>20200717</v>
      </c>
      <c r="B218" s="10" t="str" cm="1">
        <f t="array" ref="B218">IFERROR(_xlfn.XLOOKUP(1,('env Parameter'!$A:$A=$A218)*('env Parameter'!$B:$B=$K218)*('env Parameter'!$C:$C=$L218),'env Parameter'!H:H,""),"")</f>
        <v>생물상 조사</v>
      </c>
      <c r="C218" s="10" cm="1">
        <f t="array" ref="C218">IFERROR(_xlfn.XLOOKUP(1,('env Parameter'!$A:$A=$A218)*('env Parameter'!$B:$B=$K218)*('env Parameter'!$C:$C=$L218),'env Parameter'!E:E,""),"")</f>
        <v>2.14</v>
      </c>
      <c r="D218" s="10" cm="1">
        <f t="array" ref="D218">IFERROR(_xlfn.XLOOKUP(1,('env Parameter'!$A:$A=$A218)*('env Parameter'!$B:$B=$K218)*('env Parameter'!$C:$C=$L218),'env Parameter'!F:F,""),"")</f>
        <v>478</v>
      </c>
      <c r="E218" s="10" cm="1">
        <f t="array" ref="E218">IFERROR(_xlfn.XLOOKUP(1,('env Parameter'!$A:$A=$A218)*('env Parameter'!$B:$B=$K218)*('env Parameter'!$C:$C=$L218),'env Parameter'!G:G,""),"")</f>
        <v>7.6</v>
      </c>
      <c r="F218" t="str">
        <f>eDNA!F218</f>
        <v>MiFish</v>
      </c>
      <c r="G218" t="str">
        <f>eDNA!D218</f>
        <v>Plagiognathops microlepis</v>
      </c>
      <c r="H218" t="str">
        <f>_xlfn.XLOOKUP(G218,'Common name (master file)'!$B:$B,'Common name (master file)'!$A:$A,"-------------")</f>
        <v>왜몰개</v>
      </c>
      <c r="I218">
        <f>eDNA!E218</f>
        <v>94</v>
      </c>
      <c r="J218" t="str">
        <f>_xlfn.XLOOKUP(G218,'Common name (master file)'!$B:$B,'Common name (master file)'!$C:$C,"")</f>
        <v>어류</v>
      </c>
      <c r="K218">
        <f>eDNA!B218</f>
        <v>126.87060049999999</v>
      </c>
      <c r="L218">
        <f>eDNA!C218</f>
        <v>37.492184199999997</v>
      </c>
      <c r="M218" s="10" t="str" cm="1">
        <f t="array" ref="M218">IFERROR(_xlfn.XLOOKUP(1,('env Parameter'!$A:$A=$A218)*('env Parameter'!$B:$B=$K218)*('env Parameter'!$C:$C=$L218),'env Parameter'!D:D,""),"")</f>
        <v>안양천-12</v>
      </c>
      <c r="N218" s="10" t="str" cm="1">
        <f t="array" ref="N218">IFERROR(_xlfn.XLOOKUP(1,('env Parameter'!$A:$A=$A218)*('env Parameter'!$B:$B=$K218)*('env Parameter'!$C:$C=$L218),'env Parameter'!I:I,""),"")</f>
        <v>YR</v>
      </c>
    </row>
    <row r="219" spans="1:14">
      <c r="A219">
        <f>eDNA!A219</f>
        <v>20200717</v>
      </c>
      <c r="B219" s="10" t="str" cm="1">
        <f t="array" ref="B219">IFERROR(_xlfn.XLOOKUP(1,('env Parameter'!$A:$A=$A219)*('env Parameter'!$B:$B=$K219)*('env Parameter'!$C:$C=$L219),'env Parameter'!H:H,""),"")</f>
        <v>생물상 조사</v>
      </c>
      <c r="C219" s="10" cm="1">
        <f t="array" ref="C219">IFERROR(_xlfn.XLOOKUP(1,('env Parameter'!$A:$A=$A219)*('env Parameter'!$B:$B=$K219)*('env Parameter'!$C:$C=$L219),'env Parameter'!E:E,""),"")</f>
        <v>2.14</v>
      </c>
      <c r="D219" s="10" cm="1">
        <f t="array" ref="D219">IFERROR(_xlfn.XLOOKUP(1,('env Parameter'!$A:$A=$A219)*('env Parameter'!$B:$B=$K219)*('env Parameter'!$C:$C=$L219),'env Parameter'!F:F,""),"")</f>
        <v>478</v>
      </c>
      <c r="E219" s="10" cm="1">
        <f t="array" ref="E219">IFERROR(_xlfn.XLOOKUP(1,('env Parameter'!$A:$A=$A219)*('env Parameter'!$B:$B=$K219)*('env Parameter'!$C:$C=$L219),'env Parameter'!G:G,""),"")</f>
        <v>7.6</v>
      </c>
      <c r="F219" t="str">
        <f>eDNA!F219</f>
        <v>MiFish</v>
      </c>
      <c r="G219" t="str">
        <f>eDNA!D219</f>
        <v>Synechogobius hasta</v>
      </c>
      <c r="H219" t="str">
        <f>_xlfn.XLOOKUP(G219,'Common name (master file)'!$B:$B,'Common name (master file)'!$A:$A,"-------------")</f>
        <v>풀망둑</v>
      </c>
      <c r="I219">
        <f>eDNA!E219</f>
        <v>119</v>
      </c>
      <c r="J219" t="str">
        <f>_xlfn.XLOOKUP(G219,'Common name (master file)'!$B:$B,'Common name (master file)'!$C:$C,"")</f>
        <v>어류</v>
      </c>
      <c r="K219">
        <f>eDNA!B219</f>
        <v>126.87060049999999</v>
      </c>
      <c r="L219">
        <f>eDNA!C219</f>
        <v>37.492184199999997</v>
      </c>
      <c r="M219" s="10" t="str" cm="1">
        <f t="array" ref="M219">IFERROR(_xlfn.XLOOKUP(1,('env Parameter'!$A:$A=$A219)*('env Parameter'!$B:$B=$K219)*('env Parameter'!$C:$C=$L219),'env Parameter'!D:D,""),"")</f>
        <v>안양천-12</v>
      </c>
      <c r="N219" s="10" t="str" cm="1">
        <f t="array" ref="N219">IFERROR(_xlfn.XLOOKUP(1,('env Parameter'!$A:$A=$A219)*('env Parameter'!$B:$B=$K219)*('env Parameter'!$C:$C=$L219),'env Parameter'!I:I,""),"")</f>
        <v>YR</v>
      </c>
    </row>
    <row r="220" spans="1:14">
      <c r="A220">
        <f>eDNA!A220</f>
        <v>20200717</v>
      </c>
      <c r="B220" s="10" t="str" cm="1">
        <f t="array" ref="B220">IFERROR(_xlfn.XLOOKUP(1,('env Parameter'!$A:$A=$A220)*('env Parameter'!$B:$B=$K220)*('env Parameter'!$C:$C=$L220),'env Parameter'!H:H,""),"")</f>
        <v>생물상 조사</v>
      </c>
      <c r="C220" s="10" cm="1">
        <f t="array" ref="C220">IFERROR(_xlfn.XLOOKUP(1,('env Parameter'!$A:$A=$A220)*('env Parameter'!$B:$B=$K220)*('env Parameter'!$C:$C=$L220),'env Parameter'!E:E,""),"")</f>
        <v>2.14</v>
      </c>
      <c r="D220" s="10" cm="1">
        <f t="array" ref="D220">IFERROR(_xlfn.XLOOKUP(1,('env Parameter'!$A:$A=$A220)*('env Parameter'!$B:$B=$K220)*('env Parameter'!$C:$C=$L220),'env Parameter'!F:F,""),"")</f>
        <v>478</v>
      </c>
      <c r="E220" s="10" cm="1">
        <f t="array" ref="E220">IFERROR(_xlfn.XLOOKUP(1,('env Parameter'!$A:$A=$A220)*('env Parameter'!$B:$B=$K220)*('env Parameter'!$C:$C=$L220),'env Parameter'!G:G,""),"")</f>
        <v>7.6</v>
      </c>
      <c r="F220" t="str">
        <f>eDNA!F220</f>
        <v>MiFish</v>
      </c>
      <c r="G220" t="str">
        <f>eDNA!D220</f>
        <v>Carassius auratus</v>
      </c>
      <c r="H220" t="str">
        <f>_xlfn.XLOOKUP(G220,'Common name (master file)'!$B:$B,'Common name (master file)'!$A:$A,"-------------")</f>
        <v>붕어</v>
      </c>
      <c r="I220">
        <f>eDNA!E220</f>
        <v>124</v>
      </c>
      <c r="J220" t="str">
        <f>_xlfn.XLOOKUP(G220,'Common name (master file)'!$B:$B,'Common name (master file)'!$C:$C,"")</f>
        <v>어류</v>
      </c>
      <c r="K220">
        <f>eDNA!B220</f>
        <v>126.87060049999999</v>
      </c>
      <c r="L220">
        <f>eDNA!C220</f>
        <v>37.492184199999997</v>
      </c>
      <c r="M220" s="10" t="str" cm="1">
        <f t="array" ref="M220">IFERROR(_xlfn.XLOOKUP(1,('env Parameter'!$A:$A=$A220)*('env Parameter'!$B:$B=$K220)*('env Parameter'!$C:$C=$L220),'env Parameter'!D:D,""),"")</f>
        <v>안양천-12</v>
      </c>
      <c r="N220" s="10" t="str" cm="1">
        <f t="array" ref="N220">IFERROR(_xlfn.XLOOKUP(1,('env Parameter'!$A:$A=$A220)*('env Parameter'!$B:$B=$K220)*('env Parameter'!$C:$C=$L220),'env Parameter'!I:I,""),"")</f>
        <v>YR</v>
      </c>
    </row>
    <row r="221" spans="1:14">
      <c r="A221">
        <f>eDNA!A221</f>
        <v>20200717</v>
      </c>
      <c r="B221" s="10" t="str" cm="1">
        <f t="array" ref="B221">IFERROR(_xlfn.XLOOKUP(1,('env Parameter'!$A:$A=$A221)*('env Parameter'!$B:$B=$K221)*('env Parameter'!$C:$C=$L221),'env Parameter'!H:H,""),"")</f>
        <v>생물상 조사</v>
      </c>
      <c r="C221" s="10" cm="1">
        <f t="array" ref="C221">IFERROR(_xlfn.XLOOKUP(1,('env Parameter'!$A:$A=$A221)*('env Parameter'!$B:$B=$K221)*('env Parameter'!$C:$C=$L221),'env Parameter'!E:E,""),"")</f>
        <v>2.14</v>
      </c>
      <c r="D221" s="10" cm="1">
        <f t="array" ref="D221">IFERROR(_xlfn.XLOOKUP(1,('env Parameter'!$A:$A=$A221)*('env Parameter'!$B:$B=$K221)*('env Parameter'!$C:$C=$L221),'env Parameter'!F:F,""),"")</f>
        <v>478</v>
      </c>
      <c r="E221" s="10" cm="1">
        <f t="array" ref="E221">IFERROR(_xlfn.XLOOKUP(1,('env Parameter'!$A:$A=$A221)*('env Parameter'!$B:$B=$K221)*('env Parameter'!$C:$C=$L221),'env Parameter'!G:G,""),"")</f>
        <v>7.6</v>
      </c>
      <c r="F221" t="str">
        <f>eDNA!F221</f>
        <v>MiFish</v>
      </c>
      <c r="G221" t="str">
        <f>eDNA!D221</f>
        <v>Odontamblyopus lacepedii</v>
      </c>
      <c r="H221" t="str">
        <f>_xlfn.XLOOKUP(G221,'Common name (master file)'!$B:$B,'Common name (master file)'!$A:$A,"-------------")</f>
        <v>개소갱</v>
      </c>
      <c r="I221">
        <f>eDNA!E221</f>
        <v>83</v>
      </c>
      <c r="J221" t="str">
        <f>_xlfn.XLOOKUP(G221,'Common name (master file)'!$B:$B,'Common name (master file)'!$C:$C,"")</f>
        <v>어류</v>
      </c>
      <c r="K221">
        <f>eDNA!B221</f>
        <v>126.8772417</v>
      </c>
      <c r="L221">
        <f>eDNA!C221</f>
        <v>37.474826299999997</v>
      </c>
      <c r="M221" s="10" t="str" cm="1">
        <f t="array" ref="M221">IFERROR(_xlfn.XLOOKUP(1,('env Parameter'!$A:$A=$A221)*('env Parameter'!$B:$B=$K221)*('env Parameter'!$C:$C=$L221),'env Parameter'!D:D,""),"")</f>
        <v>안양천-10</v>
      </c>
      <c r="N221" s="10" t="str" cm="1">
        <f t="array" ref="N221">IFERROR(_xlfn.XLOOKUP(1,('env Parameter'!$A:$A=$A221)*('env Parameter'!$B:$B=$K221)*('env Parameter'!$C:$C=$L221),'env Parameter'!I:I,""),"")</f>
        <v>YR</v>
      </c>
    </row>
    <row r="222" spans="1:14">
      <c r="A222">
        <f>eDNA!A222</f>
        <v>20200717</v>
      </c>
      <c r="B222" s="10" t="str" cm="1">
        <f t="array" ref="B222">IFERROR(_xlfn.XLOOKUP(1,('env Parameter'!$A:$A=$A222)*('env Parameter'!$B:$B=$K222)*('env Parameter'!$C:$C=$L222),'env Parameter'!H:H,""),"")</f>
        <v>생물상 조사</v>
      </c>
      <c r="C222" s="10" cm="1">
        <f t="array" ref="C222">IFERROR(_xlfn.XLOOKUP(1,('env Parameter'!$A:$A=$A222)*('env Parameter'!$B:$B=$K222)*('env Parameter'!$C:$C=$L222),'env Parameter'!E:E,""),"")</f>
        <v>2.14</v>
      </c>
      <c r="D222" s="10" cm="1">
        <f t="array" ref="D222">IFERROR(_xlfn.XLOOKUP(1,('env Parameter'!$A:$A=$A222)*('env Parameter'!$B:$B=$K222)*('env Parameter'!$C:$C=$L222),'env Parameter'!F:F,""),"")</f>
        <v>478</v>
      </c>
      <c r="E222" s="10" cm="1">
        <f t="array" ref="E222">IFERROR(_xlfn.XLOOKUP(1,('env Parameter'!$A:$A=$A222)*('env Parameter'!$B:$B=$K222)*('env Parameter'!$C:$C=$L222),'env Parameter'!G:G,""),"")</f>
        <v>7.6</v>
      </c>
      <c r="F222" t="str">
        <f>eDNA!F222</f>
        <v>MiFish</v>
      </c>
      <c r="G222" t="str">
        <f>eDNA!D222</f>
        <v>Tridentiger obscurus</v>
      </c>
      <c r="H222" t="str">
        <f>_xlfn.XLOOKUP(G222,'Common name (master file)'!$B:$B,'Common name (master file)'!$A:$A,"-------------")</f>
        <v>검정망둑</v>
      </c>
      <c r="I222">
        <f>eDNA!E222</f>
        <v>161</v>
      </c>
      <c r="J222" t="str">
        <f>_xlfn.XLOOKUP(G222,'Common name (master file)'!$B:$B,'Common name (master file)'!$C:$C,"")</f>
        <v>어류</v>
      </c>
      <c r="K222">
        <f>eDNA!B222</f>
        <v>126.87060049999999</v>
      </c>
      <c r="L222">
        <f>eDNA!C222</f>
        <v>37.492184199999997</v>
      </c>
      <c r="M222" s="10" t="str" cm="1">
        <f t="array" ref="M222">IFERROR(_xlfn.XLOOKUP(1,('env Parameter'!$A:$A=$A222)*('env Parameter'!$B:$B=$K222)*('env Parameter'!$C:$C=$L222),'env Parameter'!D:D,""),"")</f>
        <v>안양천-12</v>
      </c>
      <c r="N222" s="10" t="str" cm="1">
        <f t="array" ref="N222">IFERROR(_xlfn.XLOOKUP(1,('env Parameter'!$A:$A=$A222)*('env Parameter'!$B:$B=$K222)*('env Parameter'!$C:$C=$L222),'env Parameter'!I:I,""),"")</f>
        <v>YR</v>
      </c>
    </row>
    <row r="223" spans="1:14">
      <c r="A223">
        <f>eDNA!A223</f>
        <v>20200717</v>
      </c>
      <c r="B223" s="10" t="str" cm="1">
        <f t="array" ref="B223">IFERROR(_xlfn.XLOOKUP(1,('env Parameter'!$A:$A=$A223)*('env Parameter'!$B:$B=$K223)*('env Parameter'!$C:$C=$L223),'env Parameter'!H:H,""),"")</f>
        <v>생물상 조사</v>
      </c>
      <c r="C223" s="10" cm="1">
        <f t="array" ref="C223">IFERROR(_xlfn.XLOOKUP(1,('env Parameter'!$A:$A=$A223)*('env Parameter'!$B:$B=$K223)*('env Parameter'!$C:$C=$L223),'env Parameter'!E:E,""),"")</f>
        <v>2.14</v>
      </c>
      <c r="D223" s="10" cm="1">
        <f t="array" ref="D223">IFERROR(_xlfn.XLOOKUP(1,('env Parameter'!$A:$A=$A223)*('env Parameter'!$B:$B=$K223)*('env Parameter'!$C:$C=$L223),'env Parameter'!F:F,""),"")</f>
        <v>478</v>
      </c>
      <c r="E223" s="10" cm="1">
        <f t="array" ref="E223">IFERROR(_xlfn.XLOOKUP(1,('env Parameter'!$A:$A=$A223)*('env Parameter'!$B:$B=$K223)*('env Parameter'!$C:$C=$L223),'env Parameter'!G:G,""),"")</f>
        <v>7.6</v>
      </c>
      <c r="F223" t="str">
        <f>eDNA!F223</f>
        <v>MiFish</v>
      </c>
      <c r="G223" t="str">
        <f>eDNA!D223</f>
        <v>Gnathopogon strigatus</v>
      </c>
      <c r="H223" t="str">
        <f>_xlfn.XLOOKUP(G223,'Common name (master file)'!$B:$B,'Common name (master file)'!$A:$A,"-------------")</f>
        <v>줄몰개</v>
      </c>
      <c r="I223">
        <f>eDNA!E223</f>
        <v>192</v>
      </c>
      <c r="J223" t="str">
        <f>_xlfn.XLOOKUP(G223,'Common name (master file)'!$B:$B,'Common name (master file)'!$C:$C,"")</f>
        <v>어류</v>
      </c>
      <c r="K223">
        <f>eDNA!B223</f>
        <v>126.87060049999999</v>
      </c>
      <c r="L223">
        <f>eDNA!C223</f>
        <v>37.492184199999997</v>
      </c>
      <c r="M223" s="10" t="str" cm="1">
        <f t="array" ref="M223">IFERROR(_xlfn.XLOOKUP(1,('env Parameter'!$A:$A=$A223)*('env Parameter'!$B:$B=$K223)*('env Parameter'!$C:$C=$L223),'env Parameter'!D:D,""),"")</f>
        <v>안양천-12</v>
      </c>
      <c r="N223" s="10" t="str" cm="1">
        <f t="array" ref="N223">IFERROR(_xlfn.XLOOKUP(1,('env Parameter'!$A:$A=$A223)*('env Parameter'!$B:$B=$K223)*('env Parameter'!$C:$C=$L223),'env Parameter'!I:I,""),"")</f>
        <v>YR</v>
      </c>
    </row>
    <row r="224" spans="1:14">
      <c r="A224">
        <f>eDNA!A224</f>
        <v>20200717</v>
      </c>
      <c r="B224" s="10" t="str" cm="1">
        <f t="array" ref="B224">IFERROR(_xlfn.XLOOKUP(1,('env Parameter'!$A:$A=$A224)*('env Parameter'!$B:$B=$K224)*('env Parameter'!$C:$C=$L224),'env Parameter'!H:H,""),"")</f>
        <v>생물상 조사</v>
      </c>
      <c r="C224" s="10" cm="1">
        <f t="array" ref="C224">IFERROR(_xlfn.XLOOKUP(1,('env Parameter'!$A:$A=$A224)*('env Parameter'!$B:$B=$K224)*('env Parameter'!$C:$C=$L224),'env Parameter'!E:E,""),"")</f>
        <v>2.14</v>
      </c>
      <c r="D224" s="10" cm="1">
        <f t="array" ref="D224">IFERROR(_xlfn.XLOOKUP(1,('env Parameter'!$A:$A=$A224)*('env Parameter'!$B:$B=$K224)*('env Parameter'!$C:$C=$L224),'env Parameter'!F:F,""),"")</f>
        <v>478</v>
      </c>
      <c r="E224" s="10" cm="1">
        <f t="array" ref="E224">IFERROR(_xlfn.XLOOKUP(1,('env Parameter'!$A:$A=$A224)*('env Parameter'!$B:$B=$K224)*('env Parameter'!$C:$C=$L224),'env Parameter'!G:G,""),"")</f>
        <v>7.6</v>
      </c>
      <c r="F224" t="str">
        <f>eDNA!F224</f>
        <v>MiFish</v>
      </c>
      <c r="G224" t="str">
        <f>eDNA!D224</f>
        <v>Oryzias sinensis</v>
      </c>
      <c r="H224" t="str">
        <f>_xlfn.XLOOKUP(G224,'Common name (master file)'!$B:$B,'Common name (master file)'!$A:$A,"-------------")</f>
        <v>대륙송사리</v>
      </c>
      <c r="I224">
        <f>eDNA!E224</f>
        <v>502</v>
      </c>
      <c r="J224" t="str">
        <f>_xlfn.XLOOKUP(G224,'Common name (master file)'!$B:$B,'Common name (master file)'!$C:$C,"")</f>
        <v>어류</v>
      </c>
      <c r="K224">
        <f>eDNA!B224</f>
        <v>126.87060049999999</v>
      </c>
      <c r="L224">
        <f>eDNA!C224</f>
        <v>37.492184199999997</v>
      </c>
      <c r="M224" s="10" t="str" cm="1">
        <f t="array" ref="M224">IFERROR(_xlfn.XLOOKUP(1,('env Parameter'!$A:$A=$A224)*('env Parameter'!$B:$B=$K224)*('env Parameter'!$C:$C=$L224),'env Parameter'!D:D,""),"")</f>
        <v>안양천-12</v>
      </c>
      <c r="N224" s="10" t="str" cm="1">
        <f t="array" ref="N224">IFERROR(_xlfn.XLOOKUP(1,('env Parameter'!$A:$A=$A224)*('env Parameter'!$B:$B=$K224)*('env Parameter'!$C:$C=$L224),'env Parameter'!I:I,""),"")</f>
        <v>YR</v>
      </c>
    </row>
    <row r="225" spans="1:14">
      <c r="A225">
        <f>eDNA!A225</f>
        <v>20200717</v>
      </c>
      <c r="B225" s="10" t="str" cm="1">
        <f t="array" ref="B225">IFERROR(_xlfn.XLOOKUP(1,('env Parameter'!$A:$A=$A225)*('env Parameter'!$B:$B=$K225)*('env Parameter'!$C:$C=$L225),'env Parameter'!H:H,""),"")</f>
        <v>생물상 조사</v>
      </c>
      <c r="C225" s="10" cm="1">
        <f t="array" ref="C225">IFERROR(_xlfn.XLOOKUP(1,('env Parameter'!$A:$A=$A225)*('env Parameter'!$B:$B=$K225)*('env Parameter'!$C:$C=$L225),'env Parameter'!E:E,""),"")</f>
        <v>2.14</v>
      </c>
      <c r="D225" s="10" cm="1">
        <f t="array" ref="D225">IFERROR(_xlfn.XLOOKUP(1,('env Parameter'!$A:$A=$A225)*('env Parameter'!$B:$B=$K225)*('env Parameter'!$C:$C=$L225),'env Parameter'!F:F,""),"")</f>
        <v>478</v>
      </c>
      <c r="E225" s="10" cm="1">
        <f t="array" ref="E225">IFERROR(_xlfn.XLOOKUP(1,('env Parameter'!$A:$A=$A225)*('env Parameter'!$B:$B=$K225)*('env Parameter'!$C:$C=$L225),'env Parameter'!G:G,""),"")</f>
        <v>7.6</v>
      </c>
      <c r="F225" t="str">
        <f>eDNA!F225</f>
        <v>MiFish</v>
      </c>
      <c r="G225" t="str">
        <f>eDNA!D225</f>
        <v>Bos taurus</v>
      </c>
      <c r="H225" t="str">
        <f>_xlfn.XLOOKUP(G225,'Common name (master file)'!$B:$B,'Common name (master file)'!$A:$A,"-------------")</f>
        <v>소</v>
      </c>
      <c r="I225">
        <f>eDNA!E225</f>
        <v>209</v>
      </c>
      <c r="J225" t="str">
        <f>_xlfn.XLOOKUP(G225,'Common name (master file)'!$B:$B,'Common name (master file)'!$C:$C,"")</f>
        <v>포유류</v>
      </c>
      <c r="K225">
        <f>eDNA!B225</f>
        <v>126.87060049999999</v>
      </c>
      <c r="L225">
        <f>eDNA!C225</f>
        <v>37.492184199999997</v>
      </c>
      <c r="M225" s="10" t="str" cm="1">
        <f t="array" ref="M225">IFERROR(_xlfn.XLOOKUP(1,('env Parameter'!$A:$A=$A225)*('env Parameter'!$B:$B=$K225)*('env Parameter'!$C:$C=$L225),'env Parameter'!D:D,""),"")</f>
        <v>안양천-12</v>
      </c>
      <c r="N225" s="10" t="str" cm="1">
        <f t="array" ref="N225">IFERROR(_xlfn.XLOOKUP(1,('env Parameter'!$A:$A=$A225)*('env Parameter'!$B:$B=$K225)*('env Parameter'!$C:$C=$L225),'env Parameter'!I:I,""),"")</f>
        <v>YR</v>
      </c>
    </row>
    <row r="226" spans="1:14">
      <c r="A226">
        <f>eDNA!A226</f>
        <v>20200717</v>
      </c>
      <c r="B226" s="10" t="str" cm="1">
        <f t="array" ref="B226">IFERROR(_xlfn.XLOOKUP(1,('env Parameter'!$A:$A=$A226)*('env Parameter'!$B:$B=$K226)*('env Parameter'!$C:$C=$L226),'env Parameter'!H:H,""),"")</f>
        <v>생물상 조사</v>
      </c>
      <c r="C226" s="10" cm="1">
        <f t="array" ref="C226">IFERROR(_xlfn.XLOOKUP(1,('env Parameter'!$A:$A=$A226)*('env Parameter'!$B:$B=$K226)*('env Parameter'!$C:$C=$L226),'env Parameter'!E:E,""),"")</f>
        <v>2.14</v>
      </c>
      <c r="D226" s="10" cm="1">
        <f t="array" ref="D226">IFERROR(_xlfn.XLOOKUP(1,('env Parameter'!$A:$A=$A226)*('env Parameter'!$B:$B=$K226)*('env Parameter'!$C:$C=$L226),'env Parameter'!F:F,""),"")</f>
        <v>478</v>
      </c>
      <c r="E226" s="10" cm="1">
        <f t="array" ref="E226">IFERROR(_xlfn.XLOOKUP(1,('env Parameter'!$A:$A=$A226)*('env Parameter'!$B:$B=$K226)*('env Parameter'!$C:$C=$L226),'env Parameter'!G:G,""),"")</f>
        <v>7.6</v>
      </c>
      <c r="F226" t="str">
        <f>eDNA!F226</f>
        <v>MiFish</v>
      </c>
      <c r="G226" t="str">
        <f>eDNA!D226</f>
        <v>Zacco platypus</v>
      </c>
      <c r="H226" t="str">
        <f>_xlfn.XLOOKUP(G226,'Common name (master file)'!$B:$B,'Common name (master file)'!$A:$A,"-------------")</f>
        <v>피라미</v>
      </c>
      <c r="I226">
        <f>eDNA!E226</f>
        <v>321</v>
      </c>
      <c r="J226" t="str">
        <f>_xlfn.XLOOKUP(G226,'Common name (master file)'!$B:$B,'Common name (master file)'!$C:$C,"")</f>
        <v>어류</v>
      </c>
      <c r="K226">
        <f>eDNA!B226</f>
        <v>126.87060049999999</v>
      </c>
      <c r="L226">
        <f>eDNA!C226</f>
        <v>37.492184199999997</v>
      </c>
      <c r="M226" s="10" t="str" cm="1">
        <f t="array" ref="M226">IFERROR(_xlfn.XLOOKUP(1,('env Parameter'!$A:$A=$A226)*('env Parameter'!$B:$B=$K226)*('env Parameter'!$C:$C=$L226),'env Parameter'!D:D,""),"")</f>
        <v>안양천-12</v>
      </c>
      <c r="N226" s="10" t="str" cm="1">
        <f t="array" ref="N226">IFERROR(_xlfn.XLOOKUP(1,('env Parameter'!$A:$A=$A226)*('env Parameter'!$B:$B=$K226)*('env Parameter'!$C:$C=$L226),'env Parameter'!I:I,""),"")</f>
        <v>YR</v>
      </c>
    </row>
    <row r="227" spans="1:14">
      <c r="A227">
        <f>eDNA!A227</f>
        <v>20200717</v>
      </c>
      <c r="B227" s="10" t="str" cm="1">
        <f t="array" ref="B227">IFERROR(_xlfn.XLOOKUP(1,('env Parameter'!$A:$A=$A227)*('env Parameter'!$B:$B=$K227)*('env Parameter'!$C:$C=$L227),'env Parameter'!H:H,""),"")</f>
        <v>생물상 조사</v>
      </c>
      <c r="C227" s="10" cm="1">
        <f t="array" ref="C227">IFERROR(_xlfn.XLOOKUP(1,('env Parameter'!$A:$A=$A227)*('env Parameter'!$B:$B=$K227)*('env Parameter'!$C:$C=$L227),'env Parameter'!E:E,""),"")</f>
        <v>2.14</v>
      </c>
      <c r="D227" s="10" cm="1">
        <f t="array" ref="D227">IFERROR(_xlfn.XLOOKUP(1,('env Parameter'!$A:$A=$A227)*('env Parameter'!$B:$B=$K227)*('env Parameter'!$C:$C=$L227),'env Parameter'!F:F,""),"")</f>
        <v>478</v>
      </c>
      <c r="E227" s="10" cm="1">
        <f t="array" ref="E227">IFERROR(_xlfn.XLOOKUP(1,('env Parameter'!$A:$A=$A227)*('env Parameter'!$B:$B=$K227)*('env Parameter'!$C:$C=$L227),'env Parameter'!G:G,""),"")</f>
        <v>7.6</v>
      </c>
      <c r="F227" t="str">
        <f>eDNA!F227</f>
        <v>MiFish</v>
      </c>
      <c r="G227" t="str">
        <f>eDNA!D227</f>
        <v>Misgurnus mizolepis</v>
      </c>
      <c r="H227" t="str">
        <f>_xlfn.XLOOKUP(G227,'Common name (master file)'!$B:$B,'Common name (master file)'!$A:$A,"-------------")</f>
        <v>미꾸라지</v>
      </c>
      <c r="I227">
        <f>eDNA!E227</f>
        <v>320</v>
      </c>
      <c r="J227" t="str">
        <f>_xlfn.XLOOKUP(G227,'Common name (master file)'!$B:$B,'Common name (master file)'!$C:$C,"")</f>
        <v>어류</v>
      </c>
      <c r="K227">
        <f>eDNA!B227</f>
        <v>126.87060049999999</v>
      </c>
      <c r="L227">
        <f>eDNA!C227</f>
        <v>37.492184199999997</v>
      </c>
      <c r="M227" s="10" t="str" cm="1">
        <f t="array" ref="M227">IFERROR(_xlfn.XLOOKUP(1,('env Parameter'!$A:$A=$A227)*('env Parameter'!$B:$B=$K227)*('env Parameter'!$C:$C=$L227),'env Parameter'!D:D,""),"")</f>
        <v>안양천-12</v>
      </c>
      <c r="N227" s="10" t="str" cm="1">
        <f t="array" ref="N227">IFERROR(_xlfn.XLOOKUP(1,('env Parameter'!$A:$A=$A227)*('env Parameter'!$B:$B=$K227)*('env Parameter'!$C:$C=$L227),'env Parameter'!I:I,""),"")</f>
        <v>YR</v>
      </c>
    </row>
    <row r="228" spans="1:14">
      <c r="A228">
        <f>eDNA!A228</f>
        <v>20200717</v>
      </c>
      <c r="B228" s="10" t="str" cm="1">
        <f t="array" ref="B228">IFERROR(_xlfn.XLOOKUP(1,('env Parameter'!$A:$A=$A228)*('env Parameter'!$B:$B=$K228)*('env Parameter'!$C:$C=$L228),'env Parameter'!H:H,""),"")</f>
        <v>생물상 조사</v>
      </c>
      <c r="C228" s="10" cm="1">
        <f t="array" ref="C228">IFERROR(_xlfn.XLOOKUP(1,('env Parameter'!$A:$A=$A228)*('env Parameter'!$B:$B=$K228)*('env Parameter'!$C:$C=$L228),'env Parameter'!E:E,""),"")</f>
        <v>2.14</v>
      </c>
      <c r="D228" s="10" cm="1">
        <f t="array" ref="D228">IFERROR(_xlfn.XLOOKUP(1,('env Parameter'!$A:$A=$A228)*('env Parameter'!$B:$B=$K228)*('env Parameter'!$C:$C=$L228),'env Parameter'!F:F,""),"")</f>
        <v>478</v>
      </c>
      <c r="E228" s="10" cm="1">
        <f t="array" ref="E228">IFERROR(_xlfn.XLOOKUP(1,('env Parameter'!$A:$A=$A228)*('env Parameter'!$B:$B=$K228)*('env Parameter'!$C:$C=$L228),'env Parameter'!G:G,""),"")</f>
        <v>7.6</v>
      </c>
      <c r="F228" t="str">
        <f>eDNA!F228</f>
        <v>MiFish</v>
      </c>
      <c r="G228" t="str">
        <f>eDNA!D228</f>
        <v>Culter dabryi</v>
      </c>
      <c r="H228" t="str">
        <f>_xlfn.XLOOKUP(G228,'Common name (master file)'!$B:$B,'Common name (master file)'!$A:$A,"-------------")</f>
        <v>다브리날카로운입치</v>
      </c>
      <c r="I228">
        <f>eDNA!E228</f>
        <v>600</v>
      </c>
      <c r="J228" t="str">
        <f>_xlfn.XLOOKUP(G228,'Common name (master file)'!$B:$B,'Common name (master file)'!$C:$C,"")</f>
        <v>어류</v>
      </c>
      <c r="K228">
        <f>eDNA!B228</f>
        <v>126.87060049999999</v>
      </c>
      <c r="L228">
        <f>eDNA!C228</f>
        <v>37.492184199999997</v>
      </c>
      <c r="M228" s="10" t="str" cm="1">
        <f t="array" ref="M228">IFERROR(_xlfn.XLOOKUP(1,('env Parameter'!$A:$A=$A228)*('env Parameter'!$B:$B=$K228)*('env Parameter'!$C:$C=$L228),'env Parameter'!D:D,""),"")</f>
        <v>안양천-12</v>
      </c>
      <c r="N228" s="10" t="str" cm="1">
        <f t="array" ref="N228">IFERROR(_xlfn.XLOOKUP(1,('env Parameter'!$A:$A=$A228)*('env Parameter'!$B:$B=$K228)*('env Parameter'!$C:$C=$L228),'env Parameter'!I:I,""),"")</f>
        <v>YR</v>
      </c>
    </row>
    <row r="229" spans="1:14">
      <c r="A229">
        <f>eDNA!A229</f>
        <v>20200717</v>
      </c>
      <c r="B229" s="10" t="str" cm="1">
        <f t="array" ref="B229">IFERROR(_xlfn.XLOOKUP(1,('env Parameter'!$A:$A=$A229)*('env Parameter'!$B:$B=$K229)*('env Parameter'!$C:$C=$L229),'env Parameter'!H:H,""),"")</f>
        <v>생물상 조사</v>
      </c>
      <c r="C229" s="10" cm="1">
        <f t="array" ref="C229">IFERROR(_xlfn.XLOOKUP(1,('env Parameter'!$A:$A=$A229)*('env Parameter'!$B:$B=$K229)*('env Parameter'!$C:$C=$L229),'env Parameter'!E:E,""),"")</f>
        <v>2.14</v>
      </c>
      <c r="D229" s="10" cm="1">
        <f t="array" ref="D229">IFERROR(_xlfn.XLOOKUP(1,('env Parameter'!$A:$A=$A229)*('env Parameter'!$B:$B=$K229)*('env Parameter'!$C:$C=$L229),'env Parameter'!F:F,""),"")</f>
        <v>478</v>
      </c>
      <c r="E229" s="10" cm="1">
        <f t="array" ref="E229">IFERROR(_xlfn.XLOOKUP(1,('env Parameter'!$A:$A=$A229)*('env Parameter'!$B:$B=$K229)*('env Parameter'!$C:$C=$L229),'env Parameter'!G:G,""),"")</f>
        <v>7.6</v>
      </c>
      <c r="F229" t="str">
        <f>eDNA!F229</f>
        <v>MiFish</v>
      </c>
      <c r="G229" t="str">
        <f>eDNA!D229</f>
        <v>Cyprinus carpio</v>
      </c>
      <c r="H229" t="str">
        <f>_xlfn.XLOOKUP(G229,'Common name (master file)'!$B:$B,'Common name (master file)'!$A:$A,"-------------")</f>
        <v>잉어</v>
      </c>
      <c r="I229">
        <f>eDNA!E229</f>
        <v>519</v>
      </c>
      <c r="J229" t="str">
        <f>_xlfn.XLOOKUP(G229,'Common name (master file)'!$B:$B,'Common name (master file)'!$C:$C,"")</f>
        <v>어류</v>
      </c>
      <c r="K229">
        <f>eDNA!B229</f>
        <v>126.87060049999999</v>
      </c>
      <c r="L229">
        <f>eDNA!C229</f>
        <v>37.492184199999997</v>
      </c>
      <c r="M229" s="10" t="str" cm="1">
        <f t="array" ref="M229">IFERROR(_xlfn.XLOOKUP(1,('env Parameter'!$A:$A=$A229)*('env Parameter'!$B:$B=$K229)*('env Parameter'!$C:$C=$L229),'env Parameter'!D:D,""),"")</f>
        <v>안양천-12</v>
      </c>
      <c r="N229" s="10" t="str" cm="1">
        <f t="array" ref="N229">IFERROR(_xlfn.XLOOKUP(1,('env Parameter'!$A:$A=$A229)*('env Parameter'!$B:$B=$K229)*('env Parameter'!$C:$C=$L229),'env Parameter'!I:I,""),"")</f>
        <v>YR</v>
      </c>
    </row>
    <row r="230" spans="1:14">
      <c r="A230">
        <f>eDNA!A230</f>
        <v>20200717</v>
      </c>
      <c r="B230" s="10" t="str" cm="1">
        <f t="array" ref="B230">IFERROR(_xlfn.XLOOKUP(1,('env Parameter'!$A:$A=$A230)*('env Parameter'!$B:$B=$K230)*('env Parameter'!$C:$C=$L230),'env Parameter'!H:H,""),"")</f>
        <v>생물상 조사</v>
      </c>
      <c r="C230" s="10" cm="1">
        <f t="array" ref="C230">IFERROR(_xlfn.XLOOKUP(1,('env Parameter'!$A:$A=$A230)*('env Parameter'!$B:$B=$K230)*('env Parameter'!$C:$C=$L230),'env Parameter'!E:E,""),"")</f>
        <v>2.14</v>
      </c>
      <c r="D230" s="10" cm="1">
        <f t="array" ref="D230">IFERROR(_xlfn.XLOOKUP(1,('env Parameter'!$A:$A=$A230)*('env Parameter'!$B:$B=$K230)*('env Parameter'!$C:$C=$L230),'env Parameter'!F:F,""),"")</f>
        <v>478</v>
      </c>
      <c r="E230" s="10" cm="1">
        <f t="array" ref="E230">IFERROR(_xlfn.XLOOKUP(1,('env Parameter'!$A:$A=$A230)*('env Parameter'!$B:$B=$K230)*('env Parameter'!$C:$C=$L230),'env Parameter'!G:G,""),"")</f>
        <v>7.6</v>
      </c>
      <c r="F230" t="str">
        <f>eDNA!F230</f>
        <v>MiFish</v>
      </c>
      <c r="G230" t="str">
        <f>eDNA!D230</f>
        <v>Homo sapiens</v>
      </c>
      <c r="H230" t="str">
        <f>_xlfn.XLOOKUP(G230,'Common name (master file)'!$B:$B,'Common name (master file)'!$A:$A,"-------------")</f>
        <v>사람</v>
      </c>
      <c r="I230">
        <f>eDNA!E230</f>
        <v>494</v>
      </c>
      <c r="J230" t="str">
        <f>_xlfn.XLOOKUP(G230,'Common name (master file)'!$B:$B,'Common name (master file)'!$C:$C,"")</f>
        <v>포유류</v>
      </c>
      <c r="K230">
        <f>eDNA!B230</f>
        <v>126.87060049999999</v>
      </c>
      <c r="L230">
        <f>eDNA!C230</f>
        <v>37.492184199999997</v>
      </c>
      <c r="M230" s="10" t="str" cm="1">
        <f t="array" ref="M230">IFERROR(_xlfn.XLOOKUP(1,('env Parameter'!$A:$A=$A230)*('env Parameter'!$B:$B=$K230)*('env Parameter'!$C:$C=$L230),'env Parameter'!D:D,""),"")</f>
        <v>안양천-12</v>
      </c>
      <c r="N230" s="10" t="str" cm="1">
        <f t="array" ref="N230">IFERROR(_xlfn.XLOOKUP(1,('env Parameter'!$A:$A=$A230)*('env Parameter'!$B:$B=$K230)*('env Parameter'!$C:$C=$L230),'env Parameter'!I:I,""),"")</f>
        <v>YR</v>
      </c>
    </row>
    <row r="231" spans="1:14">
      <c r="A231">
        <f>eDNA!A231</f>
        <v>20200717</v>
      </c>
      <c r="B231" s="10" t="str" cm="1">
        <f t="array" ref="B231">IFERROR(_xlfn.XLOOKUP(1,('env Parameter'!$A:$A=$A231)*('env Parameter'!$B:$B=$K231)*('env Parameter'!$C:$C=$L231),'env Parameter'!H:H,""),"")</f>
        <v>생물상 조사</v>
      </c>
      <c r="C231" s="10" cm="1">
        <f t="array" ref="C231">IFERROR(_xlfn.XLOOKUP(1,('env Parameter'!$A:$A=$A231)*('env Parameter'!$B:$B=$K231)*('env Parameter'!$C:$C=$L231),'env Parameter'!E:E,""),"")</f>
        <v>2.14</v>
      </c>
      <c r="D231" s="10" cm="1">
        <f t="array" ref="D231">IFERROR(_xlfn.XLOOKUP(1,('env Parameter'!$A:$A=$A231)*('env Parameter'!$B:$B=$K231)*('env Parameter'!$C:$C=$L231),'env Parameter'!F:F,""),"")</f>
        <v>478</v>
      </c>
      <c r="E231" s="10" cm="1">
        <f t="array" ref="E231">IFERROR(_xlfn.XLOOKUP(1,('env Parameter'!$A:$A=$A231)*('env Parameter'!$B:$B=$K231)*('env Parameter'!$C:$C=$L231),'env Parameter'!G:G,""),"")</f>
        <v>7.6</v>
      </c>
      <c r="F231" t="str">
        <f>eDNA!F231</f>
        <v>MiFish</v>
      </c>
      <c r="G231" t="str">
        <f>eDNA!D231</f>
        <v>Channa argus</v>
      </c>
      <c r="H231" t="str">
        <f>_xlfn.XLOOKUP(G231,'Common name (master file)'!$B:$B,'Common name (master file)'!$A:$A,"-------------")</f>
        <v>가물치</v>
      </c>
      <c r="I231">
        <f>eDNA!E231</f>
        <v>863</v>
      </c>
      <c r="J231" t="str">
        <f>_xlfn.XLOOKUP(G231,'Common name (master file)'!$B:$B,'Common name (master file)'!$C:$C,"")</f>
        <v>어류</v>
      </c>
      <c r="K231">
        <f>eDNA!B231</f>
        <v>126.87060049999999</v>
      </c>
      <c r="L231">
        <f>eDNA!C231</f>
        <v>37.492184199999997</v>
      </c>
      <c r="M231" s="10" t="str" cm="1">
        <f t="array" ref="M231">IFERROR(_xlfn.XLOOKUP(1,('env Parameter'!$A:$A=$A231)*('env Parameter'!$B:$B=$K231)*('env Parameter'!$C:$C=$L231),'env Parameter'!D:D,""),"")</f>
        <v>안양천-12</v>
      </c>
      <c r="N231" s="10" t="str" cm="1">
        <f t="array" ref="N231">IFERROR(_xlfn.XLOOKUP(1,('env Parameter'!$A:$A=$A231)*('env Parameter'!$B:$B=$K231)*('env Parameter'!$C:$C=$L231),'env Parameter'!I:I,""),"")</f>
        <v>YR</v>
      </c>
    </row>
    <row r="232" spans="1:14">
      <c r="A232">
        <f>eDNA!A232</f>
        <v>20200717</v>
      </c>
      <c r="B232" s="10" t="str" cm="1">
        <f t="array" ref="B232">IFERROR(_xlfn.XLOOKUP(1,('env Parameter'!$A:$A=$A232)*('env Parameter'!$B:$B=$K232)*('env Parameter'!$C:$C=$L232),'env Parameter'!H:H,""),"")</f>
        <v>생물상 조사</v>
      </c>
      <c r="C232" s="10" cm="1">
        <f t="array" ref="C232">IFERROR(_xlfn.XLOOKUP(1,('env Parameter'!$A:$A=$A232)*('env Parameter'!$B:$B=$K232)*('env Parameter'!$C:$C=$L232),'env Parameter'!E:E,""),"")</f>
        <v>2.14</v>
      </c>
      <c r="D232" s="10" cm="1">
        <f t="array" ref="D232">IFERROR(_xlfn.XLOOKUP(1,('env Parameter'!$A:$A=$A232)*('env Parameter'!$B:$B=$K232)*('env Parameter'!$C:$C=$L232),'env Parameter'!F:F,""),"")</f>
        <v>478</v>
      </c>
      <c r="E232" s="10" cm="1">
        <f t="array" ref="E232">IFERROR(_xlfn.XLOOKUP(1,('env Parameter'!$A:$A=$A232)*('env Parameter'!$B:$B=$K232)*('env Parameter'!$C:$C=$L232),'env Parameter'!G:G,""),"")</f>
        <v>7.6</v>
      </c>
      <c r="F232" t="str">
        <f>eDNA!F232</f>
        <v>MiFish</v>
      </c>
      <c r="G232" t="str">
        <f>eDNA!D232</f>
        <v>Carassius sp.</v>
      </c>
      <c r="H232" t="str">
        <f>_xlfn.XLOOKUP(G232,'Common name (master file)'!$B:$B,'Common name (master file)'!$A:$A,"-------------")</f>
        <v>붕어 속</v>
      </c>
      <c r="I232">
        <f>eDNA!E232</f>
        <v>1457</v>
      </c>
      <c r="J232" t="str">
        <f>_xlfn.XLOOKUP(G232,'Common name (master file)'!$B:$B,'Common name (master file)'!$C:$C,"")</f>
        <v>어류</v>
      </c>
      <c r="K232">
        <f>eDNA!B232</f>
        <v>126.87060049999999</v>
      </c>
      <c r="L232">
        <f>eDNA!C232</f>
        <v>37.492184199999997</v>
      </c>
      <c r="M232" s="10" t="str" cm="1">
        <f t="array" ref="M232">IFERROR(_xlfn.XLOOKUP(1,('env Parameter'!$A:$A=$A232)*('env Parameter'!$B:$B=$K232)*('env Parameter'!$C:$C=$L232),'env Parameter'!D:D,""),"")</f>
        <v>안양천-12</v>
      </c>
      <c r="N232" s="10" t="str" cm="1">
        <f t="array" ref="N232">IFERROR(_xlfn.XLOOKUP(1,('env Parameter'!$A:$A=$A232)*('env Parameter'!$B:$B=$K232)*('env Parameter'!$C:$C=$L232),'env Parameter'!I:I,""),"")</f>
        <v>YR</v>
      </c>
    </row>
    <row r="233" spans="1:14">
      <c r="A233">
        <f>eDNA!A233</f>
        <v>20200717</v>
      </c>
      <c r="B233" s="10" t="str" cm="1">
        <f t="array" ref="B233">IFERROR(_xlfn.XLOOKUP(1,('env Parameter'!$A:$A=$A233)*('env Parameter'!$B:$B=$K233)*('env Parameter'!$C:$C=$L233),'env Parameter'!H:H,""),"")</f>
        <v>생물상 조사</v>
      </c>
      <c r="C233" s="10" cm="1">
        <f t="array" ref="C233">IFERROR(_xlfn.XLOOKUP(1,('env Parameter'!$A:$A=$A233)*('env Parameter'!$B:$B=$K233)*('env Parameter'!$C:$C=$L233),'env Parameter'!E:E,""),"")</f>
        <v>2.14</v>
      </c>
      <c r="D233" s="10" cm="1">
        <f t="array" ref="D233">IFERROR(_xlfn.XLOOKUP(1,('env Parameter'!$A:$A=$A233)*('env Parameter'!$B:$B=$K233)*('env Parameter'!$C:$C=$L233),'env Parameter'!F:F,""),"")</f>
        <v>478</v>
      </c>
      <c r="E233" s="10" cm="1">
        <f t="array" ref="E233">IFERROR(_xlfn.XLOOKUP(1,('env Parameter'!$A:$A=$A233)*('env Parameter'!$B:$B=$K233)*('env Parameter'!$C:$C=$L233),'env Parameter'!G:G,""),"")</f>
        <v>7.6</v>
      </c>
      <c r="F233" t="str">
        <f>eDNA!F233</f>
        <v>MiFish</v>
      </c>
      <c r="G233" t="str">
        <f>eDNA!D233</f>
        <v>Silurus soldatovi</v>
      </c>
      <c r="H233" t="str">
        <f>_xlfn.XLOOKUP(G233,'Common name (master file)'!$B:$B,'Common name (master file)'!$A:$A,"-------------")</f>
        <v>솔다토비 메기</v>
      </c>
      <c r="I233">
        <f>eDNA!E233</f>
        <v>1900</v>
      </c>
      <c r="J233" t="str">
        <f>_xlfn.XLOOKUP(G233,'Common name (master file)'!$B:$B,'Common name (master file)'!$C:$C,"")</f>
        <v>어류</v>
      </c>
      <c r="K233">
        <f>eDNA!B233</f>
        <v>126.87060049999999</v>
      </c>
      <c r="L233">
        <f>eDNA!C233</f>
        <v>37.492184199999997</v>
      </c>
      <c r="M233" s="10" t="str" cm="1">
        <f t="array" ref="M233">IFERROR(_xlfn.XLOOKUP(1,('env Parameter'!$A:$A=$A233)*('env Parameter'!$B:$B=$K233)*('env Parameter'!$C:$C=$L233),'env Parameter'!D:D,""),"")</f>
        <v>안양천-12</v>
      </c>
      <c r="N233" s="10" t="str" cm="1">
        <f t="array" ref="N233">IFERROR(_xlfn.XLOOKUP(1,('env Parameter'!$A:$A=$A233)*('env Parameter'!$B:$B=$K233)*('env Parameter'!$C:$C=$L233),'env Parameter'!I:I,""),"")</f>
        <v>YR</v>
      </c>
    </row>
    <row r="234" spans="1:14">
      <c r="A234">
        <f>eDNA!A234</f>
        <v>20200717</v>
      </c>
      <c r="B234" s="10" t="str" cm="1">
        <f t="array" ref="B234">IFERROR(_xlfn.XLOOKUP(1,('env Parameter'!$A:$A=$A234)*('env Parameter'!$B:$B=$K234)*('env Parameter'!$C:$C=$L234),'env Parameter'!H:H,""),"")</f>
        <v>생물상 조사</v>
      </c>
      <c r="C234" s="10" cm="1">
        <f t="array" ref="C234">IFERROR(_xlfn.XLOOKUP(1,('env Parameter'!$A:$A=$A234)*('env Parameter'!$B:$B=$K234)*('env Parameter'!$C:$C=$L234),'env Parameter'!E:E,""),"")</f>
        <v>2.14</v>
      </c>
      <c r="D234" s="10" cm="1">
        <f t="array" ref="D234">IFERROR(_xlfn.XLOOKUP(1,('env Parameter'!$A:$A=$A234)*('env Parameter'!$B:$B=$K234)*('env Parameter'!$C:$C=$L234),'env Parameter'!F:F,""),"")</f>
        <v>478</v>
      </c>
      <c r="E234" s="10" cm="1">
        <f t="array" ref="E234">IFERROR(_xlfn.XLOOKUP(1,('env Parameter'!$A:$A=$A234)*('env Parameter'!$B:$B=$K234)*('env Parameter'!$C:$C=$L234),'env Parameter'!G:G,""),"")</f>
        <v>7.6</v>
      </c>
      <c r="F234" t="str">
        <f>eDNA!F234</f>
        <v>MiFish</v>
      </c>
      <c r="G234" t="str">
        <f>eDNA!D234</f>
        <v>Odontobutis interrupta</v>
      </c>
      <c r="H234" t="str">
        <f>_xlfn.XLOOKUP(G234,'Common name (master file)'!$B:$B,'Common name (master file)'!$A:$A,"-------------")</f>
        <v>얼록동사리</v>
      </c>
      <c r="I234">
        <f>eDNA!E234</f>
        <v>4056</v>
      </c>
      <c r="J234" t="str">
        <f>_xlfn.XLOOKUP(G234,'Common name (master file)'!$B:$B,'Common name (master file)'!$C:$C,"")</f>
        <v>어류</v>
      </c>
      <c r="K234">
        <f>eDNA!B234</f>
        <v>126.87060049999999</v>
      </c>
      <c r="L234">
        <f>eDNA!C234</f>
        <v>37.492184199999997</v>
      </c>
      <c r="M234" s="10" t="str" cm="1">
        <f t="array" ref="M234">IFERROR(_xlfn.XLOOKUP(1,('env Parameter'!$A:$A=$A234)*('env Parameter'!$B:$B=$K234)*('env Parameter'!$C:$C=$L234),'env Parameter'!D:D,""),"")</f>
        <v>안양천-12</v>
      </c>
      <c r="N234" s="10" t="str" cm="1">
        <f t="array" ref="N234">IFERROR(_xlfn.XLOOKUP(1,('env Parameter'!$A:$A=$A234)*('env Parameter'!$B:$B=$K234)*('env Parameter'!$C:$C=$L234),'env Parameter'!I:I,""),"")</f>
        <v>YR</v>
      </c>
    </row>
    <row r="235" spans="1:14">
      <c r="A235">
        <f>eDNA!A235</f>
        <v>20200717</v>
      </c>
      <c r="B235" s="10" t="str" cm="1">
        <f t="array" ref="B235">IFERROR(_xlfn.XLOOKUP(1,('env Parameter'!$A:$A=$A235)*('env Parameter'!$B:$B=$K235)*('env Parameter'!$C:$C=$L235),'env Parameter'!H:H,""),"")</f>
        <v>생물상 조사</v>
      </c>
      <c r="C235" s="10" cm="1">
        <f t="array" ref="C235">IFERROR(_xlfn.XLOOKUP(1,('env Parameter'!$A:$A=$A235)*('env Parameter'!$B:$B=$K235)*('env Parameter'!$C:$C=$L235),'env Parameter'!E:E,""),"")</f>
        <v>2.14</v>
      </c>
      <c r="D235" s="10" cm="1">
        <f t="array" ref="D235">IFERROR(_xlfn.XLOOKUP(1,('env Parameter'!$A:$A=$A235)*('env Parameter'!$B:$B=$K235)*('env Parameter'!$C:$C=$L235),'env Parameter'!F:F,""),"")</f>
        <v>478</v>
      </c>
      <c r="E235" s="10" cm="1">
        <f t="array" ref="E235">IFERROR(_xlfn.XLOOKUP(1,('env Parameter'!$A:$A=$A235)*('env Parameter'!$B:$B=$K235)*('env Parameter'!$C:$C=$L235),'env Parameter'!G:G,""),"")</f>
        <v>7.6</v>
      </c>
      <c r="F235" t="str">
        <f>eDNA!F235</f>
        <v>MiFish</v>
      </c>
      <c r="G235" t="str">
        <f>eDNA!D235</f>
        <v>Carassius gibelio</v>
      </c>
      <c r="H235" t="str">
        <f>_xlfn.XLOOKUP(G235,'Common name (master file)'!$B:$B,'Common name (master file)'!$A:$A,"-------------")</f>
        <v>기벨리오 붕어</v>
      </c>
      <c r="I235">
        <f>eDNA!E235</f>
        <v>19648</v>
      </c>
      <c r="J235" t="str">
        <f>_xlfn.XLOOKUP(G235,'Common name (master file)'!$B:$B,'Common name (master file)'!$C:$C,"")</f>
        <v>어류</v>
      </c>
      <c r="K235">
        <f>eDNA!B235</f>
        <v>126.87060049999999</v>
      </c>
      <c r="L235">
        <f>eDNA!C235</f>
        <v>37.492184199999997</v>
      </c>
      <c r="M235" s="10" t="str" cm="1">
        <f t="array" ref="M235">IFERROR(_xlfn.XLOOKUP(1,('env Parameter'!$A:$A=$A235)*('env Parameter'!$B:$B=$K235)*('env Parameter'!$C:$C=$L235),'env Parameter'!D:D,""),"")</f>
        <v>안양천-12</v>
      </c>
      <c r="N235" s="10" t="str" cm="1">
        <f t="array" ref="N235">IFERROR(_xlfn.XLOOKUP(1,('env Parameter'!$A:$A=$A235)*('env Parameter'!$B:$B=$K235)*('env Parameter'!$C:$C=$L235),'env Parameter'!I:I,""),"")</f>
        <v>YR</v>
      </c>
    </row>
    <row r="236" spans="1:14">
      <c r="A236">
        <f>eDNA!A236</f>
        <v>20200717</v>
      </c>
      <c r="B236" s="10" t="str" cm="1">
        <f t="array" ref="B236">IFERROR(_xlfn.XLOOKUP(1,('env Parameter'!$A:$A=$A236)*('env Parameter'!$B:$B=$K236)*('env Parameter'!$C:$C=$L236),'env Parameter'!H:H,""),"")</f>
        <v>생물상 조사</v>
      </c>
      <c r="C236" s="10" cm="1">
        <f t="array" ref="C236">IFERROR(_xlfn.XLOOKUP(1,('env Parameter'!$A:$A=$A236)*('env Parameter'!$B:$B=$K236)*('env Parameter'!$C:$C=$L236),'env Parameter'!E:E,""),"")</f>
        <v>2.14</v>
      </c>
      <c r="D236" s="10" cm="1">
        <f t="array" ref="D236">IFERROR(_xlfn.XLOOKUP(1,('env Parameter'!$A:$A=$A236)*('env Parameter'!$B:$B=$K236)*('env Parameter'!$C:$C=$L236),'env Parameter'!F:F,""),"")</f>
        <v>478</v>
      </c>
      <c r="E236" s="10" cm="1">
        <f t="array" ref="E236">IFERROR(_xlfn.XLOOKUP(1,('env Parameter'!$A:$A=$A236)*('env Parameter'!$B:$B=$K236)*('env Parameter'!$C:$C=$L236),'env Parameter'!G:G,""),"")</f>
        <v>7.6</v>
      </c>
      <c r="F236" t="str">
        <f>eDNA!F236</f>
        <v>MiFish</v>
      </c>
      <c r="G236" t="str">
        <f>eDNA!D236</f>
        <v>Pseudorasbora parva</v>
      </c>
      <c r="H236" t="str">
        <f>_xlfn.XLOOKUP(G236,'Common name (master file)'!$B:$B,'Common name (master file)'!$A:$A,"-------------")</f>
        <v>참붕어</v>
      </c>
      <c r="I236">
        <f>eDNA!E236</f>
        <v>27000</v>
      </c>
      <c r="J236" t="str">
        <f>_xlfn.XLOOKUP(G236,'Common name (master file)'!$B:$B,'Common name (master file)'!$C:$C,"")</f>
        <v>어류</v>
      </c>
      <c r="K236">
        <f>eDNA!B236</f>
        <v>126.87060049999999</v>
      </c>
      <c r="L236">
        <f>eDNA!C236</f>
        <v>37.492184199999997</v>
      </c>
      <c r="M236" s="10" t="str" cm="1">
        <f t="array" ref="M236">IFERROR(_xlfn.XLOOKUP(1,('env Parameter'!$A:$A=$A236)*('env Parameter'!$B:$B=$K236)*('env Parameter'!$C:$C=$L236),'env Parameter'!D:D,""),"")</f>
        <v>안양천-12</v>
      </c>
      <c r="N236" s="10" t="str" cm="1">
        <f t="array" ref="N236">IFERROR(_xlfn.XLOOKUP(1,('env Parameter'!$A:$A=$A236)*('env Parameter'!$B:$B=$K236)*('env Parameter'!$C:$C=$L236),'env Parameter'!I:I,""),"")</f>
        <v>YR</v>
      </c>
    </row>
    <row r="237" spans="1:14">
      <c r="A237">
        <f>eDNA!A237</f>
        <v>20200717</v>
      </c>
      <c r="B237" s="10" t="str" cm="1">
        <f t="array" ref="B237">IFERROR(_xlfn.XLOOKUP(1,('env Parameter'!$A:$A=$A237)*('env Parameter'!$B:$B=$K237)*('env Parameter'!$C:$C=$L237),'env Parameter'!H:H,""),"")</f>
        <v>생물상 조사</v>
      </c>
      <c r="C237" s="10" cm="1">
        <f t="array" ref="C237">IFERROR(_xlfn.XLOOKUP(1,('env Parameter'!$A:$A=$A237)*('env Parameter'!$B:$B=$K237)*('env Parameter'!$C:$C=$L237),'env Parameter'!E:E,""),"")</f>
        <v>2.14</v>
      </c>
      <c r="D237" s="10" cm="1">
        <f t="array" ref="D237">IFERROR(_xlfn.XLOOKUP(1,('env Parameter'!$A:$A=$A237)*('env Parameter'!$B:$B=$K237)*('env Parameter'!$C:$C=$L237),'env Parameter'!F:F,""),"")</f>
        <v>478</v>
      </c>
      <c r="E237" s="10" cm="1">
        <f t="array" ref="E237">IFERROR(_xlfn.XLOOKUP(1,('env Parameter'!$A:$A=$A237)*('env Parameter'!$B:$B=$K237)*('env Parameter'!$C:$C=$L237),'env Parameter'!G:G,""),"")</f>
        <v>7.6</v>
      </c>
      <c r="F237" t="str">
        <f>eDNA!F237</f>
        <v>MiFish</v>
      </c>
      <c r="G237" t="str">
        <f>eDNA!D237</f>
        <v>Gallus gallus domesticus</v>
      </c>
      <c r="H237" t="str">
        <f>_xlfn.XLOOKUP(G237,'Common name (master file)'!$B:$B,'Common name (master file)'!$A:$A,"-------------")</f>
        <v>닭</v>
      </c>
      <c r="I237">
        <f>eDNA!E237</f>
        <v>12</v>
      </c>
      <c r="J237" t="str">
        <f>_xlfn.XLOOKUP(G237,'Common name (master file)'!$B:$B,'Common name (master file)'!$C:$C,"")</f>
        <v>조류</v>
      </c>
      <c r="K237">
        <f>eDNA!B237</f>
        <v>126.87358690000001</v>
      </c>
      <c r="L237">
        <f>eDNA!C237</f>
        <v>37.508467699999997</v>
      </c>
      <c r="M237" s="10" t="str" cm="1">
        <f t="array" ref="M237">IFERROR(_xlfn.XLOOKUP(1,('env Parameter'!$A:$A=$A237)*('env Parameter'!$B:$B=$K237)*('env Parameter'!$C:$C=$L237),'env Parameter'!D:D,""),"")</f>
        <v>안양천-13</v>
      </c>
      <c r="N237" s="10" t="str" cm="1">
        <f t="array" ref="N237">IFERROR(_xlfn.XLOOKUP(1,('env Parameter'!$A:$A=$A237)*('env Parameter'!$B:$B=$K237)*('env Parameter'!$C:$C=$L237),'env Parameter'!I:I,""),"")</f>
        <v>YR</v>
      </c>
    </row>
    <row r="238" spans="1:14">
      <c r="A238">
        <f>eDNA!A238</f>
        <v>20200717</v>
      </c>
      <c r="B238" s="10" t="str" cm="1">
        <f t="array" ref="B238">IFERROR(_xlfn.XLOOKUP(1,('env Parameter'!$A:$A=$A238)*('env Parameter'!$B:$B=$K238)*('env Parameter'!$C:$C=$L238),'env Parameter'!H:H,""),"")</f>
        <v>생물상 조사</v>
      </c>
      <c r="C238" s="10" cm="1">
        <f t="array" ref="C238">IFERROR(_xlfn.XLOOKUP(1,('env Parameter'!$A:$A=$A238)*('env Parameter'!$B:$B=$K238)*('env Parameter'!$C:$C=$L238),'env Parameter'!E:E,""),"")</f>
        <v>2.14</v>
      </c>
      <c r="D238" s="10" cm="1">
        <f t="array" ref="D238">IFERROR(_xlfn.XLOOKUP(1,('env Parameter'!$A:$A=$A238)*('env Parameter'!$B:$B=$K238)*('env Parameter'!$C:$C=$L238),'env Parameter'!F:F,""),"")</f>
        <v>478</v>
      </c>
      <c r="E238" s="10" cm="1">
        <f t="array" ref="E238">IFERROR(_xlfn.XLOOKUP(1,('env Parameter'!$A:$A=$A238)*('env Parameter'!$B:$B=$K238)*('env Parameter'!$C:$C=$L238),'env Parameter'!G:G,""),"")</f>
        <v>7.6</v>
      </c>
      <c r="F238" t="str">
        <f>eDNA!F238</f>
        <v>MiFish</v>
      </c>
      <c r="G238" t="str">
        <f>eDNA!D238</f>
        <v>Hemibarbus sp.</v>
      </c>
      <c r="H238" t="str">
        <f>_xlfn.XLOOKUP(G238,'Common name (master file)'!$B:$B,'Common name (master file)'!$A:$A,"-------------")</f>
        <v>누치 속</v>
      </c>
      <c r="I238">
        <f>eDNA!E238</f>
        <v>12</v>
      </c>
      <c r="J238" t="str">
        <f>_xlfn.XLOOKUP(G238,'Common name (master file)'!$B:$B,'Common name (master file)'!$C:$C,"")</f>
        <v>어류</v>
      </c>
      <c r="K238">
        <f>eDNA!B238</f>
        <v>126.87358690000001</v>
      </c>
      <c r="L238">
        <f>eDNA!C238</f>
        <v>37.508467699999997</v>
      </c>
      <c r="M238" s="10" t="str" cm="1">
        <f t="array" ref="M238">IFERROR(_xlfn.XLOOKUP(1,('env Parameter'!$A:$A=$A238)*('env Parameter'!$B:$B=$K238)*('env Parameter'!$C:$C=$L238),'env Parameter'!D:D,""),"")</f>
        <v>안양천-13</v>
      </c>
      <c r="N238" s="10" t="str" cm="1">
        <f t="array" ref="N238">IFERROR(_xlfn.XLOOKUP(1,('env Parameter'!$A:$A=$A238)*('env Parameter'!$B:$B=$K238)*('env Parameter'!$C:$C=$L238),'env Parameter'!I:I,""),"")</f>
        <v>YR</v>
      </c>
    </row>
    <row r="239" spans="1:14">
      <c r="A239">
        <f>eDNA!A239</f>
        <v>20200717</v>
      </c>
      <c r="B239" s="10" t="str" cm="1">
        <f t="array" ref="B239">IFERROR(_xlfn.XLOOKUP(1,('env Parameter'!$A:$A=$A239)*('env Parameter'!$B:$B=$K239)*('env Parameter'!$C:$C=$L239),'env Parameter'!H:H,""),"")</f>
        <v>생물상 조사</v>
      </c>
      <c r="C239" s="10" cm="1">
        <f t="array" ref="C239">IFERROR(_xlfn.XLOOKUP(1,('env Parameter'!$A:$A=$A239)*('env Parameter'!$B:$B=$K239)*('env Parameter'!$C:$C=$L239),'env Parameter'!E:E,""),"")</f>
        <v>2.14</v>
      </c>
      <c r="D239" s="10" cm="1">
        <f t="array" ref="D239">IFERROR(_xlfn.XLOOKUP(1,('env Parameter'!$A:$A=$A239)*('env Parameter'!$B:$B=$K239)*('env Parameter'!$C:$C=$L239),'env Parameter'!F:F,""),"")</f>
        <v>478</v>
      </c>
      <c r="E239" s="10" cm="1">
        <f t="array" ref="E239">IFERROR(_xlfn.XLOOKUP(1,('env Parameter'!$A:$A=$A239)*('env Parameter'!$B:$B=$K239)*('env Parameter'!$C:$C=$L239),'env Parameter'!G:G,""),"")</f>
        <v>7.6</v>
      </c>
      <c r="F239" t="str">
        <f>eDNA!F239</f>
        <v>MiFish</v>
      </c>
      <c r="G239" t="str">
        <f>eDNA!D239</f>
        <v>Hapalogenys nigripinnis</v>
      </c>
      <c r="H239" t="str">
        <f>_xlfn.XLOOKUP(G239,'Common name (master file)'!$B:$B,'Common name (master file)'!$A:$A,"-------------")</f>
        <v>흑기흑조기</v>
      </c>
      <c r="I239">
        <f>eDNA!E239</f>
        <v>587</v>
      </c>
      <c r="J239" t="str">
        <f>_xlfn.XLOOKUP(G239,'Common name (master file)'!$B:$B,'Common name (master file)'!$C:$C,"")</f>
        <v>어류</v>
      </c>
      <c r="K239">
        <f>eDNA!B239</f>
        <v>126.8446659</v>
      </c>
      <c r="L239">
        <f>eDNA!C239</f>
        <v>37.420618699999999</v>
      </c>
      <c r="M239" s="10" t="str" cm="1">
        <f t="array" ref="M239">IFERROR(_xlfn.XLOOKUP(1,('env Parameter'!$A:$A=$A239)*('env Parameter'!$B:$B=$K239)*('env Parameter'!$C:$C=$L239),'env Parameter'!D:D,""),"")</f>
        <v>목감천-3</v>
      </c>
      <c r="N239" s="10" t="str" cm="1">
        <f t="array" ref="N239">IFERROR(_xlfn.XLOOKUP(1,('env Parameter'!$A:$A=$A239)*('env Parameter'!$B:$B=$K239)*('env Parameter'!$C:$C=$L239),'env Parameter'!I:I,""),"")</f>
        <v>YR</v>
      </c>
    </row>
    <row r="240" spans="1:14">
      <c r="A240">
        <f>eDNA!A240</f>
        <v>20200717</v>
      </c>
      <c r="B240" s="10" t="str" cm="1">
        <f t="array" ref="B240">IFERROR(_xlfn.XLOOKUP(1,('env Parameter'!$A:$A=$A240)*('env Parameter'!$B:$B=$K240)*('env Parameter'!$C:$C=$L240),'env Parameter'!H:H,""),"")</f>
        <v>생물상 조사</v>
      </c>
      <c r="C240" s="10" cm="1">
        <f t="array" ref="C240">IFERROR(_xlfn.XLOOKUP(1,('env Parameter'!$A:$A=$A240)*('env Parameter'!$B:$B=$K240)*('env Parameter'!$C:$C=$L240),'env Parameter'!E:E,""),"")</f>
        <v>2.14</v>
      </c>
      <c r="D240" s="10" cm="1">
        <f t="array" ref="D240">IFERROR(_xlfn.XLOOKUP(1,('env Parameter'!$A:$A=$A240)*('env Parameter'!$B:$B=$K240)*('env Parameter'!$C:$C=$L240),'env Parameter'!F:F,""),"")</f>
        <v>478</v>
      </c>
      <c r="E240" s="10" cm="1">
        <f t="array" ref="E240">IFERROR(_xlfn.XLOOKUP(1,('env Parameter'!$A:$A=$A240)*('env Parameter'!$B:$B=$K240)*('env Parameter'!$C:$C=$L240),'env Parameter'!G:G,""),"")</f>
        <v>7.6</v>
      </c>
      <c r="F240" t="str">
        <f>eDNA!F240</f>
        <v>MiFish</v>
      </c>
      <c r="G240" t="str">
        <f>eDNA!D240</f>
        <v>Gymnogobius breunigii</v>
      </c>
      <c r="H240" t="str">
        <f>_xlfn.XLOOKUP(G240,'Common name (master file)'!$B:$B,'Common name (master file)'!$A:$A,"-------------")</f>
        <v>날망둑</v>
      </c>
      <c r="I240">
        <f>eDNA!E240</f>
        <v>20</v>
      </c>
      <c r="J240" t="str">
        <f>_xlfn.XLOOKUP(G240,'Common name (master file)'!$B:$B,'Common name (master file)'!$C:$C,"")</f>
        <v>어류</v>
      </c>
      <c r="K240">
        <f>eDNA!B240</f>
        <v>126.87358690000001</v>
      </c>
      <c r="L240">
        <f>eDNA!C240</f>
        <v>37.508467699999997</v>
      </c>
      <c r="M240" s="10" t="str" cm="1">
        <f t="array" ref="M240">IFERROR(_xlfn.XLOOKUP(1,('env Parameter'!$A:$A=$A240)*('env Parameter'!$B:$B=$K240)*('env Parameter'!$C:$C=$L240),'env Parameter'!D:D,""),"")</f>
        <v>안양천-13</v>
      </c>
      <c r="N240" s="10" t="str" cm="1">
        <f t="array" ref="N240">IFERROR(_xlfn.XLOOKUP(1,('env Parameter'!$A:$A=$A240)*('env Parameter'!$B:$B=$K240)*('env Parameter'!$C:$C=$L240),'env Parameter'!I:I,""),"")</f>
        <v>YR</v>
      </c>
    </row>
    <row r="241" spans="1:14">
      <c r="A241">
        <f>eDNA!A241</f>
        <v>20200717</v>
      </c>
      <c r="B241" s="10" t="str" cm="1">
        <f t="array" ref="B241">IFERROR(_xlfn.XLOOKUP(1,('env Parameter'!$A:$A=$A241)*('env Parameter'!$B:$B=$K241)*('env Parameter'!$C:$C=$L241),'env Parameter'!H:H,""),"")</f>
        <v>생물상 조사</v>
      </c>
      <c r="C241" s="10" cm="1">
        <f t="array" ref="C241">IFERROR(_xlfn.XLOOKUP(1,('env Parameter'!$A:$A=$A241)*('env Parameter'!$B:$B=$K241)*('env Parameter'!$C:$C=$L241),'env Parameter'!E:E,""),"")</f>
        <v>2.14</v>
      </c>
      <c r="D241" s="10" cm="1">
        <f t="array" ref="D241">IFERROR(_xlfn.XLOOKUP(1,('env Parameter'!$A:$A=$A241)*('env Parameter'!$B:$B=$K241)*('env Parameter'!$C:$C=$L241),'env Parameter'!F:F,""),"")</f>
        <v>478</v>
      </c>
      <c r="E241" s="10" cm="1">
        <f t="array" ref="E241">IFERROR(_xlfn.XLOOKUP(1,('env Parameter'!$A:$A=$A241)*('env Parameter'!$B:$B=$K241)*('env Parameter'!$C:$C=$L241),'env Parameter'!G:G,""),"")</f>
        <v>7.6</v>
      </c>
      <c r="F241" t="str">
        <f>eDNA!F241</f>
        <v>MiFish</v>
      </c>
      <c r="G241" t="str">
        <f>eDNA!D241</f>
        <v>Pseudogobio esocinus</v>
      </c>
      <c r="H241" t="str">
        <f>_xlfn.XLOOKUP(G241,'Common name (master file)'!$B:$B,'Common name (master file)'!$A:$A,"-------------")</f>
        <v>모래무지</v>
      </c>
      <c r="I241">
        <f>eDNA!E241</f>
        <v>21</v>
      </c>
      <c r="J241" t="str">
        <f>_xlfn.XLOOKUP(G241,'Common name (master file)'!$B:$B,'Common name (master file)'!$C:$C,"")</f>
        <v>어류</v>
      </c>
      <c r="K241">
        <f>eDNA!B241</f>
        <v>126.87358690000001</v>
      </c>
      <c r="L241">
        <f>eDNA!C241</f>
        <v>37.508467699999997</v>
      </c>
      <c r="M241" s="10" t="str" cm="1">
        <f t="array" ref="M241">IFERROR(_xlfn.XLOOKUP(1,('env Parameter'!$A:$A=$A241)*('env Parameter'!$B:$B=$K241)*('env Parameter'!$C:$C=$L241),'env Parameter'!D:D,""),"")</f>
        <v>안양천-13</v>
      </c>
      <c r="N241" s="10" t="str" cm="1">
        <f t="array" ref="N241">IFERROR(_xlfn.XLOOKUP(1,('env Parameter'!$A:$A=$A241)*('env Parameter'!$B:$B=$K241)*('env Parameter'!$C:$C=$L241),'env Parameter'!I:I,""),"")</f>
        <v>YR</v>
      </c>
    </row>
    <row r="242" spans="1:14">
      <c r="A242">
        <f>eDNA!A242</f>
        <v>20200717</v>
      </c>
      <c r="B242" s="10" t="str" cm="1">
        <f t="array" ref="B242">IFERROR(_xlfn.XLOOKUP(1,('env Parameter'!$A:$A=$A242)*('env Parameter'!$B:$B=$K242)*('env Parameter'!$C:$C=$L242),'env Parameter'!H:H,""),"")</f>
        <v>생물상 조사</v>
      </c>
      <c r="C242" s="10" cm="1">
        <f t="array" ref="C242">IFERROR(_xlfn.XLOOKUP(1,('env Parameter'!$A:$A=$A242)*('env Parameter'!$B:$B=$K242)*('env Parameter'!$C:$C=$L242),'env Parameter'!E:E,""),"")</f>
        <v>2.14</v>
      </c>
      <c r="D242" s="10" cm="1">
        <f t="array" ref="D242">IFERROR(_xlfn.XLOOKUP(1,('env Parameter'!$A:$A=$A242)*('env Parameter'!$B:$B=$K242)*('env Parameter'!$C:$C=$L242),'env Parameter'!F:F,""),"")</f>
        <v>478</v>
      </c>
      <c r="E242" s="10" cm="1">
        <f t="array" ref="E242">IFERROR(_xlfn.XLOOKUP(1,('env Parameter'!$A:$A=$A242)*('env Parameter'!$B:$B=$K242)*('env Parameter'!$C:$C=$L242),'env Parameter'!G:G,""),"")</f>
        <v>7.6</v>
      </c>
      <c r="F242" t="str">
        <f>eDNA!F242</f>
        <v>MiFish</v>
      </c>
      <c r="G242" t="str">
        <f>eDNA!D242</f>
        <v>Carassius cuvieri</v>
      </c>
      <c r="H242" t="str">
        <f>_xlfn.XLOOKUP(G242,'Common name (master file)'!$B:$B,'Common name (master file)'!$A:$A,"-------------")</f>
        <v>떡붕어</v>
      </c>
      <c r="I242">
        <f>eDNA!E242</f>
        <v>59</v>
      </c>
      <c r="J242" t="str">
        <f>_xlfn.XLOOKUP(G242,'Common name (master file)'!$B:$B,'Common name (master file)'!$C:$C,"")</f>
        <v>어류</v>
      </c>
      <c r="K242">
        <f>eDNA!B242</f>
        <v>126.87358690000001</v>
      </c>
      <c r="L242">
        <f>eDNA!C242</f>
        <v>37.508467699999997</v>
      </c>
      <c r="M242" s="10" t="str" cm="1">
        <f t="array" ref="M242">IFERROR(_xlfn.XLOOKUP(1,('env Parameter'!$A:$A=$A242)*('env Parameter'!$B:$B=$K242)*('env Parameter'!$C:$C=$L242),'env Parameter'!D:D,""),"")</f>
        <v>안양천-13</v>
      </c>
      <c r="N242" s="10" t="str" cm="1">
        <f t="array" ref="N242">IFERROR(_xlfn.XLOOKUP(1,('env Parameter'!$A:$A=$A242)*('env Parameter'!$B:$B=$K242)*('env Parameter'!$C:$C=$L242),'env Parameter'!I:I,""),"")</f>
        <v>YR</v>
      </c>
    </row>
    <row r="243" spans="1:14">
      <c r="A243">
        <f>eDNA!A243</f>
        <v>20200717</v>
      </c>
      <c r="B243" s="10" t="str" cm="1">
        <f t="array" ref="B243">IFERROR(_xlfn.XLOOKUP(1,('env Parameter'!$A:$A=$A243)*('env Parameter'!$B:$B=$K243)*('env Parameter'!$C:$C=$L243),'env Parameter'!H:H,""),"")</f>
        <v>생물상 조사</v>
      </c>
      <c r="C243" s="10" cm="1">
        <f t="array" ref="C243">IFERROR(_xlfn.XLOOKUP(1,('env Parameter'!$A:$A=$A243)*('env Parameter'!$B:$B=$K243)*('env Parameter'!$C:$C=$L243),'env Parameter'!E:E,""),"")</f>
        <v>2.14</v>
      </c>
      <c r="D243" s="10" cm="1">
        <f t="array" ref="D243">IFERROR(_xlfn.XLOOKUP(1,('env Parameter'!$A:$A=$A243)*('env Parameter'!$B:$B=$K243)*('env Parameter'!$C:$C=$L243),'env Parameter'!F:F,""),"")</f>
        <v>478</v>
      </c>
      <c r="E243" s="10" cm="1">
        <f t="array" ref="E243">IFERROR(_xlfn.XLOOKUP(1,('env Parameter'!$A:$A=$A243)*('env Parameter'!$B:$B=$K243)*('env Parameter'!$C:$C=$L243),'env Parameter'!G:G,""),"")</f>
        <v>7.6</v>
      </c>
      <c r="F243" t="str">
        <f>eDNA!F243</f>
        <v>MiFish</v>
      </c>
      <c r="G243" t="str">
        <f>eDNA!D243</f>
        <v>Lophius litulon</v>
      </c>
      <c r="H243" t="str">
        <f>_xlfn.XLOOKUP(G243,'Common name (master file)'!$B:$B,'Common name (master file)'!$A:$A,"-------------")</f>
        <v>황아귀</v>
      </c>
      <c r="I243">
        <f>eDNA!E243</f>
        <v>37</v>
      </c>
      <c r="J243" t="str">
        <f>_xlfn.XLOOKUP(G243,'Common name (master file)'!$B:$B,'Common name (master file)'!$C:$C,"")</f>
        <v>어류</v>
      </c>
      <c r="K243">
        <f>eDNA!B243</f>
        <v>126.87358690000001</v>
      </c>
      <c r="L243">
        <f>eDNA!C243</f>
        <v>37.508467699999997</v>
      </c>
      <c r="M243" s="10" t="str" cm="1">
        <f t="array" ref="M243">IFERROR(_xlfn.XLOOKUP(1,('env Parameter'!$A:$A=$A243)*('env Parameter'!$B:$B=$K243)*('env Parameter'!$C:$C=$L243),'env Parameter'!D:D,""),"")</f>
        <v>안양천-13</v>
      </c>
      <c r="N243" s="10" t="str" cm="1">
        <f t="array" ref="N243">IFERROR(_xlfn.XLOOKUP(1,('env Parameter'!$A:$A=$A243)*('env Parameter'!$B:$B=$K243)*('env Parameter'!$C:$C=$L243),'env Parameter'!I:I,""),"")</f>
        <v>YR</v>
      </c>
    </row>
    <row r="244" spans="1:14">
      <c r="A244">
        <f>eDNA!A244</f>
        <v>20200717</v>
      </c>
      <c r="B244" s="10" t="str" cm="1">
        <f t="array" ref="B244">IFERROR(_xlfn.XLOOKUP(1,('env Parameter'!$A:$A=$A244)*('env Parameter'!$B:$B=$K244)*('env Parameter'!$C:$C=$L244),'env Parameter'!H:H,""),"")</f>
        <v>생물상 조사</v>
      </c>
      <c r="C244" s="10" cm="1">
        <f t="array" ref="C244">IFERROR(_xlfn.XLOOKUP(1,('env Parameter'!$A:$A=$A244)*('env Parameter'!$B:$B=$K244)*('env Parameter'!$C:$C=$L244),'env Parameter'!E:E,""),"")</f>
        <v>2.14</v>
      </c>
      <c r="D244" s="10" cm="1">
        <f t="array" ref="D244">IFERROR(_xlfn.XLOOKUP(1,('env Parameter'!$A:$A=$A244)*('env Parameter'!$B:$B=$K244)*('env Parameter'!$C:$C=$L244),'env Parameter'!F:F,""),"")</f>
        <v>478</v>
      </c>
      <c r="E244" s="10" cm="1">
        <f t="array" ref="E244">IFERROR(_xlfn.XLOOKUP(1,('env Parameter'!$A:$A=$A244)*('env Parameter'!$B:$B=$K244)*('env Parameter'!$C:$C=$L244),'env Parameter'!G:G,""),"")</f>
        <v>7.6</v>
      </c>
      <c r="F244" t="str">
        <f>eDNA!F244</f>
        <v>MiFish</v>
      </c>
      <c r="G244" t="str">
        <f>eDNA!D244</f>
        <v>Zacco platypus</v>
      </c>
      <c r="H244" t="str">
        <f>_xlfn.XLOOKUP(G244,'Common name (master file)'!$B:$B,'Common name (master file)'!$A:$A,"-------------")</f>
        <v>피라미</v>
      </c>
      <c r="I244">
        <f>eDNA!E244</f>
        <v>46</v>
      </c>
      <c r="J244" t="str">
        <f>_xlfn.XLOOKUP(G244,'Common name (master file)'!$B:$B,'Common name (master file)'!$C:$C,"")</f>
        <v>어류</v>
      </c>
      <c r="K244">
        <f>eDNA!B244</f>
        <v>126.87358690000001</v>
      </c>
      <c r="L244">
        <f>eDNA!C244</f>
        <v>37.508467699999997</v>
      </c>
      <c r="M244" s="10" t="str" cm="1">
        <f t="array" ref="M244">IFERROR(_xlfn.XLOOKUP(1,('env Parameter'!$A:$A=$A244)*('env Parameter'!$B:$B=$K244)*('env Parameter'!$C:$C=$L244),'env Parameter'!D:D,""),"")</f>
        <v>안양천-13</v>
      </c>
      <c r="N244" s="10" t="str" cm="1">
        <f t="array" ref="N244">IFERROR(_xlfn.XLOOKUP(1,('env Parameter'!$A:$A=$A244)*('env Parameter'!$B:$B=$K244)*('env Parameter'!$C:$C=$L244),'env Parameter'!I:I,""),"")</f>
        <v>YR</v>
      </c>
    </row>
    <row r="245" spans="1:14">
      <c r="A245">
        <f>eDNA!A245</f>
        <v>20200717</v>
      </c>
      <c r="B245" s="10" t="str" cm="1">
        <f t="array" ref="B245">IFERROR(_xlfn.XLOOKUP(1,('env Parameter'!$A:$A=$A245)*('env Parameter'!$B:$B=$K245)*('env Parameter'!$C:$C=$L245),'env Parameter'!H:H,""),"")</f>
        <v>생물상 조사</v>
      </c>
      <c r="C245" s="10" cm="1">
        <f t="array" ref="C245">IFERROR(_xlfn.XLOOKUP(1,('env Parameter'!$A:$A=$A245)*('env Parameter'!$B:$B=$K245)*('env Parameter'!$C:$C=$L245),'env Parameter'!E:E,""),"")</f>
        <v>2.14</v>
      </c>
      <c r="D245" s="10" cm="1">
        <f t="array" ref="D245">IFERROR(_xlfn.XLOOKUP(1,('env Parameter'!$A:$A=$A245)*('env Parameter'!$B:$B=$K245)*('env Parameter'!$C:$C=$L245),'env Parameter'!F:F,""),"")</f>
        <v>478</v>
      </c>
      <c r="E245" s="10" cm="1">
        <f t="array" ref="E245">IFERROR(_xlfn.XLOOKUP(1,('env Parameter'!$A:$A=$A245)*('env Parameter'!$B:$B=$K245)*('env Parameter'!$C:$C=$L245),'env Parameter'!G:G,""),"")</f>
        <v>7.6</v>
      </c>
      <c r="F245" t="str">
        <f>eDNA!F245</f>
        <v>MiFish</v>
      </c>
      <c r="G245" t="str">
        <f>eDNA!D245</f>
        <v>Plagiognathops microlepis</v>
      </c>
      <c r="H245" t="str">
        <f>_xlfn.XLOOKUP(G245,'Common name (master file)'!$B:$B,'Common name (master file)'!$A:$A,"-------------")</f>
        <v>왜몰개</v>
      </c>
      <c r="I245">
        <f>eDNA!E245</f>
        <v>48</v>
      </c>
      <c r="J245" t="str">
        <f>_xlfn.XLOOKUP(G245,'Common name (master file)'!$B:$B,'Common name (master file)'!$C:$C,"")</f>
        <v>어류</v>
      </c>
      <c r="K245">
        <f>eDNA!B245</f>
        <v>126.87358690000001</v>
      </c>
      <c r="L245">
        <f>eDNA!C245</f>
        <v>37.508467699999997</v>
      </c>
      <c r="M245" s="10" t="str" cm="1">
        <f t="array" ref="M245">IFERROR(_xlfn.XLOOKUP(1,('env Parameter'!$A:$A=$A245)*('env Parameter'!$B:$B=$K245)*('env Parameter'!$C:$C=$L245),'env Parameter'!D:D,""),"")</f>
        <v>안양천-13</v>
      </c>
      <c r="N245" s="10" t="str" cm="1">
        <f t="array" ref="N245">IFERROR(_xlfn.XLOOKUP(1,('env Parameter'!$A:$A=$A245)*('env Parameter'!$B:$B=$K245)*('env Parameter'!$C:$C=$L245),'env Parameter'!I:I,""),"")</f>
        <v>YR</v>
      </c>
    </row>
    <row r="246" spans="1:14">
      <c r="A246">
        <f>eDNA!A246</f>
        <v>20200717</v>
      </c>
      <c r="B246" s="10" t="str" cm="1">
        <f t="array" ref="B246">IFERROR(_xlfn.XLOOKUP(1,('env Parameter'!$A:$A=$A246)*('env Parameter'!$B:$B=$K246)*('env Parameter'!$C:$C=$L246),'env Parameter'!H:H,""),"")</f>
        <v>생물상 조사</v>
      </c>
      <c r="C246" s="10" cm="1">
        <f t="array" ref="C246">IFERROR(_xlfn.XLOOKUP(1,('env Parameter'!$A:$A=$A246)*('env Parameter'!$B:$B=$K246)*('env Parameter'!$C:$C=$L246),'env Parameter'!E:E,""),"")</f>
        <v>2.14</v>
      </c>
      <c r="D246" s="10" cm="1">
        <f t="array" ref="D246">IFERROR(_xlfn.XLOOKUP(1,('env Parameter'!$A:$A=$A246)*('env Parameter'!$B:$B=$K246)*('env Parameter'!$C:$C=$L246),'env Parameter'!F:F,""),"")</f>
        <v>478</v>
      </c>
      <c r="E246" s="10" cm="1">
        <f t="array" ref="E246">IFERROR(_xlfn.XLOOKUP(1,('env Parameter'!$A:$A=$A246)*('env Parameter'!$B:$B=$K246)*('env Parameter'!$C:$C=$L246),'env Parameter'!G:G,""),"")</f>
        <v>7.6</v>
      </c>
      <c r="F246" t="str">
        <f>eDNA!F246</f>
        <v>MiFish</v>
      </c>
      <c r="G246" t="str">
        <f>eDNA!D246</f>
        <v>Pelodiscus sinensis</v>
      </c>
      <c r="H246" t="str">
        <f>_xlfn.XLOOKUP(G246,'Common name (master file)'!$B:$B,'Common name (master file)'!$A:$A,"-------------")</f>
        <v>중국자라</v>
      </c>
      <c r="I246">
        <f>eDNA!E246</f>
        <v>50</v>
      </c>
      <c r="J246" t="str">
        <f>_xlfn.XLOOKUP(G246,'Common name (master file)'!$B:$B,'Common name (master file)'!$C:$C,"")</f>
        <v>양서파충류</v>
      </c>
      <c r="K246">
        <f>eDNA!B246</f>
        <v>126.87358690000001</v>
      </c>
      <c r="L246">
        <f>eDNA!C246</f>
        <v>37.508467699999997</v>
      </c>
      <c r="M246" s="10" t="str" cm="1">
        <f t="array" ref="M246">IFERROR(_xlfn.XLOOKUP(1,('env Parameter'!$A:$A=$A246)*('env Parameter'!$B:$B=$K246)*('env Parameter'!$C:$C=$L246),'env Parameter'!D:D,""),"")</f>
        <v>안양천-13</v>
      </c>
      <c r="N246" s="10" t="str" cm="1">
        <f t="array" ref="N246">IFERROR(_xlfn.XLOOKUP(1,('env Parameter'!$A:$A=$A246)*('env Parameter'!$B:$B=$K246)*('env Parameter'!$C:$C=$L246),'env Parameter'!I:I,""),"")</f>
        <v>YR</v>
      </c>
    </row>
    <row r="247" spans="1:14">
      <c r="A247">
        <f>eDNA!A247</f>
        <v>20200717</v>
      </c>
      <c r="B247" s="10" t="str" cm="1">
        <f t="array" ref="B247">IFERROR(_xlfn.XLOOKUP(1,('env Parameter'!$A:$A=$A247)*('env Parameter'!$B:$B=$K247)*('env Parameter'!$C:$C=$L247),'env Parameter'!H:H,""),"")</f>
        <v>생물상 조사</v>
      </c>
      <c r="C247" s="10" cm="1">
        <f t="array" ref="C247">IFERROR(_xlfn.XLOOKUP(1,('env Parameter'!$A:$A=$A247)*('env Parameter'!$B:$B=$K247)*('env Parameter'!$C:$C=$L247),'env Parameter'!E:E,""),"")</f>
        <v>2.14</v>
      </c>
      <c r="D247" s="10" cm="1">
        <f t="array" ref="D247">IFERROR(_xlfn.XLOOKUP(1,('env Parameter'!$A:$A=$A247)*('env Parameter'!$B:$B=$K247)*('env Parameter'!$C:$C=$L247),'env Parameter'!F:F,""),"")</f>
        <v>478</v>
      </c>
      <c r="E247" s="10" cm="1">
        <f t="array" ref="E247">IFERROR(_xlfn.XLOOKUP(1,('env Parameter'!$A:$A=$A247)*('env Parameter'!$B:$B=$K247)*('env Parameter'!$C:$C=$L247),'env Parameter'!G:G,""),"")</f>
        <v>7.6</v>
      </c>
      <c r="F247" t="str">
        <f>eDNA!F247</f>
        <v>MiFish</v>
      </c>
      <c r="G247" t="str">
        <f>eDNA!D247</f>
        <v>Carassius auratus</v>
      </c>
      <c r="H247" t="str">
        <f>_xlfn.XLOOKUP(G247,'Common name (master file)'!$B:$B,'Common name (master file)'!$A:$A,"-------------")</f>
        <v>붕어</v>
      </c>
      <c r="I247">
        <f>eDNA!E247</f>
        <v>66</v>
      </c>
      <c r="J247" t="str">
        <f>_xlfn.XLOOKUP(G247,'Common name (master file)'!$B:$B,'Common name (master file)'!$C:$C,"")</f>
        <v>어류</v>
      </c>
      <c r="K247">
        <f>eDNA!B247</f>
        <v>126.87358690000001</v>
      </c>
      <c r="L247">
        <f>eDNA!C247</f>
        <v>37.508467699999997</v>
      </c>
      <c r="M247" s="10" t="str" cm="1">
        <f t="array" ref="M247">IFERROR(_xlfn.XLOOKUP(1,('env Parameter'!$A:$A=$A247)*('env Parameter'!$B:$B=$K247)*('env Parameter'!$C:$C=$L247),'env Parameter'!D:D,""),"")</f>
        <v>안양천-13</v>
      </c>
      <c r="N247" s="10" t="str" cm="1">
        <f t="array" ref="N247">IFERROR(_xlfn.XLOOKUP(1,('env Parameter'!$A:$A=$A247)*('env Parameter'!$B:$B=$K247)*('env Parameter'!$C:$C=$L247),'env Parameter'!I:I,""),"")</f>
        <v>YR</v>
      </c>
    </row>
    <row r="248" spans="1:14">
      <c r="A248">
        <f>eDNA!A248</f>
        <v>20200717</v>
      </c>
      <c r="B248" s="10" t="str" cm="1">
        <f t="array" ref="B248">IFERROR(_xlfn.XLOOKUP(1,('env Parameter'!$A:$A=$A248)*('env Parameter'!$B:$B=$K248)*('env Parameter'!$C:$C=$L248),'env Parameter'!H:H,""),"")</f>
        <v>생물상 조사</v>
      </c>
      <c r="C248" s="10" cm="1">
        <f t="array" ref="C248">IFERROR(_xlfn.XLOOKUP(1,('env Parameter'!$A:$A=$A248)*('env Parameter'!$B:$B=$K248)*('env Parameter'!$C:$C=$L248),'env Parameter'!E:E,""),"")</f>
        <v>2.14</v>
      </c>
      <c r="D248" s="10" cm="1">
        <f t="array" ref="D248">IFERROR(_xlfn.XLOOKUP(1,('env Parameter'!$A:$A=$A248)*('env Parameter'!$B:$B=$K248)*('env Parameter'!$C:$C=$L248),'env Parameter'!F:F,""),"")</f>
        <v>478</v>
      </c>
      <c r="E248" s="10" cm="1">
        <f t="array" ref="E248">IFERROR(_xlfn.XLOOKUP(1,('env Parameter'!$A:$A=$A248)*('env Parameter'!$B:$B=$K248)*('env Parameter'!$C:$C=$L248),'env Parameter'!G:G,""),"")</f>
        <v>7.6</v>
      </c>
      <c r="F248" t="str">
        <f>eDNA!F248</f>
        <v>MiFish</v>
      </c>
      <c r="G248" t="str">
        <f>eDNA!D248</f>
        <v>Sus scrofa</v>
      </c>
      <c r="H248" t="str">
        <f>_xlfn.XLOOKUP(G248,'Common name (master file)'!$B:$B,'Common name (master file)'!$A:$A,"-------------")</f>
        <v>멧돼지</v>
      </c>
      <c r="I248">
        <f>eDNA!E248</f>
        <v>190</v>
      </c>
      <c r="J248" t="str">
        <f>_xlfn.XLOOKUP(G248,'Common name (master file)'!$B:$B,'Common name (master file)'!$C:$C,"")</f>
        <v>포유류</v>
      </c>
      <c r="K248">
        <f>eDNA!B248</f>
        <v>126.87358690000001</v>
      </c>
      <c r="L248">
        <f>eDNA!C248</f>
        <v>37.508467699999997</v>
      </c>
      <c r="M248" s="10" t="str" cm="1">
        <f t="array" ref="M248">IFERROR(_xlfn.XLOOKUP(1,('env Parameter'!$A:$A=$A248)*('env Parameter'!$B:$B=$K248)*('env Parameter'!$C:$C=$L248),'env Parameter'!D:D,""),"")</f>
        <v>안양천-13</v>
      </c>
      <c r="N248" s="10" t="str" cm="1">
        <f t="array" ref="N248">IFERROR(_xlfn.XLOOKUP(1,('env Parameter'!$A:$A=$A248)*('env Parameter'!$B:$B=$K248)*('env Parameter'!$C:$C=$L248),'env Parameter'!I:I,""),"")</f>
        <v>YR</v>
      </c>
    </row>
    <row r="249" spans="1:14">
      <c r="A249">
        <f>eDNA!A249</f>
        <v>20200717</v>
      </c>
      <c r="B249" s="10" t="str" cm="1">
        <f t="array" ref="B249">IFERROR(_xlfn.XLOOKUP(1,('env Parameter'!$A:$A=$A249)*('env Parameter'!$B:$B=$K249)*('env Parameter'!$C:$C=$L249),'env Parameter'!H:H,""),"")</f>
        <v>생물상 조사</v>
      </c>
      <c r="C249" s="10" cm="1">
        <f t="array" ref="C249">IFERROR(_xlfn.XLOOKUP(1,('env Parameter'!$A:$A=$A249)*('env Parameter'!$B:$B=$K249)*('env Parameter'!$C:$C=$L249),'env Parameter'!E:E,""),"")</f>
        <v>2.14</v>
      </c>
      <c r="D249" s="10" cm="1">
        <f t="array" ref="D249">IFERROR(_xlfn.XLOOKUP(1,('env Parameter'!$A:$A=$A249)*('env Parameter'!$B:$B=$K249)*('env Parameter'!$C:$C=$L249),'env Parameter'!F:F,""),"")</f>
        <v>478</v>
      </c>
      <c r="E249" s="10" cm="1">
        <f t="array" ref="E249">IFERROR(_xlfn.XLOOKUP(1,('env Parameter'!$A:$A=$A249)*('env Parameter'!$B:$B=$K249)*('env Parameter'!$C:$C=$L249),'env Parameter'!G:G,""),"")</f>
        <v>7.6</v>
      </c>
      <c r="F249" t="str">
        <f>eDNA!F249</f>
        <v>MiFish</v>
      </c>
      <c r="G249" t="str">
        <f>eDNA!D249</f>
        <v>Tridentiger obscurus</v>
      </c>
      <c r="H249" t="str">
        <f>_xlfn.XLOOKUP(G249,'Common name (master file)'!$B:$B,'Common name (master file)'!$A:$A,"-------------")</f>
        <v>검정망둑</v>
      </c>
      <c r="I249">
        <f>eDNA!E249</f>
        <v>77</v>
      </c>
      <c r="J249" t="str">
        <f>_xlfn.XLOOKUP(G249,'Common name (master file)'!$B:$B,'Common name (master file)'!$C:$C,"")</f>
        <v>어류</v>
      </c>
      <c r="K249">
        <f>eDNA!B249</f>
        <v>126.87358690000001</v>
      </c>
      <c r="L249">
        <f>eDNA!C249</f>
        <v>37.508467699999997</v>
      </c>
      <c r="M249" s="10" t="str" cm="1">
        <f t="array" ref="M249">IFERROR(_xlfn.XLOOKUP(1,('env Parameter'!$A:$A=$A249)*('env Parameter'!$B:$B=$K249)*('env Parameter'!$C:$C=$L249),'env Parameter'!D:D,""),"")</f>
        <v>안양천-13</v>
      </c>
      <c r="N249" s="10" t="str" cm="1">
        <f t="array" ref="N249">IFERROR(_xlfn.XLOOKUP(1,('env Parameter'!$A:$A=$A249)*('env Parameter'!$B:$B=$K249)*('env Parameter'!$C:$C=$L249),'env Parameter'!I:I,""),"")</f>
        <v>YR</v>
      </c>
    </row>
    <row r="250" spans="1:14">
      <c r="A250">
        <f>eDNA!A250</f>
        <v>20200717</v>
      </c>
      <c r="B250" s="10" t="str" cm="1">
        <f t="array" ref="B250">IFERROR(_xlfn.XLOOKUP(1,('env Parameter'!$A:$A=$A250)*('env Parameter'!$B:$B=$K250)*('env Parameter'!$C:$C=$L250),'env Parameter'!H:H,""),"")</f>
        <v>생물상 조사</v>
      </c>
      <c r="C250" s="10" cm="1">
        <f t="array" ref="C250">IFERROR(_xlfn.XLOOKUP(1,('env Parameter'!$A:$A=$A250)*('env Parameter'!$B:$B=$K250)*('env Parameter'!$C:$C=$L250),'env Parameter'!E:E,""),"")</f>
        <v>2.14</v>
      </c>
      <c r="D250" s="10" cm="1">
        <f t="array" ref="D250">IFERROR(_xlfn.XLOOKUP(1,('env Parameter'!$A:$A=$A250)*('env Parameter'!$B:$B=$K250)*('env Parameter'!$C:$C=$L250),'env Parameter'!F:F,""),"")</f>
        <v>478</v>
      </c>
      <c r="E250" s="10" cm="1">
        <f t="array" ref="E250">IFERROR(_xlfn.XLOOKUP(1,('env Parameter'!$A:$A=$A250)*('env Parameter'!$B:$B=$K250)*('env Parameter'!$C:$C=$L250),'env Parameter'!G:G,""),"")</f>
        <v>7.6</v>
      </c>
      <c r="F250" t="str">
        <f>eDNA!F250</f>
        <v>MiFish</v>
      </c>
      <c r="G250" t="str">
        <f>eDNA!D250</f>
        <v>Micropterus salmoides</v>
      </c>
      <c r="H250" t="str">
        <f>_xlfn.XLOOKUP(G250,'Common name (master file)'!$B:$B,'Common name (master file)'!$A:$A,"-------------")</f>
        <v>큰입배스</v>
      </c>
      <c r="I250">
        <f>eDNA!E250</f>
        <v>119</v>
      </c>
      <c r="J250" t="str">
        <f>_xlfn.XLOOKUP(G250,'Common name (master file)'!$B:$B,'Common name (master file)'!$C:$C,"")</f>
        <v>어류</v>
      </c>
      <c r="K250">
        <f>eDNA!B250</f>
        <v>126.87358690000001</v>
      </c>
      <c r="L250">
        <f>eDNA!C250</f>
        <v>37.508467699999997</v>
      </c>
      <c r="M250" s="10" t="str" cm="1">
        <f t="array" ref="M250">IFERROR(_xlfn.XLOOKUP(1,('env Parameter'!$A:$A=$A250)*('env Parameter'!$B:$B=$K250)*('env Parameter'!$C:$C=$L250),'env Parameter'!D:D,""),"")</f>
        <v>안양천-13</v>
      </c>
      <c r="N250" s="10" t="str" cm="1">
        <f t="array" ref="N250">IFERROR(_xlfn.XLOOKUP(1,('env Parameter'!$A:$A=$A250)*('env Parameter'!$B:$B=$K250)*('env Parameter'!$C:$C=$L250),'env Parameter'!I:I,""),"")</f>
        <v>YR</v>
      </c>
    </row>
    <row r="251" spans="1:14">
      <c r="A251">
        <f>eDNA!A251</f>
        <v>20200717</v>
      </c>
      <c r="B251" s="10" t="str" cm="1">
        <f t="array" ref="B251">IFERROR(_xlfn.XLOOKUP(1,('env Parameter'!$A:$A=$A251)*('env Parameter'!$B:$B=$K251)*('env Parameter'!$C:$C=$L251),'env Parameter'!H:H,""),"")</f>
        <v>생물상 조사</v>
      </c>
      <c r="C251" s="10" cm="1">
        <f t="array" ref="C251">IFERROR(_xlfn.XLOOKUP(1,('env Parameter'!$A:$A=$A251)*('env Parameter'!$B:$B=$K251)*('env Parameter'!$C:$C=$L251),'env Parameter'!E:E,""),"")</f>
        <v>2.14</v>
      </c>
      <c r="D251" s="10" cm="1">
        <f t="array" ref="D251">IFERROR(_xlfn.XLOOKUP(1,('env Parameter'!$A:$A=$A251)*('env Parameter'!$B:$B=$K251)*('env Parameter'!$C:$C=$L251),'env Parameter'!F:F,""),"")</f>
        <v>478</v>
      </c>
      <c r="E251" s="10" cm="1">
        <f t="array" ref="E251">IFERROR(_xlfn.XLOOKUP(1,('env Parameter'!$A:$A=$A251)*('env Parameter'!$B:$B=$K251)*('env Parameter'!$C:$C=$L251),'env Parameter'!G:G,""),"")</f>
        <v>7.6</v>
      </c>
      <c r="F251" t="str">
        <f>eDNA!F251</f>
        <v>MiFish</v>
      </c>
      <c r="G251" t="str">
        <f>eDNA!D251</f>
        <v>Anguilla japonica</v>
      </c>
      <c r="H251" t="str">
        <f>_xlfn.XLOOKUP(G251,'Common name (master file)'!$B:$B,'Common name (master file)'!$A:$A,"-------------")</f>
        <v>뱀장어</v>
      </c>
      <c r="I251">
        <f>eDNA!E251</f>
        <v>86</v>
      </c>
      <c r="J251" t="str">
        <f>_xlfn.XLOOKUP(G251,'Common name (master file)'!$B:$B,'Common name (master file)'!$C:$C,"")</f>
        <v>어류</v>
      </c>
      <c r="K251">
        <f>eDNA!B251</f>
        <v>126.87358690000001</v>
      </c>
      <c r="L251">
        <f>eDNA!C251</f>
        <v>37.508467699999997</v>
      </c>
      <c r="M251" s="10" t="str" cm="1">
        <f t="array" ref="M251">IFERROR(_xlfn.XLOOKUP(1,('env Parameter'!$A:$A=$A251)*('env Parameter'!$B:$B=$K251)*('env Parameter'!$C:$C=$L251),'env Parameter'!D:D,""),"")</f>
        <v>안양천-13</v>
      </c>
      <c r="N251" s="10" t="str" cm="1">
        <f t="array" ref="N251">IFERROR(_xlfn.XLOOKUP(1,('env Parameter'!$A:$A=$A251)*('env Parameter'!$B:$B=$K251)*('env Parameter'!$C:$C=$L251),'env Parameter'!I:I,""),"")</f>
        <v>YR</v>
      </c>
    </row>
    <row r="252" spans="1:14">
      <c r="A252">
        <f>eDNA!A252</f>
        <v>20200717</v>
      </c>
      <c r="B252" s="10" t="str" cm="1">
        <f t="array" ref="B252">IFERROR(_xlfn.XLOOKUP(1,('env Parameter'!$A:$A=$A252)*('env Parameter'!$B:$B=$K252)*('env Parameter'!$C:$C=$L252),'env Parameter'!H:H,""),"")</f>
        <v>생물상 조사</v>
      </c>
      <c r="C252" s="10" cm="1">
        <f t="array" ref="C252">IFERROR(_xlfn.XLOOKUP(1,('env Parameter'!$A:$A=$A252)*('env Parameter'!$B:$B=$K252)*('env Parameter'!$C:$C=$L252),'env Parameter'!E:E,""),"")</f>
        <v>2.14</v>
      </c>
      <c r="D252" s="10" cm="1">
        <f t="array" ref="D252">IFERROR(_xlfn.XLOOKUP(1,('env Parameter'!$A:$A=$A252)*('env Parameter'!$B:$B=$K252)*('env Parameter'!$C:$C=$L252),'env Parameter'!F:F,""),"")</f>
        <v>478</v>
      </c>
      <c r="E252" s="10" cm="1">
        <f t="array" ref="E252">IFERROR(_xlfn.XLOOKUP(1,('env Parameter'!$A:$A=$A252)*('env Parameter'!$B:$B=$K252)*('env Parameter'!$C:$C=$L252),'env Parameter'!G:G,""),"")</f>
        <v>7.6</v>
      </c>
      <c r="F252" t="str">
        <f>eDNA!F252</f>
        <v>MiFish</v>
      </c>
      <c r="G252" t="str">
        <f>eDNA!D252</f>
        <v>Gnathopogon strigatus</v>
      </c>
      <c r="H252" t="str">
        <f>_xlfn.XLOOKUP(G252,'Common name (master file)'!$B:$B,'Common name (master file)'!$A:$A,"-------------")</f>
        <v>줄몰개</v>
      </c>
      <c r="I252">
        <f>eDNA!E252</f>
        <v>98</v>
      </c>
      <c r="J252" t="str">
        <f>_xlfn.XLOOKUP(G252,'Common name (master file)'!$B:$B,'Common name (master file)'!$C:$C,"")</f>
        <v>어류</v>
      </c>
      <c r="K252">
        <f>eDNA!B252</f>
        <v>126.87358690000001</v>
      </c>
      <c r="L252">
        <f>eDNA!C252</f>
        <v>37.508467699999997</v>
      </c>
      <c r="M252" s="10" t="str" cm="1">
        <f t="array" ref="M252">IFERROR(_xlfn.XLOOKUP(1,('env Parameter'!$A:$A=$A252)*('env Parameter'!$B:$B=$K252)*('env Parameter'!$C:$C=$L252),'env Parameter'!D:D,""),"")</f>
        <v>안양천-13</v>
      </c>
      <c r="N252" s="10" t="str" cm="1">
        <f t="array" ref="N252">IFERROR(_xlfn.XLOOKUP(1,('env Parameter'!$A:$A=$A252)*('env Parameter'!$B:$B=$K252)*('env Parameter'!$C:$C=$L252),'env Parameter'!I:I,""),"")</f>
        <v>YR</v>
      </c>
    </row>
    <row r="253" spans="1:14">
      <c r="A253">
        <f>eDNA!A253</f>
        <v>20200717</v>
      </c>
      <c r="B253" s="10" t="str" cm="1">
        <f t="array" ref="B253">IFERROR(_xlfn.XLOOKUP(1,('env Parameter'!$A:$A=$A253)*('env Parameter'!$B:$B=$K253)*('env Parameter'!$C:$C=$L253),'env Parameter'!H:H,""),"")</f>
        <v>생물상 조사</v>
      </c>
      <c r="C253" s="10" cm="1">
        <f t="array" ref="C253">IFERROR(_xlfn.XLOOKUP(1,('env Parameter'!$A:$A=$A253)*('env Parameter'!$B:$B=$K253)*('env Parameter'!$C:$C=$L253),'env Parameter'!E:E,""),"")</f>
        <v>2.14</v>
      </c>
      <c r="D253" s="10" cm="1">
        <f t="array" ref="D253">IFERROR(_xlfn.XLOOKUP(1,('env Parameter'!$A:$A=$A253)*('env Parameter'!$B:$B=$K253)*('env Parameter'!$C:$C=$L253),'env Parameter'!F:F,""),"")</f>
        <v>478</v>
      </c>
      <c r="E253" s="10" cm="1">
        <f t="array" ref="E253">IFERROR(_xlfn.XLOOKUP(1,('env Parameter'!$A:$A=$A253)*('env Parameter'!$B:$B=$K253)*('env Parameter'!$C:$C=$L253),'env Parameter'!G:G,""),"")</f>
        <v>7.6</v>
      </c>
      <c r="F253" t="str">
        <f>eDNA!F253</f>
        <v>MiFish</v>
      </c>
      <c r="G253" t="str">
        <f>eDNA!D253</f>
        <v>Misgurnus mizolepis</v>
      </c>
      <c r="H253" t="str">
        <f>_xlfn.XLOOKUP(G253,'Common name (master file)'!$B:$B,'Common name (master file)'!$A:$A,"-------------")</f>
        <v>미꾸라지</v>
      </c>
      <c r="I253">
        <f>eDNA!E253</f>
        <v>117</v>
      </c>
      <c r="J253" t="str">
        <f>_xlfn.XLOOKUP(G253,'Common name (master file)'!$B:$B,'Common name (master file)'!$C:$C,"")</f>
        <v>어류</v>
      </c>
      <c r="K253">
        <f>eDNA!B253</f>
        <v>126.87358690000001</v>
      </c>
      <c r="L253">
        <f>eDNA!C253</f>
        <v>37.508467699999997</v>
      </c>
      <c r="M253" s="10" t="str" cm="1">
        <f t="array" ref="M253">IFERROR(_xlfn.XLOOKUP(1,('env Parameter'!$A:$A=$A253)*('env Parameter'!$B:$B=$K253)*('env Parameter'!$C:$C=$L253),'env Parameter'!D:D,""),"")</f>
        <v>안양천-13</v>
      </c>
      <c r="N253" s="10" t="str" cm="1">
        <f t="array" ref="N253">IFERROR(_xlfn.XLOOKUP(1,('env Parameter'!$A:$A=$A253)*('env Parameter'!$B:$B=$K253)*('env Parameter'!$C:$C=$L253),'env Parameter'!I:I,""),"")</f>
        <v>YR</v>
      </c>
    </row>
    <row r="254" spans="1:14">
      <c r="A254">
        <f>eDNA!A254</f>
        <v>20200717</v>
      </c>
      <c r="B254" s="10" t="str" cm="1">
        <f t="array" ref="B254">IFERROR(_xlfn.XLOOKUP(1,('env Parameter'!$A:$A=$A254)*('env Parameter'!$B:$B=$K254)*('env Parameter'!$C:$C=$L254),'env Parameter'!H:H,""),"")</f>
        <v>생물상 조사</v>
      </c>
      <c r="C254" s="10" cm="1">
        <f t="array" ref="C254">IFERROR(_xlfn.XLOOKUP(1,('env Parameter'!$A:$A=$A254)*('env Parameter'!$B:$B=$K254)*('env Parameter'!$C:$C=$L254),'env Parameter'!E:E,""),"")</f>
        <v>2.14</v>
      </c>
      <c r="D254" s="10" cm="1">
        <f t="array" ref="D254">IFERROR(_xlfn.XLOOKUP(1,('env Parameter'!$A:$A=$A254)*('env Parameter'!$B:$B=$K254)*('env Parameter'!$C:$C=$L254),'env Parameter'!F:F,""),"")</f>
        <v>478</v>
      </c>
      <c r="E254" s="10" cm="1">
        <f t="array" ref="E254">IFERROR(_xlfn.XLOOKUP(1,('env Parameter'!$A:$A=$A254)*('env Parameter'!$B:$B=$K254)*('env Parameter'!$C:$C=$L254),'env Parameter'!G:G,""),"")</f>
        <v>7.6</v>
      </c>
      <c r="F254" t="str">
        <f>eDNA!F254</f>
        <v>MiFish</v>
      </c>
      <c r="G254" t="str">
        <f>eDNA!D254</f>
        <v>Bos taurus</v>
      </c>
      <c r="H254" t="str">
        <f>_xlfn.XLOOKUP(G254,'Common name (master file)'!$B:$B,'Common name (master file)'!$A:$A,"-------------")</f>
        <v>소</v>
      </c>
      <c r="I254">
        <f>eDNA!E254</f>
        <v>120</v>
      </c>
      <c r="J254" t="str">
        <f>_xlfn.XLOOKUP(G254,'Common name (master file)'!$B:$B,'Common name (master file)'!$C:$C,"")</f>
        <v>포유류</v>
      </c>
      <c r="K254">
        <f>eDNA!B254</f>
        <v>126.87358690000001</v>
      </c>
      <c r="L254">
        <f>eDNA!C254</f>
        <v>37.508467699999997</v>
      </c>
      <c r="M254" s="10" t="str" cm="1">
        <f t="array" ref="M254">IFERROR(_xlfn.XLOOKUP(1,('env Parameter'!$A:$A=$A254)*('env Parameter'!$B:$B=$K254)*('env Parameter'!$C:$C=$L254),'env Parameter'!D:D,""),"")</f>
        <v>안양천-13</v>
      </c>
      <c r="N254" s="10" t="str" cm="1">
        <f t="array" ref="N254">IFERROR(_xlfn.XLOOKUP(1,('env Parameter'!$A:$A=$A254)*('env Parameter'!$B:$B=$K254)*('env Parameter'!$C:$C=$L254),'env Parameter'!I:I,""),"")</f>
        <v>YR</v>
      </c>
    </row>
    <row r="255" spans="1:14">
      <c r="A255">
        <f>eDNA!A255</f>
        <v>20200717</v>
      </c>
      <c r="B255" s="10" t="str" cm="1">
        <f t="array" ref="B255">IFERROR(_xlfn.XLOOKUP(1,('env Parameter'!$A:$A=$A255)*('env Parameter'!$B:$B=$K255)*('env Parameter'!$C:$C=$L255),'env Parameter'!H:H,""),"")</f>
        <v>생물상 조사</v>
      </c>
      <c r="C255" s="10" cm="1">
        <f t="array" ref="C255">IFERROR(_xlfn.XLOOKUP(1,('env Parameter'!$A:$A=$A255)*('env Parameter'!$B:$B=$K255)*('env Parameter'!$C:$C=$L255),'env Parameter'!E:E,""),"")</f>
        <v>2.14</v>
      </c>
      <c r="D255" s="10" cm="1">
        <f t="array" ref="D255">IFERROR(_xlfn.XLOOKUP(1,('env Parameter'!$A:$A=$A255)*('env Parameter'!$B:$B=$K255)*('env Parameter'!$C:$C=$L255),'env Parameter'!F:F,""),"")</f>
        <v>478</v>
      </c>
      <c r="E255" s="10" cm="1">
        <f t="array" ref="E255">IFERROR(_xlfn.XLOOKUP(1,('env Parameter'!$A:$A=$A255)*('env Parameter'!$B:$B=$K255)*('env Parameter'!$C:$C=$L255),'env Parameter'!G:G,""),"")</f>
        <v>7.6</v>
      </c>
      <c r="F255" t="str">
        <f>eDNA!F255</f>
        <v>MiFish</v>
      </c>
      <c r="G255" t="str">
        <f>eDNA!D255</f>
        <v>Cyprinus carpio</v>
      </c>
      <c r="H255" t="str">
        <f>_xlfn.XLOOKUP(G255,'Common name (master file)'!$B:$B,'Common name (master file)'!$A:$A,"-------------")</f>
        <v>잉어</v>
      </c>
      <c r="I255">
        <f>eDNA!E255</f>
        <v>146</v>
      </c>
      <c r="J255" t="str">
        <f>_xlfn.XLOOKUP(G255,'Common name (master file)'!$B:$B,'Common name (master file)'!$C:$C,"")</f>
        <v>어류</v>
      </c>
      <c r="K255">
        <f>eDNA!B255</f>
        <v>126.87358690000001</v>
      </c>
      <c r="L255">
        <f>eDNA!C255</f>
        <v>37.508467699999997</v>
      </c>
      <c r="M255" s="10" t="str" cm="1">
        <f t="array" ref="M255">IFERROR(_xlfn.XLOOKUP(1,('env Parameter'!$A:$A=$A255)*('env Parameter'!$B:$B=$K255)*('env Parameter'!$C:$C=$L255),'env Parameter'!D:D,""),"")</f>
        <v>안양천-13</v>
      </c>
      <c r="N255" s="10" t="str" cm="1">
        <f t="array" ref="N255">IFERROR(_xlfn.XLOOKUP(1,('env Parameter'!$A:$A=$A255)*('env Parameter'!$B:$B=$K255)*('env Parameter'!$C:$C=$L255),'env Parameter'!I:I,""),"")</f>
        <v>YR</v>
      </c>
    </row>
    <row r="256" spans="1:14">
      <c r="A256">
        <f>eDNA!A256</f>
        <v>20200717</v>
      </c>
      <c r="B256" s="10" t="str" cm="1">
        <f t="array" ref="B256">IFERROR(_xlfn.XLOOKUP(1,('env Parameter'!$A:$A=$A256)*('env Parameter'!$B:$B=$K256)*('env Parameter'!$C:$C=$L256),'env Parameter'!H:H,""),"")</f>
        <v>생물상 조사</v>
      </c>
      <c r="C256" s="10" cm="1">
        <f t="array" ref="C256">IFERROR(_xlfn.XLOOKUP(1,('env Parameter'!$A:$A=$A256)*('env Parameter'!$B:$B=$K256)*('env Parameter'!$C:$C=$L256),'env Parameter'!E:E,""),"")</f>
        <v>2.14</v>
      </c>
      <c r="D256" s="10" cm="1">
        <f t="array" ref="D256">IFERROR(_xlfn.XLOOKUP(1,('env Parameter'!$A:$A=$A256)*('env Parameter'!$B:$B=$K256)*('env Parameter'!$C:$C=$L256),'env Parameter'!F:F,""),"")</f>
        <v>478</v>
      </c>
      <c r="E256" s="10" cm="1">
        <f t="array" ref="E256">IFERROR(_xlfn.XLOOKUP(1,('env Parameter'!$A:$A=$A256)*('env Parameter'!$B:$B=$K256)*('env Parameter'!$C:$C=$L256),'env Parameter'!G:G,""),"")</f>
        <v>7.6</v>
      </c>
      <c r="F256" t="str">
        <f>eDNA!F256</f>
        <v>MiFish</v>
      </c>
      <c r="G256" t="str">
        <f>eDNA!D256</f>
        <v>Acanthorhodeus chankaensis</v>
      </c>
      <c r="H256" t="str">
        <f>_xlfn.XLOOKUP(G256,'Common name (master file)'!$B:$B,'Common name (master file)'!$A:$A,"-------------")</f>
        <v>가시납지리</v>
      </c>
      <c r="I256">
        <f>eDNA!E256</f>
        <v>203</v>
      </c>
      <c r="J256" t="str">
        <f>_xlfn.XLOOKUP(G256,'Common name (master file)'!$B:$B,'Common name (master file)'!$C:$C,"")</f>
        <v>어류</v>
      </c>
      <c r="K256">
        <f>eDNA!B256</f>
        <v>126.87358690000001</v>
      </c>
      <c r="L256">
        <f>eDNA!C256</f>
        <v>37.508467699999997</v>
      </c>
      <c r="M256" s="10" t="str" cm="1">
        <f t="array" ref="M256">IFERROR(_xlfn.XLOOKUP(1,('env Parameter'!$A:$A=$A256)*('env Parameter'!$B:$B=$K256)*('env Parameter'!$C:$C=$L256),'env Parameter'!D:D,""),"")</f>
        <v>안양천-13</v>
      </c>
      <c r="N256" s="10" t="str" cm="1">
        <f t="array" ref="N256">IFERROR(_xlfn.XLOOKUP(1,('env Parameter'!$A:$A=$A256)*('env Parameter'!$B:$B=$K256)*('env Parameter'!$C:$C=$L256),'env Parameter'!I:I,""),"")</f>
        <v>YR</v>
      </c>
    </row>
    <row r="257" spans="1:14">
      <c r="A257">
        <f>eDNA!A257</f>
        <v>20200717</v>
      </c>
      <c r="B257" s="10" t="str" cm="1">
        <f t="array" ref="B257">IFERROR(_xlfn.XLOOKUP(1,('env Parameter'!$A:$A=$A257)*('env Parameter'!$B:$B=$K257)*('env Parameter'!$C:$C=$L257),'env Parameter'!H:H,""),"")</f>
        <v>생물상 조사</v>
      </c>
      <c r="C257" s="10" cm="1">
        <f t="array" ref="C257">IFERROR(_xlfn.XLOOKUP(1,('env Parameter'!$A:$A=$A257)*('env Parameter'!$B:$B=$K257)*('env Parameter'!$C:$C=$L257),'env Parameter'!E:E,""),"")</f>
        <v>2.14</v>
      </c>
      <c r="D257" s="10" cm="1">
        <f t="array" ref="D257">IFERROR(_xlfn.XLOOKUP(1,('env Parameter'!$A:$A=$A257)*('env Parameter'!$B:$B=$K257)*('env Parameter'!$C:$C=$L257),'env Parameter'!F:F,""),"")</f>
        <v>478</v>
      </c>
      <c r="E257" s="10" cm="1">
        <f t="array" ref="E257">IFERROR(_xlfn.XLOOKUP(1,('env Parameter'!$A:$A=$A257)*('env Parameter'!$B:$B=$K257)*('env Parameter'!$C:$C=$L257),'env Parameter'!G:G,""),"")</f>
        <v>7.6</v>
      </c>
      <c r="F257" t="str">
        <f>eDNA!F257</f>
        <v>MiFish</v>
      </c>
      <c r="G257" t="str">
        <f>eDNA!D257</f>
        <v>Oryzias sinensis</v>
      </c>
      <c r="H257" t="str">
        <f>_xlfn.XLOOKUP(G257,'Common name (master file)'!$B:$B,'Common name (master file)'!$A:$A,"-------------")</f>
        <v>대륙송사리</v>
      </c>
      <c r="I257">
        <f>eDNA!E257</f>
        <v>269</v>
      </c>
      <c r="J257" t="str">
        <f>_xlfn.XLOOKUP(G257,'Common name (master file)'!$B:$B,'Common name (master file)'!$C:$C,"")</f>
        <v>어류</v>
      </c>
      <c r="K257">
        <f>eDNA!B257</f>
        <v>126.87358690000001</v>
      </c>
      <c r="L257">
        <f>eDNA!C257</f>
        <v>37.508467699999997</v>
      </c>
      <c r="M257" s="10" t="str" cm="1">
        <f t="array" ref="M257">IFERROR(_xlfn.XLOOKUP(1,('env Parameter'!$A:$A=$A257)*('env Parameter'!$B:$B=$K257)*('env Parameter'!$C:$C=$L257),'env Parameter'!D:D,""),"")</f>
        <v>안양천-13</v>
      </c>
      <c r="N257" s="10" t="str" cm="1">
        <f t="array" ref="N257">IFERROR(_xlfn.XLOOKUP(1,('env Parameter'!$A:$A=$A257)*('env Parameter'!$B:$B=$K257)*('env Parameter'!$C:$C=$L257),'env Parameter'!I:I,""),"")</f>
        <v>YR</v>
      </c>
    </row>
    <row r="258" spans="1:14">
      <c r="A258">
        <f>eDNA!A258</f>
        <v>20200717</v>
      </c>
      <c r="B258" s="10" t="str" cm="1">
        <f t="array" ref="B258">IFERROR(_xlfn.XLOOKUP(1,('env Parameter'!$A:$A=$A258)*('env Parameter'!$B:$B=$K258)*('env Parameter'!$C:$C=$L258),'env Parameter'!H:H,""),"")</f>
        <v>생물상 조사</v>
      </c>
      <c r="C258" s="10" cm="1">
        <f t="array" ref="C258">IFERROR(_xlfn.XLOOKUP(1,('env Parameter'!$A:$A=$A258)*('env Parameter'!$B:$B=$K258)*('env Parameter'!$C:$C=$L258),'env Parameter'!E:E,""),"")</f>
        <v>2.14</v>
      </c>
      <c r="D258" s="10" cm="1">
        <f t="array" ref="D258">IFERROR(_xlfn.XLOOKUP(1,('env Parameter'!$A:$A=$A258)*('env Parameter'!$B:$B=$K258)*('env Parameter'!$C:$C=$L258),'env Parameter'!F:F,""),"")</f>
        <v>478</v>
      </c>
      <c r="E258" s="10" cm="1">
        <f t="array" ref="E258">IFERROR(_xlfn.XLOOKUP(1,('env Parameter'!$A:$A=$A258)*('env Parameter'!$B:$B=$K258)*('env Parameter'!$C:$C=$L258),'env Parameter'!G:G,""),"")</f>
        <v>7.6</v>
      </c>
      <c r="F258" t="str">
        <f>eDNA!F258</f>
        <v>MiFish</v>
      </c>
      <c r="G258" t="str">
        <f>eDNA!D258</f>
        <v>Homo sapiens</v>
      </c>
      <c r="H258" t="str">
        <f>_xlfn.XLOOKUP(G258,'Common name (master file)'!$B:$B,'Common name (master file)'!$A:$A,"-------------")</f>
        <v>사람</v>
      </c>
      <c r="I258">
        <f>eDNA!E258</f>
        <v>270</v>
      </c>
      <c r="J258" t="str">
        <f>_xlfn.XLOOKUP(G258,'Common name (master file)'!$B:$B,'Common name (master file)'!$C:$C,"")</f>
        <v>포유류</v>
      </c>
      <c r="K258">
        <f>eDNA!B258</f>
        <v>126.87358690000001</v>
      </c>
      <c r="L258">
        <f>eDNA!C258</f>
        <v>37.508467699999997</v>
      </c>
      <c r="M258" s="10" t="str" cm="1">
        <f t="array" ref="M258">IFERROR(_xlfn.XLOOKUP(1,('env Parameter'!$A:$A=$A258)*('env Parameter'!$B:$B=$K258)*('env Parameter'!$C:$C=$L258),'env Parameter'!D:D,""),"")</f>
        <v>안양천-13</v>
      </c>
      <c r="N258" s="10" t="str" cm="1">
        <f t="array" ref="N258">IFERROR(_xlfn.XLOOKUP(1,('env Parameter'!$A:$A=$A258)*('env Parameter'!$B:$B=$K258)*('env Parameter'!$C:$C=$L258),'env Parameter'!I:I,""),"")</f>
        <v>YR</v>
      </c>
    </row>
    <row r="259" spans="1:14">
      <c r="A259">
        <f>eDNA!A259</f>
        <v>20200717</v>
      </c>
      <c r="B259" s="10" t="str" cm="1">
        <f t="array" ref="B259">IFERROR(_xlfn.XLOOKUP(1,('env Parameter'!$A:$A=$A259)*('env Parameter'!$B:$B=$K259)*('env Parameter'!$C:$C=$L259),'env Parameter'!H:H,""),"")</f>
        <v>생물상 조사</v>
      </c>
      <c r="C259" s="10" cm="1">
        <f t="array" ref="C259">IFERROR(_xlfn.XLOOKUP(1,('env Parameter'!$A:$A=$A259)*('env Parameter'!$B:$B=$K259)*('env Parameter'!$C:$C=$L259),'env Parameter'!E:E,""),"")</f>
        <v>2.14</v>
      </c>
      <c r="D259" s="10" cm="1">
        <f t="array" ref="D259">IFERROR(_xlfn.XLOOKUP(1,('env Parameter'!$A:$A=$A259)*('env Parameter'!$B:$B=$K259)*('env Parameter'!$C:$C=$L259),'env Parameter'!F:F,""),"")</f>
        <v>478</v>
      </c>
      <c r="E259" s="10" cm="1">
        <f t="array" ref="E259">IFERROR(_xlfn.XLOOKUP(1,('env Parameter'!$A:$A=$A259)*('env Parameter'!$B:$B=$K259)*('env Parameter'!$C:$C=$L259),'env Parameter'!G:G,""),"")</f>
        <v>7.6</v>
      </c>
      <c r="F259" t="str">
        <f>eDNA!F259</f>
        <v>MiFish</v>
      </c>
      <c r="G259" t="str">
        <f>eDNA!D259</f>
        <v>Planiliza haematocheila</v>
      </c>
      <c r="H259" t="str">
        <f>_xlfn.XLOOKUP(G259,'Common name (master file)'!$B:$B,'Common name (master file)'!$A:$A,"-------------")</f>
        <v>가숭어</v>
      </c>
      <c r="I259">
        <f>eDNA!E259</f>
        <v>344</v>
      </c>
      <c r="J259" t="str">
        <f>_xlfn.XLOOKUP(G259,'Common name (master file)'!$B:$B,'Common name (master file)'!$C:$C,"")</f>
        <v>어류</v>
      </c>
      <c r="K259">
        <f>eDNA!B259</f>
        <v>126.87358690000001</v>
      </c>
      <c r="L259">
        <f>eDNA!C259</f>
        <v>37.508467699999997</v>
      </c>
      <c r="M259" s="10" t="str" cm="1">
        <f t="array" ref="M259">IFERROR(_xlfn.XLOOKUP(1,('env Parameter'!$A:$A=$A259)*('env Parameter'!$B:$B=$K259)*('env Parameter'!$C:$C=$L259),'env Parameter'!D:D,""),"")</f>
        <v>안양천-13</v>
      </c>
      <c r="N259" s="10" t="str" cm="1">
        <f t="array" ref="N259">IFERROR(_xlfn.XLOOKUP(1,('env Parameter'!$A:$A=$A259)*('env Parameter'!$B:$B=$K259)*('env Parameter'!$C:$C=$L259),'env Parameter'!I:I,""),"")</f>
        <v>YR</v>
      </c>
    </row>
    <row r="260" spans="1:14">
      <c r="A260">
        <f>eDNA!A260</f>
        <v>20200717</v>
      </c>
      <c r="B260" s="10" t="str" cm="1">
        <f t="array" ref="B260">IFERROR(_xlfn.XLOOKUP(1,('env Parameter'!$A:$A=$A260)*('env Parameter'!$B:$B=$K260)*('env Parameter'!$C:$C=$L260),'env Parameter'!H:H,""),"")</f>
        <v>생물상 조사</v>
      </c>
      <c r="C260" s="10" cm="1">
        <f t="array" ref="C260">IFERROR(_xlfn.XLOOKUP(1,('env Parameter'!$A:$A=$A260)*('env Parameter'!$B:$B=$K260)*('env Parameter'!$C:$C=$L260),'env Parameter'!E:E,""),"")</f>
        <v>2.14</v>
      </c>
      <c r="D260" s="10" cm="1">
        <f t="array" ref="D260">IFERROR(_xlfn.XLOOKUP(1,('env Parameter'!$A:$A=$A260)*('env Parameter'!$B:$B=$K260)*('env Parameter'!$C:$C=$L260),'env Parameter'!F:F,""),"")</f>
        <v>478</v>
      </c>
      <c r="E260" s="10" cm="1">
        <f t="array" ref="E260">IFERROR(_xlfn.XLOOKUP(1,('env Parameter'!$A:$A=$A260)*('env Parameter'!$B:$B=$K260)*('env Parameter'!$C:$C=$L260),'env Parameter'!G:G,""),"")</f>
        <v>7.6</v>
      </c>
      <c r="F260" t="str">
        <f>eDNA!F260</f>
        <v>MiFish</v>
      </c>
      <c r="G260" t="str">
        <f>eDNA!D260</f>
        <v>Culter dabryi</v>
      </c>
      <c r="H260" t="str">
        <f>_xlfn.XLOOKUP(G260,'Common name (master file)'!$B:$B,'Common name (master file)'!$A:$A,"-------------")</f>
        <v>다브리날카로운입치</v>
      </c>
      <c r="I260">
        <f>eDNA!E260</f>
        <v>578</v>
      </c>
      <c r="J260" t="str">
        <f>_xlfn.XLOOKUP(G260,'Common name (master file)'!$B:$B,'Common name (master file)'!$C:$C,"")</f>
        <v>어류</v>
      </c>
      <c r="K260">
        <f>eDNA!B260</f>
        <v>126.87358690000001</v>
      </c>
      <c r="L260">
        <f>eDNA!C260</f>
        <v>37.508467699999997</v>
      </c>
      <c r="M260" s="10" t="str" cm="1">
        <f t="array" ref="M260">IFERROR(_xlfn.XLOOKUP(1,('env Parameter'!$A:$A=$A260)*('env Parameter'!$B:$B=$K260)*('env Parameter'!$C:$C=$L260),'env Parameter'!D:D,""),"")</f>
        <v>안양천-13</v>
      </c>
      <c r="N260" s="10" t="str" cm="1">
        <f t="array" ref="N260">IFERROR(_xlfn.XLOOKUP(1,('env Parameter'!$A:$A=$A260)*('env Parameter'!$B:$B=$K260)*('env Parameter'!$C:$C=$L260),'env Parameter'!I:I,""),"")</f>
        <v>YR</v>
      </c>
    </row>
    <row r="261" spans="1:14">
      <c r="A261">
        <f>eDNA!A261</f>
        <v>20200717</v>
      </c>
      <c r="B261" s="10" t="str" cm="1">
        <f t="array" ref="B261">IFERROR(_xlfn.XLOOKUP(1,('env Parameter'!$A:$A=$A261)*('env Parameter'!$B:$B=$K261)*('env Parameter'!$C:$C=$L261),'env Parameter'!H:H,""),"")</f>
        <v>생물상 조사</v>
      </c>
      <c r="C261" s="10" cm="1">
        <f t="array" ref="C261">IFERROR(_xlfn.XLOOKUP(1,('env Parameter'!$A:$A=$A261)*('env Parameter'!$B:$B=$K261)*('env Parameter'!$C:$C=$L261),'env Parameter'!E:E,""),"")</f>
        <v>2.14</v>
      </c>
      <c r="D261" s="10" cm="1">
        <f t="array" ref="D261">IFERROR(_xlfn.XLOOKUP(1,('env Parameter'!$A:$A=$A261)*('env Parameter'!$B:$B=$K261)*('env Parameter'!$C:$C=$L261),'env Parameter'!F:F,""),"")</f>
        <v>478</v>
      </c>
      <c r="E261" s="10" cm="1">
        <f t="array" ref="E261">IFERROR(_xlfn.XLOOKUP(1,('env Parameter'!$A:$A=$A261)*('env Parameter'!$B:$B=$K261)*('env Parameter'!$C:$C=$L261),'env Parameter'!G:G,""),"")</f>
        <v>7.6</v>
      </c>
      <c r="F261" t="str">
        <f>eDNA!F261</f>
        <v>MiFish</v>
      </c>
      <c r="G261" t="str">
        <f>eDNA!D261</f>
        <v>Channa argus</v>
      </c>
      <c r="H261" t="str">
        <f>_xlfn.XLOOKUP(G261,'Common name (master file)'!$B:$B,'Common name (master file)'!$A:$A,"-------------")</f>
        <v>가물치</v>
      </c>
      <c r="I261">
        <f>eDNA!E261</f>
        <v>606</v>
      </c>
      <c r="J261" t="str">
        <f>_xlfn.XLOOKUP(G261,'Common name (master file)'!$B:$B,'Common name (master file)'!$C:$C,"")</f>
        <v>어류</v>
      </c>
      <c r="K261">
        <f>eDNA!B261</f>
        <v>126.87358690000001</v>
      </c>
      <c r="L261">
        <f>eDNA!C261</f>
        <v>37.508467699999997</v>
      </c>
      <c r="M261" s="10" t="str" cm="1">
        <f t="array" ref="M261">IFERROR(_xlfn.XLOOKUP(1,('env Parameter'!$A:$A=$A261)*('env Parameter'!$B:$B=$K261)*('env Parameter'!$C:$C=$L261),'env Parameter'!D:D,""),"")</f>
        <v>안양천-13</v>
      </c>
      <c r="N261" s="10" t="str" cm="1">
        <f t="array" ref="N261">IFERROR(_xlfn.XLOOKUP(1,('env Parameter'!$A:$A=$A261)*('env Parameter'!$B:$B=$K261)*('env Parameter'!$C:$C=$L261),'env Parameter'!I:I,""),"")</f>
        <v>YR</v>
      </c>
    </row>
    <row r="262" spans="1:14">
      <c r="A262">
        <f>eDNA!A262</f>
        <v>20200717</v>
      </c>
      <c r="B262" s="10" t="str" cm="1">
        <f t="array" ref="B262">IFERROR(_xlfn.XLOOKUP(1,('env Parameter'!$A:$A=$A262)*('env Parameter'!$B:$B=$K262)*('env Parameter'!$C:$C=$L262),'env Parameter'!H:H,""),"")</f>
        <v>생물상 조사</v>
      </c>
      <c r="C262" s="10" cm="1">
        <f t="array" ref="C262">IFERROR(_xlfn.XLOOKUP(1,('env Parameter'!$A:$A=$A262)*('env Parameter'!$B:$B=$K262)*('env Parameter'!$C:$C=$L262),'env Parameter'!E:E,""),"")</f>
        <v>2.14</v>
      </c>
      <c r="D262" s="10" cm="1">
        <f t="array" ref="D262">IFERROR(_xlfn.XLOOKUP(1,('env Parameter'!$A:$A=$A262)*('env Parameter'!$B:$B=$K262)*('env Parameter'!$C:$C=$L262),'env Parameter'!F:F,""),"")</f>
        <v>478</v>
      </c>
      <c r="E262" s="10" cm="1">
        <f t="array" ref="E262">IFERROR(_xlfn.XLOOKUP(1,('env Parameter'!$A:$A=$A262)*('env Parameter'!$B:$B=$K262)*('env Parameter'!$C:$C=$L262),'env Parameter'!G:G,""),"")</f>
        <v>7.6</v>
      </c>
      <c r="F262" t="str">
        <f>eDNA!F262</f>
        <v>MiFish</v>
      </c>
      <c r="G262" t="str">
        <f>eDNA!D262</f>
        <v>Carassius sp.</v>
      </c>
      <c r="H262" t="str">
        <f>_xlfn.XLOOKUP(G262,'Common name (master file)'!$B:$B,'Common name (master file)'!$A:$A,"-------------")</f>
        <v>붕어 속</v>
      </c>
      <c r="I262">
        <f>eDNA!E262</f>
        <v>1065</v>
      </c>
      <c r="J262" t="str">
        <f>_xlfn.XLOOKUP(G262,'Common name (master file)'!$B:$B,'Common name (master file)'!$C:$C,"")</f>
        <v>어류</v>
      </c>
      <c r="K262">
        <f>eDNA!B262</f>
        <v>126.87358690000001</v>
      </c>
      <c r="L262">
        <f>eDNA!C262</f>
        <v>37.508467699999997</v>
      </c>
      <c r="M262" s="10" t="str" cm="1">
        <f t="array" ref="M262">IFERROR(_xlfn.XLOOKUP(1,('env Parameter'!$A:$A=$A262)*('env Parameter'!$B:$B=$K262)*('env Parameter'!$C:$C=$L262),'env Parameter'!D:D,""),"")</f>
        <v>안양천-13</v>
      </c>
      <c r="N262" s="10" t="str" cm="1">
        <f t="array" ref="N262">IFERROR(_xlfn.XLOOKUP(1,('env Parameter'!$A:$A=$A262)*('env Parameter'!$B:$B=$K262)*('env Parameter'!$C:$C=$L262),'env Parameter'!I:I,""),"")</f>
        <v>YR</v>
      </c>
    </row>
    <row r="263" spans="1:14">
      <c r="A263">
        <f>eDNA!A263</f>
        <v>20200717</v>
      </c>
      <c r="B263" s="10" t="str" cm="1">
        <f t="array" ref="B263">IFERROR(_xlfn.XLOOKUP(1,('env Parameter'!$A:$A=$A263)*('env Parameter'!$B:$B=$K263)*('env Parameter'!$C:$C=$L263),'env Parameter'!H:H,""),"")</f>
        <v>생물상 조사</v>
      </c>
      <c r="C263" s="10" cm="1">
        <f t="array" ref="C263">IFERROR(_xlfn.XLOOKUP(1,('env Parameter'!$A:$A=$A263)*('env Parameter'!$B:$B=$K263)*('env Parameter'!$C:$C=$L263),'env Parameter'!E:E,""),"")</f>
        <v>2.14</v>
      </c>
      <c r="D263" s="10" cm="1">
        <f t="array" ref="D263">IFERROR(_xlfn.XLOOKUP(1,('env Parameter'!$A:$A=$A263)*('env Parameter'!$B:$B=$K263)*('env Parameter'!$C:$C=$L263),'env Parameter'!F:F,""),"")</f>
        <v>478</v>
      </c>
      <c r="E263" s="10" cm="1">
        <f t="array" ref="E263">IFERROR(_xlfn.XLOOKUP(1,('env Parameter'!$A:$A=$A263)*('env Parameter'!$B:$B=$K263)*('env Parameter'!$C:$C=$L263),'env Parameter'!G:G,""),"")</f>
        <v>7.6</v>
      </c>
      <c r="F263" t="str">
        <f>eDNA!F263</f>
        <v>MiFish</v>
      </c>
      <c r="G263" t="str">
        <f>eDNA!D263</f>
        <v>Silurus soldatovi</v>
      </c>
      <c r="H263" t="str">
        <f>_xlfn.XLOOKUP(G263,'Common name (master file)'!$B:$B,'Common name (master file)'!$A:$A,"-------------")</f>
        <v>솔다토비 메기</v>
      </c>
      <c r="I263">
        <f>eDNA!E263</f>
        <v>1115</v>
      </c>
      <c r="J263" t="str">
        <f>_xlfn.XLOOKUP(G263,'Common name (master file)'!$B:$B,'Common name (master file)'!$C:$C,"")</f>
        <v>어류</v>
      </c>
      <c r="K263">
        <f>eDNA!B263</f>
        <v>126.87358690000001</v>
      </c>
      <c r="L263">
        <f>eDNA!C263</f>
        <v>37.508467699999997</v>
      </c>
      <c r="M263" s="10" t="str" cm="1">
        <f t="array" ref="M263">IFERROR(_xlfn.XLOOKUP(1,('env Parameter'!$A:$A=$A263)*('env Parameter'!$B:$B=$K263)*('env Parameter'!$C:$C=$L263),'env Parameter'!D:D,""),"")</f>
        <v>안양천-13</v>
      </c>
      <c r="N263" s="10" t="str" cm="1">
        <f t="array" ref="N263">IFERROR(_xlfn.XLOOKUP(1,('env Parameter'!$A:$A=$A263)*('env Parameter'!$B:$B=$K263)*('env Parameter'!$C:$C=$L263),'env Parameter'!I:I,""),"")</f>
        <v>YR</v>
      </c>
    </row>
    <row r="264" spans="1:14">
      <c r="A264">
        <f>eDNA!A264</f>
        <v>20200717</v>
      </c>
      <c r="B264" s="10" t="str" cm="1">
        <f t="array" ref="B264">IFERROR(_xlfn.XLOOKUP(1,('env Parameter'!$A:$A=$A264)*('env Parameter'!$B:$B=$K264)*('env Parameter'!$C:$C=$L264),'env Parameter'!H:H,""),"")</f>
        <v>생물상 조사</v>
      </c>
      <c r="C264" s="10" cm="1">
        <f t="array" ref="C264">IFERROR(_xlfn.XLOOKUP(1,('env Parameter'!$A:$A=$A264)*('env Parameter'!$B:$B=$K264)*('env Parameter'!$C:$C=$L264),'env Parameter'!E:E,""),"")</f>
        <v>2.14</v>
      </c>
      <c r="D264" s="10" cm="1">
        <f t="array" ref="D264">IFERROR(_xlfn.XLOOKUP(1,('env Parameter'!$A:$A=$A264)*('env Parameter'!$B:$B=$K264)*('env Parameter'!$C:$C=$L264),'env Parameter'!F:F,""),"")</f>
        <v>478</v>
      </c>
      <c r="E264" s="10" cm="1">
        <f t="array" ref="E264">IFERROR(_xlfn.XLOOKUP(1,('env Parameter'!$A:$A=$A264)*('env Parameter'!$B:$B=$K264)*('env Parameter'!$C:$C=$L264),'env Parameter'!G:G,""),"")</f>
        <v>7.6</v>
      </c>
      <c r="F264" t="str">
        <f>eDNA!F264</f>
        <v>MiFish</v>
      </c>
      <c r="G264" t="str">
        <f>eDNA!D264</f>
        <v>Acheilognathus macropterus</v>
      </c>
      <c r="H264" t="str">
        <f>_xlfn.XLOOKUP(G264,'Common name (master file)'!$B:$B,'Common name (master file)'!$A:$A,"-------------")</f>
        <v>큰납지리</v>
      </c>
      <c r="I264">
        <f>eDNA!E264</f>
        <v>1455</v>
      </c>
      <c r="J264" t="str">
        <f>_xlfn.XLOOKUP(G264,'Common name (master file)'!$B:$B,'Common name (master file)'!$C:$C,"")</f>
        <v>어류</v>
      </c>
      <c r="K264">
        <f>eDNA!B264</f>
        <v>126.87358690000001</v>
      </c>
      <c r="L264">
        <f>eDNA!C264</f>
        <v>37.508467699999997</v>
      </c>
      <c r="M264" s="10" t="str" cm="1">
        <f t="array" ref="M264">IFERROR(_xlfn.XLOOKUP(1,('env Parameter'!$A:$A=$A264)*('env Parameter'!$B:$B=$K264)*('env Parameter'!$C:$C=$L264),'env Parameter'!D:D,""),"")</f>
        <v>안양천-13</v>
      </c>
      <c r="N264" s="10" t="str" cm="1">
        <f t="array" ref="N264">IFERROR(_xlfn.XLOOKUP(1,('env Parameter'!$A:$A=$A264)*('env Parameter'!$B:$B=$K264)*('env Parameter'!$C:$C=$L264),'env Parameter'!I:I,""),"")</f>
        <v>YR</v>
      </c>
    </row>
    <row r="265" spans="1:14">
      <c r="A265">
        <f>eDNA!A265</f>
        <v>20200717</v>
      </c>
      <c r="B265" s="10" t="str" cm="1">
        <f t="array" ref="B265">IFERROR(_xlfn.XLOOKUP(1,('env Parameter'!$A:$A=$A265)*('env Parameter'!$B:$B=$K265)*('env Parameter'!$C:$C=$L265),'env Parameter'!H:H,""),"")</f>
        <v>생물상 조사</v>
      </c>
      <c r="C265" s="10" cm="1">
        <f t="array" ref="C265">IFERROR(_xlfn.XLOOKUP(1,('env Parameter'!$A:$A=$A265)*('env Parameter'!$B:$B=$K265)*('env Parameter'!$C:$C=$L265),'env Parameter'!E:E,""),"")</f>
        <v>2.14</v>
      </c>
      <c r="D265" s="10" cm="1">
        <f t="array" ref="D265">IFERROR(_xlfn.XLOOKUP(1,('env Parameter'!$A:$A=$A265)*('env Parameter'!$B:$B=$K265)*('env Parameter'!$C:$C=$L265),'env Parameter'!F:F,""),"")</f>
        <v>478</v>
      </c>
      <c r="E265" s="10" cm="1">
        <f t="array" ref="E265">IFERROR(_xlfn.XLOOKUP(1,('env Parameter'!$A:$A=$A265)*('env Parameter'!$B:$B=$K265)*('env Parameter'!$C:$C=$L265),'env Parameter'!G:G,""),"")</f>
        <v>7.6</v>
      </c>
      <c r="F265" t="str">
        <f>eDNA!F265</f>
        <v>MiFish</v>
      </c>
      <c r="G265" t="str">
        <f>eDNA!D265</f>
        <v>Odontobutis interrupta</v>
      </c>
      <c r="H265" t="str">
        <f>_xlfn.XLOOKUP(G265,'Common name (master file)'!$B:$B,'Common name (master file)'!$A:$A,"-------------")</f>
        <v>얼록동사리</v>
      </c>
      <c r="I265">
        <f>eDNA!E265</f>
        <v>2573</v>
      </c>
      <c r="J265" t="str">
        <f>_xlfn.XLOOKUP(G265,'Common name (master file)'!$B:$B,'Common name (master file)'!$C:$C,"")</f>
        <v>어류</v>
      </c>
      <c r="K265">
        <f>eDNA!B265</f>
        <v>126.87358690000001</v>
      </c>
      <c r="L265">
        <f>eDNA!C265</f>
        <v>37.508467699999997</v>
      </c>
      <c r="M265" s="10" t="str" cm="1">
        <f t="array" ref="M265">IFERROR(_xlfn.XLOOKUP(1,('env Parameter'!$A:$A=$A265)*('env Parameter'!$B:$B=$K265)*('env Parameter'!$C:$C=$L265),'env Parameter'!D:D,""),"")</f>
        <v>안양천-13</v>
      </c>
      <c r="N265" s="10" t="str" cm="1">
        <f t="array" ref="N265">IFERROR(_xlfn.XLOOKUP(1,('env Parameter'!$A:$A=$A265)*('env Parameter'!$B:$B=$K265)*('env Parameter'!$C:$C=$L265),'env Parameter'!I:I,""),"")</f>
        <v>YR</v>
      </c>
    </row>
    <row r="266" spans="1:14">
      <c r="A266">
        <f>eDNA!A266</f>
        <v>20200717</v>
      </c>
      <c r="B266" s="10" t="str" cm="1">
        <f t="array" ref="B266">IFERROR(_xlfn.XLOOKUP(1,('env Parameter'!$A:$A=$A266)*('env Parameter'!$B:$B=$K266)*('env Parameter'!$C:$C=$L266),'env Parameter'!H:H,""),"")</f>
        <v>생물상 조사</v>
      </c>
      <c r="C266" s="10" cm="1">
        <f t="array" ref="C266">IFERROR(_xlfn.XLOOKUP(1,('env Parameter'!$A:$A=$A266)*('env Parameter'!$B:$B=$K266)*('env Parameter'!$C:$C=$L266),'env Parameter'!E:E,""),"")</f>
        <v>2.14</v>
      </c>
      <c r="D266" s="10" cm="1">
        <f t="array" ref="D266">IFERROR(_xlfn.XLOOKUP(1,('env Parameter'!$A:$A=$A266)*('env Parameter'!$B:$B=$K266)*('env Parameter'!$C:$C=$L266),'env Parameter'!F:F,""),"")</f>
        <v>478</v>
      </c>
      <c r="E266" s="10" cm="1">
        <f t="array" ref="E266">IFERROR(_xlfn.XLOOKUP(1,('env Parameter'!$A:$A=$A266)*('env Parameter'!$B:$B=$K266)*('env Parameter'!$C:$C=$L266),'env Parameter'!G:G,""),"")</f>
        <v>7.6</v>
      </c>
      <c r="F266" t="str">
        <f>eDNA!F266</f>
        <v>MiFish</v>
      </c>
      <c r="G266" t="str">
        <f>eDNA!D266</f>
        <v>Synechogobius hasta</v>
      </c>
      <c r="H266" t="str">
        <f>_xlfn.XLOOKUP(G266,'Common name (master file)'!$B:$B,'Common name (master file)'!$A:$A,"-------------")</f>
        <v>풀망둑</v>
      </c>
      <c r="I266">
        <f>eDNA!E266</f>
        <v>3050</v>
      </c>
      <c r="J266" t="str">
        <f>_xlfn.XLOOKUP(G266,'Common name (master file)'!$B:$B,'Common name (master file)'!$C:$C,"")</f>
        <v>어류</v>
      </c>
      <c r="K266">
        <f>eDNA!B266</f>
        <v>126.87358690000001</v>
      </c>
      <c r="L266">
        <f>eDNA!C266</f>
        <v>37.508467699999997</v>
      </c>
      <c r="M266" s="10" t="str" cm="1">
        <f t="array" ref="M266">IFERROR(_xlfn.XLOOKUP(1,('env Parameter'!$A:$A=$A266)*('env Parameter'!$B:$B=$K266)*('env Parameter'!$C:$C=$L266),'env Parameter'!D:D,""),"")</f>
        <v>안양천-13</v>
      </c>
      <c r="N266" s="10" t="str" cm="1">
        <f t="array" ref="N266">IFERROR(_xlfn.XLOOKUP(1,('env Parameter'!$A:$A=$A266)*('env Parameter'!$B:$B=$K266)*('env Parameter'!$C:$C=$L266),'env Parameter'!I:I,""),"")</f>
        <v>YR</v>
      </c>
    </row>
    <row r="267" spans="1:14">
      <c r="A267">
        <f>eDNA!A267</f>
        <v>20200717</v>
      </c>
      <c r="B267" s="10" t="str" cm="1">
        <f t="array" ref="B267">IFERROR(_xlfn.XLOOKUP(1,('env Parameter'!$A:$A=$A267)*('env Parameter'!$B:$B=$K267)*('env Parameter'!$C:$C=$L267),'env Parameter'!H:H,""),"")</f>
        <v>생물상 조사</v>
      </c>
      <c r="C267" s="10" cm="1">
        <f t="array" ref="C267">IFERROR(_xlfn.XLOOKUP(1,('env Parameter'!$A:$A=$A267)*('env Parameter'!$B:$B=$K267)*('env Parameter'!$C:$C=$L267),'env Parameter'!E:E,""),"")</f>
        <v>2.14</v>
      </c>
      <c r="D267" s="10" cm="1">
        <f t="array" ref="D267">IFERROR(_xlfn.XLOOKUP(1,('env Parameter'!$A:$A=$A267)*('env Parameter'!$B:$B=$K267)*('env Parameter'!$C:$C=$L267),'env Parameter'!F:F,""),"")</f>
        <v>478</v>
      </c>
      <c r="E267" s="10" cm="1">
        <f t="array" ref="E267">IFERROR(_xlfn.XLOOKUP(1,('env Parameter'!$A:$A=$A267)*('env Parameter'!$B:$B=$K267)*('env Parameter'!$C:$C=$L267),'env Parameter'!G:G,""),"")</f>
        <v>7.6</v>
      </c>
      <c r="F267" t="str">
        <f>eDNA!F267</f>
        <v>MiFish</v>
      </c>
      <c r="G267" t="str">
        <f>eDNA!D267</f>
        <v>Pseudorasbora parva</v>
      </c>
      <c r="H267" t="str">
        <f>_xlfn.XLOOKUP(G267,'Common name (master file)'!$B:$B,'Common name (master file)'!$A:$A,"-------------")</f>
        <v>참붕어</v>
      </c>
      <c r="I267">
        <f>eDNA!E267</f>
        <v>9935</v>
      </c>
      <c r="J267" t="str">
        <f>_xlfn.XLOOKUP(G267,'Common name (master file)'!$B:$B,'Common name (master file)'!$C:$C,"")</f>
        <v>어류</v>
      </c>
      <c r="K267">
        <f>eDNA!B267</f>
        <v>126.87358690000001</v>
      </c>
      <c r="L267">
        <f>eDNA!C267</f>
        <v>37.508467699999997</v>
      </c>
      <c r="M267" s="10" t="str" cm="1">
        <f t="array" ref="M267">IFERROR(_xlfn.XLOOKUP(1,('env Parameter'!$A:$A=$A267)*('env Parameter'!$B:$B=$K267)*('env Parameter'!$C:$C=$L267),'env Parameter'!D:D,""),"")</f>
        <v>안양천-13</v>
      </c>
      <c r="N267" s="10" t="str" cm="1">
        <f t="array" ref="N267">IFERROR(_xlfn.XLOOKUP(1,('env Parameter'!$A:$A=$A267)*('env Parameter'!$B:$B=$K267)*('env Parameter'!$C:$C=$L267),'env Parameter'!I:I,""),"")</f>
        <v>YR</v>
      </c>
    </row>
    <row r="268" spans="1:14">
      <c r="A268">
        <f>eDNA!A268</f>
        <v>20200717</v>
      </c>
      <c r="B268" s="10" t="str" cm="1">
        <f t="array" ref="B268">IFERROR(_xlfn.XLOOKUP(1,('env Parameter'!$A:$A=$A268)*('env Parameter'!$B:$B=$K268)*('env Parameter'!$C:$C=$L268),'env Parameter'!H:H,""),"")</f>
        <v>생물상 조사</v>
      </c>
      <c r="C268" s="10" cm="1">
        <f t="array" ref="C268">IFERROR(_xlfn.XLOOKUP(1,('env Parameter'!$A:$A=$A268)*('env Parameter'!$B:$B=$K268)*('env Parameter'!$C:$C=$L268),'env Parameter'!E:E,""),"")</f>
        <v>2.14</v>
      </c>
      <c r="D268" s="10" cm="1">
        <f t="array" ref="D268">IFERROR(_xlfn.XLOOKUP(1,('env Parameter'!$A:$A=$A268)*('env Parameter'!$B:$B=$K268)*('env Parameter'!$C:$C=$L268),'env Parameter'!F:F,""),"")</f>
        <v>478</v>
      </c>
      <c r="E268" s="10" cm="1">
        <f t="array" ref="E268">IFERROR(_xlfn.XLOOKUP(1,('env Parameter'!$A:$A=$A268)*('env Parameter'!$B:$B=$K268)*('env Parameter'!$C:$C=$L268),'env Parameter'!G:G,""),"")</f>
        <v>7.6</v>
      </c>
      <c r="F268" t="str">
        <f>eDNA!F268</f>
        <v>MiFish</v>
      </c>
      <c r="G268" t="str">
        <f>eDNA!D268</f>
        <v>Carassius gibelio</v>
      </c>
      <c r="H268" t="str">
        <f>_xlfn.XLOOKUP(G268,'Common name (master file)'!$B:$B,'Common name (master file)'!$A:$A,"-------------")</f>
        <v>기벨리오 붕어</v>
      </c>
      <c r="I268">
        <f>eDNA!E268</f>
        <v>22831</v>
      </c>
      <c r="J268" t="str">
        <f>_xlfn.XLOOKUP(G268,'Common name (master file)'!$B:$B,'Common name (master file)'!$C:$C,"")</f>
        <v>어류</v>
      </c>
      <c r="K268">
        <f>eDNA!B268</f>
        <v>126.87358690000001</v>
      </c>
      <c r="L268">
        <f>eDNA!C268</f>
        <v>37.508467699999997</v>
      </c>
      <c r="M268" s="10" t="str" cm="1">
        <f t="array" ref="M268">IFERROR(_xlfn.XLOOKUP(1,('env Parameter'!$A:$A=$A268)*('env Parameter'!$B:$B=$K268)*('env Parameter'!$C:$C=$L268),'env Parameter'!D:D,""),"")</f>
        <v>안양천-13</v>
      </c>
      <c r="N268" s="10" t="str" cm="1">
        <f t="array" ref="N268">IFERROR(_xlfn.XLOOKUP(1,('env Parameter'!$A:$A=$A268)*('env Parameter'!$B:$B=$K268)*('env Parameter'!$C:$C=$L268),'env Parameter'!I:I,""),"")</f>
        <v>YR</v>
      </c>
    </row>
    <row r="269" spans="1:14">
      <c r="A269">
        <f>eDNA!A269</f>
        <v>20200717</v>
      </c>
      <c r="B269" s="10" t="str" cm="1">
        <f t="array" ref="B269">IFERROR(_xlfn.XLOOKUP(1,('env Parameter'!$A:$A=$A269)*('env Parameter'!$B:$B=$K269)*('env Parameter'!$C:$C=$L269),'env Parameter'!H:H,""),"")</f>
        <v>생물상 조사</v>
      </c>
      <c r="C269" s="10" cm="1">
        <f t="array" ref="C269">IFERROR(_xlfn.XLOOKUP(1,('env Parameter'!$A:$A=$A269)*('env Parameter'!$B:$B=$K269)*('env Parameter'!$C:$C=$L269),'env Parameter'!E:E,""),"")</f>
        <v>2.14</v>
      </c>
      <c r="D269" s="10" cm="1">
        <f t="array" ref="D269">IFERROR(_xlfn.XLOOKUP(1,('env Parameter'!$A:$A=$A269)*('env Parameter'!$B:$B=$K269)*('env Parameter'!$C:$C=$L269),'env Parameter'!F:F,""),"")</f>
        <v>478</v>
      </c>
      <c r="E269" s="10" cm="1">
        <f t="array" ref="E269">IFERROR(_xlfn.XLOOKUP(1,('env Parameter'!$A:$A=$A269)*('env Parameter'!$B:$B=$K269)*('env Parameter'!$C:$C=$L269),'env Parameter'!G:G,""),"")</f>
        <v>7.6</v>
      </c>
      <c r="F269" t="str">
        <f>eDNA!F269</f>
        <v>MiFish</v>
      </c>
      <c r="G269" t="str">
        <f>eDNA!D269</f>
        <v>Lophius litulon</v>
      </c>
      <c r="H269" t="str">
        <f>_xlfn.XLOOKUP(G269,'Common name (master file)'!$B:$B,'Common name (master file)'!$A:$A,"-------------")</f>
        <v>황아귀</v>
      </c>
      <c r="I269">
        <f>eDNA!E269</f>
        <v>13</v>
      </c>
      <c r="J269" t="str">
        <f>_xlfn.XLOOKUP(G269,'Common name (master file)'!$B:$B,'Common name (master file)'!$C:$C,"")</f>
        <v>어류</v>
      </c>
      <c r="K269">
        <f>eDNA!B269</f>
        <v>126.8797805</v>
      </c>
      <c r="L269">
        <f>eDNA!C269</f>
        <v>37.523914499999997</v>
      </c>
      <c r="M269" s="10" t="str" cm="1">
        <f t="array" ref="M269">IFERROR(_xlfn.XLOOKUP(1,('env Parameter'!$A:$A=$A269)*('env Parameter'!$B:$B=$K269)*('env Parameter'!$C:$C=$L269),'env Parameter'!D:D,""),"")</f>
        <v>안양천-15</v>
      </c>
      <c r="N269" s="10" t="str" cm="1">
        <f t="array" ref="N269">IFERROR(_xlfn.XLOOKUP(1,('env Parameter'!$A:$A=$A269)*('env Parameter'!$B:$B=$K269)*('env Parameter'!$C:$C=$L269),'env Parameter'!I:I,""),"")</f>
        <v>YR</v>
      </c>
    </row>
    <row r="270" spans="1:14">
      <c r="A270">
        <f>eDNA!A270</f>
        <v>20200717</v>
      </c>
      <c r="B270" s="10" t="str" cm="1">
        <f t="array" ref="B270">IFERROR(_xlfn.XLOOKUP(1,('env Parameter'!$A:$A=$A270)*('env Parameter'!$B:$B=$K270)*('env Parameter'!$C:$C=$L270),'env Parameter'!H:H,""),"")</f>
        <v>생물상 조사</v>
      </c>
      <c r="C270" s="10" cm="1">
        <f t="array" ref="C270">IFERROR(_xlfn.XLOOKUP(1,('env Parameter'!$A:$A=$A270)*('env Parameter'!$B:$B=$K270)*('env Parameter'!$C:$C=$L270),'env Parameter'!E:E,""),"")</f>
        <v>2.14</v>
      </c>
      <c r="D270" s="10" cm="1">
        <f t="array" ref="D270">IFERROR(_xlfn.XLOOKUP(1,('env Parameter'!$A:$A=$A270)*('env Parameter'!$B:$B=$K270)*('env Parameter'!$C:$C=$L270),'env Parameter'!F:F,""),"")</f>
        <v>478</v>
      </c>
      <c r="E270" s="10" cm="1">
        <f t="array" ref="E270">IFERROR(_xlfn.XLOOKUP(1,('env Parameter'!$A:$A=$A270)*('env Parameter'!$B:$B=$K270)*('env Parameter'!$C:$C=$L270),'env Parameter'!G:G,""),"")</f>
        <v>7.6</v>
      </c>
      <c r="F270" t="str">
        <f>eDNA!F270</f>
        <v>MiFish</v>
      </c>
      <c r="G270" t="str">
        <f>eDNA!D270</f>
        <v>Chanodichthys mongolicus</v>
      </c>
      <c r="H270" t="str">
        <f>_xlfn.XLOOKUP(G270,'Common name (master file)'!$B:$B,'Common name (master file)'!$A:$A,"-------------")</f>
        <v>몽골붕어</v>
      </c>
      <c r="I270">
        <f>eDNA!E270</f>
        <v>34</v>
      </c>
      <c r="J270" t="str">
        <f>_xlfn.XLOOKUP(G270,'Common name (master file)'!$B:$B,'Common name (master file)'!$C:$C,"")</f>
        <v>어류</v>
      </c>
      <c r="K270">
        <f>eDNA!B270</f>
        <v>126.8797805</v>
      </c>
      <c r="L270">
        <f>eDNA!C270</f>
        <v>37.523914499999997</v>
      </c>
      <c r="M270" s="10" t="str" cm="1">
        <f t="array" ref="M270">IFERROR(_xlfn.XLOOKUP(1,('env Parameter'!$A:$A=$A270)*('env Parameter'!$B:$B=$K270)*('env Parameter'!$C:$C=$L270),'env Parameter'!D:D,""),"")</f>
        <v>안양천-15</v>
      </c>
      <c r="N270" s="10" t="str" cm="1">
        <f t="array" ref="N270">IFERROR(_xlfn.XLOOKUP(1,('env Parameter'!$A:$A=$A270)*('env Parameter'!$B:$B=$K270)*('env Parameter'!$C:$C=$L270),'env Parameter'!I:I,""),"")</f>
        <v>YR</v>
      </c>
    </row>
    <row r="271" spans="1:14">
      <c r="A271">
        <f>eDNA!A271</f>
        <v>20200717</v>
      </c>
      <c r="B271" s="10" t="str" cm="1">
        <f t="array" ref="B271">IFERROR(_xlfn.XLOOKUP(1,('env Parameter'!$A:$A=$A271)*('env Parameter'!$B:$B=$K271)*('env Parameter'!$C:$C=$L271),'env Parameter'!H:H,""),"")</f>
        <v>생물상 조사</v>
      </c>
      <c r="C271" s="10" cm="1">
        <f t="array" ref="C271">IFERROR(_xlfn.XLOOKUP(1,('env Parameter'!$A:$A=$A271)*('env Parameter'!$B:$B=$K271)*('env Parameter'!$C:$C=$L271),'env Parameter'!E:E,""),"")</f>
        <v>2.14</v>
      </c>
      <c r="D271" s="10" cm="1">
        <f t="array" ref="D271">IFERROR(_xlfn.XLOOKUP(1,('env Parameter'!$A:$A=$A271)*('env Parameter'!$B:$B=$K271)*('env Parameter'!$C:$C=$L271),'env Parameter'!F:F,""),"")</f>
        <v>478</v>
      </c>
      <c r="E271" s="10" cm="1">
        <f t="array" ref="E271">IFERROR(_xlfn.XLOOKUP(1,('env Parameter'!$A:$A=$A271)*('env Parameter'!$B:$B=$K271)*('env Parameter'!$C:$C=$L271),'env Parameter'!G:G,""),"")</f>
        <v>7.6</v>
      </c>
      <c r="F271" t="str">
        <f>eDNA!F271</f>
        <v>MiFish</v>
      </c>
      <c r="G271" t="str">
        <f>eDNA!D271</f>
        <v>Lateolabrax maculatus</v>
      </c>
      <c r="H271" t="str">
        <f>_xlfn.XLOOKUP(G271,'Common name (master file)'!$B:$B,'Common name (master file)'!$A:$A,"-------------")</f>
        <v>점농어</v>
      </c>
      <c r="I271">
        <f>eDNA!E271</f>
        <v>20</v>
      </c>
      <c r="J271" t="str">
        <f>_xlfn.XLOOKUP(G271,'Common name (master file)'!$B:$B,'Common name (master file)'!$C:$C,"")</f>
        <v>어류</v>
      </c>
      <c r="K271">
        <f>eDNA!B271</f>
        <v>126.8797805</v>
      </c>
      <c r="L271">
        <f>eDNA!C271</f>
        <v>37.523914499999997</v>
      </c>
      <c r="M271" s="10" t="str" cm="1">
        <f t="array" ref="M271">IFERROR(_xlfn.XLOOKUP(1,('env Parameter'!$A:$A=$A271)*('env Parameter'!$B:$B=$K271)*('env Parameter'!$C:$C=$L271),'env Parameter'!D:D,""),"")</f>
        <v>안양천-15</v>
      </c>
      <c r="N271" s="10" t="str" cm="1">
        <f t="array" ref="N271">IFERROR(_xlfn.XLOOKUP(1,('env Parameter'!$A:$A=$A271)*('env Parameter'!$B:$B=$K271)*('env Parameter'!$C:$C=$L271),'env Parameter'!I:I,""),"")</f>
        <v>YR</v>
      </c>
    </row>
    <row r="272" spans="1:14">
      <c r="A272">
        <f>eDNA!A272</f>
        <v>20200717</v>
      </c>
      <c r="B272" s="10" t="str" cm="1">
        <f t="array" ref="B272">IFERROR(_xlfn.XLOOKUP(1,('env Parameter'!$A:$A=$A272)*('env Parameter'!$B:$B=$K272)*('env Parameter'!$C:$C=$L272),'env Parameter'!H:H,""),"")</f>
        <v>생물상 조사</v>
      </c>
      <c r="C272" s="10" cm="1">
        <f t="array" ref="C272">IFERROR(_xlfn.XLOOKUP(1,('env Parameter'!$A:$A=$A272)*('env Parameter'!$B:$B=$K272)*('env Parameter'!$C:$C=$L272),'env Parameter'!E:E,""),"")</f>
        <v>2.14</v>
      </c>
      <c r="D272" s="10" cm="1">
        <f t="array" ref="D272">IFERROR(_xlfn.XLOOKUP(1,('env Parameter'!$A:$A=$A272)*('env Parameter'!$B:$B=$K272)*('env Parameter'!$C:$C=$L272),'env Parameter'!F:F,""),"")</f>
        <v>478</v>
      </c>
      <c r="E272" s="10" cm="1">
        <f t="array" ref="E272">IFERROR(_xlfn.XLOOKUP(1,('env Parameter'!$A:$A=$A272)*('env Parameter'!$B:$B=$K272)*('env Parameter'!$C:$C=$L272),'env Parameter'!G:G,""),"")</f>
        <v>7.6</v>
      </c>
      <c r="F272" t="str">
        <f>eDNA!F272</f>
        <v>MiFish</v>
      </c>
      <c r="G272" t="str">
        <f>eDNA!D272</f>
        <v>Tadorna tadorna</v>
      </c>
      <c r="H272" t="str">
        <f>_xlfn.XLOOKUP(G272,'Common name (master file)'!$B:$B,'Common name (master file)'!$A:$A,"-------------")</f>
        <v>혹부리오리</v>
      </c>
      <c r="I272">
        <f>eDNA!E272</f>
        <v>21</v>
      </c>
      <c r="J272" t="str">
        <f>_xlfn.XLOOKUP(G272,'Common name (master file)'!$B:$B,'Common name (master file)'!$C:$C,"")</f>
        <v>조류</v>
      </c>
      <c r="K272">
        <f>eDNA!B272</f>
        <v>126.8797805</v>
      </c>
      <c r="L272">
        <f>eDNA!C272</f>
        <v>37.523914499999997</v>
      </c>
      <c r="M272" s="10" t="str" cm="1">
        <f t="array" ref="M272">IFERROR(_xlfn.XLOOKUP(1,('env Parameter'!$A:$A=$A272)*('env Parameter'!$B:$B=$K272)*('env Parameter'!$C:$C=$L272),'env Parameter'!D:D,""),"")</f>
        <v>안양천-15</v>
      </c>
      <c r="N272" s="10" t="str" cm="1">
        <f t="array" ref="N272">IFERROR(_xlfn.XLOOKUP(1,('env Parameter'!$A:$A=$A272)*('env Parameter'!$B:$B=$K272)*('env Parameter'!$C:$C=$L272),'env Parameter'!I:I,""),"")</f>
        <v>YR</v>
      </c>
    </row>
    <row r="273" spans="1:14">
      <c r="A273">
        <f>eDNA!A273</f>
        <v>20200717</v>
      </c>
      <c r="B273" s="10" t="str" cm="1">
        <f t="array" ref="B273">IFERROR(_xlfn.XLOOKUP(1,('env Parameter'!$A:$A=$A273)*('env Parameter'!$B:$B=$K273)*('env Parameter'!$C:$C=$L273),'env Parameter'!H:H,""),"")</f>
        <v>생물상 조사</v>
      </c>
      <c r="C273" s="10" cm="1">
        <f t="array" ref="C273">IFERROR(_xlfn.XLOOKUP(1,('env Parameter'!$A:$A=$A273)*('env Parameter'!$B:$B=$K273)*('env Parameter'!$C:$C=$L273),'env Parameter'!E:E,""),"")</f>
        <v>2.14</v>
      </c>
      <c r="D273" s="10" cm="1">
        <f t="array" ref="D273">IFERROR(_xlfn.XLOOKUP(1,('env Parameter'!$A:$A=$A273)*('env Parameter'!$B:$B=$K273)*('env Parameter'!$C:$C=$L273),'env Parameter'!F:F,""),"")</f>
        <v>478</v>
      </c>
      <c r="E273" s="10" cm="1">
        <f t="array" ref="E273">IFERROR(_xlfn.XLOOKUP(1,('env Parameter'!$A:$A=$A273)*('env Parameter'!$B:$B=$K273)*('env Parameter'!$C:$C=$L273),'env Parameter'!G:G,""),"")</f>
        <v>7.6</v>
      </c>
      <c r="F273" t="str">
        <f>eDNA!F273</f>
        <v>MiFish</v>
      </c>
      <c r="G273" t="str">
        <f>eDNA!D273</f>
        <v>Abbottina rivularis</v>
      </c>
      <c r="H273" t="str">
        <f>_xlfn.XLOOKUP(G273,'Common name (master file)'!$B:$B,'Common name (master file)'!$A:$A,"-------------")</f>
        <v>버들매치</v>
      </c>
      <c r="I273">
        <f>eDNA!E273</f>
        <v>28</v>
      </c>
      <c r="J273" t="str">
        <f>_xlfn.XLOOKUP(G273,'Common name (master file)'!$B:$B,'Common name (master file)'!$C:$C,"")</f>
        <v>어류</v>
      </c>
      <c r="K273">
        <f>eDNA!B273</f>
        <v>126.8797805</v>
      </c>
      <c r="L273">
        <f>eDNA!C273</f>
        <v>37.523914499999997</v>
      </c>
      <c r="M273" s="10" t="str" cm="1">
        <f t="array" ref="M273">IFERROR(_xlfn.XLOOKUP(1,('env Parameter'!$A:$A=$A273)*('env Parameter'!$B:$B=$K273)*('env Parameter'!$C:$C=$L273),'env Parameter'!D:D,""),"")</f>
        <v>안양천-15</v>
      </c>
      <c r="N273" s="10" t="str" cm="1">
        <f t="array" ref="N273">IFERROR(_xlfn.XLOOKUP(1,('env Parameter'!$A:$A=$A273)*('env Parameter'!$B:$B=$K273)*('env Parameter'!$C:$C=$L273),'env Parameter'!I:I,""),"")</f>
        <v>YR</v>
      </c>
    </row>
    <row r="274" spans="1:14">
      <c r="A274">
        <f>eDNA!A274</f>
        <v>20200717</v>
      </c>
      <c r="B274" s="10" t="str" cm="1">
        <f t="array" ref="B274">IFERROR(_xlfn.XLOOKUP(1,('env Parameter'!$A:$A=$A274)*('env Parameter'!$B:$B=$K274)*('env Parameter'!$C:$C=$L274),'env Parameter'!H:H,""),"")</f>
        <v>생물상 조사</v>
      </c>
      <c r="C274" s="10" cm="1">
        <f t="array" ref="C274">IFERROR(_xlfn.XLOOKUP(1,('env Parameter'!$A:$A=$A274)*('env Parameter'!$B:$B=$K274)*('env Parameter'!$C:$C=$L274),'env Parameter'!E:E,""),"")</f>
        <v>2.14</v>
      </c>
      <c r="D274" s="10" cm="1">
        <f t="array" ref="D274">IFERROR(_xlfn.XLOOKUP(1,('env Parameter'!$A:$A=$A274)*('env Parameter'!$B:$B=$K274)*('env Parameter'!$C:$C=$L274),'env Parameter'!F:F,""),"")</f>
        <v>478</v>
      </c>
      <c r="E274" s="10" cm="1">
        <f t="array" ref="E274">IFERROR(_xlfn.XLOOKUP(1,('env Parameter'!$A:$A=$A274)*('env Parameter'!$B:$B=$K274)*('env Parameter'!$C:$C=$L274),'env Parameter'!G:G,""),"")</f>
        <v>7.6</v>
      </c>
      <c r="F274" t="str">
        <f>eDNA!F274</f>
        <v>MiFish</v>
      </c>
      <c r="G274" t="str">
        <f>eDNA!D274</f>
        <v>Paramisgurnus dabryanus</v>
      </c>
      <c r="H274" t="str">
        <f>_xlfn.XLOOKUP(G274,'Common name (master file)'!$B:$B,'Common name (master file)'!$A:$A,"-------------")</f>
        <v>중국미꾸라지</v>
      </c>
      <c r="I274">
        <f>eDNA!E274</f>
        <v>47</v>
      </c>
      <c r="J274" t="str">
        <f>_xlfn.XLOOKUP(G274,'Common name (master file)'!$B:$B,'Common name (master file)'!$C:$C,"")</f>
        <v>어류</v>
      </c>
      <c r="K274">
        <f>eDNA!B274</f>
        <v>126.8797805</v>
      </c>
      <c r="L274">
        <f>eDNA!C274</f>
        <v>37.523914499999997</v>
      </c>
      <c r="M274" s="10" t="str" cm="1">
        <f t="array" ref="M274">IFERROR(_xlfn.XLOOKUP(1,('env Parameter'!$A:$A=$A274)*('env Parameter'!$B:$B=$K274)*('env Parameter'!$C:$C=$L274),'env Parameter'!D:D,""),"")</f>
        <v>안양천-15</v>
      </c>
      <c r="N274" s="10" t="str" cm="1">
        <f t="array" ref="N274">IFERROR(_xlfn.XLOOKUP(1,('env Parameter'!$A:$A=$A274)*('env Parameter'!$B:$B=$K274)*('env Parameter'!$C:$C=$L274),'env Parameter'!I:I,""),"")</f>
        <v>YR</v>
      </c>
    </row>
    <row r="275" spans="1:14">
      <c r="A275">
        <f>eDNA!A275</f>
        <v>20200717</v>
      </c>
      <c r="B275" s="10" t="str" cm="1">
        <f t="array" ref="B275">IFERROR(_xlfn.XLOOKUP(1,('env Parameter'!$A:$A=$A275)*('env Parameter'!$B:$B=$K275)*('env Parameter'!$C:$C=$L275),'env Parameter'!H:H,""),"")</f>
        <v>생물상 조사</v>
      </c>
      <c r="C275" s="10" cm="1">
        <f t="array" ref="C275">IFERROR(_xlfn.XLOOKUP(1,('env Parameter'!$A:$A=$A275)*('env Parameter'!$B:$B=$K275)*('env Parameter'!$C:$C=$L275),'env Parameter'!E:E,""),"")</f>
        <v>2.14</v>
      </c>
      <c r="D275" s="10" cm="1">
        <f t="array" ref="D275">IFERROR(_xlfn.XLOOKUP(1,('env Parameter'!$A:$A=$A275)*('env Parameter'!$B:$B=$K275)*('env Parameter'!$C:$C=$L275),'env Parameter'!F:F,""),"")</f>
        <v>478</v>
      </c>
      <c r="E275" s="10" cm="1">
        <f t="array" ref="E275">IFERROR(_xlfn.XLOOKUP(1,('env Parameter'!$A:$A=$A275)*('env Parameter'!$B:$B=$K275)*('env Parameter'!$C:$C=$L275),'env Parameter'!G:G,""),"")</f>
        <v>7.6</v>
      </c>
      <c r="F275" t="str">
        <f>eDNA!F275</f>
        <v>MiFish</v>
      </c>
      <c r="G275" t="str">
        <f>eDNA!D275</f>
        <v>Tachysurus fulvidraco</v>
      </c>
      <c r="H275" t="str">
        <f>_xlfn.XLOOKUP(G275,'Common name (master file)'!$B:$B,'Common name (master file)'!$A:$A,"-------------")</f>
        <v>동자개</v>
      </c>
      <c r="I275">
        <f>eDNA!E275</f>
        <v>32</v>
      </c>
      <c r="J275" t="str">
        <f>_xlfn.XLOOKUP(G275,'Common name (master file)'!$B:$B,'Common name (master file)'!$C:$C,"")</f>
        <v>어류</v>
      </c>
      <c r="K275">
        <f>eDNA!B275</f>
        <v>126.8797805</v>
      </c>
      <c r="L275">
        <f>eDNA!C275</f>
        <v>37.523914499999997</v>
      </c>
      <c r="M275" s="10" t="str" cm="1">
        <f t="array" ref="M275">IFERROR(_xlfn.XLOOKUP(1,('env Parameter'!$A:$A=$A275)*('env Parameter'!$B:$B=$K275)*('env Parameter'!$C:$C=$L275),'env Parameter'!D:D,""),"")</f>
        <v>안양천-15</v>
      </c>
      <c r="N275" s="10" t="str" cm="1">
        <f t="array" ref="N275">IFERROR(_xlfn.XLOOKUP(1,('env Parameter'!$A:$A=$A275)*('env Parameter'!$B:$B=$K275)*('env Parameter'!$C:$C=$L275),'env Parameter'!I:I,""),"")</f>
        <v>YR</v>
      </c>
    </row>
    <row r="276" spans="1:14">
      <c r="A276">
        <f>eDNA!A276</f>
        <v>20200717</v>
      </c>
      <c r="B276" s="10" t="str" cm="1">
        <f t="array" ref="B276">IFERROR(_xlfn.XLOOKUP(1,('env Parameter'!$A:$A=$A276)*('env Parameter'!$B:$B=$K276)*('env Parameter'!$C:$C=$L276),'env Parameter'!H:H,""),"")</f>
        <v>생물상 조사</v>
      </c>
      <c r="C276" s="10" cm="1">
        <f t="array" ref="C276">IFERROR(_xlfn.XLOOKUP(1,('env Parameter'!$A:$A=$A276)*('env Parameter'!$B:$B=$K276)*('env Parameter'!$C:$C=$L276),'env Parameter'!E:E,""),"")</f>
        <v>2.14</v>
      </c>
      <c r="D276" s="10" cm="1">
        <f t="array" ref="D276">IFERROR(_xlfn.XLOOKUP(1,('env Parameter'!$A:$A=$A276)*('env Parameter'!$B:$B=$K276)*('env Parameter'!$C:$C=$L276),'env Parameter'!F:F,""),"")</f>
        <v>478</v>
      </c>
      <c r="E276" s="10" cm="1">
        <f t="array" ref="E276">IFERROR(_xlfn.XLOOKUP(1,('env Parameter'!$A:$A=$A276)*('env Parameter'!$B:$B=$K276)*('env Parameter'!$C:$C=$L276),'env Parameter'!G:G,""),"")</f>
        <v>7.6</v>
      </c>
      <c r="F276" t="str">
        <f>eDNA!F276</f>
        <v>MiFish</v>
      </c>
      <c r="G276" t="str">
        <f>eDNA!D276</f>
        <v>Bos taurus</v>
      </c>
      <c r="H276" t="str">
        <f>_xlfn.XLOOKUP(G276,'Common name (master file)'!$B:$B,'Common name (master file)'!$A:$A,"-------------")</f>
        <v>소</v>
      </c>
      <c r="I276">
        <f>eDNA!E276</f>
        <v>34</v>
      </c>
      <c r="J276" t="str">
        <f>_xlfn.XLOOKUP(G276,'Common name (master file)'!$B:$B,'Common name (master file)'!$C:$C,"")</f>
        <v>포유류</v>
      </c>
      <c r="K276">
        <f>eDNA!B276</f>
        <v>126.8797805</v>
      </c>
      <c r="L276">
        <f>eDNA!C276</f>
        <v>37.523914499999997</v>
      </c>
      <c r="M276" s="10" t="str" cm="1">
        <f t="array" ref="M276">IFERROR(_xlfn.XLOOKUP(1,('env Parameter'!$A:$A=$A276)*('env Parameter'!$B:$B=$K276)*('env Parameter'!$C:$C=$L276),'env Parameter'!D:D,""),"")</f>
        <v>안양천-15</v>
      </c>
      <c r="N276" s="10" t="str" cm="1">
        <f t="array" ref="N276">IFERROR(_xlfn.XLOOKUP(1,('env Parameter'!$A:$A=$A276)*('env Parameter'!$B:$B=$K276)*('env Parameter'!$C:$C=$L276),'env Parameter'!I:I,""),"")</f>
        <v>YR</v>
      </c>
    </row>
    <row r="277" spans="1:14">
      <c r="A277">
        <f>eDNA!A277</f>
        <v>20200717</v>
      </c>
      <c r="B277" s="10" t="str" cm="1">
        <f t="array" ref="B277">IFERROR(_xlfn.XLOOKUP(1,('env Parameter'!$A:$A=$A277)*('env Parameter'!$B:$B=$K277)*('env Parameter'!$C:$C=$L277),'env Parameter'!H:H,""),"")</f>
        <v>생물상 조사</v>
      </c>
      <c r="C277" s="10" cm="1">
        <f t="array" ref="C277">IFERROR(_xlfn.XLOOKUP(1,('env Parameter'!$A:$A=$A277)*('env Parameter'!$B:$B=$K277)*('env Parameter'!$C:$C=$L277),'env Parameter'!E:E,""),"")</f>
        <v>2.14</v>
      </c>
      <c r="D277" s="10" cm="1">
        <f t="array" ref="D277">IFERROR(_xlfn.XLOOKUP(1,('env Parameter'!$A:$A=$A277)*('env Parameter'!$B:$B=$K277)*('env Parameter'!$C:$C=$L277),'env Parameter'!F:F,""),"")</f>
        <v>478</v>
      </c>
      <c r="E277" s="10" cm="1">
        <f t="array" ref="E277">IFERROR(_xlfn.XLOOKUP(1,('env Parameter'!$A:$A=$A277)*('env Parameter'!$B:$B=$K277)*('env Parameter'!$C:$C=$L277),'env Parameter'!G:G,""),"")</f>
        <v>7.6</v>
      </c>
      <c r="F277" t="str">
        <f>eDNA!F277</f>
        <v>MiFish</v>
      </c>
      <c r="G277" t="str">
        <f>eDNA!D277</f>
        <v>Hemibarbus sp.</v>
      </c>
      <c r="H277" t="str">
        <f>_xlfn.XLOOKUP(G277,'Common name (master file)'!$B:$B,'Common name (master file)'!$A:$A,"-------------")</f>
        <v>누치 속</v>
      </c>
      <c r="I277">
        <f>eDNA!E277</f>
        <v>34</v>
      </c>
      <c r="J277" t="str">
        <f>_xlfn.XLOOKUP(G277,'Common name (master file)'!$B:$B,'Common name (master file)'!$C:$C,"")</f>
        <v>어류</v>
      </c>
      <c r="K277">
        <f>eDNA!B277</f>
        <v>126.8797805</v>
      </c>
      <c r="L277">
        <f>eDNA!C277</f>
        <v>37.523914499999997</v>
      </c>
      <c r="M277" s="10" t="str" cm="1">
        <f t="array" ref="M277">IFERROR(_xlfn.XLOOKUP(1,('env Parameter'!$A:$A=$A277)*('env Parameter'!$B:$B=$K277)*('env Parameter'!$C:$C=$L277),'env Parameter'!D:D,""),"")</f>
        <v>안양천-15</v>
      </c>
      <c r="N277" s="10" t="str" cm="1">
        <f t="array" ref="N277">IFERROR(_xlfn.XLOOKUP(1,('env Parameter'!$A:$A=$A277)*('env Parameter'!$B:$B=$K277)*('env Parameter'!$C:$C=$L277),'env Parameter'!I:I,""),"")</f>
        <v>YR</v>
      </c>
    </row>
    <row r="278" spans="1:14">
      <c r="A278">
        <f>eDNA!A278</f>
        <v>20200717</v>
      </c>
      <c r="B278" s="10" t="str" cm="1">
        <f t="array" ref="B278">IFERROR(_xlfn.XLOOKUP(1,('env Parameter'!$A:$A=$A278)*('env Parameter'!$B:$B=$K278)*('env Parameter'!$C:$C=$L278),'env Parameter'!H:H,""),"")</f>
        <v>생물상 조사</v>
      </c>
      <c r="C278" s="10" cm="1">
        <f t="array" ref="C278">IFERROR(_xlfn.XLOOKUP(1,('env Parameter'!$A:$A=$A278)*('env Parameter'!$B:$B=$K278)*('env Parameter'!$C:$C=$L278),'env Parameter'!E:E,""),"")</f>
        <v>2.14</v>
      </c>
      <c r="D278" s="10" cm="1">
        <f t="array" ref="D278">IFERROR(_xlfn.XLOOKUP(1,('env Parameter'!$A:$A=$A278)*('env Parameter'!$B:$B=$K278)*('env Parameter'!$C:$C=$L278),'env Parameter'!F:F,""),"")</f>
        <v>478</v>
      </c>
      <c r="E278" s="10" cm="1">
        <f t="array" ref="E278">IFERROR(_xlfn.XLOOKUP(1,('env Parameter'!$A:$A=$A278)*('env Parameter'!$B:$B=$K278)*('env Parameter'!$C:$C=$L278),'env Parameter'!G:G,""),"")</f>
        <v>7.6</v>
      </c>
      <c r="F278" t="str">
        <f>eDNA!F278</f>
        <v>MiFish</v>
      </c>
      <c r="G278" t="str">
        <f>eDNA!D278</f>
        <v>Carassius cuvieri</v>
      </c>
      <c r="H278" t="str">
        <f>_xlfn.XLOOKUP(G278,'Common name (master file)'!$B:$B,'Common name (master file)'!$A:$A,"-------------")</f>
        <v>떡붕어</v>
      </c>
      <c r="I278">
        <f>eDNA!E278</f>
        <v>157</v>
      </c>
      <c r="J278" t="str">
        <f>_xlfn.XLOOKUP(G278,'Common name (master file)'!$B:$B,'Common name (master file)'!$C:$C,"")</f>
        <v>어류</v>
      </c>
      <c r="K278">
        <f>eDNA!B278</f>
        <v>126.8797805</v>
      </c>
      <c r="L278">
        <f>eDNA!C278</f>
        <v>37.523914499999997</v>
      </c>
      <c r="M278" s="10" t="str" cm="1">
        <f t="array" ref="M278">IFERROR(_xlfn.XLOOKUP(1,('env Parameter'!$A:$A=$A278)*('env Parameter'!$B:$B=$K278)*('env Parameter'!$C:$C=$L278),'env Parameter'!D:D,""),"")</f>
        <v>안양천-15</v>
      </c>
      <c r="N278" s="10" t="str" cm="1">
        <f t="array" ref="N278">IFERROR(_xlfn.XLOOKUP(1,('env Parameter'!$A:$A=$A278)*('env Parameter'!$B:$B=$K278)*('env Parameter'!$C:$C=$L278),'env Parameter'!I:I,""),"")</f>
        <v>YR</v>
      </c>
    </row>
    <row r="279" spans="1:14">
      <c r="A279">
        <f>eDNA!A279</f>
        <v>20200717</v>
      </c>
      <c r="B279" s="10" t="str" cm="1">
        <f t="array" ref="B279">IFERROR(_xlfn.XLOOKUP(1,('env Parameter'!$A:$A=$A279)*('env Parameter'!$B:$B=$K279)*('env Parameter'!$C:$C=$L279),'env Parameter'!H:H,""),"")</f>
        <v>생물상 조사</v>
      </c>
      <c r="C279" s="10" cm="1">
        <f t="array" ref="C279">IFERROR(_xlfn.XLOOKUP(1,('env Parameter'!$A:$A=$A279)*('env Parameter'!$B:$B=$K279)*('env Parameter'!$C:$C=$L279),'env Parameter'!E:E,""),"")</f>
        <v>2.14</v>
      </c>
      <c r="D279" s="10" cm="1">
        <f t="array" ref="D279">IFERROR(_xlfn.XLOOKUP(1,('env Parameter'!$A:$A=$A279)*('env Parameter'!$B:$B=$K279)*('env Parameter'!$C:$C=$L279),'env Parameter'!F:F,""),"")</f>
        <v>478</v>
      </c>
      <c r="E279" s="10" cm="1">
        <f t="array" ref="E279">IFERROR(_xlfn.XLOOKUP(1,('env Parameter'!$A:$A=$A279)*('env Parameter'!$B:$B=$K279)*('env Parameter'!$C:$C=$L279),'env Parameter'!G:G,""),"")</f>
        <v>7.6</v>
      </c>
      <c r="F279" t="str">
        <f>eDNA!F279</f>
        <v>MiFish</v>
      </c>
      <c r="G279" t="str">
        <f>eDNA!D279</f>
        <v>Sus scrofa</v>
      </c>
      <c r="H279" t="str">
        <f>_xlfn.XLOOKUP(G279,'Common name (master file)'!$B:$B,'Common name (master file)'!$A:$A,"-------------")</f>
        <v>멧돼지</v>
      </c>
      <c r="I279">
        <f>eDNA!E279</f>
        <v>94</v>
      </c>
      <c r="J279" t="str">
        <f>_xlfn.XLOOKUP(G279,'Common name (master file)'!$B:$B,'Common name (master file)'!$C:$C,"")</f>
        <v>포유류</v>
      </c>
      <c r="K279">
        <f>eDNA!B279</f>
        <v>126.8797805</v>
      </c>
      <c r="L279">
        <f>eDNA!C279</f>
        <v>37.523914499999997</v>
      </c>
      <c r="M279" s="10" t="str" cm="1">
        <f t="array" ref="M279">IFERROR(_xlfn.XLOOKUP(1,('env Parameter'!$A:$A=$A279)*('env Parameter'!$B:$B=$K279)*('env Parameter'!$C:$C=$L279),'env Parameter'!D:D,""),"")</f>
        <v>안양천-15</v>
      </c>
      <c r="N279" s="10" t="str" cm="1">
        <f t="array" ref="N279">IFERROR(_xlfn.XLOOKUP(1,('env Parameter'!$A:$A=$A279)*('env Parameter'!$B:$B=$K279)*('env Parameter'!$C:$C=$L279),'env Parameter'!I:I,""),"")</f>
        <v>YR</v>
      </c>
    </row>
    <row r="280" spans="1:14">
      <c r="A280">
        <f>eDNA!A280</f>
        <v>20200717</v>
      </c>
      <c r="B280" s="10" t="str" cm="1">
        <f t="array" ref="B280">IFERROR(_xlfn.XLOOKUP(1,('env Parameter'!$A:$A=$A280)*('env Parameter'!$B:$B=$K280)*('env Parameter'!$C:$C=$L280),'env Parameter'!H:H,""),"")</f>
        <v>생물상 조사</v>
      </c>
      <c r="C280" s="10" cm="1">
        <f t="array" ref="C280">IFERROR(_xlfn.XLOOKUP(1,('env Parameter'!$A:$A=$A280)*('env Parameter'!$B:$B=$K280)*('env Parameter'!$C:$C=$L280),'env Parameter'!E:E,""),"")</f>
        <v>2.14</v>
      </c>
      <c r="D280" s="10" cm="1">
        <f t="array" ref="D280">IFERROR(_xlfn.XLOOKUP(1,('env Parameter'!$A:$A=$A280)*('env Parameter'!$B:$B=$K280)*('env Parameter'!$C:$C=$L280),'env Parameter'!F:F,""),"")</f>
        <v>478</v>
      </c>
      <c r="E280" s="10" cm="1">
        <f t="array" ref="E280">IFERROR(_xlfn.XLOOKUP(1,('env Parameter'!$A:$A=$A280)*('env Parameter'!$B:$B=$K280)*('env Parameter'!$C:$C=$L280),'env Parameter'!G:G,""),"")</f>
        <v>7.6</v>
      </c>
      <c r="F280" t="str">
        <f>eDNA!F280</f>
        <v>MiFish</v>
      </c>
      <c r="G280" t="str">
        <f>eDNA!D280</f>
        <v>Pelodiscus sinensis</v>
      </c>
      <c r="H280" t="str">
        <f>_xlfn.XLOOKUP(G280,'Common name (master file)'!$B:$B,'Common name (master file)'!$A:$A,"-------------")</f>
        <v>중국자라</v>
      </c>
      <c r="I280">
        <f>eDNA!E280</f>
        <v>43</v>
      </c>
      <c r="J280" t="str">
        <f>_xlfn.XLOOKUP(G280,'Common name (master file)'!$B:$B,'Common name (master file)'!$C:$C,"")</f>
        <v>양서파충류</v>
      </c>
      <c r="K280">
        <f>eDNA!B280</f>
        <v>126.8797805</v>
      </c>
      <c r="L280">
        <f>eDNA!C280</f>
        <v>37.523914499999997</v>
      </c>
      <c r="M280" s="10" t="str" cm="1">
        <f t="array" ref="M280">IFERROR(_xlfn.XLOOKUP(1,('env Parameter'!$A:$A=$A280)*('env Parameter'!$B:$B=$K280)*('env Parameter'!$C:$C=$L280),'env Parameter'!D:D,""),"")</f>
        <v>안양천-15</v>
      </c>
      <c r="N280" s="10" t="str" cm="1">
        <f t="array" ref="N280">IFERROR(_xlfn.XLOOKUP(1,('env Parameter'!$A:$A=$A280)*('env Parameter'!$B:$B=$K280)*('env Parameter'!$C:$C=$L280),'env Parameter'!I:I,""),"")</f>
        <v>YR</v>
      </c>
    </row>
    <row r="281" spans="1:14">
      <c r="A281">
        <f>eDNA!A281</f>
        <v>20200717</v>
      </c>
      <c r="B281" s="10" t="str" cm="1">
        <f t="array" ref="B281">IFERROR(_xlfn.XLOOKUP(1,('env Parameter'!$A:$A=$A281)*('env Parameter'!$B:$B=$K281)*('env Parameter'!$C:$C=$L281),'env Parameter'!H:H,""),"")</f>
        <v>생물상 조사</v>
      </c>
      <c r="C281" s="10" cm="1">
        <f t="array" ref="C281">IFERROR(_xlfn.XLOOKUP(1,('env Parameter'!$A:$A=$A281)*('env Parameter'!$B:$B=$K281)*('env Parameter'!$C:$C=$L281),'env Parameter'!E:E,""),"")</f>
        <v>2.14</v>
      </c>
      <c r="D281" s="10" cm="1">
        <f t="array" ref="D281">IFERROR(_xlfn.XLOOKUP(1,('env Parameter'!$A:$A=$A281)*('env Parameter'!$B:$B=$K281)*('env Parameter'!$C:$C=$L281),'env Parameter'!F:F,""),"")</f>
        <v>478</v>
      </c>
      <c r="E281" s="10" cm="1">
        <f t="array" ref="E281">IFERROR(_xlfn.XLOOKUP(1,('env Parameter'!$A:$A=$A281)*('env Parameter'!$B:$B=$K281)*('env Parameter'!$C:$C=$L281),'env Parameter'!G:G,""),"")</f>
        <v>7.6</v>
      </c>
      <c r="F281" t="str">
        <f>eDNA!F281</f>
        <v>MiFish</v>
      </c>
      <c r="G281" t="str">
        <f>eDNA!D281</f>
        <v>Pseudogobio esocinus</v>
      </c>
      <c r="H281" t="str">
        <f>_xlfn.XLOOKUP(G281,'Common name (master file)'!$B:$B,'Common name (master file)'!$A:$A,"-------------")</f>
        <v>모래무지</v>
      </c>
      <c r="I281">
        <f>eDNA!E281</f>
        <v>47</v>
      </c>
      <c r="J281" t="str">
        <f>_xlfn.XLOOKUP(G281,'Common name (master file)'!$B:$B,'Common name (master file)'!$C:$C,"")</f>
        <v>어류</v>
      </c>
      <c r="K281">
        <f>eDNA!B281</f>
        <v>126.8797805</v>
      </c>
      <c r="L281">
        <f>eDNA!C281</f>
        <v>37.523914499999997</v>
      </c>
      <c r="M281" s="10" t="str" cm="1">
        <f t="array" ref="M281">IFERROR(_xlfn.XLOOKUP(1,('env Parameter'!$A:$A=$A281)*('env Parameter'!$B:$B=$K281)*('env Parameter'!$C:$C=$L281),'env Parameter'!D:D,""),"")</f>
        <v>안양천-15</v>
      </c>
      <c r="N281" s="10" t="str" cm="1">
        <f t="array" ref="N281">IFERROR(_xlfn.XLOOKUP(1,('env Parameter'!$A:$A=$A281)*('env Parameter'!$B:$B=$K281)*('env Parameter'!$C:$C=$L281),'env Parameter'!I:I,""),"")</f>
        <v>YR</v>
      </c>
    </row>
    <row r="282" spans="1:14">
      <c r="A282">
        <f>eDNA!A282</f>
        <v>20200717</v>
      </c>
      <c r="B282" s="10" t="str" cm="1">
        <f t="array" ref="B282">IFERROR(_xlfn.XLOOKUP(1,('env Parameter'!$A:$A=$A282)*('env Parameter'!$B:$B=$K282)*('env Parameter'!$C:$C=$L282),'env Parameter'!H:H,""),"")</f>
        <v>생물상 조사</v>
      </c>
      <c r="C282" s="10" cm="1">
        <f t="array" ref="C282">IFERROR(_xlfn.XLOOKUP(1,('env Parameter'!$A:$A=$A282)*('env Parameter'!$B:$B=$K282)*('env Parameter'!$C:$C=$L282),'env Parameter'!E:E,""),"")</f>
        <v>2.14</v>
      </c>
      <c r="D282" s="10" cm="1">
        <f t="array" ref="D282">IFERROR(_xlfn.XLOOKUP(1,('env Parameter'!$A:$A=$A282)*('env Parameter'!$B:$B=$K282)*('env Parameter'!$C:$C=$L282),'env Parameter'!F:F,""),"")</f>
        <v>478</v>
      </c>
      <c r="E282" s="10" cm="1">
        <f t="array" ref="E282">IFERROR(_xlfn.XLOOKUP(1,('env Parameter'!$A:$A=$A282)*('env Parameter'!$B:$B=$K282)*('env Parameter'!$C:$C=$L282),'env Parameter'!G:G,""),"")</f>
        <v>7.6</v>
      </c>
      <c r="F282" t="str">
        <f>eDNA!F282</f>
        <v>MiFish</v>
      </c>
      <c r="G282" t="str">
        <f>eDNA!D282</f>
        <v>Carassius auratus</v>
      </c>
      <c r="H282" t="str">
        <f>_xlfn.XLOOKUP(G282,'Common name (master file)'!$B:$B,'Common name (master file)'!$A:$A,"-------------")</f>
        <v>붕어</v>
      </c>
      <c r="I282">
        <f>eDNA!E282</f>
        <v>79</v>
      </c>
      <c r="J282" t="str">
        <f>_xlfn.XLOOKUP(G282,'Common name (master file)'!$B:$B,'Common name (master file)'!$C:$C,"")</f>
        <v>어류</v>
      </c>
      <c r="K282">
        <f>eDNA!B282</f>
        <v>126.8797805</v>
      </c>
      <c r="L282">
        <f>eDNA!C282</f>
        <v>37.523914499999997</v>
      </c>
      <c r="M282" s="10" t="str" cm="1">
        <f t="array" ref="M282">IFERROR(_xlfn.XLOOKUP(1,('env Parameter'!$A:$A=$A282)*('env Parameter'!$B:$B=$K282)*('env Parameter'!$C:$C=$L282),'env Parameter'!D:D,""),"")</f>
        <v>안양천-15</v>
      </c>
      <c r="N282" s="10" t="str" cm="1">
        <f t="array" ref="N282">IFERROR(_xlfn.XLOOKUP(1,('env Parameter'!$A:$A=$A282)*('env Parameter'!$B:$B=$K282)*('env Parameter'!$C:$C=$L282),'env Parameter'!I:I,""),"")</f>
        <v>YR</v>
      </c>
    </row>
    <row r="283" spans="1:14">
      <c r="A283">
        <f>eDNA!A283</f>
        <v>20200717</v>
      </c>
      <c r="B283" s="10" t="str" cm="1">
        <f t="array" ref="B283">IFERROR(_xlfn.XLOOKUP(1,('env Parameter'!$A:$A=$A283)*('env Parameter'!$B:$B=$K283)*('env Parameter'!$C:$C=$L283),'env Parameter'!H:H,""),"")</f>
        <v>생물상 조사</v>
      </c>
      <c r="C283" s="10" cm="1">
        <f t="array" ref="C283">IFERROR(_xlfn.XLOOKUP(1,('env Parameter'!$A:$A=$A283)*('env Parameter'!$B:$B=$K283)*('env Parameter'!$C:$C=$L283),'env Parameter'!E:E,""),"")</f>
        <v>2.14</v>
      </c>
      <c r="D283" s="10" cm="1">
        <f t="array" ref="D283">IFERROR(_xlfn.XLOOKUP(1,('env Parameter'!$A:$A=$A283)*('env Parameter'!$B:$B=$K283)*('env Parameter'!$C:$C=$L283),'env Parameter'!F:F,""),"")</f>
        <v>478</v>
      </c>
      <c r="E283" s="10" cm="1">
        <f t="array" ref="E283">IFERROR(_xlfn.XLOOKUP(1,('env Parameter'!$A:$A=$A283)*('env Parameter'!$B:$B=$K283)*('env Parameter'!$C:$C=$L283),'env Parameter'!G:G,""),"")</f>
        <v>7.6</v>
      </c>
      <c r="F283" t="str">
        <f>eDNA!F283</f>
        <v>MiFish</v>
      </c>
      <c r="G283" t="str">
        <f>eDNA!D283</f>
        <v>Seriola quinqueradiata</v>
      </c>
      <c r="H283" t="str">
        <f>_xlfn.XLOOKUP(G283,'Common name (master file)'!$B:$B,'Common name (master file)'!$A:$A,"-------------")</f>
        <v>낫잿방어</v>
      </c>
      <c r="I283">
        <f>eDNA!E283</f>
        <v>1841</v>
      </c>
      <c r="J283" t="str">
        <f>_xlfn.XLOOKUP(G283,'Common name (master file)'!$B:$B,'Common name (master file)'!$C:$C,"")</f>
        <v>어류</v>
      </c>
      <c r="K283">
        <f>eDNA!B283</f>
        <v>126.8446659</v>
      </c>
      <c r="L283">
        <f>eDNA!C283</f>
        <v>37.420618699999999</v>
      </c>
      <c r="M283" s="10" t="str" cm="1">
        <f t="array" ref="M283">IFERROR(_xlfn.XLOOKUP(1,('env Parameter'!$A:$A=$A283)*('env Parameter'!$B:$B=$K283)*('env Parameter'!$C:$C=$L283),'env Parameter'!D:D,""),"")</f>
        <v>목감천-3</v>
      </c>
      <c r="N283" s="10" t="str" cm="1">
        <f t="array" ref="N283">IFERROR(_xlfn.XLOOKUP(1,('env Parameter'!$A:$A=$A283)*('env Parameter'!$B:$B=$K283)*('env Parameter'!$C:$C=$L283),'env Parameter'!I:I,""),"")</f>
        <v>YR</v>
      </c>
    </row>
    <row r="284" spans="1:14">
      <c r="A284">
        <f>eDNA!A284</f>
        <v>20200717</v>
      </c>
      <c r="B284" s="10" t="str" cm="1">
        <f t="array" ref="B284">IFERROR(_xlfn.XLOOKUP(1,('env Parameter'!$A:$A=$A284)*('env Parameter'!$B:$B=$K284)*('env Parameter'!$C:$C=$L284),'env Parameter'!H:H,""),"")</f>
        <v>생물상 조사</v>
      </c>
      <c r="C284" s="10" cm="1">
        <f t="array" ref="C284">IFERROR(_xlfn.XLOOKUP(1,('env Parameter'!$A:$A=$A284)*('env Parameter'!$B:$B=$K284)*('env Parameter'!$C:$C=$L284),'env Parameter'!E:E,""),"")</f>
        <v>2.14</v>
      </c>
      <c r="D284" s="10" cm="1">
        <f t="array" ref="D284">IFERROR(_xlfn.XLOOKUP(1,('env Parameter'!$A:$A=$A284)*('env Parameter'!$B:$B=$K284)*('env Parameter'!$C:$C=$L284),'env Parameter'!F:F,""),"")</f>
        <v>478</v>
      </c>
      <c r="E284" s="10" cm="1">
        <f t="array" ref="E284">IFERROR(_xlfn.XLOOKUP(1,('env Parameter'!$A:$A=$A284)*('env Parameter'!$B:$B=$K284)*('env Parameter'!$C:$C=$L284),'env Parameter'!G:G,""),"")</f>
        <v>7.6</v>
      </c>
      <c r="F284" t="str">
        <f>eDNA!F284</f>
        <v>MiFish</v>
      </c>
      <c r="G284" t="str">
        <f>eDNA!D284</f>
        <v>Tridentiger trigonocephalus</v>
      </c>
      <c r="H284" t="str">
        <f>_xlfn.XLOOKUP(G284,'Common name (master file)'!$B:$B,'Common name (master file)'!$A:$A,"-------------")</f>
        <v>두줄망둑</v>
      </c>
      <c r="I284">
        <f>eDNA!E284</f>
        <v>72</v>
      </c>
      <c r="J284" t="str">
        <f>_xlfn.XLOOKUP(G284,'Common name (master file)'!$B:$B,'Common name (master file)'!$C:$C,"")</f>
        <v>어류</v>
      </c>
      <c r="K284">
        <f>eDNA!B284</f>
        <v>126.8797805</v>
      </c>
      <c r="L284">
        <f>eDNA!C284</f>
        <v>37.523914499999997</v>
      </c>
      <c r="M284" s="10" t="str" cm="1">
        <f t="array" ref="M284">IFERROR(_xlfn.XLOOKUP(1,('env Parameter'!$A:$A=$A284)*('env Parameter'!$B:$B=$K284)*('env Parameter'!$C:$C=$L284),'env Parameter'!D:D,""),"")</f>
        <v>안양천-15</v>
      </c>
      <c r="N284" s="10" t="str" cm="1">
        <f t="array" ref="N284">IFERROR(_xlfn.XLOOKUP(1,('env Parameter'!$A:$A=$A284)*('env Parameter'!$B:$B=$K284)*('env Parameter'!$C:$C=$L284),'env Parameter'!I:I,""),"")</f>
        <v>YR</v>
      </c>
    </row>
    <row r="285" spans="1:14">
      <c r="A285">
        <f>eDNA!A285</f>
        <v>20200717</v>
      </c>
      <c r="B285" s="10" t="str" cm="1">
        <f t="array" ref="B285">IFERROR(_xlfn.XLOOKUP(1,('env Parameter'!$A:$A=$A285)*('env Parameter'!$B:$B=$K285)*('env Parameter'!$C:$C=$L285),'env Parameter'!H:H,""),"")</f>
        <v>생물상 조사</v>
      </c>
      <c r="C285" s="10" cm="1">
        <f t="array" ref="C285">IFERROR(_xlfn.XLOOKUP(1,('env Parameter'!$A:$A=$A285)*('env Parameter'!$B:$B=$K285)*('env Parameter'!$C:$C=$L285),'env Parameter'!E:E,""),"")</f>
        <v>2.14</v>
      </c>
      <c r="D285" s="10" cm="1">
        <f t="array" ref="D285">IFERROR(_xlfn.XLOOKUP(1,('env Parameter'!$A:$A=$A285)*('env Parameter'!$B:$B=$K285)*('env Parameter'!$C:$C=$L285),'env Parameter'!F:F,""),"")</f>
        <v>478</v>
      </c>
      <c r="E285" s="10" cm="1">
        <f t="array" ref="E285">IFERROR(_xlfn.XLOOKUP(1,('env Parameter'!$A:$A=$A285)*('env Parameter'!$B:$B=$K285)*('env Parameter'!$C:$C=$L285),'env Parameter'!G:G,""),"")</f>
        <v>7.6</v>
      </c>
      <c r="F285" t="str">
        <f>eDNA!F285</f>
        <v>MiFish</v>
      </c>
      <c r="G285" t="str">
        <f>eDNA!D285</f>
        <v>Gymnogobius opperiens</v>
      </c>
      <c r="H285" t="str">
        <f>_xlfn.XLOOKUP(G285,'Common name (master file)'!$B:$B,'Common name (master file)'!$A:$A,"-------------")</f>
        <v>무늬꾹저구</v>
      </c>
      <c r="I285">
        <f>eDNA!E285</f>
        <v>85</v>
      </c>
      <c r="J285" t="str">
        <f>_xlfn.XLOOKUP(G285,'Common name (master file)'!$B:$B,'Common name (master file)'!$C:$C,"")</f>
        <v>어류</v>
      </c>
      <c r="K285">
        <f>eDNA!B285</f>
        <v>126.8797805</v>
      </c>
      <c r="L285">
        <f>eDNA!C285</f>
        <v>37.523914499999997</v>
      </c>
      <c r="M285" s="10" t="str" cm="1">
        <f t="array" ref="M285">IFERROR(_xlfn.XLOOKUP(1,('env Parameter'!$A:$A=$A285)*('env Parameter'!$B:$B=$K285)*('env Parameter'!$C:$C=$L285),'env Parameter'!D:D,""),"")</f>
        <v>안양천-15</v>
      </c>
      <c r="N285" s="10" t="str" cm="1">
        <f t="array" ref="N285">IFERROR(_xlfn.XLOOKUP(1,('env Parameter'!$A:$A=$A285)*('env Parameter'!$B:$B=$K285)*('env Parameter'!$C:$C=$L285),'env Parameter'!I:I,""),"")</f>
        <v>YR</v>
      </c>
    </row>
    <row r="286" spans="1:14">
      <c r="A286">
        <f>eDNA!A286</f>
        <v>20200717</v>
      </c>
      <c r="B286" s="10" t="str" cm="1">
        <f t="array" ref="B286">IFERROR(_xlfn.XLOOKUP(1,('env Parameter'!$A:$A=$A286)*('env Parameter'!$B:$B=$K286)*('env Parameter'!$C:$C=$L286),'env Parameter'!H:H,""),"")</f>
        <v>생물상 조사</v>
      </c>
      <c r="C286" s="10" cm="1">
        <f t="array" ref="C286">IFERROR(_xlfn.XLOOKUP(1,('env Parameter'!$A:$A=$A286)*('env Parameter'!$B:$B=$K286)*('env Parameter'!$C:$C=$L286),'env Parameter'!E:E,""),"")</f>
        <v>2.14</v>
      </c>
      <c r="D286" s="10" cm="1">
        <f t="array" ref="D286">IFERROR(_xlfn.XLOOKUP(1,('env Parameter'!$A:$A=$A286)*('env Parameter'!$B:$B=$K286)*('env Parameter'!$C:$C=$L286),'env Parameter'!F:F,""),"")</f>
        <v>478</v>
      </c>
      <c r="E286" s="10" cm="1">
        <f t="array" ref="E286">IFERROR(_xlfn.XLOOKUP(1,('env Parameter'!$A:$A=$A286)*('env Parameter'!$B:$B=$K286)*('env Parameter'!$C:$C=$L286),'env Parameter'!G:G,""),"")</f>
        <v>7.6</v>
      </c>
      <c r="F286" t="str">
        <f>eDNA!F286</f>
        <v>MiFish</v>
      </c>
      <c r="G286" t="str">
        <f>eDNA!D286</f>
        <v>Zacco platypus</v>
      </c>
      <c r="H286" t="str">
        <f>_xlfn.XLOOKUP(G286,'Common name (master file)'!$B:$B,'Common name (master file)'!$A:$A,"-------------")</f>
        <v>피라미</v>
      </c>
      <c r="I286">
        <f>eDNA!E286</f>
        <v>90</v>
      </c>
      <c r="J286" t="str">
        <f>_xlfn.XLOOKUP(G286,'Common name (master file)'!$B:$B,'Common name (master file)'!$C:$C,"")</f>
        <v>어류</v>
      </c>
      <c r="K286">
        <f>eDNA!B286</f>
        <v>126.8797805</v>
      </c>
      <c r="L286">
        <f>eDNA!C286</f>
        <v>37.523914499999997</v>
      </c>
      <c r="M286" s="10" t="str" cm="1">
        <f t="array" ref="M286">IFERROR(_xlfn.XLOOKUP(1,('env Parameter'!$A:$A=$A286)*('env Parameter'!$B:$B=$K286)*('env Parameter'!$C:$C=$L286),'env Parameter'!D:D,""),"")</f>
        <v>안양천-15</v>
      </c>
      <c r="N286" s="10" t="str" cm="1">
        <f t="array" ref="N286">IFERROR(_xlfn.XLOOKUP(1,('env Parameter'!$A:$A=$A286)*('env Parameter'!$B:$B=$K286)*('env Parameter'!$C:$C=$L286),'env Parameter'!I:I,""),"")</f>
        <v>YR</v>
      </c>
    </row>
    <row r="287" spans="1:14">
      <c r="A287">
        <f>eDNA!A287</f>
        <v>20200717</v>
      </c>
      <c r="B287" s="10" t="str" cm="1">
        <f t="array" ref="B287">IFERROR(_xlfn.XLOOKUP(1,('env Parameter'!$A:$A=$A287)*('env Parameter'!$B:$B=$K287)*('env Parameter'!$C:$C=$L287),'env Parameter'!H:H,""),"")</f>
        <v>생물상 조사</v>
      </c>
      <c r="C287" s="10" cm="1">
        <f t="array" ref="C287">IFERROR(_xlfn.XLOOKUP(1,('env Parameter'!$A:$A=$A287)*('env Parameter'!$B:$B=$K287)*('env Parameter'!$C:$C=$L287),'env Parameter'!E:E,""),"")</f>
        <v>2.14</v>
      </c>
      <c r="D287" s="10" cm="1">
        <f t="array" ref="D287">IFERROR(_xlfn.XLOOKUP(1,('env Parameter'!$A:$A=$A287)*('env Parameter'!$B:$B=$K287)*('env Parameter'!$C:$C=$L287),'env Parameter'!F:F,""),"")</f>
        <v>478</v>
      </c>
      <c r="E287" s="10" cm="1">
        <f t="array" ref="E287">IFERROR(_xlfn.XLOOKUP(1,('env Parameter'!$A:$A=$A287)*('env Parameter'!$B:$B=$K287)*('env Parameter'!$C:$C=$L287),'env Parameter'!G:G,""),"")</f>
        <v>7.6</v>
      </c>
      <c r="F287" t="str">
        <f>eDNA!F287</f>
        <v>MiFish</v>
      </c>
      <c r="G287" t="str">
        <f>eDNA!D287</f>
        <v>Micropterus salmoides</v>
      </c>
      <c r="H287" t="str">
        <f>_xlfn.XLOOKUP(G287,'Common name (master file)'!$B:$B,'Common name (master file)'!$A:$A,"-------------")</f>
        <v>큰입배스</v>
      </c>
      <c r="I287">
        <f>eDNA!E287</f>
        <v>119</v>
      </c>
      <c r="J287" t="str">
        <f>_xlfn.XLOOKUP(G287,'Common name (master file)'!$B:$B,'Common name (master file)'!$C:$C,"")</f>
        <v>어류</v>
      </c>
      <c r="K287">
        <f>eDNA!B287</f>
        <v>126.8797805</v>
      </c>
      <c r="L287">
        <f>eDNA!C287</f>
        <v>37.523914499999997</v>
      </c>
      <c r="M287" s="10" t="str" cm="1">
        <f t="array" ref="M287">IFERROR(_xlfn.XLOOKUP(1,('env Parameter'!$A:$A=$A287)*('env Parameter'!$B:$B=$K287)*('env Parameter'!$C:$C=$L287),'env Parameter'!D:D,""),"")</f>
        <v>안양천-15</v>
      </c>
      <c r="N287" s="10" t="str" cm="1">
        <f t="array" ref="N287">IFERROR(_xlfn.XLOOKUP(1,('env Parameter'!$A:$A=$A287)*('env Parameter'!$B:$B=$K287)*('env Parameter'!$C:$C=$L287),'env Parameter'!I:I,""),"")</f>
        <v>YR</v>
      </c>
    </row>
    <row r="288" spans="1:14">
      <c r="A288">
        <f>eDNA!A288</f>
        <v>20200717</v>
      </c>
      <c r="B288" s="10" t="str" cm="1">
        <f t="array" ref="B288">IFERROR(_xlfn.XLOOKUP(1,('env Parameter'!$A:$A=$A288)*('env Parameter'!$B:$B=$K288)*('env Parameter'!$C:$C=$L288),'env Parameter'!H:H,""),"")</f>
        <v>생물상 조사</v>
      </c>
      <c r="C288" s="10" cm="1">
        <f t="array" ref="C288">IFERROR(_xlfn.XLOOKUP(1,('env Parameter'!$A:$A=$A288)*('env Parameter'!$B:$B=$K288)*('env Parameter'!$C:$C=$L288),'env Parameter'!E:E,""),"")</f>
        <v>2.14</v>
      </c>
      <c r="D288" s="10" cm="1">
        <f t="array" ref="D288">IFERROR(_xlfn.XLOOKUP(1,('env Parameter'!$A:$A=$A288)*('env Parameter'!$B:$B=$K288)*('env Parameter'!$C:$C=$L288),'env Parameter'!F:F,""),"")</f>
        <v>478</v>
      </c>
      <c r="E288" s="10" cm="1">
        <f t="array" ref="E288">IFERROR(_xlfn.XLOOKUP(1,('env Parameter'!$A:$A=$A288)*('env Parameter'!$B:$B=$K288)*('env Parameter'!$C:$C=$L288),'env Parameter'!G:G,""),"")</f>
        <v>7.6</v>
      </c>
      <c r="F288" t="str">
        <f>eDNA!F288</f>
        <v>MiFish</v>
      </c>
      <c r="G288" t="str">
        <f>eDNA!D288</f>
        <v>Gymnogobius breunigii</v>
      </c>
      <c r="H288" t="str">
        <f>_xlfn.XLOOKUP(G288,'Common name (master file)'!$B:$B,'Common name (master file)'!$A:$A,"-------------")</f>
        <v>날망둑</v>
      </c>
      <c r="I288">
        <f>eDNA!E288</f>
        <v>97</v>
      </c>
      <c r="J288" t="str">
        <f>_xlfn.XLOOKUP(G288,'Common name (master file)'!$B:$B,'Common name (master file)'!$C:$C,"")</f>
        <v>어류</v>
      </c>
      <c r="K288">
        <f>eDNA!B288</f>
        <v>126.8797805</v>
      </c>
      <c r="L288">
        <f>eDNA!C288</f>
        <v>37.523914499999997</v>
      </c>
      <c r="M288" s="10" t="str" cm="1">
        <f t="array" ref="M288">IFERROR(_xlfn.XLOOKUP(1,('env Parameter'!$A:$A=$A288)*('env Parameter'!$B:$B=$K288)*('env Parameter'!$C:$C=$L288),'env Parameter'!D:D,""),"")</f>
        <v>안양천-15</v>
      </c>
      <c r="N288" s="10" t="str" cm="1">
        <f t="array" ref="N288">IFERROR(_xlfn.XLOOKUP(1,('env Parameter'!$A:$A=$A288)*('env Parameter'!$B:$B=$K288)*('env Parameter'!$C:$C=$L288),'env Parameter'!I:I,""),"")</f>
        <v>YR</v>
      </c>
    </row>
    <row r="289" spans="1:14">
      <c r="A289">
        <f>eDNA!A289</f>
        <v>20200717</v>
      </c>
      <c r="B289" s="10" t="str" cm="1">
        <f t="array" ref="B289">IFERROR(_xlfn.XLOOKUP(1,('env Parameter'!$A:$A=$A289)*('env Parameter'!$B:$B=$K289)*('env Parameter'!$C:$C=$L289),'env Parameter'!H:H,""),"")</f>
        <v>생물상 조사</v>
      </c>
      <c r="C289" s="10" cm="1">
        <f t="array" ref="C289">IFERROR(_xlfn.XLOOKUP(1,('env Parameter'!$A:$A=$A289)*('env Parameter'!$B:$B=$K289)*('env Parameter'!$C:$C=$L289),'env Parameter'!E:E,""),"")</f>
        <v>2.14</v>
      </c>
      <c r="D289" s="10" cm="1">
        <f t="array" ref="D289">IFERROR(_xlfn.XLOOKUP(1,('env Parameter'!$A:$A=$A289)*('env Parameter'!$B:$B=$K289)*('env Parameter'!$C:$C=$L289),'env Parameter'!F:F,""),"")</f>
        <v>478</v>
      </c>
      <c r="E289" s="10" cm="1">
        <f t="array" ref="E289">IFERROR(_xlfn.XLOOKUP(1,('env Parameter'!$A:$A=$A289)*('env Parameter'!$B:$B=$K289)*('env Parameter'!$C:$C=$L289),'env Parameter'!G:G,""),"")</f>
        <v>7.6</v>
      </c>
      <c r="F289" t="str">
        <f>eDNA!F289</f>
        <v>MiFish</v>
      </c>
      <c r="G289" t="str">
        <f>eDNA!D289</f>
        <v>Scomber japonicus</v>
      </c>
      <c r="H289" t="str">
        <f>_xlfn.XLOOKUP(G289,'Common name (master file)'!$B:$B,'Common name (master file)'!$A:$A,"-------------")</f>
        <v>참고등어</v>
      </c>
      <c r="I289">
        <f>eDNA!E289</f>
        <v>104</v>
      </c>
      <c r="J289" t="str">
        <f>_xlfn.XLOOKUP(G289,'Common name (master file)'!$B:$B,'Common name (master file)'!$C:$C,"")</f>
        <v>어류</v>
      </c>
      <c r="K289">
        <f>eDNA!B289</f>
        <v>126.8797805</v>
      </c>
      <c r="L289">
        <f>eDNA!C289</f>
        <v>37.523914499999997</v>
      </c>
      <c r="M289" s="10" t="str" cm="1">
        <f t="array" ref="M289">IFERROR(_xlfn.XLOOKUP(1,('env Parameter'!$A:$A=$A289)*('env Parameter'!$B:$B=$K289)*('env Parameter'!$C:$C=$L289),'env Parameter'!D:D,""),"")</f>
        <v>안양천-15</v>
      </c>
      <c r="N289" s="10" t="str" cm="1">
        <f t="array" ref="N289">IFERROR(_xlfn.XLOOKUP(1,('env Parameter'!$A:$A=$A289)*('env Parameter'!$B:$B=$K289)*('env Parameter'!$C:$C=$L289),'env Parameter'!I:I,""),"")</f>
        <v>YR</v>
      </c>
    </row>
    <row r="290" spans="1:14">
      <c r="A290">
        <f>eDNA!A290</f>
        <v>20200717</v>
      </c>
      <c r="B290" s="10" t="str" cm="1">
        <f t="array" ref="B290">IFERROR(_xlfn.XLOOKUP(1,('env Parameter'!$A:$A=$A290)*('env Parameter'!$B:$B=$K290)*('env Parameter'!$C:$C=$L290),'env Parameter'!H:H,""),"")</f>
        <v>생물상 조사</v>
      </c>
      <c r="C290" s="10" cm="1">
        <f t="array" ref="C290">IFERROR(_xlfn.XLOOKUP(1,('env Parameter'!$A:$A=$A290)*('env Parameter'!$B:$B=$K290)*('env Parameter'!$C:$C=$L290),'env Parameter'!E:E,""),"")</f>
        <v>2.14</v>
      </c>
      <c r="D290" s="10" cm="1">
        <f t="array" ref="D290">IFERROR(_xlfn.XLOOKUP(1,('env Parameter'!$A:$A=$A290)*('env Parameter'!$B:$B=$K290)*('env Parameter'!$C:$C=$L290),'env Parameter'!F:F,""),"")</f>
        <v>478</v>
      </c>
      <c r="E290" s="10" cm="1">
        <f t="array" ref="E290">IFERROR(_xlfn.XLOOKUP(1,('env Parameter'!$A:$A=$A290)*('env Parameter'!$B:$B=$K290)*('env Parameter'!$C:$C=$L290),'env Parameter'!G:G,""),"")</f>
        <v>7.6</v>
      </c>
      <c r="F290" t="str">
        <f>eDNA!F290</f>
        <v>MiFish</v>
      </c>
      <c r="G290" t="str">
        <f>eDNA!D290</f>
        <v>Acheilognathus lanceolata</v>
      </c>
      <c r="H290" t="str">
        <f>_xlfn.XLOOKUP(G290,'Common name (master file)'!$B:$B,'Common name (master file)'!$A:$A,"-------------")</f>
        <v>납자루</v>
      </c>
      <c r="I290">
        <f>eDNA!E290</f>
        <v>105</v>
      </c>
      <c r="J290" t="str">
        <f>_xlfn.XLOOKUP(G290,'Common name (master file)'!$B:$B,'Common name (master file)'!$C:$C,"")</f>
        <v>어류</v>
      </c>
      <c r="K290">
        <f>eDNA!B290</f>
        <v>126.8797805</v>
      </c>
      <c r="L290">
        <f>eDNA!C290</f>
        <v>37.523914499999997</v>
      </c>
      <c r="M290" s="10" t="str" cm="1">
        <f t="array" ref="M290">IFERROR(_xlfn.XLOOKUP(1,('env Parameter'!$A:$A=$A290)*('env Parameter'!$B:$B=$K290)*('env Parameter'!$C:$C=$L290),'env Parameter'!D:D,""),"")</f>
        <v>안양천-15</v>
      </c>
      <c r="N290" s="10" t="str" cm="1">
        <f t="array" ref="N290">IFERROR(_xlfn.XLOOKUP(1,('env Parameter'!$A:$A=$A290)*('env Parameter'!$B:$B=$K290)*('env Parameter'!$C:$C=$L290),'env Parameter'!I:I,""),"")</f>
        <v>YR</v>
      </c>
    </row>
    <row r="291" spans="1:14">
      <c r="A291">
        <f>eDNA!A291</f>
        <v>20200717</v>
      </c>
      <c r="B291" s="10" t="str" cm="1">
        <f t="array" ref="B291">IFERROR(_xlfn.XLOOKUP(1,('env Parameter'!$A:$A=$A291)*('env Parameter'!$B:$B=$K291)*('env Parameter'!$C:$C=$L291),'env Parameter'!H:H,""),"")</f>
        <v>생물상 조사</v>
      </c>
      <c r="C291" s="10" cm="1">
        <f t="array" ref="C291">IFERROR(_xlfn.XLOOKUP(1,('env Parameter'!$A:$A=$A291)*('env Parameter'!$B:$B=$K291)*('env Parameter'!$C:$C=$L291),'env Parameter'!E:E,""),"")</f>
        <v>2.14</v>
      </c>
      <c r="D291" s="10" cm="1">
        <f t="array" ref="D291">IFERROR(_xlfn.XLOOKUP(1,('env Parameter'!$A:$A=$A291)*('env Parameter'!$B:$B=$K291)*('env Parameter'!$C:$C=$L291),'env Parameter'!F:F,""),"")</f>
        <v>478</v>
      </c>
      <c r="E291" s="10" cm="1">
        <f t="array" ref="E291">IFERROR(_xlfn.XLOOKUP(1,('env Parameter'!$A:$A=$A291)*('env Parameter'!$B:$B=$K291)*('env Parameter'!$C:$C=$L291),'env Parameter'!G:G,""),"")</f>
        <v>7.6</v>
      </c>
      <c r="F291" t="str">
        <f>eDNA!F291</f>
        <v>MiFish</v>
      </c>
      <c r="G291" t="str">
        <f>eDNA!D291</f>
        <v>Homo sapiens</v>
      </c>
      <c r="H291" t="str">
        <f>_xlfn.XLOOKUP(G291,'Common name (master file)'!$B:$B,'Common name (master file)'!$A:$A,"-------------")</f>
        <v>사람</v>
      </c>
      <c r="I291">
        <f>eDNA!E291</f>
        <v>113</v>
      </c>
      <c r="J291" t="str">
        <f>_xlfn.XLOOKUP(G291,'Common name (master file)'!$B:$B,'Common name (master file)'!$C:$C,"")</f>
        <v>포유류</v>
      </c>
      <c r="K291">
        <f>eDNA!B291</f>
        <v>126.8797805</v>
      </c>
      <c r="L291">
        <f>eDNA!C291</f>
        <v>37.523914499999997</v>
      </c>
      <c r="M291" s="10" t="str" cm="1">
        <f t="array" ref="M291">IFERROR(_xlfn.XLOOKUP(1,('env Parameter'!$A:$A=$A291)*('env Parameter'!$B:$B=$K291)*('env Parameter'!$C:$C=$L291),'env Parameter'!D:D,""),"")</f>
        <v>안양천-15</v>
      </c>
      <c r="N291" s="10" t="str" cm="1">
        <f t="array" ref="N291">IFERROR(_xlfn.XLOOKUP(1,('env Parameter'!$A:$A=$A291)*('env Parameter'!$B:$B=$K291)*('env Parameter'!$C:$C=$L291),'env Parameter'!I:I,""),"")</f>
        <v>YR</v>
      </c>
    </row>
    <row r="292" spans="1:14">
      <c r="A292">
        <f>eDNA!A292</f>
        <v>20200717</v>
      </c>
      <c r="B292" s="10" t="str" cm="1">
        <f t="array" ref="B292">IFERROR(_xlfn.XLOOKUP(1,('env Parameter'!$A:$A=$A292)*('env Parameter'!$B:$B=$K292)*('env Parameter'!$C:$C=$L292),'env Parameter'!H:H,""),"")</f>
        <v>생물상 조사</v>
      </c>
      <c r="C292" s="10" cm="1">
        <f t="array" ref="C292">IFERROR(_xlfn.XLOOKUP(1,('env Parameter'!$A:$A=$A292)*('env Parameter'!$B:$B=$K292)*('env Parameter'!$C:$C=$L292),'env Parameter'!E:E,""),"")</f>
        <v>2.14</v>
      </c>
      <c r="D292" s="10" cm="1">
        <f t="array" ref="D292">IFERROR(_xlfn.XLOOKUP(1,('env Parameter'!$A:$A=$A292)*('env Parameter'!$B:$B=$K292)*('env Parameter'!$C:$C=$L292),'env Parameter'!F:F,""),"")</f>
        <v>478</v>
      </c>
      <c r="E292" s="10" cm="1">
        <f t="array" ref="E292">IFERROR(_xlfn.XLOOKUP(1,('env Parameter'!$A:$A=$A292)*('env Parameter'!$B:$B=$K292)*('env Parameter'!$C:$C=$L292),'env Parameter'!G:G,""),"")</f>
        <v>7.6</v>
      </c>
      <c r="F292" t="str">
        <f>eDNA!F292</f>
        <v>MiFish</v>
      </c>
      <c r="G292" t="str">
        <f>eDNA!D292</f>
        <v>Gnathopogon strigatus</v>
      </c>
      <c r="H292" t="str">
        <f>_xlfn.XLOOKUP(G292,'Common name (master file)'!$B:$B,'Common name (master file)'!$A:$A,"-------------")</f>
        <v>줄몰개</v>
      </c>
      <c r="I292">
        <f>eDNA!E292</f>
        <v>190</v>
      </c>
      <c r="J292" t="str">
        <f>_xlfn.XLOOKUP(G292,'Common name (master file)'!$B:$B,'Common name (master file)'!$C:$C,"")</f>
        <v>어류</v>
      </c>
      <c r="K292">
        <f>eDNA!B292</f>
        <v>126.8797805</v>
      </c>
      <c r="L292">
        <f>eDNA!C292</f>
        <v>37.523914499999997</v>
      </c>
      <c r="M292" s="10" t="str" cm="1">
        <f t="array" ref="M292">IFERROR(_xlfn.XLOOKUP(1,('env Parameter'!$A:$A=$A292)*('env Parameter'!$B:$B=$K292)*('env Parameter'!$C:$C=$L292),'env Parameter'!D:D,""),"")</f>
        <v>안양천-15</v>
      </c>
      <c r="N292" s="10" t="str" cm="1">
        <f t="array" ref="N292">IFERROR(_xlfn.XLOOKUP(1,('env Parameter'!$A:$A=$A292)*('env Parameter'!$B:$B=$K292)*('env Parameter'!$C:$C=$L292),'env Parameter'!I:I,""),"")</f>
        <v>YR</v>
      </c>
    </row>
    <row r="293" spans="1:14">
      <c r="A293">
        <f>eDNA!A293</f>
        <v>20200717</v>
      </c>
      <c r="B293" s="10" t="str" cm="1">
        <f t="array" ref="B293">IFERROR(_xlfn.XLOOKUP(1,('env Parameter'!$A:$A=$A293)*('env Parameter'!$B:$B=$K293)*('env Parameter'!$C:$C=$L293),'env Parameter'!H:H,""),"")</f>
        <v>생물상 조사</v>
      </c>
      <c r="C293" s="10" cm="1">
        <f t="array" ref="C293">IFERROR(_xlfn.XLOOKUP(1,('env Parameter'!$A:$A=$A293)*('env Parameter'!$B:$B=$K293)*('env Parameter'!$C:$C=$L293),'env Parameter'!E:E,""),"")</f>
        <v>2.14</v>
      </c>
      <c r="D293" s="10" cm="1">
        <f t="array" ref="D293">IFERROR(_xlfn.XLOOKUP(1,('env Parameter'!$A:$A=$A293)*('env Parameter'!$B:$B=$K293)*('env Parameter'!$C:$C=$L293),'env Parameter'!F:F,""),"")</f>
        <v>478</v>
      </c>
      <c r="E293" s="10" cm="1">
        <f t="array" ref="E293">IFERROR(_xlfn.XLOOKUP(1,('env Parameter'!$A:$A=$A293)*('env Parameter'!$B:$B=$K293)*('env Parameter'!$C:$C=$L293),'env Parameter'!G:G,""),"")</f>
        <v>7.6</v>
      </c>
      <c r="F293" t="str">
        <f>eDNA!F293</f>
        <v>MiFish</v>
      </c>
      <c r="G293" t="str">
        <f>eDNA!D293</f>
        <v>Plagiognathops microlepis</v>
      </c>
      <c r="H293" t="str">
        <f>_xlfn.XLOOKUP(G293,'Common name (master file)'!$B:$B,'Common name (master file)'!$A:$A,"-------------")</f>
        <v>왜몰개</v>
      </c>
      <c r="I293">
        <f>eDNA!E293</f>
        <v>271</v>
      </c>
      <c r="J293" t="str">
        <f>_xlfn.XLOOKUP(G293,'Common name (master file)'!$B:$B,'Common name (master file)'!$C:$C,"")</f>
        <v>어류</v>
      </c>
      <c r="K293">
        <f>eDNA!B293</f>
        <v>126.8797805</v>
      </c>
      <c r="L293">
        <f>eDNA!C293</f>
        <v>37.523914499999997</v>
      </c>
      <c r="M293" s="10" t="str" cm="1">
        <f t="array" ref="M293">IFERROR(_xlfn.XLOOKUP(1,('env Parameter'!$A:$A=$A293)*('env Parameter'!$B:$B=$K293)*('env Parameter'!$C:$C=$L293),'env Parameter'!D:D,""),"")</f>
        <v>안양천-15</v>
      </c>
      <c r="N293" s="10" t="str" cm="1">
        <f t="array" ref="N293">IFERROR(_xlfn.XLOOKUP(1,('env Parameter'!$A:$A=$A293)*('env Parameter'!$B:$B=$K293)*('env Parameter'!$C:$C=$L293),'env Parameter'!I:I,""),"")</f>
        <v>YR</v>
      </c>
    </row>
    <row r="294" spans="1:14">
      <c r="A294">
        <f>eDNA!A294</f>
        <v>20200717</v>
      </c>
      <c r="B294" s="10" t="str" cm="1">
        <f t="array" ref="B294">IFERROR(_xlfn.XLOOKUP(1,('env Parameter'!$A:$A=$A294)*('env Parameter'!$B:$B=$K294)*('env Parameter'!$C:$C=$L294),'env Parameter'!H:H,""),"")</f>
        <v>생물상 조사</v>
      </c>
      <c r="C294" s="10" cm="1">
        <f t="array" ref="C294">IFERROR(_xlfn.XLOOKUP(1,('env Parameter'!$A:$A=$A294)*('env Parameter'!$B:$B=$K294)*('env Parameter'!$C:$C=$L294),'env Parameter'!E:E,""),"")</f>
        <v>2.14</v>
      </c>
      <c r="D294" s="10" cm="1">
        <f t="array" ref="D294">IFERROR(_xlfn.XLOOKUP(1,('env Parameter'!$A:$A=$A294)*('env Parameter'!$B:$B=$K294)*('env Parameter'!$C:$C=$L294),'env Parameter'!F:F,""),"")</f>
        <v>478</v>
      </c>
      <c r="E294" s="10" cm="1">
        <f t="array" ref="E294">IFERROR(_xlfn.XLOOKUP(1,('env Parameter'!$A:$A=$A294)*('env Parameter'!$B:$B=$K294)*('env Parameter'!$C:$C=$L294),'env Parameter'!G:G,""),"")</f>
        <v>7.6</v>
      </c>
      <c r="F294" t="str">
        <f>eDNA!F294</f>
        <v>MiFish</v>
      </c>
      <c r="G294" t="str">
        <f>eDNA!D294</f>
        <v>Tridentiger obscurus</v>
      </c>
      <c r="H294" t="str">
        <f>_xlfn.XLOOKUP(G294,'Common name (master file)'!$B:$B,'Common name (master file)'!$A:$A,"-------------")</f>
        <v>검정망둑</v>
      </c>
      <c r="I294">
        <f>eDNA!E294</f>
        <v>306</v>
      </c>
      <c r="J294" t="str">
        <f>_xlfn.XLOOKUP(G294,'Common name (master file)'!$B:$B,'Common name (master file)'!$C:$C,"")</f>
        <v>어류</v>
      </c>
      <c r="K294">
        <f>eDNA!B294</f>
        <v>126.8797805</v>
      </c>
      <c r="L294">
        <f>eDNA!C294</f>
        <v>37.523914499999997</v>
      </c>
      <c r="M294" s="10" t="str" cm="1">
        <f t="array" ref="M294">IFERROR(_xlfn.XLOOKUP(1,('env Parameter'!$A:$A=$A294)*('env Parameter'!$B:$B=$K294)*('env Parameter'!$C:$C=$L294),'env Parameter'!D:D,""),"")</f>
        <v>안양천-15</v>
      </c>
      <c r="N294" s="10" t="str" cm="1">
        <f t="array" ref="N294">IFERROR(_xlfn.XLOOKUP(1,('env Parameter'!$A:$A=$A294)*('env Parameter'!$B:$B=$K294)*('env Parameter'!$C:$C=$L294),'env Parameter'!I:I,""),"")</f>
        <v>YR</v>
      </c>
    </row>
    <row r="295" spans="1:14">
      <c r="A295">
        <f>eDNA!A295</f>
        <v>20200717</v>
      </c>
      <c r="B295" s="10" t="str" cm="1">
        <f t="array" ref="B295">IFERROR(_xlfn.XLOOKUP(1,('env Parameter'!$A:$A=$A295)*('env Parameter'!$B:$B=$K295)*('env Parameter'!$C:$C=$L295),'env Parameter'!H:H,""),"")</f>
        <v>생물상 조사</v>
      </c>
      <c r="C295" s="10" cm="1">
        <f t="array" ref="C295">IFERROR(_xlfn.XLOOKUP(1,('env Parameter'!$A:$A=$A295)*('env Parameter'!$B:$B=$K295)*('env Parameter'!$C:$C=$L295),'env Parameter'!E:E,""),"")</f>
        <v>2.14</v>
      </c>
      <c r="D295" s="10" cm="1">
        <f t="array" ref="D295">IFERROR(_xlfn.XLOOKUP(1,('env Parameter'!$A:$A=$A295)*('env Parameter'!$B:$B=$K295)*('env Parameter'!$C:$C=$L295),'env Parameter'!F:F,""),"")</f>
        <v>478</v>
      </c>
      <c r="E295" s="10" cm="1">
        <f t="array" ref="E295">IFERROR(_xlfn.XLOOKUP(1,('env Parameter'!$A:$A=$A295)*('env Parameter'!$B:$B=$K295)*('env Parameter'!$C:$C=$L295),'env Parameter'!G:G,""),"")</f>
        <v>7.6</v>
      </c>
      <c r="F295" t="str">
        <f>eDNA!F295</f>
        <v>MiFish</v>
      </c>
      <c r="G295" t="str">
        <f>eDNA!D295</f>
        <v>Anguilla japonica</v>
      </c>
      <c r="H295" t="str">
        <f>_xlfn.XLOOKUP(G295,'Common name (master file)'!$B:$B,'Common name (master file)'!$A:$A,"-------------")</f>
        <v>뱀장어</v>
      </c>
      <c r="I295">
        <f>eDNA!E295</f>
        <v>259</v>
      </c>
      <c r="J295" t="str">
        <f>_xlfn.XLOOKUP(G295,'Common name (master file)'!$B:$B,'Common name (master file)'!$C:$C,"")</f>
        <v>어류</v>
      </c>
      <c r="K295">
        <f>eDNA!B295</f>
        <v>126.8797805</v>
      </c>
      <c r="L295">
        <f>eDNA!C295</f>
        <v>37.523914499999997</v>
      </c>
      <c r="M295" s="10" t="str" cm="1">
        <f t="array" ref="M295">IFERROR(_xlfn.XLOOKUP(1,('env Parameter'!$A:$A=$A295)*('env Parameter'!$B:$B=$K295)*('env Parameter'!$C:$C=$L295),'env Parameter'!D:D,""),"")</f>
        <v>안양천-15</v>
      </c>
      <c r="N295" s="10" t="str" cm="1">
        <f t="array" ref="N295">IFERROR(_xlfn.XLOOKUP(1,('env Parameter'!$A:$A=$A295)*('env Parameter'!$B:$B=$K295)*('env Parameter'!$C:$C=$L295),'env Parameter'!I:I,""),"")</f>
        <v>YR</v>
      </c>
    </row>
    <row r="296" spans="1:14">
      <c r="A296">
        <f>eDNA!A296</f>
        <v>20200717</v>
      </c>
      <c r="B296" s="10" t="str" cm="1">
        <f t="array" ref="B296">IFERROR(_xlfn.XLOOKUP(1,('env Parameter'!$A:$A=$A296)*('env Parameter'!$B:$B=$K296)*('env Parameter'!$C:$C=$L296),'env Parameter'!H:H,""),"")</f>
        <v>생물상 조사</v>
      </c>
      <c r="C296" s="10" cm="1">
        <f t="array" ref="C296">IFERROR(_xlfn.XLOOKUP(1,('env Parameter'!$A:$A=$A296)*('env Parameter'!$B:$B=$K296)*('env Parameter'!$C:$C=$L296),'env Parameter'!E:E,""),"")</f>
        <v>2.14</v>
      </c>
      <c r="D296" s="10" cm="1">
        <f t="array" ref="D296">IFERROR(_xlfn.XLOOKUP(1,('env Parameter'!$A:$A=$A296)*('env Parameter'!$B:$B=$K296)*('env Parameter'!$C:$C=$L296),'env Parameter'!F:F,""),"")</f>
        <v>478</v>
      </c>
      <c r="E296" s="10" cm="1">
        <f t="array" ref="E296">IFERROR(_xlfn.XLOOKUP(1,('env Parameter'!$A:$A=$A296)*('env Parameter'!$B:$B=$K296)*('env Parameter'!$C:$C=$L296),'env Parameter'!G:G,""),"")</f>
        <v>7.6</v>
      </c>
      <c r="F296" t="str">
        <f>eDNA!F296</f>
        <v>MiFish</v>
      </c>
      <c r="G296" t="str">
        <f>eDNA!D296</f>
        <v>Cyprinus carpio</v>
      </c>
      <c r="H296" t="str">
        <f>_xlfn.XLOOKUP(G296,'Common name (master file)'!$B:$B,'Common name (master file)'!$A:$A,"-------------")</f>
        <v>잉어</v>
      </c>
      <c r="I296">
        <f>eDNA!E296</f>
        <v>318</v>
      </c>
      <c r="J296" t="str">
        <f>_xlfn.XLOOKUP(G296,'Common name (master file)'!$B:$B,'Common name (master file)'!$C:$C,"")</f>
        <v>어류</v>
      </c>
      <c r="K296">
        <f>eDNA!B296</f>
        <v>126.8797805</v>
      </c>
      <c r="L296">
        <f>eDNA!C296</f>
        <v>37.523914499999997</v>
      </c>
      <c r="M296" s="10" t="str" cm="1">
        <f t="array" ref="M296">IFERROR(_xlfn.XLOOKUP(1,('env Parameter'!$A:$A=$A296)*('env Parameter'!$B:$B=$K296)*('env Parameter'!$C:$C=$L296),'env Parameter'!D:D,""),"")</f>
        <v>안양천-15</v>
      </c>
      <c r="N296" s="10" t="str" cm="1">
        <f t="array" ref="N296">IFERROR(_xlfn.XLOOKUP(1,('env Parameter'!$A:$A=$A296)*('env Parameter'!$B:$B=$K296)*('env Parameter'!$C:$C=$L296),'env Parameter'!I:I,""),"")</f>
        <v>YR</v>
      </c>
    </row>
    <row r="297" spans="1:14">
      <c r="A297">
        <f>eDNA!A297</f>
        <v>20200717</v>
      </c>
      <c r="B297" s="10" t="str" cm="1">
        <f t="array" ref="B297">IFERROR(_xlfn.XLOOKUP(1,('env Parameter'!$A:$A=$A297)*('env Parameter'!$B:$B=$K297)*('env Parameter'!$C:$C=$L297),'env Parameter'!H:H,""),"")</f>
        <v>생물상 조사</v>
      </c>
      <c r="C297" s="10" cm="1">
        <f t="array" ref="C297">IFERROR(_xlfn.XLOOKUP(1,('env Parameter'!$A:$A=$A297)*('env Parameter'!$B:$B=$K297)*('env Parameter'!$C:$C=$L297),'env Parameter'!E:E,""),"")</f>
        <v>2.14</v>
      </c>
      <c r="D297" s="10" cm="1">
        <f t="array" ref="D297">IFERROR(_xlfn.XLOOKUP(1,('env Parameter'!$A:$A=$A297)*('env Parameter'!$B:$B=$K297)*('env Parameter'!$C:$C=$L297),'env Parameter'!F:F,""),"")</f>
        <v>478</v>
      </c>
      <c r="E297" s="10" cm="1">
        <f t="array" ref="E297">IFERROR(_xlfn.XLOOKUP(1,('env Parameter'!$A:$A=$A297)*('env Parameter'!$B:$B=$K297)*('env Parameter'!$C:$C=$L297),'env Parameter'!G:G,""),"")</f>
        <v>7.6</v>
      </c>
      <c r="F297" t="str">
        <f>eDNA!F297</f>
        <v>MiFish</v>
      </c>
      <c r="G297" t="str">
        <f>eDNA!D297</f>
        <v>Misgurnus mizolepis</v>
      </c>
      <c r="H297" t="str">
        <f>_xlfn.XLOOKUP(G297,'Common name (master file)'!$B:$B,'Common name (master file)'!$A:$A,"-------------")</f>
        <v>미꾸라지</v>
      </c>
      <c r="I297">
        <f>eDNA!E297</f>
        <v>526</v>
      </c>
      <c r="J297" t="str">
        <f>_xlfn.XLOOKUP(G297,'Common name (master file)'!$B:$B,'Common name (master file)'!$C:$C,"")</f>
        <v>어류</v>
      </c>
      <c r="K297">
        <f>eDNA!B297</f>
        <v>126.8797805</v>
      </c>
      <c r="L297">
        <f>eDNA!C297</f>
        <v>37.523914499999997</v>
      </c>
      <c r="M297" s="10" t="str" cm="1">
        <f t="array" ref="M297">IFERROR(_xlfn.XLOOKUP(1,('env Parameter'!$A:$A=$A297)*('env Parameter'!$B:$B=$K297)*('env Parameter'!$C:$C=$L297),'env Parameter'!D:D,""),"")</f>
        <v>안양천-15</v>
      </c>
      <c r="N297" s="10" t="str" cm="1">
        <f t="array" ref="N297">IFERROR(_xlfn.XLOOKUP(1,('env Parameter'!$A:$A=$A297)*('env Parameter'!$B:$B=$K297)*('env Parameter'!$C:$C=$L297),'env Parameter'!I:I,""),"")</f>
        <v>YR</v>
      </c>
    </row>
    <row r="298" spans="1:14">
      <c r="A298">
        <f>eDNA!A298</f>
        <v>20200717</v>
      </c>
      <c r="B298" s="10" t="str" cm="1">
        <f t="array" ref="B298">IFERROR(_xlfn.XLOOKUP(1,('env Parameter'!$A:$A=$A298)*('env Parameter'!$B:$B=$K298)*('env Parameter'!$C:$C=$L298),'env Parameter'!H:H,""),"")</f>
        <v>생물상 조사</v>
      </c>
      <c r="C298" s="10" cm="1">
        <f t="array" ref="C298">IFERROR(_xlfn.XLOOKUP(1,('env Parameter'!$A:$A=$A298)*('env Parameter'!$B:$B=$K298)*('env Parameter'!$C:$C=$L298),'env Parameter'!E:E,""),"")</f>
        <v>2.14</v>
      </c>
      <c r="D298" s="10" cm="1">
        <f t="array" ref="D298">IFERROR(_xlfn.XLOOKUP(1,('env Parameter'!$A:$A=$A298)*('env Parameter'!$B:$B=$K298)*('env Parameter'!$C:$C=$L298),'env Parameter'!F:F,""),"")</f>
        <v>478</v>
      </c>
      <c r="E298" s="10" cm="1">
        <f t="array" ref="E298">IFERROR(_xlfn.XLOOKUP(1,('env Parameter'!$A:$A=$A298)*('env Parameter'!$B:$B=$K298)*('env Parameter'!$C:$C=$L298),'env Parameter'!G:G,""),"")</f>
        <v>7.6</v>
      </c>
      <c r="F298" t="str">
        <f>eDNA!F298</f>
        <v>MiFish</v>
      </c>
      <c r="G298" t="str">
        <f>eDNA!D298</f>
        <v>Misgurnus mizolepis</v>
      </c>
      <c r="H298" t="str">
        <f>_xlfn.XLOOKUP(G298,'Common name (master file)'!$B:$B,'Common name (master file)'!$A:$A,"-------------")</f>
        <v>미꾸라지</v>
      </c>
      <c r="I298">
        <f>eDNA!E298</f>
        <v>526</v>
      </c>
      <c r="J298" t="str">
        <f>_xlfn.XLOOKUP(G298,'Common name (master file)'!$B:$B,'Common name (master file)'!$C:$C,"")</f>
        <v>어류</v>
      </c>
      <c r="K298">
        <f>eDNA!B298</f>
        <v>126.8797805</v>
      </c>
      <c r="L298">
        <f>eDNA!C298</f>
        <v>37.523914499999997</v>
      </c>
      <c r="M298" s="10" t="str" cm="1">
        <f t="array" ref="M298">IFERROR(_xlfn.XLOOKUP(1,('env Parameter'!$A:$A=$A298)*('env Parameter'!$B:$B=$K298)*('env Parameter'!$C:$C=$L298),'env Parameter'!D:D,""),"")</f>
        <v>안양천-15</v>
      </c>
      <c r="N298" s="10" t="str" cm="1">
        <f t="array" ref="N298">IFERROR(_xlfn.XLOOKUP(1,('env Parameter'!$A:$A=$A298)*('env Parameter'!$B:$B=$K298)*('env Parameter'!$C:$C=$L298),'env Parameter'!I:I,""),"")</f>
        <v>YR</v>
      </c>
    </row>
    <row r="299" spans="1:14">
      <c r="A299">
        <f>eDNA!A299</f>
        <v>20200717</v>
      </c>
      <c r="B299" s="10" t="str" cm="1">
        <f t="array" ref="B299">IFERROR(_xlfn.XLOOKUP(1,('env Parameter'!$A:$A=$A299)*('env Parameter'!$B:$B=$K299)*('env Parameter'!$C:$C=$L299),'env Parameter'!H:H,""),"")</f>
        <v>생물상 조사</v>
      </c>
      <c r="C299" s="10" cm="1">
        <f t="array" ref="C299">IFERROR(_xlfn.XLOOKUP(1,('env Parameter'!$A:$A=$A299)*('env Parameter'!$B:$B=$K299)*('env Parameter'!$C:$C=$L299),'env Parameter'!E:E,""),"")</f>
        <v>2.14</v>
      </c>
      <c r="D299" s="10" cm="1">
        <f t="array" ref="D299">IFERROR(_xlfn.XLOOKUP(1,('env Parameter'!$A:$A=$A299)*('env Parameter'!$B:$B=$K299)*('env Parameter'!$C:$C=$L299),'env Parameter'!F:F,""),"")</f>
        <v>478</v>
      </c>
      <c r="E299" s="10" cm="1">
        <f t="array" ref="E299">IFERROR(_xlfn.XLOOKUP(1,('env Parameter'!$A:$A=$A299)*('env Parameter'!$B:$B=$K299)*('env Parameter'!$C:$C=$L299),'env Parameter'!G:G,""),"")</f>
        <v>7.6</v>
      </c>
      <c r="F299" t="str">
        <f>eDNA!F299</f>
        <v>MiFish</v>
      </c>
      <c r="G299" t="str">
        <f>eDNA!D299</f>
        <v>Oryzias sinensis</v>
      </c>
      <c r="H299" t="str">
        <f>_xlfn.XLOOKUP(G299,'Common name (master file)'!$B:$B,'Common name (master file)'!$A:$A,"-------------")</f>
        <v>대륙송사리</v>
      </c>
      <c r="I299">
        <f>eDNA!E299</f>
        <v>1171</v>
      </c>
      <c r="J299" t="str">
        <f>_xlfn.XLOOKUP(G299,'Common name (master file)'!$B:$B,'Common name (master file)'!$C:$C,"")</f>
        <v>어류</v>
      </c>
      <c r="K299">
        <f>eDNA!B299</f>
        <v>126.8797805</v>
      </c>
      <c r="L299">
        <f>eDNA!C299</f>
        <v>37.523914499999997</v>
      </c>
      <c r="M299" s="10" t="str" cm="1">
        <f t="array" ref="M299">IFERROR(_xlfn.XLOOKUP(1,('env Parameter'!$A:$A=$A299)*('env Parameter'!$B:$B=$K299)*('env Parameter'!$C:$C=$L299),'env Parameter'!D:D,""),"")</f>
        <v>안양천-15</v>
      </c>
      <c r="N299" s="10" t="str" cm="1">
        <f t="array" ref="N299">IFERROR(_xlfn.XLOOKUP(1,('env Parameter'!$A:$A=$A299)*('env Parameter'!$B:$B=$K299)*('env Parameter'!$C:$C=$L299),'env Parameter'!I:I,""),"")</f>
        <v>YR</v>
      </c>
    </row>
    <row r="300" spans="1:14">
      <c r="A300">
        <f>eDNA!A300</f>
        <v>20200717</v>
      </c>
      <c r="B300" s="10" t="str" cm="1">
        <f t="array" ref="B300">IFERROR(_xlfn.XLOOKUP(1,('env Parameter'!$A:$A=$A300)*('env Parameter'!$B:$B=$K300)*('env Parameter'!$C:$C=$L300),'env Parameter'!H:H,""),"")</f>
        <v>생물상 조사</v>
      </c>
      <c r="C300" s="10" cm="1">
        <f t="array" ref="C300">IFERROR(_xlfn.XLOOKUP(1,('env Parameter'!$A:$A=$A300)*('env Parameter'!$B:$B=$K300)*('env Parameter'!$C:$C=$L300),'env Parameter'!E:E,""),"")</f>
        <v>2.14</v>
      </c>
      <c r="D300" s="10" cm="1">
        <f t="array" ref="D300">IFERROR(_xlfn.XLOOKUP(1,('env Parameter'!$A:$A=$A300)*('env Parameter'!$B:$B=$K300)*('env Parameter'!$C:$C=$L300),'env Parameter'!F:F,""),"")</f>
        <v>478</v>
      </c>
      <c r="E300" s="10" cm="1">
        <f t="array" ref="E300">IFERROR(_xlfn.XLOOKUP(1,('env Parameter'!$A:$A=$A300)*('env Parameter'!$B:$B=$K300)*('env Parameter'!$C:$C=$L300),'env Parameter'!G:G,""),"")</f>
        <v>7.6</v>
      </c>
      <c r="F300" t="str">
        <f>eDNA!F300</f>
        <v>MiFish</v>
      </c>
      <c r="G300" t="str">
        <f>eDNA!D300</f>
        <v>Silurus soldatovi</v>
      </c>
      <c r="H300" t="str">
        <f>_xlfn.XLOOKUP(G300,'Common name (master file)'!$B:$B,'Common name (master file)'!$A:$A,"-------------")</f>
        <v>솔다토비 메기</v>
      </c>
      <c r="I300">
        <f>eDNA!E300</f>
        <v>933</v>
      </c>
      <c r="J300" t="str">
        <f>_xlfn.XLOOKUP(G300,'Common name (master file)'!$B:$B,'Common name (master file)'!$C:$C,"")</f>
        <v>어류</v>
      </c>
      <c r="K300">
        <f>eDNA!B300</f>
        <v>126.8797805</v>
      </c>
      <c r="L300">
        <f>eDNA!C300</f>
        <v>37.523914499999997</v>
      </c>
      <c r="M300" s="10" t="str" cm="1">
        <f t="array" ref="M300">IFERROR(_xlfn.XLOOKUP(1,('env Parameter'!$A:$A=$A300)*('env Parameter'!$B:$B=$K300)*('env Parameter'!$C:$C=$L300),'env Parameter'!D:D,""),"")</f>
        <v>안양천-15</v>
      </c>
      <c r="N300" s="10" t="str" cm="1">
        <f t="array" ref="N300">IFERROR(_xlfn.XLOOKUP(1,('env Parameter'!$A:$A=$A300)*('env Parameter'!$B:$B=$K300)*('env Parameter'!$C:$C=$L300),'env Parameter'!I:I,""),"")</f>
        <v>YR</v>
      </c>
    </row>
    <row r="301" spans="1:14">
      <c r="A301">
        <f>eDNA!A301</f>
        <v>20200717</v>
      </c>
      <c r="B301" s="10" t="str" cm="1">
        <f t="array" ref="B301">IFERROR(_xlfn.XLOOKUP(1,('env Parameter'!$A:$A=$A301)*('env Parameter'!$B:$B=$K301)*('env Parameter'!$C:$C=$L301),'env Parameter'!H:H,""),"")</f>
        <v>생물상 조사</v>
      </c>
      <c r="C301" s="10" cm="1">
        <f t="array" ref="C301">IFERROR(_xlfn.XLOOKUP(1,('env Parameter'!$A:$A=$A301)*('env Parameter'!$B:$B=$K301)*('env Parameter'!$C:$C=$L301),'env Parameter'!E:E,""),"")</f>
        <v>2.14</v>
      </c>
      <c r="D301" s="10" cm="1">
        <f t="array" ref="D301">IFERROR(_xlfn.XLOOKUP(1,('env Parameter'!$A:$A=$A301)*('env Parameter'!$B:$B=$K301)*('env Parameter'!$C:$C=$L301),'env Parameter'!F:F,""),"")</f>
        <v>478</v>
      </c>
      <c r="E301" s="10" cm="1">
        <f t="array" ref="E301">IFERROR(_xlfn.XLOOKUP(1,('env Parameter'!$A:$A=$A301)*('env Parameter'!$B:$B=$K301)*('env Parameter'!$C:$C=$L301),'env Parameter'!G:G,""),"")</f>
        <v>7.6</v>
      </c>
      <c r="F301" t="str">
        <f>eDNA!F301</f>
        <v>MiFish</v>
      </c>
      <c r="G301" t="str">
        <f>eDNA!D301</f>
        <v>Acanthorhodeus chankaensis</v>
      </c>
      <c r="H301" t="str">
        <f>_xlfn.XLOOKUP(G301,'Common name (master file)'!$B:$B,'Common name (master file)'!$A:$A,"-------------")</f>
        <v>가시납지리</v>
      </c>
      <c r="I301">
        <f>eDNA!E301</f>
        <v>1197</v>
      </c>
      <c r="J301" t="str">
        <f>_xlfn.XLOOKUP(G301,'Common name (master file)'!$B:$B,'Common name (master file)'!$C:$C,"")</f>
        <v>어류</v>
      </c>
      <c r="K301">
        <f>eDNA!B301</f>
        <v>126.8797805</v>
      </c>
      <c r="L301">
        <f>eDNA!C301</f>
        <v>37.523914499999997</v>
      </c>
      <c r="M301" s="10" t="str" cm="1">
        <f t="array" ref="M301">IFERROR(_xlfn.XLOOKUP(1,('env Parameter'!$A:$A=$A301)*('env Parameter'!$B:$B=$K301)*('env Parameter'!$C:$C=$L301),'env Parameter'!D:D,""),"")</f>
        <v>안양천-15</v>
      </c>
      <c r="N301" s="10" t="str" cm="1">
        <f t="array" ref="N301">IFERROR(_xlfn.XLOOKUP(1,('env Parameter'!$A:$A=$A301)*('env Parameter'!$B:$B=$K301)*('env Parameter'!$C:$C=$L301),'env Parameter'!I:I,""),"")</f>
        <v>YR</v>
      </c>
    </row>
    <row r="302" spans="1:14">
      <c r="A302">
        <f>eDNA!A302</f>
        <v>20200717</v>
      </c>
      <c r="B302" s="10" t="str" cm="1">
        <f t="array" ref="B302">IFERROR(_xlfn.XLOOKUP(1,('env Parameter'!$A:$A=$A302)*('env Parameter'!$B:$B=$K302)*('env Parameter'!$C:$C=$L302),'env Parameter'!H:H,""),"")</f>
        <v>생물상 조사</v>
      </c>
      <c r="C302" s="10" cm="1">
        <f t="array" ref="C302">IFERROR(_xlfn.XLOOKUP(1,('env Parameter'!$A:$A=$A302)*('env Parameter'!$B:$B=$K302)*('env Parameter'!$C:$C=$L302),'env Parameter'!E:E,""),"")</f>
        <v>2.14</v>
      </c>
      <c r="D302" s="10" cm="1">
        <f t="array" ref="D302">IFERROR(_xlfn.XLOOKUP(1,('env Parameter'!$A:$A=$A302)*('env Parameter'!$B:$B=$K302)*('env Parameter'!$C:$C=$L302),'env Parameter'!F:F,""),"")</f>
        <v>478</v>
      </c>
      <c r="E302" s="10" cm="1">
        <f t="array" ref="E302">IFERROR(_xlfn.XLOOKUP(1,('env Parameter'!$A:$A=$A302)*('env Parameter'!$B:$B=$K302)*('env Parameter'!$C:$C=$L302),'env Parameter'!G:G,""),"")</f>
        <v>7.6</v>
      </c>
      <c r="F302" t="str">
        <f>eDNA!F302</f>
        <v>MiFish</v>
      </c>
      <c r="G302" t="str">
        <f>eDNA!D302</f>
        <v>Channa argus</v>
      </c>
      <c r="H302" t="str">
        <f>_xlfn.XLOOKUP(G302,'Common name (master file)'!$B:$B,'Common name (master file)'!$A:$A,"-------------")</f>
        <v>가물치</v>
      </c>
      <c r="I302">
        <f>eDNA!E302</f>
        <v>2048</v>
      </c>
      <c r="J302" t="str">
        <f>_xlfn.XLOOKUP(G302,'Common name (master file)'!$B:$B,'Common name (master file)'!$C:$C,"")</f>
        <v>어류</v>
      </c>
      <c r="K302">
        <f>eDNA!B302</f>
        <v>126.8797805</v>
      </c>
      <c r="L302">
        <f>eDNA!C302</f>
        <v>37.523914499999997</v>
      </c>
      <c r="M302" s="10" t="str" cm="1">
        <f t="array" ref="M302">IFERROR(_xlfn.XLOOKUP(1,('env Parameter'!$A:$A=$A302)*('env Parameter'!$B:$B=$K302)*('env Parameter'!$C:$C=$L302),'env Parameter'!D:D,""),"")</f>
        <v>안양천-15</v>
      </c>
      <c r="N302" s="10" t="str" cm="1">
        <f t="array" ref="N302">IFERROR(_xlfn.XLOOKUP(1,('env Parameter'!$A:$A=$A302)*('env Parameter'!$B:$B=$K302)*('env Parameter'!$C:$C=$L302),'env Parameter'!I:I,""),"")</f>
        <v>YR</v>
      </c>
    </row>
    <row r="303" spans="1:14">
      <c r="A303">
        <f>eDNA!A303</f>
        <v>20200717</v>
      </c>
      <c r="B303" s="10" t="str" cm="1">
        <f t="array" ref="B303">IFERROR(_xlfn.XLOOKUP(1,('env Parameter'!$A:$A=$A303)*('env Parameter'!$B:$B=$K303)*('env Parameter'!$C:$C=$L303),'env Parameter'!H:H,""),"")</f>
        <v>생물상 조사</v>
      </c>
      <c r="C303" s="10" cm="1">
        <f t="array" ref="C303">IFERROR(_xlfn.XLOOKUP(1,('env Parameter'!$A:$A=$A303)*('env Parameter'!$B:$B=$K303)*('env Parameter'!$C:$C=$L303),'env Parameter'!E:E,""),"")</f>
        <v>2.14</v>
      </c>
      <c r="D303" s="10" cm="1">
        <f t="array" ref="D303">IFERROR(_xlfn.XLOOKUP(1,('env Parameter'!$A:$A=$A303)*('env Parameter'!$B:$B=$K303)*('env Parameter'!$C:$C=$L303),'env Parameter'!F:F,""),"")</f>
        <v>478</v>
      </c>
      <c r="E303" s="10" cm="1">
        <f t="array" ref="E303">IFERROR(_xlfn.XLOOKUP(1,('env Parameter'!$A:$A=$A303)*('env Parameter'!$B:$B=$K303)*('env Parameter'!$C:$C=$L303),'env Parameter'!G:G,""),"")</f>
        <v>7.6</v>
      </c>
      <c r="F303" t="str">
        <f>eDNA!F303</f>
        <v>MiFish</v>
      </c>
      <c r="G303" t="str">
        <f>eDNA!D303</f>
        <v>Culter dabryi</v>
      </c>
      <c r="H303" t="str">
        <f>_xlfn.XLOOKUP(G303,'Common name (master file)'!$B:$B,'Common name (master file)'!$A:$A,"-------------")</f>
        <v>다브리날카로운입치</v>
      </c>
      <c r="I303">
        <f>eDNA!E303</f>
        <v>1761</v>
      </c>
      <c r="J303" t="str">
        <f>_xlfn.XLOOKUP(G303,'Common name (master file)'!$B:$B,'Common name (master file)'!$C:$C,"")</f>
        <v>어류</v>
      </c>
      <c r="K303">
        <f>eDNA!B303</f>
        <v>126.8797805</v>
      </c>
      <c r="L303">
        <f>eDNA!C303</f>
        <v>37.523914499999997</v>
      </c>
      <c r="M303" s="10" t="str" cm="1">
        <f t="array" ref="M303">IFERROR(_xlfn.XLOOKUP(1,('env Parameter'!$A:$A=$A303)*('env Parameter'!$B:$B=$K303)*('env Parameter'!$C:$C=$L303),'env Parameter'!D:D,""),"")</f>
        <v>안양천-15</v>
      </c>
      <c r="N303" s="10" t="str" cm="1">
        <f t="array" ref="N303">IFERROR(_xlfn.XLOOKUP(1,('env Parameter'!$A:$A=$A303)*('env Parameter'!$B:$B=$K303)*('env Parameter'!$C:$C=$L303),'env Parameter'!I:I,""),"")</f>
        <v>YR</v>
      </c>
    </row>
    <row r="304" spans="1:14">
      <c r="A304">
        <f>eDNA!A304</f>
        <v>20200717</v>
      </c>
      <c r="B304" s="10" t="str" cm="1">
        <f t="array" ref="B304">IFERROR(_xlfn.XLOOKUP(1,('env Parameter'!$A:$A=$A304)*('env Parameter'!$B:$B=$K304)*('env Parameter'!$C:$C=$L304),'env Parameter'!H:H,""),"")</f>
        <v>생물상 조사</v>
      </c>
      <c r="C304" s="10" cm="1">
        <f t="array" ref="C304">IFERROR(_xlfn.XLOOKUP(1,('env Parameter'!$A:$A=$A304)*('env Parameter'!$B:$B=$K304)*('env Parameter'!$C:$C=$L304),'env Parameter'!E:E,""),"")</f>
        <v>2.14</v>
      </c>
      <c r="D304" s="10" cm="1">
        <f t="array" ref="D304">IFERROR(_xlfn.XLOOKUP(1,('env Parameter'!$A:$A=$A304)*('env Parameter'!$B:$B=$K304)*('env Parameter'!$C:$C=$L304),'env Parameter'!F:F,""),"")</f>
        <v>478</v>
      </c>
      <c r="E304" s="10" cm="1">
        <f t="array" ref="E304">IFERROR(_xlfn.XLOOKUP(1,('env Parameter'!$A:$A=$A304)*('env Parameter'!$B:$B=$K304)*('env Parameter'!$C:$C=$L304),'env Parameter'!G:G,""),"")</f>
        <v>7.6</v>
      </c>
      <c r="F304" t="str">
        <f>eDNA!F304</f>
        <v>MiFish</v>
      </c>
      <c r="G304" t="str">
        <f>eDNA!D304</f>
        <v>Carassius sp.</v>
      </c>
      <c r="H304" t="str">
        <f>_xlfn.XLOOKUP(G304,'Common name (master file)'!$B:$B,'Common name (master file)'!$A:$A,"-------------")</f>
        <v>붕어 속</v>
      </c>
      <c r="I304">
        <f>eDNA!E304</f>
        <v>1460</v>
      </c>
      <c r="J304" t="str">
        <f>_xlfn.XLOOKUP(G304,'Common name (master file)'!$B:$B,'Common name (master file)'!$C:$C,"")</f>
        <v>어류</v>
      </c>
      <c r="K304">
        <f>eDNA!B304</f>
        <v>126.8797805</v>
      </c>
      <c r="L304">
        <f>eDNA!C304</f>
        <v>37.523914499999997</v>
      </c>
      <c r="M304" s="10" t="str" cm="1">
        <f t="array" ref="M304">IFERROR(_xlfn.XLOOKUP(1,('env Parameter'!$A:$A=$A304)*('env Parameter'!$B:$B=$K304)*('env Parameter'!$C:$C=$L304),'env Parameter'!D:D,""),"")</f>
        <v>안양천-15</v>
      </c>
      <c r="N304" s="10" t="str" cm="1">
        <f t="array" ref="N304">IFERROR(_xlfn.XLOOKUP(1,('env Parameter'!$A:$A=$A304)*('env Parameter'!$B:$B=$K304)*('env Parameter'!$C:$C=$L304),'env Parameter'!I:I,""),"")</f>
        <v>YR</v>
      </c>
    </row>
    <row r="305" spans="1:14">
      <c r="A305">
        <f>eDNA!A305</f>
        <v>20200717</v>
      </c>
      <c r="B305" s="10" t="str" cm="1">
        <f t="array" ref="B305">IFERROR(_xlfn.XLOOKUP(1,('env Parameter'!$A:$A=$A305)*('env Parameter'!$B:$B=$K305)*('env Parameter'!$C:$C=$L305),'env Parameter'!H:H,""),"")</f>
        <v>생물상 조사</v>
      </c>
      <c r="C305" s="10" cm="1">
        <f t="array" ref="C305">IFERROR(_xlfn.XLOOKUP(1,('env Parameter'!$A:$A=$A305)*('env Parameter'!$B:$B=$K305)*('env Parameter'!$C:$C=$L305),'env Parameter'!E:E,""),"")</f>
        <v>2.14</v>
      </c>
      <c r="D305" s="10" cm="1">
        <f t="array" ref="D305">IFERROR(_xlfn.XLOOKUP(1,('env Parameter'!$A:$A=$A305)*('env Parameter'!$B:$B=$K305)*('env Parameter'!$C:$C=$L305),'env Parameter'!F:F,""),"")</f>
        <v>478</v>
      </c>
      <c r="E305" s="10" cm="1">
        <f t="array" ref="E305">IFERROR(_xlfn.XLOOKUP(1,('env Parameter'!$A:$A=$A305)*('env Parameter'!$B:$B=$K305)*('env Parameter'!$C:$C=$L305),'env Parameter'!G:G,""),"")</f>
        <v>7.6</v>
      </c>
      <c r="F305" t="str">
        <f>eDNA!F305</f>
        <v>MiFish</v>
      </c>
      <c r="G305" t="str">
        <f>eDNA!D305</f>
        <v>Odontobutis interrupta</v>
      </c>
      <c r="H305" t="str">
        <f>_xlfn.XLOOKUP(G305,'Common name (master file)'!$B:$B,'Common name (master file)'!$A:$A,"-------------")</f>
        <v>얼록동사리</v>
      </c>
      <c r="I305">
        <f>eDNA!E305</f>
        <v>3355</v>
      </c>
      <c r="J305" t="str">
        <f>_xlfn.XLOOKUP(G305,'Common name (master file)'!$B:$B,'Common name (master file)'!$C:$C,"")</f>
        <v>어류</v>
      </c>
      <c r="K305">
        <f>eDNA!B305</f>
        <v>126.8797805</v>
      </c>
      <c r="L305">
        <f>eDNA!C305</f>
        <v>37.523914499999997</v>
      </c>
      <c r="M305" s="10" t="str" cm="1">
        <f t="array" ref="M305">IFERROR(_xlfn.XLOOKUP(1,('env Parameter'!$A:$A=$A305)*('env Parameter'!$B:$B=$K305)*('env Parameter'!$C:$C=$L305),'env Parameter'!D:D,""),"")</f>
        <v>안양천-15</v>
      </c>
      <c r="N305" s="10" t="str" cm="1">
        <f t="array" ref="N305">IFERROR(_xlfn.XLOOKUP(1,('env Parameter'!$A:$A=$A305)*('env Parameter'!$B:$B=$K305)*('env Parameter'!$C:$C=$L305),'env Parameter'!I:I,""),"")</f>
        <v>YR</v>
      </c>
    </row>
    <row r="306" spans="1:14">
      <c r="A306">
        <f>eDNA!A306</f>
        <v>20200717</v>
      </c>
      <c r="B306" s="10" t="str" cm="1">
        <f t="array" ref="B306">IFERROR(_xlfn.XLOOKUP(1,('env Parameter'!$A:$A=$A306)*('env Parameter'!$B:$B=$K306)*('env Parameter'!$C:$C=$L306),'env Parameter'!H:H,""),"")</f>
        <v>생물상 조사</v>
      </c>
      <c r="C306" s="10" cm="1">
        <f t="array" ref="C306">IFERROR(_xlfn.XLOOKUP(1,('env Parameter'!$A:$A=$A306)*('env Parameter'!$B:$B=$K306)*('env Parameter'!$C:$C=$L306),'env Parameter'!E:E,""),"")</f>
        <v>2.14</v>
      </c>
      <c r="D306" s="10" cm="1">
        <f t="array" ref="D306">IFERROR(_xlfn.XLOOKUP(1,('env Parameter'!$A:$A=$A306)*('env Parameter'!$B:$B=$K306)*('env Parameter'!$C:$C=$L306),'env Parameter'!F:F,""),"")</f>
        <v>478</v>
      </c>
      <c r="E306" s="10" cm="1">
        <f t="array" ref="E306">IFERROR(_xlfn.XLOOKUP(1,('env Parameter'!$A:$A=$A306)*('env Parameter'!$B:$B=$K306)*('env Parameter'!$C:$C=$L306),'env Parameter'!G:G,""),"")</f>
        <v>7.6</v>
      </c>
      <c r="F306" t="str">
        <f>eDNA!F306</f>
        <v>MiFish</v>
      </c>
      <c r="G306" t="str">
        <f>eDNA!D306</f>
        <v>Acheilognathus macropterus</v>
      </c>
      <c r="H306" t="str">
        <f>_xlfn.XLOOKUP(G306,'Common name (master file)'!$B:$B,'Common name (master file)'!$A:$A,"-------------")</f>
        <v>큰납지리</v>
      </c>
      <c r="I306">
        <f>eDNA!E306</f>
        <v>4486</v>
      </c>
      <c r="J306" t="str">
        <f>_xlfn.XLOOKUP(G306,'Common name (master file)'!$B:$B,'Common name (master file)'!$C:$C,"")</f>
        <v>어류</v>
      </c>
      <c r="K306">
        <f>eDNA!B306</f>
        <v>126.8797805</v>
      </c>
      <c r="L306">
        <f>eDNA!C306</f>
        <v>37.523914499999997</v>
      </c>
      <c r="M306" s="10" t="str" cm="1">
        <f t="array" ref="M306">IFERROR(_xlfn.XLOOKUP(1,('env Parameter'!$A:$A=$A306)*('env Parameter'!$B:$B=$K306)*('env Parameter'!$C:$C=$L306),'env Parameter'!D:D,""),"")</f>
        <v>안양천-15</v>
      </c>
      <c r="N306" s="10" t="str" cm="1">
        <f t="array" ref="N306">IFERROR(_xlfn.XLOOKUP(1,('env Parameter'!$A:$A=$A306)*('env Parameter'!$B:$B=$K306)*('env Parameter'!$C:$C=$L306),'env Parameter'!I:I,""),"")</f>
        <v>YR</v>
      </c>
    </row>
    <row r="307" spans="1:14">
      <c r="A307">
        <f>eDNA!A307</f>
        <v>20200717</v>
      </c>
      <c r="B307" s="10" t="str" cm="1">
        <f t="array" ref="B307">IFERROR(_xlfn.XLOOKUP(1,('env Parameter'!$A:$A=$A307)*('env Parameter'!$B:$B=$K307)*('env Parameter'!$C:$C=$L307),'env Parameter'!H:H,""),"")</f>
        <v>생물상 조사</v>
      </c>
      <c r="C307" s="10" cm="1">
        <f t="array" ref="C307">IFERROR(_xlfn.XLOOKUP(1,('env Parameter'!$A:$A=$A307)*('env Parameter'!$B:$B=$K307)*('env Parameter'!$C:$C=$L307),'env Parameter'!E:E,""),"")</f>
        <v>2.14</v>
      </c>
      <c r="D307" s="10" cm="1">
        <f t="array" ref="D307">IFERROR(_xlfn.XLOOKUP(1,('env Parameter'!$A:$A=$A307)*('env Parameter'!$B:$B=$K307)*('env Parameter'!$C:$C=$L307),'env Parameter'!F:F,""),"")</f>
        <v>478</v>
      </c>
      <c r="E307" s="10" cm="1">
        <f t="array" ref="E307">IFERROR(_xlfn.XLOOKUP(1,('env Parameter'!$A:$A=$A307)*('env Parameter'!$B:$B=$K307)*('env Parameter'!$C:$C=$L307),'env Parameter'!G:G,""),"")</f>
        <v>7.6</v>
      </c>
      <c r="F307" t="str">
        <f>eDNA!F307</f>
        <v>MiFish</v>
      </c>
      <c r="G307" t="str">
        <f>eDNA!D307</f>
        <v>Synechogobius hasta</v>
      </c>
      <c r="H307" t="str">
        <f>_xlfn.XLOOKUP(G307,'Common name (master file)'!$B:$B,'Common name (master file)'!$A:$A,"-------------")</f>
        <v>풀망둑</v>
      </c>
      <c r="I307">
        <f>eDNA!E307</f>
        <v>5691</v>
      </c>
      <c r="J307" t="str">
        <f>_xlfn.XLOOKUP(G307,'Common name (master file)'!$B:$B,'Common name (master file)'!$C:$C,"")</f>
        <v>어류</v>
      </c>
      <c r="K307">
        <f>eDNA!B307</f>
        <v>126.8797805</v>
      </c>
      <c r="L307">
        <f>eDNA!C307</f>
        <v>37.523914499999997</v>
      </c>
      <c r="M307" s="10" t="str" cm="1">
        <f t="array" ref="M307">IFERROR(_xlfn.XLOOKUP(1,('env Parameter'!$A:$A=$A307)*('env Parameter'!$B:$B=$K307)*('env Parameter'!$C:$C=$L307),'env Parameter'!D:D,""),"")</f>
        <v>안양천-15</v>
      </c>
      <c r="N307" s="10" t="str" cm="1">
        <f t="array" ref="N307">IFERROR(_xlfn.XLOOKUP(1,('env Parameter'!$A:$A=$A307)*('env Parameter'!$B:$B=$K307)*('env Parameter'!$C:$C=$L307),'env Parameter'!I:I,""),"")</f>
        <v>YR</v>
      </c>
    </row>
    <row r="308" spans="1:14">
      <c r="A308">
        <f>eDNA!A308</f>
        <v>20200717</v>
      </c>
      <c r="B308" s="10" t="str" cm="1">
        <f t="array" ref="B308">IFERROR(_xlfn.XLOOKUP(1,('env Parameter'!$A:$A=$A308)*('env Parameter'!$B:$B=$K308)*('env Parameter'!$C:$C=$L308),'env Parameter'!H:H,""),"")</f>
        <v>생물상 조사</v>
      </c>
      <c r="C308" s="10" cm="1">
        <f t="array" ref="C308">IFERROR(_xlfn.XLOOKUP(1,('env Parameter'!$A:$A=$A308)*('env Parameter'!$B:$B=$K308)*('env Parameter'!$C:$C=$L308),'env Parameter'!E:E,""),"")</f>
        <v>2.14</v>
      </c>
      <c r="D308" s="10" cm="1">
        <f t="array" ref="D308">IFERROR(_xlfn.XLOOKUP(1,('env Parameter'!$A:$A=$A308)*('env Parameter'!$B:$B=$K308)*('env Parameter'!$C:$C=$L308),'env Parameter'!F:F,""),"")</f>
        <v>478</v>
      </c>
      <c r="E308" s="10" cm="1">
        <f t="array" ref="E308">IFERROR(_xlfn.XLOOKUP(1,('env Parameter'!$A:$A=$A308)*('env Parameter'!$B:$B=$K308)*('env Parameter'!$C:$C=$L308),'env Parameter'!G:G,""),"")</f>
        <v>7.6</v>
      </c>
      <c r="F308" t="str">
        <f>eDNA!F308</f>
        <v>MiFish</v>
      </c>
      <c r="G308" t="str">
        <f>eDNA!D308</f>
        <v>Planiliza haematocheila</v>
      </c>
      <c r="H308" t="str">
        <f>_xlfn.XLOOKUP(G308,'Common name (master file)'!$B:$B,'Common name (master file)'!$A:$A,"-------------")</f>
        <v>가숭어</v>
      </c>
      <c r="I308">
        <f>eDNA!E308</f>
        <v>9188</v>
      </c>
      <c r="J308" t="str">
        <f>_xlfn.XLOOKUP(G308,'Common name (master file)'!$B:$B,'Common name (master file)'!$C:$C,"")</f>
        <v>어류</v>
      </c>
      <c r="K308">
        <f>eDNA!B308</f>
        <v>126.8797805</v>
      </c>
      <c r="L308">
        <f>eDNA!C308</f>
        <v>37.523914499999997</v>
      </c>
      <c r="M308" s="10" t="str" cm="1">
        <f t="array" ref="M308">IFERROR(_xlfn.XLOOKUP(1,('env Parameter'!$A:$A=$A308)*('env Parameter'!$B:$B=$K308)*('env Parameter'!$C:$C=$L308),'env Parameter'!D:D,""),"")</f>
        <v>안양천-15</v>
      </c>
      <c r="N308" s="10" t="str" cm="1">
        <f t="array" ref="N308">IFERROR(_xlfn.XLOOKUP(1,('env Parameter'!$A:$A=$A308)*('env Parameter'!$B:$B=$K308)*('env Parameter'!$C:$C=$L308),'env Parameter'!I:I,""),"")</f>
        <v>YR</v>
      </c>
    </row>
    <row r="309" spans="1:14">
      <c r="A309">
        <f>eDNA!A309</f>
        <v>20200717</v>
      </c>
      <c r="B309" s="10" t="str" cm="1">
        <f t="array" ref="B309">IFERROR(_xlfn.XLOOKUP(1,('env Parameter'!$A:$A=$A309)*('env Parameter'!$B:$B=$K309)*('env Parameter'!$C:$C=$L309),'env Parameter'!H:H,""),"")</f>
        <v>생물상 조사</v>
      </c>
      <c r="C309" s="10" cm="1">
        <f t="array" ref="C309">IFERROR(_xlfn.XLOOKUP(1,('env Parameter'!$A:$A=$A309)*('env Parameter'!$B:$B=$K309)*('env Parameter'!$C:$C=$L309),'env Parameter'!E:E,""),"")</f>
        <v>2.14</v>
      </c>
      <c r="D309" s="10" cm="1">
        <f t="array" ref="D309">IFERROR(_xlfn.XLOOKUP(1,('env Parameter'!$A:$A=$A309)*('env Parameter'!$B:$B=$K309)*('env Parameter'!$C:$C=$L309),'env Parameter'!F:F,""),"")</f>
        <v>478</v>
      </c>
      <c r="E309" s="10" cm="1">
        <f t="array" ref="E309">IFERROR(_xlfn.XLOOKUP(1,('env Parameter'!$A:$A=$A309)*('env Parameter'!$B:$B=$K309)*('env Parameter'!$C:$C=$L309),'env Parameter'!G:G,""),"")</f>
        <v>7.6</v>
      </c>
      <c r="F309" t="str">
        <f>eDNA!F309</f>
        <v>MiFish</v>
      </c>
      <c r="G309" t="str">
        <f>eDNA!D309</f>
        <v>Pseudorasbora parva</v>
      </c>
      <c r="H309" t="str">
        <f>_xlfn.XLOOKUP(G309,'Common name (master file)'!$B:$B,'Common name (master file)'!$A:$A,"-------------")</f>
        <v>참붕어</v>
      </c>
      <c r="I309">
        <f>eDNA!E309</f>
        <v>15029</v>
      </c>
      <c r="J309" t="str">
        <f>_xlfn.XLOOKUP(G309,'Common name (master file)'!$B:$B,'Common name (master file)'!$C:$C,"")</f>
        <v>어류</v>
      </c>
      <c r="K309">
        <f>eDNA!B309</f>
        <v>126.8797805</v>
      </c>
      <c r="L309">
        <f>eDNA!C309</f>
        <v>37.523914499999997</v>
      </c>
      <c r="M309" s="10" t="str" cm="1">
        <f t="array" ref="M309">IFERROR(_xlfn.XLOOKUP(1,('env Parameter'!$A:$A=$A309)*('env Parameter'!$B:$B=$K309)*('env Parameter'!$C:$C=$L309),'env Parameter'!D:D,""),"")</f>
        <v>안양천-15</v>
      </c>
      <c r="N309" s="10" t="str" cm="1">
        <f t="array" ref="N309">IFERROR(_xlfn.XLOOKUP(1,('env Parameter'!$A:$A=$A309)*('env Parameter'!$B:$B=$K309)*('env Parameter'!$C:$C=$L309),'env Parameter'!I:I,""),"")</f>
        <v>YR</v>
      </c>
    </row>
    <row r="310" spans="1:14">
      <c r="A310">
        <f>eDNA!A310</f>
        <v>20200717</v>
      </c>
      <c r="B310" s="10" t="str" cm="1">
        <f t="array" ref="B310">IFERROR(_xlfn.XLOOKUP(1,('env Parameter'!$A:$A=$A310)*('env Parameter'!$B:$B=$K310)*('env Parameter'!$C:$C=$L310),'env Parameter'!H:H,""),"")</f>
        <v>생물상 조사</v>
      </c>
      <c r="C310" s="10" cm="1">
        <f t="array" ref="C310">IFERROR(_xlfn.XLOOKUP(1,('env Parameter'!$A:$A=$A310)*('env Parameter'!$B:$B=$K310)*('env Parameter'!$C:$C=$L310),'env Parameter'!E:E,""),"")</f>
        <v>2.14</v>
      </c>
      <c r="D310" s="10" cm="1">
        <f t="array" ref="D310">IFERROR(_xlfn.XLOOKUP(1,('env Parameter'!$A:$A=$A310)*('env Parameter'!$B:$B=$K310)*('env Parameter'!$C:$C=$L310),'env Parameter'!F:F,""),"")</f>
        <v>478</v>
      </c>
      <c r="E310" s="10" cm="1">
        <f t="array" ref="E310">IFERROR(_xlfn.XLOOKUP(1,('env Parameter'!$A:$A=$A310)*('env Parameter'!$B:$B=$K310)*('env Parameter'!$C:$C=$L310),'env Parameter'!G:G,""),"")</f>
        <v>7.6</v>
      </c>
      <c r="F310" t="str">
        <f>eDNA!F310</f>
        <v>MiFish</v>
      </c>
      <c r="G310" t="str">
        <f>eDNA!D310</f>
        <v>Carassius gibelio</v>
      </c>
      <c r="H310" t="str">
        <f>_xlfn.XLOOKUP(G310,'Common name (master file)'!$B:$B,'Common name (master file)'!$A:$A,"-------------")</f>
        <v>기벨리오 붕어</v>
      </c>
      <c r="I310">
        <f>eDNA!E310</f>
        <v>31715</v>
      </c>
      <c r="J310" t="str">
        <f>_xlfn.XLOOKUP(G310,'Common name (master file)'!$B:$B,'Common name (master file)'!$C:$C,"")</f>
        <v>어류</v>
      </c>
      <c r="K310">
        <f>eDNA!B310</f>
        <v>126.8797805</v>
      </c>
      <c r="L310">
        <f>eDNA!C310</f>
        <v>37.523914499999997</v>
      </c>
      <c r="M310" s="10" t="str" cm="1">
        <f t="array" ref="M310">IFERROR(_xlfn.XLOOKUP(1,('env Parameter'!$A:$A=$A310)*('env Parameter'!$B:$B=$K310)*('env Parameter'!$C:$C=$L310),'env Parameter'!D:D,""),"")</f>
        <v>안양천-15</v>
      </c>
      <c r="N310" s="10" t="str" cm="1">
        <f t="array" ref="N310">IFERROR(_xlfn.XLOOKUP(1,('env Parameter'!$A:$A=$A310)*('env Parameter'!$B:$B=$K310)*('env Parameter'!$C:$C=$L310),'env Parameter'!I:I,""),"")</f>
        <v>YR</v>
      </c>
    </row>
    <row r="311" spans="1:14">
      <c r="A311">
        <f>eDNA!A311</f>
        <v>20200717</v>
      </c>
      <c r="B311" s="10" t="str" cm="1">
        <f t="array" ref="B311">IFERROR(_xlfn.XLOOKUP(1,('env Parameter'!$A:$A=$A311)*('env Parameter'!$B:$B=$K311)*('env Parameter'!$C:$C=$L311),'env Parameter'!H:H,""),"")</f>
        <v>생물상 조사</v>
      </c>
      <c r="C311" s="10" cm="1">
        <f t="array" ref="C311">IFERROR(_xlfn.XLOOKUP(1,('env Parameter'!$A:$A=$A311)*('env Parameter'!$B:$B=$K311)*('env Parameter'!$C:$C=$L311),'env Parameter'!E:E,""),"")</f>
        <v>2.14</v>
      </c>
      <c r="D311" s="10" cm="1">
        <f t="array" ref="D311">IFERROR(_xlfn.XLOOKUP(1,('env Parameter'!$A:$A=$A311)*('env Parameter'!$B:$B=$K311)*('env Parameter'!$C:$C=$L311),'env Parameter'!F:F,""),"")</f>
        <v>478</v>
      </c>
      <c r="E311" s="10" cm="1">
        <f t="array" ref="E311">IFERROR(_xlfn.XLOOKUP(1,('env Parameter'!$A:$A=$A311)*('env Parameter'!$B:$B=$K311)*('env Parameter'!$C:$C=$L311),'env Parameter'!G:G,""),"")</f>
        <v>7.6</v>
      </c>
      <c r="F311" t="str">
        <f>eDNA!F311</f>
        <v>MiFish</v>
      </c>
      <c r="G311" t="str">
        <f>eDNA!D311</f>
        <v>Pagrus major</v>
      </c>
      <c r="H311" t="str">
        <f>_xlfn.XLOOKUP(G311,'Common name (master file)'!$B:$B,'Common name (master file)'!$A:$A,"-------------")</f>
        <v>참돔</v>
      </c>
      <c r="I311">
        <f>eDNA!E311</f>
        <v>13</v>
      </c>
      <c r="J311" t="str">
        <f>_xlfn.XLOOKUP(G311,'Common name (master file)'!$B:$B,'Common name (master file)'!$C:$C,"")</f>
        <v>어류</v>
      </c>
      <c r="K311">
        <f>eDNA!B311</f>
        <v>126.887135</v>
      </c>
      <c r="L311">
        <f>eDNA!C311</f>
        <v>37.539645499999999</v>
      </c>
      <c r="M311" s="10" t="str" cm="1">
        <f t="array" ref="M311">IFERROR(_xlfn.XLOOKUP(1,('env Parameter'!$A:$A=$A311)*('env Parameter'!$B:$B=$K311)*('env Parameter'!$C:$C=$L311),'env Parameter'!D:D,""),"")</f>
        <v>안양천-16</v>
      </c>
      <c r="N311" s="10" t="str" cm="1">
        <f t="array" ref="N311">IFERROR(_xlfn.XLOOKUP(1,('env Parameter'!$A:$A=$A311)*('env Parameter'!$B:$B=$K311)*('env Parameter'!$C:$C=$L311),'env Parameter'!I:I,""),"")</f>
        <v>YR</v>
      </c>
    </row>
    <row r="312" spans="1:14">
      <c r="A312">
        <f>eDNA!A312</f>
        <v>20200717</v>
      </c>
      <c r="B312" s="10" t="str" cm="1">
        <f t="array" ref="B312">IFERROR(_xlfn.XLOOKUP(1,('env Parameter'!$A:$A=$A312)*('env Parameter'!$B:$B=$K312)*('env Parameter'!$C:$C=$L312),'env Parameter'!H:H,""),"")</f>
        <v>생물상 조사</v>
      </c>
      <c r="C312" s="10" cm="1">
        <f t="array" ref="C312">IFERROR(_xlfn.XLOOKUP(1,('env Parameter'!$A:$A=$A312)*('env Parameter'!$B:$B=$K312)*('env Parameter'!$C:$C=$L312),'env Parameter'!E:E,""),"")</f>
        <v>2.14</v>
      </c>
      <c r="D312" s="10" cm="1">
        <f t="array" ref="D312">IFERROR(_xlfn.XLOOKUP(1,('env Parameter'!$A:$A=$A312)*('env Parameter'!$B:$B=$K312)*('env Parameter'!$C:$C=$L312),'env Parameter'!F:F,""),"")</f>
        <v>478</v>
      </c>
      <c r="E312" s="10" cm="1">
        <f t="array" ref="E312">IFERROR(_xlfn.XLOOKUP(1,('env Parameter'!$A:$A=$A312)*('env Parameter'!$B:$B=$K312)*('env Parameter'!$C:$C=$L312),'env Parameter'!G:G,""),"")</f>
        <v>7.6</v>
      </c>
      <c r="F312" t="str">
        <f>eDNA!F312</f>
        <v>MiFish</v>
      </c>
      <c r="G312" t="str">
        <f>eDNA!D312</f>
        <v>Sus scrofa</v>
      </c>
      <c r="H312" t="str">
        <f>_xlfn.XLOOKUP(G312,'Common name (master file)'!$B:$B,'Common name (master file)'!$A:$A,"-------------")</f>
        <v>멧돼지</v>
      </c>
      <c r="I312">
        <f>eDNA!E312</f>
        <v>51</v>
      </c>
      <c r="J312" t="str">
        <f>_xlfn.XLOOKUP(G312,'Common name (master file)'!$B:$B,'Common name (master file)'!$C:$C,"")</f>
        <v>포유류</v>
      </c>
      <c r="K312">
        <f>eDNA!B312</f>
        <v>126.887135</v>
      </c>
      <c r="L312">
        <f>eDNA!C312</f>
        <v>37.539645499999999</v>
      </c>
      <c r="M312" s="10" t="str" cm="1">
        <f t="array" ref="M312">IFERROR(_xlfn.XLOOKUP(1,('env Parameter'!$A:$A=$A312)*('env Parameter'!$B:$B=$K312)*('env Parameter'!$C:$C=$L312),'env Parameter'!D:D,""),"")</f>
        <v>안양천-16</v>
      </c>
      <c r="N312" s="10" t="str" cm="1">
        <f t="array" ref="N312">IFERROR(_xlfn.XLOOKUP(1,('env Parameter'!$A:$A=$A312)*('env Parameter'!$B:$B=$K312)*('env Parameter'!$C:$C=$L312),'env Parameter'!I:I,""),"")</f>
        <v>YR</v>
      </c>
    </row>
    <row r="313" spans="1:14">
      <c r="A313">
        <f>eDNA!A313</f>
        <v>20200717</v>
      </c>
      <c r="B313" s="10" t="str" cm="1">
        <f t="array" ref="B313">IFERROR(_xlfn.XLOOKUP(1,('env Parameter'!$A:$A=$A313)*('env Parameter'!$B:$B=$K313)*('env Parameter'!$C:$C=$L313),'env Parameter'!H:H,""),"")</f>
        <v>생물상 조사</v>
      </c>
      <c r="C313" s="10" cm="1">
        <f t="array" ref="C313">IFERROR(_xlfn.XLOOKUP(1,('env Parameter'!$A:$A=$A313)*('env Parameter'!$B:$B=$K313)*('env Parameter'!$C:$C=$L313),'env Parameter'!E:E,""),"")</f>
        <v>2.14</v>
      </c>
      <c r="D313" s="10" cm="1">
        <f t="array" ref="D313">IFERROR(_xlfn.XLOOKUP(1,('env Parameter'!$A:$A=$A313)*('env Parameter'!$B:$B=$K313)*('env Parameter'!$C:$C=$L313),'env Parameter'!F:F,""),"")</f>
        <v>478</v>
      </c>
      <c r="E313" s="10" cm="1">
        <f t="array" ref="E313">IFERROR(_xlfn.XLOOKUP(1,('env Parameter'!$A:$A=$A313)*('env Parameter'!$B:$B=$K313)*('env Parameter'!$C:$C=$L313),'env Parameter'!G:G,""),"")</f>
        <v>7.6</v>
      </c>
      <c r="F313" t="str">
        <f>eDNA!F313</f>
        <v>MiFish</v>
      </c>
      <c r="G313" t="str">
        <f>eDNA!D313</f>
        <v>Rattus norvegicus</v>
      </c>
      <c r="H313" t="str">
        <f>_xlfn.XLOOKUP(G313,'Common name (master file)'!$B:$B,'Common name (master file)'!$A:$A,"-------------")</f>
        <v>시궁쥐</v>
      </c>
      <c r="I313">
        <f>eDNA!E313</f>
        <v>24</v>
      </c>
      <c r="J313" t="str">
        <f>_xlfn.XLOOKUP(G313,'Common name (master file)'!$B:$B,'Common name (master file)'!$C:$C,"")</f>
        <v>포유류</v>
      </c>
      <c r="K313">
        <f>eDNA!B313</f>
        <v>126.887135</v>
      </c>
      <c r="L313">
        <f>eDNA!C313</f>
        <v>37.539645499999999</v>
      </c>
      <c r="M313" s="10" t="str" cm="1">
        <f t="array" ref="M313">IFERROR(_xlfn.XLOOKUP(1,('env Parameter'!$A:$A=$A313)*('env Parameter'!$B:$B=$K313)*('env Parameter'!$C:$C=$L313),'env Parameter'!D:D,""),"")</f>
        <v>안양천-16</v>
      </c>
      <c r="N313" s="10" t="str" cm="1">
        <f t="array" ref="N313">IFERROR(_xlfn.XLOOKUP(1,('env Parameter'!$A:$A=$A313)*('env Parameter'!$B:$B=$K313)*('env Parameter'!$C:$C=$L313),'env Parameter'!I:I,""),"")</f>
        <v>YR</v>
      </c>
    </row>
    <row r="314" spans="1:14">
      <c r="A314">
        <f>eDNA!A314</f>
        <v>20200717</v>
      </c>
      <c r="B314" s="10" t="str" cm="1">
        <f t="array" ref="B314">IFERROR(_xlfn.XLOOKUP(1,('env Parameter'!$A:$A=$A314)*('env Parameter'!$B:$B=$K314)*('env Parameter'!$C:$C=$L314),'env Parameter'!H:H,""),"")</f>
        <v>생물상 조사</v>
      </c>
      <c r="C314" s="10" cm="1">
        <f t="array" ref="C314">IFERROR(_xlfn.XLOOKUP(1,('env Parameter'!$A:$A=$A314)*('env Parameter'!$B:$B=$K314)*('env Parameter'!$C:$C=$L314),'env Parameter'!E:E,""),"")</f>
        <v>2.14</v>
      </c>
      <c r="D314" s="10" cm="1">
        <f t="array" ref="D314">IFERROR(_xlfn.XLOOKUP(1,('env Parameter'!$A:$A=$A314)*('env Parameter'!$B:$B=$K314)*('env Parameter'!$C:$C=$L314),'env Parameter'!F:F,""),"")</f>
        <v>478</v>
      </c>
      <c r="E314" s="10" cm="1">
        <f t="array" ref="E314">IFERROR(_xlfn.XLOOKUP(1,('env Parameter'!$A:$A=$A314)*('env Parameter'!$B:$B=$K314)*('env Parameter'!$C:$C=$L314),'env Parameter'!G:G,""),"")</f>
        <v>7.6</v>
      </c>
      <c r="F314" t="str">
        <f>eDNA!F314</f>
        <v>MiFish</v>
      </c>
      <c r="G314" t="str">
        <f>eDNA!D314</f>
        <v>Hemiculter leucisculus</v>
      </c>
      <c r="H314" t="str">
        <f>_xlfn.XLOOKUP(G314,'Common name (master file)'!$B:$B,'Common name (master file)'!$A:$A,"-------------")</f>
        <v>살치</v>
      </c>
      <c r="I314">
        <f>eDNA!E314</f>
        <v>24</v>
      </c>
      <c r="J314" t="str">
        <f>_xlfn.XLOOKUP(G314,'Common name (master file)'!$B:$B,'Common name (master file)'!$C:$C,"")</f>
        <v>어류</v>
      </c>
      <c r="K314">
        <f>eDNA!B314</f>
        <v>126.887135</v>
      </c>
      <c r="L314">
        <f>eDNA!C314</f>
        <v>37.539645499999999</v>
      </c>
      <c r="M314" s="10" t="str" cm="1">
        <f t="array" ref="M314">IFERROR(_xlfn.XLOOKUP(1,('env Parameter'!$A:$A=$A314)*('env Parameter'!$B:$B=$K314)*('env Parameter'!$C:$C=$L314),'env Parameter'!D:D,""),"")</f>
        <v>안양천-16</v>
      </c>
      <c r="N314" s="10" t="str" cm="1">
        <f t="array" ref="N314">IFERROR(_xlfn.XLOOKUP(1,('env Parameter'!$A:$A=$A314)*('env Parameter'!$B:$B=$K314)*('env Parameter'!$C:$C=$L314),'env Parameter'!I:I,""),"")</f>
        <v>YR</v>
      </c>
    </row>
    <row r="315" spans="1:14">
      <c r="A315">
        <f>eDNA!A315</f>
        <v>20200717</v>
      </c>
      <c r="B315" s="10" t="str" cm="1">
        <f t="array" ref="B315">IFERROR(_xlfn.XLOOKUP(1,('env Parameter'!$A:$A=$A315)*('env Parameter'!$B:$B=$K315)*('env Parameter'!$C:$C=$L315),'env Parameter'!H:H,""),"")</f>
        <v>생물상 조사</v>
      </c>
      <c r="C315" s="10" cm="1">
        <f t="array" ref="C315">IFERROR(_xlfn.XLOOKUP(1,('env Parameter'!$A:$A=$A315)*('env Parameter'!$B:$B=$K315)*('env Parameter'!$C:$C=$L315),'env Parameter'!E:E,""),"")</f>
        <v>2.14</v>
      </c>
      <c r="D315" s="10" cm="1">
        <f t="array" ref="D315">IFERROR(_xlfn.XLOOKUP(1,('env Parameter'!$A:$A=$A315)*('env Parameter'!$B:$B=$K315)*('env Parameter'!$C:$C=$L315),'env Parameter'!F:F,""),"")</f>
        <v>478</v>
      </c>
      <c r="E315" s="10" cm="1">
        <f t="array" ref="E315">IFERROR(_xlfn.XLOOKUP(1,('env Parameter'!$A:$A=$A315)*('env Parameter'!$B:$B=$K315)*('env Parameter'!$C:$C=$L315),'env Parameter'!G:G,""),"")</f>
        <v>7.6</v>
      </c>
      <c r="F315" t="str">
        <f>eDNA!F315</f>
        <v>MiFish</v>
      </c>
      <c r="G315" t="str">
        <f>eDNA!D315</f>
        <v>Micropterus salmoides</v>
      </c>
      <c r="H315" t="str">
        <f>_xlfn.XLOOKUP(G315,'Common name (master file)'!$B:$B,'Common name (master file)'!$A:$A,"-------------")</f>
        <v>큰입배스</v>
      </c>
      <c r="I315">
        <f>eDNA!E315</f>
        <v>28</v>
      </c>
      <c r="J315" t="str">
        <f>_xlfn.XLOOKUP(G315,'Common name (master file)'!$B:$B,'Common name (master file)'!$C:$C,"")</f>
        <v>어류</v>
      </c>
      <c r="K315">
        <f>eDNA!B315</f>
        <v>126.887135</v>
      </c>
      <c r="L315">
        <f>eDNA!C315</f>
        <v>37.539645499999999</v>
      </c>
      <c r="M315" s="10" t="str" cm="1">
        <f t="array" ref="M315">IFERROR(_xlfn.XLOOKUP(1,('env Parameter'!$A:$A=$A315)*('env Parameter'!$B:$B=$K315)*('env Parameter'!$C:$C=$L315),'env Parameter'!D:D,""),"")</f>
        <v>안양천-16</v>
      </c>
      <c r="N315" s="10" t="str" cm="1">
        <f t="array" ref="N315">IFERROR(_xlfn.XLOOKUP(1,('env Parameter'!$A:$A=$A315)*('env Parameter'!$B:$B=$K315)*('env Parameter'!$C:$C=$L315),'env Parameter'!I:I,""),"")</f>
        <v>YR</v>
      </c>
    </row>
    <row r="316" spans="1:14">
      <c r="A316">
        <f>eDNA!A316</f>
        <v>20200717</v>
      </c>
      <c r="B316" s="10" t="str" cm="1">
        <f t="array" ref="B316">IFERROR(_xlfn.XLOOKUP(1,('env Parameter'!$A:$A=$A316)*('env Parameter'!$B:$B=$K316)*('env Parameter'!$C:$C=$L316),'env Parameter'!H:H,""),"")</f>
        <v>생물상 조사</v>
      </c>
      <c r="C316" s="10" cm="1">
        <f t="array" ref="C316">IFERROR(_xlfn.XLOOKUP(1,('env Parameter'!$A:$A=$A316)*('env Parameter'!$B:$B=$K316)*('env Parameter'!$C:$C=$L316),'env Parameter'!E:E,""),"")</f>
        <v>2.14</v>
      </c>
      <c r="D316" s="10" cm="1">
        <f t="array" ref="D316">IFERROR(_xlfn.XLOOKUP(1,('env Parameter'!$A:$A=$A316)*('env Parameter'!$B:$B=$K316)*('env Parameter'!$C:$C=$L316),'env Parameter'!F:F,""),"")</f>
        <v>478</v>
      </c>
      <c r="E316" s="10" cm="1">
        <f t="array" ref="E316">IFERROR(_xlfn.XLOOKUP(1,('env Parameter'!$A:$A=$A316)*('env Parameter'!$B:$B=$K316)*('env Parameter'!$C:$C=$L316),'env Parameter'!G:G,""),"")</f>
        <v>7.6</v>
      </c>
      <c r="F316" t="str">
        <f>eDNA!F316</f>
        <v>MiFish</v>
      </c>
      <c r="G316" t="str">
        <f>eDNA!D316</f>
        <v>Abbottina rivularis</v>
      </c>
      <c r="H316" t="str">
        <f>_xlfn.XLOOKUP(G316,'Common name (master file)'!$B:$B,'Common name (master file)'!$A:$A,"-------------")</f>
        <v>버들매치</v>
      </c>
      <c r="I316">
        <f>eDNA!E316</f>
        <v>28</v>
      </c>
      <c r="J316" t="str">
        <f>_xlfn.XLOOKUP(G316,'Common name (master file)'!$B:$B,'Common name (master file)'!$C:$C,"")</f>
        <v>어류</v>
      </c>
      <c r="K316">
        <f>eDNA!B316</f>
        <v>126.887135</v>
      </c>
      <c r="L316">
        <f>eDNA!C316</f>
        <v>37.539645499999999</v>
      </c>
      <c r="M316" s="10" t="str" cm="1">
        <f t="array" ref="M316">IFERROR(_xlfn.XLOOKUP(1,('env Parameter'!$A:$A=$A316)*('env Parameter'!$B:$B=$K316)*('env Parameter'!$C:$C=$L316),'env Parameter'!D:D,""),"")</f>
        <v>안양천-16</v>
      </c>
      <c r="N316" s="10" t="str" cm="1">
        <f t="array" ref="N316">IFERROR(_xlfn.XLOOKUP(1,('env Parameter'!$A:$A=$A316)*('env Parameter'!$B:$B=$K316)*('env Parameter'!$C:$C=$L316),'env Parameter'!I:I,""),"")</f>
        <v>YR</v>
      </c>
    </row>
    <row r="317" spans="1:14">
      <c r="A317">
        <f>eDNA!A317</f>
        <v>20200717</v>
      </c>
      <c r="B317" s="10" t="str" cm="1">
        <f t="array" ref="B317">IFERROR(_xlfn.XLOOKUP(1,('env Parameter'!$A:$A=$A317)*('env Parameter'!$B:$B=$K317)*('env Parameter'!$C:$C=$L317),'env Parameter'!H:H,""),"")</f>
        <v>생물상 조사</v>
      </c>
      <c r="C317" s="10" cm="1">
        <f t="array" ref="C317">IFERROR(_xlfn.XLOOKUP(1,('env Parameter'!$A:$A=$A317)*('env Parameter'!$B:$B=$K317)*('env Parameter'!$C:$C=$L317),'env Parameter'!E:E,""),"")</f>
        <v>2.14</v>
      </c>
      <c r="D317" s="10" cm="1">
        <f t="array" ref="D317">IFERROR(_xlfn.XLOOKUP(1,('env Parameter'!$A:$A=$A317)*('env Parameter'!$B:$B=$K317)*('env Parameter'!$C:$C=$L317),'env Parameter'!F:F,""),"")</f>
        <v>478</v>
      </c>
      <c r="E317" s="10" cm="1">
        <f t="array" ref="E317">IFERROR(_xlfn.XLOOKUP(1,('env Parameter'!$A:$A=$A317)*('env Parameter'!$B:$B=$K317)*('env Parameter'!$C:$C=$L317),'env Parameter'!G:G,""),"")</f>
        <v>7.6</v>
      </c>
      <c r="F317" t="str">
        <f>eDNA!F317</f>
        <v>MiFish</v>
      </c>
      <c r="G317" t="str">
        <f>eDNA!D317</f>
        <v>Carassius auratus</v>
      </c>
      <c r="H317" t="str">
        <f>_xlfn.XLOOKUP(G317,'Common name (master file)'!$B:$B,'Common name (master file)'!$A:$A,"-------------")</f>
        <v>붕어</v>
      </c>
      <c r="I317">
        <f>eDNA!E317</f>
        <v>54</v>
      </c>
      <c r="J317" t="str">
        <f>_xlfn.XLOOKUP(G317,'Common name (master file)'!$B:$B,'Common name (master file)'!$C:$C,"")</f>
        <v>어류</v>
      </c>
      <c r="K317">
        <f>eDNA!B317</f>
        <v>126.887135</v>
      </c>
      <c r="L317">
        <f>eDNA!C317</f>
        <v>37.539645499999999</v>
      </c>
      <c r="M317" s="10" t="str" cm="1">
        <f t="array" ref="M317">IFERROR(_xlfn.XLOOKUP(1,('env Parameter'!$A:$A=$A317)*('env Parameter'!$B:$B=$K317)*('env Parameter'!$C:$C=$L317),'env Parameter'!D:D,""),"")</f>
        <v>안양천-16</v>
      </c>
      <c r="N317" s="10" t="str" cm="1">
        <f t="array" ref="N317">IFERROR(_xlfn.XLOOKUP(1,('env Parameter'!$A:$A=$A317)*('env Parameter'!$B:$B=$K317)*('env Parameter'!$C:$C=$L317),'env Parameter'!I:I,""),"")</f>
        <v>YR</v>
      </c>
    </row>
    <row r="318" spans="1:14">
      <c r="A318">
        <f>eDNA!A318</f>
        <v>20200717</v>
      </c>
      <c r="B318" s="10" t="str" cm="1">
        <f t="array" ref="B318">IFERROR(_xlfn.XLOOKUP(1,('env Parameter'!$A:$A=$A318)*('env Parameter'!$B:$B=$K318)*('env Parameter'!$C:$C=$L318),'env Parameter'!H:H,""),"")</f>
        <v>생물상 조사</v>
      </c>
      <c r="C318" s="10" cm="1">
        <f t="array" ref="C318">IFERROR(_xlfn.XLOOKUP(1,('env Parameter'!$A:$A=$A318)*('env Parameter'!$B:$B=$K318)*('env Parameter'!$C:$C=$L318),'env Parameter'!E:E,""),"")</f>
        <v>2.14</v>
      </c>
      <c r="D318" s="10" cm="1">
        <f t="array" ref="D318">IFERROR(_xlfn.XLOOKUP(1,('env Parameter'!$A:$A=$A318)*('env Parameter'!$B:$B=$K318)*('env Parameter'!$C:$C=$L318),'env Parameter'!F:F,""),"")</f>
        <v>478</v>
      </c>
      <c r="E318" s="10" cm="1">
        <f t="array" ref="E318">IFERROR(_xlfn.XLOOKUP(1,('env Parameter'!$A:$A=$A318)*('env Parameter'!$B:$B=$K318)*('env Parameter'!$C:$C=$L318),'env Parameter'!G:G,""),"")</f>
        <v>7.6</v>
      </c>
      <c r="F318" t="str">
        <f>eDNA!F318</f>
        <v>MiFish</v>
      </c>
      <c r="G318" t="str">
        <f>eDNA!D318</f>
        <v>Carassius cuvieri</v>
      </c>
      <c r="H318" t="str">
        <f>_xlfn.XLOOKUP(G318,'Common name (master file)'!$B:$B,'Common name (master file)'!$A:$A,"-------------")</f>
        <v>떡붕어</v>
      </c>
      <c r="I318">
        <f>eDNA!E318</f>
        <v>71</v>
      </c>
      <c r="J318" t="str">
        <f>_xlfn.XLOOKUP(G318,'Common name (master file)'!$B:$B,'Common name (master file)'!$C:$C,"")</f>
        <v>어류</v>
      </c>
      <c r="K318">
        <f>eDNA!B318</f>
        <v>126.887135</v>
      </c>
      <c r="L318">
        <f>eDNA!C318</f>
        <v>37.539645499999999</v>
      </c>
      <c r="M318" s="10" t="str" cm="1">
        <f t="array" ref="M318">IFERROR(_xlfn.XLOOKUP(1,('env Parameter'!$A:$A=$A318)*('env Parameter'!$B:$B=$K318)*('env Parameter'!$C:$C=$L318),'env Parameter'!D:D,""),"")</f>
        <v>안양천-16</v>
      </c>
      <c r="N318" s="10" t="str" cm="1">
        <f t="array" ref="N318">IFERROR(_xlfn.XLOOKUP(1,('env Parameter'!$A:$A=$A318)*('env Parameter'!$B:$B=$K318)*('env Parameter'!$C:$C=$L318),'env Parameter'!I:I,""),"")</f>
        <v>YR</v>
      </c>
    </row>
    <row r="319" spans="1:14">
      <c r="A319">
        <f>eDNA!A319</f>
        <v>20200717</v>
      </c>
      <c r="B319" s="10" t="str" cm="1">
        <f t="array" ref="B319">IFERROR(_xlfn.XLOOKUP(1,('env Parameter'!$A:$A=$A319)*('env Parameter'!$B:$B=$K319)*('env Parameter'!$C:$C=$L319),'env Parameter'!H:H,""),"")</f>
        <v>생물상 조사</v>
      </c>
      <c r="C319" s="10" cm="1">
        <f t="array" ref="C319">IFERROR(_xlfn.XLOOKUP(1,('env Parameter'!$A:$A=$A319)*('env Parameter'!$B:$B=$K319)*('env Parameter'!$C:$C=$L319),'env Parameter'!E:E,""),"")</f>
        <v>2.14</v>
      </c>
      <c r="D319" s="10" cm="1">
        <f t="array" ref="D319">IFERROR(_xlfn.XLOOKUP(1,('env Parameter'!$A:$A=$A319)*('env Parameter'!$B:$B=$K319)*('env Parameter'!$C:$C=$L319),'env Parameter'!F:F,""),"")</f>
        <v>478</v>
      </c>
      <c r="E319" s="10" cm="1">
        <f t="array" ref="E319">IFERROR(_xlfn.XLOOKUP(1,('env Parameter'!$A:$A=$A319)*('env Parameter'!$B:$B=$K319)*('env Parameter'!$C:$C=$L319),'env Parameter'!G:G,""),"")</f>
        <v>7.6</v>
      </c>
      <c r="F319" t="str">
        <f>eDNA!F319</f>
        <v>MiFish</v>
      </c>
      <c r="G319" t="str">
        <f>eDNA!D319</f>
        <v>Paralichthys olivaceus</v>
      </c>
      <c r="H319" t="str">
        <f>_xlfn.XLOOKUP(G319,'Common name (master file)'!$B:$B,'Common name (master file)'!$A:$A,"-------------")</f>
        <v>남해산 넙치</v>
      </c>
      <c r="I319">
        <f>eDNA!E319</f>
        <v>33</v>
      </c>
      <c r="J319" t="str">
        <f>_xlfn.XLOOKUP(G319,'Common name (master file)'!$B:$B,'Common name (master file)'!$C:$C,"")</f>
        <v>어류</v>
      </c>
      <c r="K319">
        <f>eDNA!B319</f>
        <v>126.887135</v>
      </c>
      <c r="L319">
        <f>eDNA!C319</f>
        <v>37.539645499999999</v>
      </c>
      <c r="M319" s="10" t="str" cm="1">
        <f t="array" ref="M319">IFERROR(_xlfn.XLOOKUP(1,('env Parameter'!$A:$A=$A319)*('env Parameter'!$B:$B=$K319)*('env Parameter'!$C:$C=$L319),'env Parameter'!D:D,""),"")</f>
        <v>안양천-16</v>
      </c>
      <c r="N319" s="10" t="str" cm="1">
        <f t="array" ref="N319">IFERROR(_xlfn.XLOOKUP(1,('env Parameter'!$A:$A=$A319)*('env Parameter'!$B:$B=$K319)*('env Parameter'!$C:$C=$L319),'env Parameter'!I:I,""),"")</f>
        <v>YR</v>
      </c>
    </row>
    <row r="320" spans="1:14">
      <c r="A320">
        <f>eDNA!A320</f>
        <v>20200717</v>
      </c>
      <c r="B320" s="10" t="str" cm="1">
        <f t="array" ref="B320">IFERROR(_xlfn.XLOOKUP(1,('env Parameter'!$A:$A=$A320)*('env Parameter'!$B:$B=$K320)*('env Parameter'!$C:$C=$L320),'env Parameter'!H:H,""),"")</f>
        <v>생물상 조사</v>
      </c>
      <c r="C320" s="10" cm="1">
        <f t="array" ref="C320">IFERROR(_xlfn.XLOOKUP(1,('env Parameter'!$A:$A=$A320)*('env Parameter'!$B:$B=$K320)*('env Parameter'!$C:$C=$L320),'env Parameter'!E:E,""),"")</f>
        <v>2.14</v>
      </c>
      <c r="D320" s="10" cm="1">
        <f t="array" ref="D320">IFERROR(_xlfn.XLOOKUP(1,('env Parameter'!$A:$A=$A320)*('env Parameter'!$B:$B=$K320)*('env Parameter'!$C:$C=$L320),'env Parameter'!F:F,""),"")</f>
        <v>478</v>
      </c>
      <c r="E320" s="10" cm="1">
        <f t="array" ref="E320">IFERROR(_xlfn.XLOOKUP(1,('env Parameter'!$A:$A=$A320)*('env Parameter'!$B:$B=$K320)*('env Parameter'!$C:$C=$L320),'env Parameter'!G:G,""),"")</f>
        <v>7.6</v>
      </c>
      <c r="F320" t="str">
        <f>eDNA!F320</f>
        <v>MiFish</v>
      </c>
      <c r="G320" t="str">
        <f>eDNA!D320</f>
        <v>Chanodichthys mongolicus</v>
      </c>
      <c r="H320" t="str">
        <f>_xlfn.XLOOKUP(G320,'Common name (master file)'!$B:$B,'Common name (master file)'!$A:$A,"-------------")</f>
        <v>몽골붕어</v>
      </c>
      <c r="I320">
        <f>eDNA!E320</f>
        <v>33</v>
      </c>
      <c r="J320" t="str">
        <f>_xlfn.XLOOKUP(G320,'Common name (master file)'!$B:$B,'Common name (master file)'!$C:$C,"")</f>
        <v>어류</v>
      </c>
      <c r="K320">
        <f>eDNA!B320</f>
        <v>126.887135</v>
      </c>
      <c r="L320">
        <f>eDNA!C320</f>
        <v>37.539645499999999</v>
      </c>
      <c r="M320" s="10" t="str" cm="1">
        <f t="array" ref="M320">IFERROR(_xlfn.XLOOKUP(1,('env Parameter'!$A:$A=$A320)*('env Parameter'!$B:$B=$K320)*('env Parameter'!$C:$C=$L320),'env Parameter'!D:D,""),"")</f>
        <v>안양천-16</v>
      </c>
      <c r="N320" s="10" t="str" cm="1">
        <f t="array" ref="N320">IFERROR(_xlfn.XLOOKUP(1,('env Parameter'!$A:$A=$A320)*('env Parameter'!$B:$B=$K320)*('env Parameter'!$C:$C=$L320),'env Parameter'!I:I,""),"")</f>
        <v>YR</v>
      </c>
    </row>
    <row r="321" spans="1:14">
      <c r="A321">
        <f>eDNA!A321</f>
        <v>20200717</v>
      </c>
      <c r="B321" s="10" t="str" cm="1">
        <f t="array" ref="B321">IFERROR(_xlfn.XLOOKUP(1,('env Parameter'!$A:$A=$A321)*('env Parameter'!$B:$B=$K321)*('env Parameter'!$C:$C=$L321),'env Parameter'!H:H,""),"")</f>
        <v>생물상 조사</v>
      </c>
      <c r="C321" s="10" cm="1">
        <f t="array" ref="C321">IFERROR(_xlfn.XLOOKUP(1,('env Parameter'!$A:$A=$A321)*('env Parameter'!$B:$B=$K321)*('env Parameter'!$C:$C=$L321),'env Parameter'!E:E,""),"")</f>
        <v>2.14</v>
      </c>
      <c r="D321" s="10" cm="1">
        <f t="array" ref="D321">IFERROR(_xlfn.XLOOKUP(1,('env Parameter'!$A:$A=$A321)*('env Parameter'!$B:$B=$K321)*('env Parameter'!$C:$C=$L321),'env Parameter'!F:F,""),"")</f>
        <v>478</v>
      </c>
      <c r="E321" s="10" cm="1">
        <f t="array" ref="E321">IFERROR(_xlfn.XLOOKUP(1,('env Parameter'!$A:$A=$A321)*('env Parameter'!$B:$B=$K321)*('env Parameter'!$C:$C=$L321),'env Parameter'!G:G,""),"")</f>
        <v>7.6</v>
      </c>
      <c r="F321" t="str">
        <f>eDNA!F321</f>
        <v>MiFish</v>
      </c>
      <c r="G321" t="str">
        <f>eDNA!D321</f>
        <v>Bos taurus</v>
      </c>
      <c r="H321" t="str">
        <f>_xlfn.XLOOKUP(G321,'Common name (master file)'!$B:$B,'Common name (master file)'!$A:$A,"-------------")</f>
        <v>소</v>
      </c>
      <c r="I321">
        <f>eDNA!E321</f>
        <v>36</v>
      </c>
      <c r="J321" t="str">
        <f>_xlfn.XLOOKUP(G321,'Common name (master file)'!$B:$B,'Common name (master file)'!$C:$C,"")</f>
        <v>포유류</v>
      </c>
      <c r="K321">
        <f>eDNA!B321</f>
        <v>126.887135</v>
      </c>
      <c r="L321">
        <f>eDNA!C321</f>
        <v>37.539645499999999</v>
      </c>
      <c r="M321" s="10" t="str" cm="1">
        <f t="array" ref="M321">IFERROR(_xlfn.XLOOKUP(1,('env Parameter'!$A:$A=$A321)*('env Parameter'!$B:$B=$K321)*('env Parameter'!$C:$C=$L321),'env Parameter'!D:D,""),"")</f>
        <v>안양천-16</v>
      </c>
      <c r="N321" s="10" t="str" cm="1">
        <f t="array" ref="N321">IFERROR(_xlfn.XLOOKUP(1,('env Parameter'!$A:$A=$A321)*('env Parameter'!$B:$B=$K321)*('env Parameter'!$C:$C=$L321),'env Parameter'!I:I,""),"")</f>
        <v>YR</v>
      </c>
    </row>
    <row r="322" spans="1:14">
      <c r="A322">
        <f>eDNA!A322</f>
        <v>20200717</v>
      </c>
      <c r="B322" s="10" t="str" cm="1">
        <f t="array" ref="B322">IFERROR(_xlfn.XLOOKUP(1,('env Parameter'!$A:$A=$A322)*('env Parameter'!$B:$B=$K322)*('env Parameter'!$C:$C=$L322),'env Parameter'!H:H,""),"")</f>
        <v>생물상 조사</v>
      </c>
      <c r="C322" s="10" cm="1">
        <f t="array" ref="C322">IFERROR(_xlfn.XLOOKUP(1,('env Parameter'!$A:$A=$A322)*('env Parameter'!$B:$B=$K322)*('env Parameter'!$C:$C=$L322),'env Parameter'!E:E,""),"")</f>
        <v>2.14</v>
      </c>
      <c r="D322" s="10" cm="1">
        <f t="array" ref="D322">IFERROR(_xlfn.XLOOKUP(1,('env Parameter'!$A:$A=$A322)*('env Parameter'!$B:$B=$K322)*('env Parameter'!$C:$C=$L322),'env Parameter'!F:F,""),"")</f>
        <v>478</v>
      </c>
      <c r="E322" s="10" cm="1">
        <f t="array" ref="E322">IFERROR(_xlfn.XLOOKUP(1,('env Parameter'!$A:$A=$A322)*('env Parameter'!$B:$B=$K322)*('env Parameter'!$C:$C=$L322),'env Parameter'!G:G,""),"")</f>
        <v>7.6</v>
      </c>
      <c r="F322" t="str">
        <f>eDNA!F322</f>
        <v>MiFish</v>
      </c>
      <c r="G322" t="str">
        <f>eDNA!D322</f>
        <v>Oryzias sinensis</v>
      </c>
      <c r="H322" t="str">
        <f>_xlfn.XLOOKUP(G322,'Common name (master file)'!$B:$B,'Common name (master file)'!$A:$A,"-------------")</f>
        <v>대륙송사리</v>
      </c>
      <c r="I322">
        <f>eDNA!E322</f>
        <v>72</v>
      </c>
      <c r="J322" t="str">
        <f>_xlfn.XLOOKUP(G322,'Common name (master file)'!$B:$B,'Common name (master file)'!$C:$C,"")</f>
        <v>어류</v>
      </c>
      <c r="K322">
        <f>eDNA!B322</f>
        <v>126.887135</v>
      </c>
      <c r="L322">
        <f>eDNA!C322</f>
        <v>37.539645499999999</v>
      </c>
      <c r="M322" s="10" t="str" cm="1">
        <f t="array" ref="M322">IFERROR(_xlfn.XLOOKUP(1,('env Parameter'!$A:$A=$A322)*('env Parameter'!$B:$B=$K322)*('env Parameter'!$C:$C=$L322),'env Parameter'!D:D,""),"")</f>
        <v>안양천-16</v>
      </c>
      <c r="N322" s="10" t="str" cm="1">
        <f t="array" ref="N322">IFERROR(_xlfn.XLOOKUP(1,('env Parameter'!$A:$A=$A322)*('env Parameter'!$B:$B=$K322)*('env Parameter'!$C:$C=$L322),'env Parameter'!I:I,""),"")</f>
        <v>YR</v>
      </c>
    </row>
    <row r="323" spans="1:14">
      <c r="A323">
        <f>eDNA!A323</f>
        <v>20200717</v>
      </c>
      <c r="B323" s="10" t="str" cm="1">
        <f t="array" ref="B323">IFERROR(_xlfn.XLOOKUP(1,('env Parameter'!$A:$A=$A323)*('env Parameter'!$B:$B=$K323)*('env Parameter'!$C:$C=$L323),'env Parameter'!H:H,""),"")</f>
        <v>생물상 조사</v>
      </c>
      <c r="C323" s="10" cm="1">
        <f t="array" ref="C323">IFERROR(_xlfn.XLOOKUP(1,('env Parameter'!$A:$A=$A323)*('env Parameter'!$B:$B=$K323)*('env Parameter'!$C:$C=$L323),'env Parameter'!E:E,""),"")</f>
        <v>2.14</v>
      </c>
      <c r="D323" s="10" cm="1">
        <f t="array" ref="D323">IFERROR(_xlfn.XLOOKUP(1,('env Parameter'!$A:$A=$A323)*('env Parameter'!$B:$B=$K323)*('env Parameter'!$C:$C=$L323),'env Parameter'!F:F,""),"")</f>
        <v>478</v>
      </c>
      <c r="E323" s="10" cm="1">
        <f t="array" ref="E323">IFERROR(_xlfn.XLOOKUP(1,('env Parameter'!$A:$A=$A323)*('env Parameter'!$B:$B=$K323)*('env Parameter'!$C:$C=$L323),'env Parameter'!G:G,""),"")</f>
        <v>7.6</v>
      </c>
      <c r="F323" t="str">
        <f>eDNA!F323</f>
        <v>MiFish</v>
      </c>
      <c r="G323" t="str">
        <f>eDNA!D323</f>
        <v>Channa argus</v>
      </c>
      <c r="H323" t="str">
        <f>_xlfn.XLOOKUP(G323,'Common name (master file)'!$B:$B,'Common name (master file)'!$A:$A,"-------------")</f>
        <v>가물치</v>
      </c>
      <c r="I323">
        <f>eDNA!E323</f>
        <v>70</v>
      </c>
      <c r="J323" t="str">
        <f>_xlfn.XLOOKUP(G323,'Common name (master file)'!$B:$B,'Common name (master file)'!$C:$C,"")</f>
        <v>어류</v>
      </c>
      <c r="K323">
        <f>eDNA!B323</f>
        <v>126.887135</v>
      </c>
      <c r="L323">
        <f>eDNA!C323</f>
        <v>37.539645499999999</v>
      </c>
      <c r="M323" s="10" t="str" cm="1">
        <f t="array" ref="M323">IFERROR(_xlfn.XLOOKUP(1,('env Parameter'!$A:$A=$A323)*('env Parameter'!$B:$B=$K323)*('env Parameter'!$C:$C=$L323),'env Parameter'!D:D,""),"")</f>
        <v>안양천-16</v>
      </c>
      <c r="N323" s="10" t="str" cm="1">
        <f t="array" ref="N323">IFERROR(_xlfn.XLOOKUP(1,('env Parameter'!$A:$A=$A323)*('env Parameter'!$B:$B=$K323)*('env Parameter'!$C:$C=$L323),'env Parameter'!I:I,""),"")</f>
        <v>YR</v>
      </c>
    </row>
    <row r="324" spans="1:14">
      <c r="A324">
        <f>eDNA!A324</f>
        <v>20200717</v>
      </c>
      <c r="B324" s="10" t="str" cm="1">
        <f t="array" ref="B324">IFERROR(_xlfn.XLOOKUP(1,('env Parameter'!$A:$A=$A324)*('env Parameter'!$B:$B=$K324)*('env Parameter'!$C:$C=$L324),'env Parameter'!H:H,""),"")</f>
        <v>생물상 조사</v>
      </c>
      <c r="C324" s="10" cm="1">
        <f t="array" ref="C324">IFERROR(_xlfn.XLOOKUP(1,('env Parameter'!$A:$A=$A324)*('env Parameter'!$B:$B=$K324)*('env Parameter'!$C:$C=$L324),'env Parameter'!E:E,""),"")</f>
        <v>2.14</v>
      </c>
      <c r="D324" s="10" cm="1">
        <f t="array" ref="D324">IFERROR(_xlfn.XLOOKUP(1,('env Parameter'!$A:$A=$A324)*('env Parameter'!$B:$B=$K324)*('env Parameter'!$C:$C=$L324),'env Parameter'!F:F,""),"")</f>
        <v>478</v>
      </c>
      <c r="E324" s="10" cm="1">
        <f t="array" ref="E324">IFERROR(_xlfn.XLOOKUP(1,('env Parameter'!$A:$A=$A324)*('env Parameter'!$B:$B=$K324)*('env Parameter'!$C:$C=$L324),'env Parameter'!G:G,""),"")</f>
        <v>7.6</v>
      </c>
      <c r="F324" t="str">
        <f>eDNA!F324</f>
        <v>MiFish</v>
      </c>
      <c r="G324" t="str">
        <f>eDNA!D324</f>
        <v>Zacco platypus</v>
      </c>
      <c r="H324" t="str">
        <f>_xlfn.XLOOKUP(G324,'Common name (master file)'!$B:$B,'Common name (master file)'!$A:$A,"-------------")</f>
        <v>피라미</v>
      </c>
      <c r="I324">
        <f>eDNA!E324</f>
        <v>51</v>
      </c>
      <c r="J324" t="str">
        <f>_xlfn.XLOOKUP(G324,'Common name (master file)'!$B:$B,'Common name (master file)'!$C:$C,"")</f>
        <v>어류</v>
      </c>
      <c r="K324">
        <f>eDNA!B324</f>
        <v>126.887135</v>
      </c>
      <c r="L324">
        <f>eDNA!C324</f>
        <v>37.539645499999999</v>
      </c>
      <c r="M324" s="10" t="str" cm="1">
        <f t="array" ref="M324">IFERROR(_xlfn.XLOOKUP(1,('env Parameter'!$A:$A=$A324)*('env Parameter'!$B:$B=$K324)*('env Parameter'!$C:$C=$L324),'env Parameter'!D:D,""),"")</f>
        <v>안양천-16</v>
      </c>
      <c r="N324" s="10" t="str" cm="1">
        <f t="array" ref="N324">IFERROR(_xlfn.XLOOKUP(1,('env Parameter'!$A:$A=$A324)*('env Parameter'!$B:$B=$K324)*('env Parameter'!$C:$C=$L324),'env Parameter'!I:I,""),"")</f>
        <v>YR</v>
      </c>
    </row>
    <row r="325" spans="1:14">
      <c r="A325">
        <f>eDNA!A325</f>
        <v>20200717</v>
      </c>
      <c r="B325" s="10" t="str" cm="1">
        <f t="array" ref="B325">IFERROR(_xlfn.XLOOKUP(1,('env Parameter'!$A:$A=$A325)*('env Parameter'!$B:$B=$K325)*('env Parameter'!$C:$C=$L325),'env Parameter'!H:H,""),"")</f>
        <v>생물상 조사</v>
      </c>
      <c r="C325" s="10" cm="1">
        <f t="array" ref="C325">IFERROR(_xlfn.XLOOKUP(1,('env Parameter'!$A:$A=$A325)*('env Parameter'!$B:$B=$K325)*('env Parameter'!$C:$C=$L325),'env Parameter'!E:E,""),"")</f>
        <v>2.14</v>
      </c>
      <c r="D325" s="10" cm="1">
        <f t="array" ref="D325">IFERROR(_xlfn.XLOOKUP(1,('env Parameter'!$A:$A=$A325)*('env Parameter'!$B:$B=$K325)*('env Parameter'!$C:$C=$L325),'env Parameter'!F:F,""),"")</f>
        <v>478</v>
      </c>
      <c r="E325" s="10" cm="1">
        <f t="array" ref="E325">IFERROR(_xlfn.XLOOKUP(1,('env Parameter'!$A:$A=$A325)*('env Parameter'!$B:$B=$K325)*('env Parameter'!$C:$C=$L325),'env Parameter'!G:G,""),"")</f>
        <v>7.6</v>
      </c>
      <c r="F325" t="str">
        <f>eDNA!F325</f>
        <v>MiFish</v>
      </c>
      <c r="G325" t="str">
        <f>eDNA!D325</f>
        <v>Homo sapiens</v>
      </c>
      <c r="H325" t="str">
        <f>_xlfn.XLOOKUP(G325,'Common name (master file)'!$B:$B,'Common name (master file)'!$A:$A,"-------------")</f>
        <v>사람</v>
      </c>
      <c r="I325">
        <f>eDNA!E325</f>
        <v>68</v>
      </c>
      <c r="J325" t="str">
        <f>_xlfn.XLOOKUP(G325,'Common name (master file)'!$B:$B,'Common name (master file)'!$C:$C,"")</f>
        <v>포유류</v>
      </c>
      <c r="K325">
        <f>eDNA!B325</f>
        <v>126.887135</v>
      </c>
      <c r="L325">
        <f>eDNA!C325</f>
        <v>37.539645499999999</v>
      </c>
      <c r="M325" s="10" t="str" cm="1">
        <f t="array" ref="M325">IFERROR(_xlfn.XLOOKUP(1,('env Parameter'!$A:$A=$A325)*('env Parameter'!$B:$B=$K325)*('env Parameter'!$C:$C=$L325),'env Parameter'!D:D,""),"")</f>
        <v>안양천-16</v>
      </c>
      <c r="N325" s="10" t="str" cm="1">
        <f t="array" ref="N325">IFERROR(_xlfn.XLOOKUP(1,('env Parameter'!$A:$A=$A325)*('env Parameter'!$B:$B=$K325)*('env Parameter'!$C:$C=$L325),'env Parameter'!I:I,""),"")</f>
        <v>YR</v>
      </c>
    </row>
    <row r="326" spans="1:14">
      <c r="A326">
        <f>eDNA!A326</f>
        <v>20200717</v>
      </c>
      <c r="B326" s="10" t="str" cm="1">
        <f t="array" ref="B326">IFERROR(_xlfn.XLOOKUP(1,('env Parameter'!$A:$A=$A326)*('env Parameter'!$B:$B=$K326)*('env Parameter'!$C:$C=$L326),'env Parameter'!H:H,""),"")</f>
        <v>생물상 조사</v>
      </c>
      <c r="C326" s="10" cm="1">
        <f t="array" ref="C326">IFERROR(_xlfn.XLOOKUP(1,('env Parameter'!$A:$A=$A326)*('env Parameter'!$B:$B=$K326)*('env Parameter'!$C:$C=$L326),'env Parameter'!E:E,""),"")</f>
        <v>2.14</v>
      </c>
      <c r="D326" s="10" cm="1">
        <f t="array" ref="D326">IFERROR(_xlfn.XLOOKUP(1,('env Parameter'!$A:$A=$A326)*('env Parameter'!$B:$B=$K326)*('env Parameter'!$C:$C=$L326),'env Parameter'!F:F,""),"")</f>
        <v>478</v>
      </c>
      <c r="E326" s="10" cm="1">
        <f t="array" ref="E326">IFERROR(_xlfn.XLOOKUP(1,('env Parameter'!$A:$A=$A326)*('env Parameter'!$B:$B=$K326)*('env Parameter'!$C:$C=$L326),'env Parameter'!G:G,""),"")</f>
        <v>7.6</v>
      </c>
      <c r="F326" t="str">
        <f>eDNA!F326</f>
        <v>MiFish</v>
      </c>
      <c r="G326" t="str">
        <f>eDNA!D326</f>
        <v>Anguilla japonica</v>
      </c>
      <c r="H326" t="str">
        <f>_xlfn.XLOOKUP(G326,'Common name (master file)'!$B:$B,'Common name (master file)'!$A:$A,"-------------")</f>
        <v>뱀장어</v>
      </c>
      <c r="I326">
        <f>eDNA!E326</f>
        <v>85</v>
      </c>
      <c r="J326" t="str">
        <f>_xlfn.XLOOKUP(G326,'Common name (master file)'!$B:$B,'Common name (master file)'!$C:$C,"")</f>
        <v>어류</v>
      </c>
      <c r="K326">
        <f>eDNA!B326</f>
        <v>126.887135</v>
      </c>
      <c r="L326">
        <f>eDNA!C326</f>
        <v>37.539645499999999</v>
      </c>
      <c r="M326" s="10" t="str" cm="1">
        <f t="array" ref="M326">IFERROR(_xlfn.XLOOKUP(1,('env Parameter'!$A:$A=$A326)*('env Parameter'!$B:$B=$K326)*('env Parameter'!$C:$C=$L326),'env Parameter'!D:D,""),"")</f>
        <v>안양천-16</v>
      </c>
      <c r="N326" s="10" t="str" cm="1">
        <f t="array" ref="N326">IFERROR(_xlfn.XLOOKUP(1,('env Parameter'!$A:$A=$A326)*('env Parameter'!$B:$B=$K326)*('env Parameter'!$C:$C=$L326),'env Parameter'!I:I,""),"")</f>
        <v>YR</v>
      </c>
    </row>
    <row r="327" spans="1:14">
      <c r="A327">
        <f>eDNA!A327</f>
        <v>20200717</v>
      </c>
      <c r="B327" s="10" t="str" cm="1">
        <f t="array" ref="B327">IFERROR(_xlfn.XLOOKUP(1,('env Parameter'!$A:$A=$A327)*('env Parameter'!$B:$B=$K327)*('env Parameter'!$C:$C=$L327),'env Parameter'!H:H,""),"")</f>
        <v>생물상 조사</v>
      </c>
      <c r="C327" s="10" cm="1">
        <f t="array" ref="C327">IFERROR(_xlfn.XLOOKUP(1,('env Parameter'!$A:$A=$A327)*('env Parameter'!$B:$B=$K327)*('env Parameter'!$C:$C=$L327),'env Parameter'!E:E,""),"")</f>
        <v>2.14</v>
      </c>
      <c r="D327" s="10" cm="1">
        <f t="array" ref="D327">IFERROR(_xlfn.XLOOKUP(1,('env Parameter'!$A:$A=$A327)*('env Parameter'!$B:$B=$K327)*('env Parameter'!$C:$C=$L327),'env Parameter'!F:F,""),"")</f>
        <v>478</v>
      </c>
      <c r="E327" s="10" cm="1">
        <f t="array" ref="E327">IFERROR(_xlfn.XLOOKUP(1,('env Parameter'!$A:$A=$A327)*('env Parameter'!$B:$B=$K327)*('env Parameter'!$C:$C=$L327),'env Parameter'!G:G,""),"")</f>
        <v>7.6</v>
      </c>
      <c r="F327" t="str">
        <f>eDNA!F327</f>
        <v>MiFish</v>
      </c>
      <c r="G327" t="str">
        <f>eDNA!D327</f>
        <v>Gymnogobius breunigii</v>
      </c>
      <c r="H327" t="str">
        <f>_xlfn.XLOOKUP(G327,'Common name (master file)'!$B:$B,'Common name (master file)'!$A:$A,"-------------")</f>
        <v>날망둑</v>
      </c>
      <c r="I327">
        <f>eDNA!E327</f>
        <v>86</v>
      </c>
      <c r="J327" t="str">
        <f>_xlfn.XLOOKUP(G327,'Common name (master file)'!$B:$B,'Common name (master file)'!$C:$C,"")</f>
        <v>어류</v>
      </c>
      <c r="K327">
        <f>eDNA!B327</f>
        <v>126.887135</v>
      </c>
      <c r="L327">
        <f>eDNA!C327</f>
        <v>37.539645499999999</v>
      </c>
      <c r="M327" s="10" t="str" cm="1">
        <f t="array" ref="M327">IFERROR(_xlfn.XLOOKUP(1,('env Parameter'!$A:$A=$A327)*('env Parameter'!$B:$B=$K327)*('env Parameter'!$C:$C=$L327),'env Parameter'!D:D,""),"")</f>
        <v>안양천-16</v>
      </c>
      <c r="N327" s="10" t="str" cm="1">
        <f t="array" ref="N327">IFERROR(_xlfn.XLOOKUP(1,('env Parameter'!$A:$A=$A327)*('env Parameter'!$B:$B=$K327)*('env Parameter'!$C:$C=$L327),'env Parameter'!I:I,""),"")</f>
        <v>YR</v>
      </c>
    </row>
    <row r="328" spans="1:14">
      <c r="A328">
        <f>eDNA!A328</f>
        <v>20200717</v>
      </c>
      <c r="B328" s="10" t="str" cm="1">
        <f t="array" ref="B328">IFERROR(_xlfn.XLOOKUP(1,('env Parameter'!$A:$A=$A328)*('env Parameter'!$B:$B=$K328)*('env Parameter'!$C:$C=$L328),'env Parameter'!H:H,""),"")</f>
        <v>생물상 조사</v>
      </c>
      <c r="C328" s="10" cm="1">
        <f t="array" ref="C328">IFERROR(_xlfn.XLOOKUP(1,('env Parameter'!$A:$A=$A328)*('env Parameter'!$B:$B=$K328)*('env Parameter'!$C:$C=$L328),'env Parameter'!E:E,""),"")</f>
        <v>2.14</v>
      </c>
      <c r="D328" s="10" cm="1">
        <f t="array" ref="D328">IFERROR(_xlfn.XLOOKUP(1,('env Parameter'!$A:$A=$A328)*('env Parameter'!$B:$B=$K328)*('env Parameter'!$C:$C=$L328),'env Parameter'!F:F,""),"")</f>
        <v>478</v>
      </c>
      <c r="E328" s="10" cm="1">
        <f t="array" ref="E328">IFERROR(_xlfn.XLOOKUP(1,('env Parameter'!$A:$A=$A328)*('env Parameter'!$B:$B=$K328)*('env Parameter'!$C:$C=$L328),'env Parameter'!G:G,""),"")</f>
        <v>7.6</v>
      </c>
      <c r="F328" t="str">
        <f>eDNA!F328</f>
        <v>MiFish</v>
      </c>
      <c r="G328" t="str">
        <f>eDNA!D328</f>
        <v>Acheilognathus lanceolata</v>
      </c>
      <c r="H328" t="str">
        <f>_xlfn.XLOOKUP(G328,'Common name (master file)'!$B:$B,'Common name (master file)'!$A:$A,"-------------")</f>
        <v>납자루</v>
      </c>
      <c r="I328">
        <f>eDNA!E328</f>
        <v>92</v>
      </c>
      <c r="J328" t="str">
        <f>_xlfn.XLOOKUP(G328,'Common name (master file)'!$B:$B,'Common name (master file)'!$C:$C,"")</f>
        <v>어류</v>
      </c>
      <c r="K328">
        <f>eDNA!B328</f>
        <v>126.887135</v>
      </c>
      <c r="L328">
        <f>eDNA!C328</f>
        <v>37.539645499999999</v>
      </c>
      <c r="M328" s="10" t="str" cm="1">
        <f t="array" ref="M328">IFERROR(_xlfn.XLOOKUP(1,('env Parameter'!$A:$A=$A328)*('env Parameter'!$B:$B=$K328)*('env Parameter'!$C:$C=$L328),'env Parameter'!D:D,""),"")</f>
        <v>안양천-16</v>
      </c>
      <c r="N328" s="10" t="str" cm="1">
        <f t="array" ref="N328">IFERROR(_xlfn.XLOOKUP(1,('env Parameter'!$A:$A=$A328)*('env Parameter'!$B:$B=$K328)*('env Parameter'!$C:$C=$L328),'env Parameter'!I:I,""),"")</f>
        <v>YR</v>
      </c>
    </row>
    <row r="329" spans="1:14">
      <c r="A329">
        <f>eDNA!A329</f>
        <v>20200717</v>
      </c>
      <c r="B329" s="10" t="str" cm="1">
        <f t="array" ref="B329">IFERROR(_xlfn.XLOOKUP(1,('env Parameter'!$A:$A=$A329)*('env Parameter'!$B:$B=$K329)*('env Parameter'!$C:$C=$L329),'env Parameter'!H:H,""),"")</f>
        <v>생물상 조사</v>
      </c>
      <c r="C329" s="10" cm="1">
        <f t="array" ref="C329">IFERROR(_xlfn.XLOOKUP(1,('env Parameter'!$A:$A=$A329)*('env Parameter'!$B:$B=$K329)*('env Parameter'!$C:$C=$L329),'env Parameter'!E:E,""),"")</f>
        <v>2.14</v>
      </c>
      <c r="D329" s="10" cm="1">
        <f t="array" ref="D329">IFERROR(_xlfn.XLOOKUP(1,('env Parameter'!$A:$A=$A329)*('env Parameter'!$B:$B=$K329)*('env Parameter'!$C:$C=$L329),'env Parameter'!F:F,""),"")</f>
        <v>478</v>
      </c>
      <c r="E329" s="10" cm="1">
        <f t="array" ref="E329">IFERROR(_xlfn.XLOOKUP(1,('env Parameter'!$A:$A=$A329)*('env Parameter'!$B:$B=$K329)*('env Parameter'!$C:$C=$L329),'env Parameter'!G:G,""),"")</f>
        <v>7.6</v>
      </c>
      <c r="F329" t="str">
        <f>eDNA!F329</f>
        <v>MiFish</v>
      </c>
      <c r="G329" t="str">
        <f>eDNA!D329</f>
        <v>Silurus soldatovi</v>
      </c>
      <c r="H329" t="str">
        <f>_xlfn.XLOOKUP(G329,'Common name (master file)'!$B:$B,'Common name (master file)'!$A:$A,"-------------")</f>
        <v>솔다토비 메기</v>
      </c>
      <c r="I329">
        <f>eDNA!E329</f>
        <v>199</v>
      </c>
      <c r="J329" t="str">
        <f>_xlfn.XLOOKUP(G329,'Common name (master file)'!$B:$B,'Common name (master file)'!$C:$C,"")</f>
        <v>어류</v>
      </c>
      <c r="K329">
        <f>eDNA!B329</f>
        <v>126.887135</v>
      </c>
      <c r="L329">
        <f>eDNA!C329</f>
        <v>37.539645499999999</v>
      </c>
      <c r="M329" s="10" t="str" cm="1">
        <f t="array" ref="M329">IFERROR(_xlfn.XLOOKUP(1,('env Parameter'!$A:$A=$A329)*('env Parameter'!$B:$B=$K329)*('env Parameter'!$C:$C=$L329),'env Parameter'!D:D,""),"")</f>
        <v>안양천-16</v>
      </c>
      <c r="N329" s="10" t="str" cm="1">
        <f t="array" ref="N329">IFERROR(_xlfn.XLOOKUP(1,('env Parameter'!$A:$A=$A329)*('env Parameter'!$B:$B=$K329)*('env Parameter'!$C:$C=$L329),'env Parameter'!I:I,""),"")</f>
        <v>YR</v>
      </c>
    </row>
    <row r="330" spans="1:14">
      <c r="A330">
        <f>eDNA!A330</f>
        <v>20200717</v>
      </c>
      <c r="B330" s="10" t="str" cm="1">
        <f t="array" ref="B330">IFERROR(_xlfn.XLOOKUP(1,('env Parameter'!$A:$A=$A330)*('env Parameter'!$B:$B=$K330)*('env Parameter'!$C:$C=$L330),'env Parameter'!H:H,""),"")</f>
        <v>생물상 조사</v>
      </c>
      <c r="C330" s="10" cm="1">
        <f t="array" ref="C330">IFERROR(_xlfn.XLOOKUP(1,('env Parameter'!$A:$A=$A330)*('env Parameter'!$B:$B=$K330)*('env Parameter'!$C:$C=$L330),'env Parameter'!E:E,""),"")</f>
        <v>2.14</v>
      </c>
      <c r="D330" s="10" cm="1">
        <f t="array" ref="D330">IFERROR(_xlfn.XLOOKUP(1,('env Parameter'!$A:$A=$A330)*('env Parameter'!$B:$B=$K330)*('env Parameter'!$C:$C=$L330),'env Parameter'!F:F,""),"")</f>
        <v>478</v>
      </c>
      <c r="E330" s="10" cm="1">
        <f t="array" ref="E330">IFERROR(_xlfn.XLOOKUP(1,('env Parameter'!$A:$A=$A330)*('env Parameter'!$B:$B=$K330)*('env Parameter'!$C:$C=$L330),'env Parameter'!G:G,""),"")</f>
        <v>7.6</v>
      </c>
      <c r="F330" t="str">
        <f>eDNA!F330</f>
        <v>MiFish</v>
      </c>
      <c r="G330" t="str">
        <f>eDNA!D330</f>
        <v>Hemibarbus sp.</v>
      </c>
      <c r="H330" t="str">
        <f>_xlfn.XLOOKUP(G330,'Common name (master file)'!$B:$B,'Common name (master file)'!$A:$A,"-------------")</f>
        <v>누치 속</v>
      </c>
      <c r="I330">
        <f>eDNA!E330</f>
        <v>238</v>
      </c>
      <c r="J330" t="str">
        <f>_xlfn.XLOOKUP(G330,'Common name (master file)'!$B:$B,'Common name (master file)'!$C:$C,"")</f>
        <v>어류</v>
      </c>
      <c r="K330">
        <f>eDNA!B330</f>
        <v>126.887135</v>
      </c>
      <c r="L330">
        <f>eDNA!C330</f>
        <v>37.539645499999999</v>
      </c>
      <c r="M330" s="10" t="str" cm="1">
        <f t="array" ref="M330">IFERROR(_xlfn.XLOOKUP(1,('env Parameter'!$A:$A=$A330)*('env Parameter'!$B:$B=$K330)*('env Parameter'!$C:$C=$L330),'env Parameter'!D:D,""),"")</f>
        <v>안양천-16</v>
      </c>
      <c r="N330" s="10" t="str" cm="1">
        <f t="array" ref="N330">IFERROR(_xlfn.XLOOKUP(1,('env Parameter'!$A:$A=$A330)*('env Parameter'!$B:$B=$K330)*('env Parameter'!$C:$C=$L330),'env Parameter'!I:I,""),"")</f>
        <v>YR</v>
      </c>
    </row>
    <row r="331" spans="1:14">
      <c r="A331">
        <f>eDNA!A331</f>
        <v>20200717</v>
      </c>
      <c r="B331" s="10" t="str" cm="1">
        <f t="array" ref="B331">IFERROR(_xlfn.XLOOKUP(1,('env Parameter'!$A:$A=$A331)*('env Parameter'!$B:$B=$K331)*('env Parameter'!$C:$C=$L331),'env Parameter'!H:H,""),"")</f>
        <v>생물상 조사</v>
      </c>
      <c r="C331" s="10" cm="1">
        <f t="array" ref="C331">IFERROR(_xlfn.XLOOKUP(1,('env Parameter'!$A:$A=$A331)*('env Parameter'!$B:$B=$K331)*('env Parameter'!$C:$C=$L331),'env Parameter'!E:E,""),"")</f>
        <v>2.14</v>
      </c>
      <c r="D331" s="10" cm="1">
        <f t="array" ref="D331">IFERROR(_xlfn.XLOOKUP(1,('env Parameter'!$A:$A=$A331)*('env Parameter'!$B:$B=$K331)*('env Parameter'!$C:$C=$L331),'env Parameter'!F:F,""),"")</f>
        <v>478</v>
      </c>
      <c r="E331" s="10" cm="1">
        <f t="array" ref="E331">IFERROR(_xlfn.XLOOKUP(1,('env Parameter'!$A:$A=$A331)*('env Parameter'!$B:$B=$K331)*('env Parameter'!$C:$C=$L331),'env Parameter'!G:G,""),"")</f>
        <v>7.6</v>
      </c>
      <c r="F331" t="str">
        <f>eDNA!F331</f>
        <v>MiFish</v>
      </c>
      <c r="G331" t="str">
        <f>eDNA!D331</f>
        <v>Misgurnus mizolepis</v>
      </c>
      <c r="H331" t="str">
        <f>_xlfn.XLOOKUP(G331,'Common name (master file)'!$B:$B,'Common name (master file)'!$A:$A,"-------------")</f>
        <v>미꾸라지</v>
      </c>
      <c r="I331">
        <f>eDNA!E331</f>
        <v>241</v>
      </c>
      <c r="J331" t="str">
        <f>_xlfn.XLOOKUP(G331,'Common name (master file)'!$B:$B,'Common name (master file)'!$C:$C,"")</f>
        <v>어류</v>
      </c>
      <c r="K331">
        <f>eDNA!B331</f>
        <v>126.887135</v>
      </c>
      <c r="L331">
        <f>eDNA!C331</f>
        <v>37.539645499999999</v>
      </c>
      <c r="M331" s="10" t="str" cm="1">
        <f t="array" ref="M331">IFERROR(_xlfn.XLOOKUP(1,('env Parameter'!$A:$A=$A331)*('env Parameter'!$B:$B=$K331)*('env Parameter'!$C:$C=$L331),'env Parameter'!D:D,""),"")</f>
        <v>안양천-16</v>
      </c>
      <c r="N331" s="10" t="str" cm="1">
        <f t="array" ref="N331">IFERROR(_xlfn.XLOOKUP(1,('env Parameter'!$A:$A=$A331)*('env Parameter'!$B:$B=$K331)*('env Parameter'!$C:$C=$L331),'env Parameter'!I:I,""),"")</f>
        <v>YR</v>
      </c>
    </row>
    <row r="332" spans="1:14">
      <c r="A332">
        <f>eDNA!A332</f>
        <v>20200717</v>
      </c>
      <c r="B332" s="10" t="str" cm="1">
        <f t="array" ref="B332">IFERROR(_xlfn.XLOOKUP(1,('env Parameter'!$A:$A=$A332)*('env Parameter'!$B:$B=$K332)*('env Parameter'!$C:$C=$L332),'env Parameter'!H:H,""),"")</f>
        <v>생물상 조사</v>
      </c>
      <c r="C332" s="10" cm="1">
        <f t="array" ref="C332">IFERROR(_xlfn.XLOOKUP(1,('env Parameter'!$A:$A=$A332)*('env Parameter'!$B:$B=$K332)*('env Parameter'!$C:$C=$L332),'env Parameter'!E:E,""),"")</f>
        <v>2.14</v>
      </c>
      <c r="D332" s="10" cm="1">
        <f t="array" ref="D332">IFERROR(_xlfn.XLOOKUP(1,('env Parameter'!$A:$A=$A332)*('env Parameter'!$B:$B=$K332)*('env Parameter'!$C:$C=$L332),'env Parameter'!F:F,""),"")</f>
        <v>478</v>
      </c>
      <c r="E332" s="10" cm="1">
        <f t="array" ref="E332">IFERROR(_xlfn.XLOOKUP(1,('env Parameter'!$A:$A=$A332)*('env Parameter'!$B:$B=$K332)*('env Parameter'!$C:$C=$L332),'env Parameter'!G:G,""),"")</f>
        <v>7.6</v>
      </c>
      <c r="F332" t="str">
        <f>eDNA!F332</f>
        <v>MiFish</v>
      </c>
      <c r="G332" t="str">
        <f>eDNA!D332</f>
        <v>Cyprinus carpio</v>
      </c>
      <c r="H332" t="str">
        <f>_xlfn.XLOOKUP(G332,'Common name (master file)'!$B:$B,'Common name (master file)'!$A:$A,"-------------")</f>
        <v>잉어</v>
      </c>
      <c r="I332">
        <f>eDNA!E332</f>
        <v>265</v>
      </c>
      <c r="J332" t="str">
        <f>_xlfn.XLOOKUP(G332,'Common name (master file)'!$B:$B,'Common name (master file)'!$C:$C,"")</f>
        <v>어류</v>
      </c>
      <c r="K332">
        <f>eDNA!B332</f>
        <v>126.887135</v>
      </c>
      <c r="L332">
        <f>eDNA!C332</f>
        <v>37.539645499999999</v>
      </c>
      <c r="M332" s="10" t="str" cm="1">
        <f t="array" ref="M332">IFERROR(_xlfn.XLOOKUP(1,('env Parameter'!$A:$A=$A332)*('env Parameter'!$B:$B=$K332)*('env Parameter'!$C:$C=$L332),'env Parameter'!D:D,""),"")</f>
        <v>안양천-16</v>
      </c>
      <c r="N332" s="10" t="str" cm="1">
        <f t="array" ref="N332">IFERROR(_xlfn.XLOOKUP(1,('env Parameter'!$A:$A=$A332)*('env Parameter'!$B:$B=$K332)*('env Parameter'!$C:$C=$L332),'env Parameter'!I:I,""),"")</f>
        <v>YR</v>
      </c>
    </row>
    <row r="333" spans="1:14">
      <c r="A333">
        <f>eDNA!A333</f>
        <v>20200717</v>
      </c>
      <c r="B333" s="10" t="str" cm="1">
        <f t="array" ref="B333">IFERROR(_xlfn.XLOOKUP(1,('env Parameter'!$A:$A=$A333)*('env Parameter'!$B:$B=$K333)*('env Parameter'!$C:$C=$L333),'env Parameter'!H:H,""),"")</f>
        <v>생물상 조사</v>
      </c>
      <c r="C333" s="10" cm="1">
        <f t="array" ref="C333">IFERROR(_xlfn.XLOOKUP(1,('env Parameter'!$A:$A=$A333)*('env Parameter'!$B:$B=$K333)*('env Parameter'!$C:$C=$L333),'env Parameter'!E:E,""),"")</f>
        <v>2.14</v>
      </c>
      <c r="D333" s="10" cm="1">
        <f t="array" ref="D333">IFERROR(_xlfn.XLOOKUP(1,('env Parameter'!$A:$A=$A333)*('env Parameter'!$B:$B=$K333)*('env Parameter'!$C:$C=$L333),'env Parameter'!F:F,""),"")</f>
        <v>478</v>
      </c>
      <c r="E333" s="10" cm="1">
        <f t="array" ref="E333">IFERROR(_xlfn.XLOOKUP(1,('env Parameter'!$A:$A=$A333)*('env Parameter'!$B:$B=$K333)*('env Parameter'!$C:$C=$L333),'env Parameter'!G:G,""),"")</f>
        <v>7.6</v>
      </c>
      <c r="F333" t="str">
        <f>eDNA!F333</f>
        <v>MiFish</v>
      </c>
      <c r="G333" t="str">
        <f>eDNA!D333</f>
        <v>Lateolabrax maculatus</v>
      </c>
      <c r="H333" t="str">
        <f>_xlfn.XLOOKUP(G333,'Common name (master file)'!$B:$B,'Common name (master file)'!$A:$A,"-------------")</f>
        <v>점농어</v>
      </c>
      <c r="I333">
        <f>eDNA!E333</f>
        <v>270</v>
      </c>
      <c r="J333" t="str">
        <f>_xlfn.XLOOKUP(G333,'Common name (master file)'!$B:$B,'Common name (master file)'!$C:$C,"")</f>
        <v>어류</v>
      </c>
      <c r="K333">
        <f>eDNA!B333</f>
        <v>126.887135</v>
      </c>
      <c r="L333">
        <f>eDNA!C333</f>
        <v>37.539645499999999</v>
      </c>
      <c r="M333" s="10" t="str" cm="1">
        <f t="array" ref="M333">IFERROR(_xlfn.XLOOKUP(1,('env Parameter'!$A:$A=$A333)*('env Parameter'!$B:$B=$K333)*('env Parameter'!$C:$C=$L333),'env Parameter'!D:D,""),"")</f>
        <v>안양천-16</v>
      </c>
      <c r="N333" s="10" t="str" cm="1">
        <f t="array" ref="N333">IFERROR(_xlfn.XLOOKUP(1,('env Parameter'!$A:$A=$A333)*('env Parameter'!$B:$B=$K333)*('env Parameter'!$C:$C=$L333),'env Parameter'!I:I,""),"")</f>
        <v>YR</v>
      </c>
    </row>
    <row r="334" spans="1:14">
      <c r="A334">
        <f>eDNA!A334</f>
        <v>20200717</v>
      </c>
      <c r="B334" s="10" t="str" cm="1">
        <f t="array" ref="B334">IFERROR(_xlfn.XLOOKUP(1,('env Parameter'!$A:$A=$A334)*('env Parameter'!$B:$B=$K334)*('env Parameter'!$C:$C=$L334),'env Parameter'!H:H,""),"")</f>
        <v>생물상 조사</v>
      </c>
      <c r="C334" s="10" cm="1">
        <f t="array" ref="C334">IFERROR(_xlfn.XLOOKUP(1,('env Parameter'!$A:$A=$A334)*('env Parameter'!$B:$B=$K334)*('env Parameter'!$C:$C=$L334),'env Parameter'!E:E,""),"")</f>
        <v>2.14</v>
      </c>
      <c r="D334" s="10" cm="1">
        <f t="array" ref="D334">IFERROR(_xlfn.XLOOKUP(1,('env Parameter'!$A:$A=$A334)*('env Parameter'!$B:$B=$K334)*('env Parameter'!$C:$C=$L334),'env Parameter'!F:F,""),"")</f>
        <v>478</v>
      </c>
      <c r="E334" s="10" cm="1">
        <f t="array" ref="E334">IFERROR(_xlfn.XLOOKUP(1,('env Parameter'!$A:$A=$A334)*('env Parameter'!$B:$B=$K334)*('env Parameter'!$C:$C=$L334),'env Parameter'!G:G,""),"")</f>
        <v>7.6</v>
      </c>
      <c r="F334" t="str">
        <f>eDNA!F334</f>
        <v>MiFish</v>
      </c>
      <c r="G334" t="str">
        <f>eDNA!D334</f>
        <v>Tridentiger obscurus</v>
      </c>
      <c r="H334" t="str">
        <f>_xlfn.XLOOKUP(G334,'Common name (master file)'!$B:$B,'Common name (master file)'!$A:$A,"-------------")</f>
        <v>검정망둑</v>
      </c>
      <c r="I334">
        <f>eDNA!E334</f>
        <v>294</v>
      </c>
      <c r="J334" t="str">
        <f>_xlfn.XLOOKUP(G334,'Common name (master file)'!$B:$B,'Common name (master file)'!$C:$C,"")</f>
        <v>어류</v>
      </c>
      <c r="K334">
        <f>eDNA!B334</f>
        <v>126.887135</v>
      </c>
      <c r="L334">
        <f>eDNA!C334</f>
        <v>37.539645499999999</v>
      </c>
      <c r="M334" s="10" t="str" cm="1">
        <f t="array" ref="M334">IFERROR(_xlfn.XLOOKUP(1,('env Parameter'!$A:$A=$A334)*('env Parameter'!$B:$B=$K334)*('env Parameter'!$C:$C=$L334),'env Parameter'!D:D,""),"")</f>
        <v>안양천-16</v>
      </c>
      <c r="N334" s="10" t="str" cm="1">
        <f t="array" ref="N334">IFERROR(_xlfn.XLOOKUP(1,('env Parameter'!$A:$A=$A334)*('env Parameter'!$B:$B=$K334)*('env Parameter'!$C:$C=$L334),'env Parameter'!I:I,""),"")</f>
        <v>YR</v>
      </c>
    </row>
    <row r="335" spans="1:14">
      <c r="A335">
        <f>eDNA!A335</f>
        <v>20200717</v>
      </c>
      <c r="B335" s="10" t="str" cm="1">
        <f t="array" ref="B335">IFERROR(_xlfn.XLOOKUP(1,('env Parameter'!$A:$A=$A335)*('env Parameter'!$B:$B=$K335)*('env Parameter'!$C:$C=$L335),'env Parameter'!H:H,""),"")</f>
        <v>생물상 조사</v>
      </c>
      <c r="C335" s="10" cm="1">
        <f t="array" ref="C335">IFERROR(_xlfn.XLOOKUP(1,('env Parameter'!$A:$A=$A335)*('env Parameter'!$B:$B=$K335)*('env Parameter'!$C:$C=$L335),'env Parameter'!E:E,""),"")</f>
        <v>2.14</v>
      </c>
      <c r="D335" s="10" cm="1">
        <f t="array" ref="D335">IFERROR(_xlfn.XLOOKUP(1,('env Parameter'!$A:$A=$A335)*('env Parameter'!$B:$B=$K335)*('env Parameter'!$C:$C=$L335),'env Parameter'!F:F,""),"")</f>
        <v>478</v>
      </c>
      <c r="E335" s="10" cm="1">
        <f t="array" ref="E335">IFERROR(_xlfn.XLOOKUP(1,('env Parameter'!$A:$A=$A335)*('env Parameter'!$B:$B=$K335)*('env Parameter'!$C:$C=$L335),'env Parameter'!G:G,""),"")</f>
        <v>7.6</v>
      </c>
      <c r="F335" t="str">
        <f>eDNA!F335</f>
        <v>MiFish</v>
      </c>
      <c r="G335" t="str">
        <f>eDNA!D335</f>
        <v>Odontobutis interrupta</v>
      </c>
      <c r="H335" t="str">
        <f>_xlfn.XLOOKUP(G335,'Common name (master file)'!$B:$B,'Common name (master file)'!$A:$A,"-------------")</f>
        <v>얼록동사리</v>
      </c>
      <c r="I335">
        <f>eDNA!E335</f>
        <v>449</v>
      </c>
      <c r="J335" t="str">
        <f>_xlfn.XLOOKUP(G335,'Common name (master file)'!$B:$B,'Common name (master file)'!$C:$C,"")</f>
        <v>어류</v>
      </c>
      <c r="K335">
        <f>eDNA!B335</f>
        <v>126.887135</v>
      </c>
      <c r="L335">
        <f>eDNA!C335</f>
        <v>37.539645499999999</v>
      </c>
      <c r="M335" s="10" t="str" cm="1">
        <f t="array" ref="M335">IFERROR(_xlfn.XLOOKUP(1,('env Parameter'!$A:$A=$A335)*('env Parameter'!$B:$B=$K335)*('env Parameter'!$C:$C=$L335),'env Parameter'!D:D,""),"")</f>
        <v>안양천-16</v>
      </c>
      <c r="N335" s="10" t="str" cm="1">
        <f t="array" ref="N335">IFERROR(_xlfn.XLOOKUP(1,('env Parameter'!$A:$A=$A335)*('env Parameter'!$B:$B=$K335)*('env Parameter'!$C:$C=$L335),'env Parameter'!I:I,""),"")</f>
        <v>YR</v>
      </c>
    </row>
    <row r="336" spans="1:14">
      <c r="A336">
        <f>eDNA!A336</f>
        <v>20200717</v>
      </c>
      <c r="B336" s="10" t="str" cm="1">
        <f t="array" ref="B336">IFERROR(_xlfn.XLOOKUP(1,('env Parameter'!$A:$A=$A336)*('env Parameter'!$B:$B=$K336)*('env Parameter'!$C:$C=$L336),'env Parameter'!H:H,""),"")</f>
        <v>생물상 조사</v>
      </c>
      <c r="C336" s="10" cm="1">
        <f t="array" ref="C336">IFERROR(_xlfn.XLOOKUP(1,('env Parameter'!$A:$A=$A336)*('env Parameter'!$B:$B=$K336)*('env Parameter'!$C:$C=$L336),'env Parameter'!E:E,""),"")</f>
        <v>2.14</v>
      </c>
      <c r="D336" s="10" cm="1">
        <f t="array" ref="D336">IFERROR(_xlfn.XLOOKUP(1,('env Parameter'!$A:$A=$A336)*('env Parameter'!$B:$B=$K336)*('env Parameter'!$C:$C=$L336),'env Parameter'!F:F,""),"")</f>
        <v>478</v>
      </c>
      <c r="E336" s="10" cm="1">
        <f t="array" ref="E336">IFERROR(_xlfn.XLOOKUP(1,('env Parameter'!$A:$A=$A336)*('env Parameter'!$B:$B=$K336)*('env Parameter'!$C:$C=$L336),'env Parameter'!G:G,""),"")</f>
        <v>7.6</v>
      </c>
      <c r="F336" t="str">
        <f>eDNA!F336</f>
        <v>MiFish</v>
      </c>
      <c r="G336" t="str">
        <f>eDNA!D336</f>
        <v>Acanthorhodeus chankaensis</v>
      </c>
      <c r="H336" t="str">
        <f>_xlfn.XLOOKUP(G336,'Common name (master file)'!$B:$B,'Common name (master file)'!$A:$A,"-------------")</f>
        <v>가시납지리</v>
      </c>
      <c r="I336">
        <f>eDNA!E336</f>
        <v>473</v>
      </c>
      <c r="J336" t="str">
        <f>_xlfn.XLOOKUP(G336,'Common name (master file)'!$B:$B,'Common name (master file)'!$C:$C,"")</f>
        <v>어류</v>
      </c>
      <c r="K336">
        <f>eDNA!B336</f>
        <v>126.887135</v>
      </c>
      <c r="L336">
        <f>eDNA!C336</f>
        <v>37.539645499999999</v>
      </c>
      <c r="M336" s="10" t="str" cm="1">
        <f t="array" ref="M336">IFERROR(_xlfn.XLOOKUP(1,('env Parameter'!$A:$A=$A336)*('env Parameter'!$B:$B=$K336)*('env Parameter'!$C:$C=$L336),'env Parameter'!D:D,""),"")</f>
        <v>안양천-16</v>
      </c>
      <c r="N336" s="10" t="str" cm="1">
        <f t="array" ref="N336">IFERROR(_xlfn.XLOOKUP(1,('env Parameter'!$A:$A=$A336)*('env Parameter'!$B:$B=$K336)*('env Parameter'!$C:$C=$L336),'env Parameter'!I:I,""),"")</f>
        <v>YR</v>
      </c>
    </row>
    <row r="337" spans="1:14">
      <c r="A337">
        <f>eDNA!A337</f>
        <v>20200717</v>
      </c>
      <c r="B337" s="10" t="str" cm="1">
        <f t="array" ref="B337">IFERROR(_xlfn.XLOOKUP(1,('env Parameter'!$A:$A=$A337)*('env Parameter'!$B:$B=$K337)*('env Parameter'!$C:$C=$L337),'env Parameter'!H:H,""),"")</f>
        <v>생물상 조사</v>
      </c>
      <c r="C337" s="10" cm="1">
        <f t="array" ref="C337">IFERROR(_xlfn.XLOOKUP(1,('env Parameter'!$A:$A=$A337)*('env Parameter'!$B:$B=$K337)*('env Parameter'!$C:$C=$L337),'env Parameter'!E:E,""),"")</f>
        <v>2.14</v>
      </c>
      <c r="D337" s="10" cm="1">
        <f t="array" ref="D337">IFERROR(_xlfn.XLOOKUP(1,('env Parameter'!$A:$A=$A337)*('env Parameter'!$B:$B=$K337)*('env Parameter'!$C:$C=$L337),'env Parameter'!F:F,""),"")</f>
        <v>478</v>
      </c>
      <c r="E337" s="10" cm="1">
        <f t="array" ref="E337">IFERROR(_xlfn.XLOOKUP(1,('env Parameter'!$A:$A=$A337)*('env Parameter'!$B:$B=$K337)*('env Parameter'!$C:$C=$L337),'env Parameter'!G:G,""),"")</f>
        <v>7.6</v>
      </c>
      <c r="F337" t="str">
        <f>eDNA!F337</f>
        <v>MiFish</v>
      </c>
      <c r="G337" t="str">
        <f>eDNA!D337</f>
        <v>Carassius sp.</v>
      </c>
      <c r="H337" t="str">
        <f>_xlfn.XLOOKUP(G337,'Common name (master file)'!$B:$B,'Common name (master file)'!$A:$A,"-------------")</f>
        <v>붕어 속</v>
      </c>
      <c r="I337">
        <f>eDNA!E337</f>
        <v>673</v>
      </c>
      <c r="J337" t="str">
        <f>_xlfn.XLOOKUP(G337,'Common name (master file)'!$B:$B,'Common name (master file)'!$C:$C,"")</f>
        <v>어류</v>
      </c>
      <c r="K337">
        <f>eDNA!B337</f>
        <v>126.887135</v>
      </c>
      <c r="L337">
        <f>eDNA!C337</f>
        <v>37.539645499999999</v>
      </c>
      <c r="M337" s="10" t="str" cm="1">
        <f t="array" ref="M337">IFERROR(_xlfn.XLOOKUP(1,('env Parameter'!$A:$A=$A337)*('env Parameter'!$B:$B=$K337)*('env Parameter'!$C:$C=$L337),'env Parameter'!D:D,""),"")</f>
        <v>안양천-16</v>
      </c>
      <c r="N337" s="10" t="str" cm="1">
        <f t="array" ref="N337">IFERROR(_xlfn.XLOOKUP(1,('env Parameter'!$A:$A=$A337)*('env Parameter'!$B:$B=$K337)*('env Parameter'!$C:$C=$L337),'env Parameter'!I:I,""),"")</f>
        <v>YR</v>
      </c>
    </row>
    <row r="338" spans="1:14">
      <c r="A338">
        <f>eDNA!A338</f>
        <v>20200717</v>
      </c>
      <c r="B338" s="10" t="str" cm="1">
        <f t="array" ref="B338">IFERROR(_xlfn.XLOOKUP(1,('env Parameter'!$A:$A=$A338)*('env Parameter'!$B:$B=$K338)*('env Parameter'!$C:$C=$L338),'env Parameter'!H:H,""),"")</f>
        <v>생물상 조사</v>
      </c>
      <c r="C338" s="10" cm="1">
        <f t="array" ref="C338">IFERROR(_xlfn.XLOOKUP(1,('env Parameter'!$A:$A=$A338)*('env Parameter'!$B:$B=$K338)*('env Parameter'!$C:$C=$L338),'env Parameter'!E:E,""),"")</f>
        <v>2.14</v>
      </c>
      <c r="D338" s="10" cm="1">
        <f t="array" ref="D338">IFERROR(_xlfn.XLOOKUP(1,('env Parameter'!$A:$A=$A338)*('env Parameter'!$B:$B=$K338)*('env Parameter'!$C:$C=$L338),'env Parameter'!F:F,""),"")</f>
        <v>478</v>
      </c>
      <c r="E338" s="10" cm="1">
        <f t="array" ref="E338">IFERROR(_xlfn.XLOOKUP(1,('env Parameter'!$A:$A=$A338)*('env Parameter'!$B:$B=$K338)*('env Parameter'!$C:$C=$L338),'env Parameter'!G:G,""),"")</f>
        <v>7.6</v>
      </c>
      <c r="F338" t="str">
        <f>eDNA!F338</f>
        <v>MiFish</v>
      </c>
      <c r="G338" t="str">
        <f>eDNA!D338</f>
        <v>Plagiognathops microlepis</v>
      </c>
      <c r="H338" t="str">
        <f>_xlfn.XLOOKUP(G338,'Common name (master file)'!$B:$B,'Common name (master file)'!$A:$A,"-------------")</f>
        <v>왜몰개</v>
      </c>
      <c r="I338">
        <f>eDNA!E338</f>
        <v>934</v>
      </c>
      <c r="J338" t="str">
        <f>_xlfn.XLOOKUP(G338,'Common name (master file)'!$B:$B,'Common name (master file)'!$C:$C,"")</f>
        <v>어류</v>
      </c>
      <c r="K338">
        <f>eDNA!B338</f>
        <v>126.887135</v>
      </c>
      <c r="L338">
        <f>eDNA!C338</f>
        <v>37.539645499999999</v>
      </c>
      <c r="M338" s="10" t="str" cm="1">
        <f t="array" ref="M338">IFERROR(_xlfn.XLOOKUP(1,('env Parameter'!$A:$A=$A338)*('env Parameter'!$B:$B=$K338)*('env Parameter'!$C:$C=$L338),'env Parameter'!D:D,""),"")</f>
        <v>안양천-16</v>
      </c>
      <c r="N338" s="10" t="str" cm="1">
        <f t="array" ref="N338">IFERROR(_xlfn.XLOOKUP(1,('env Parameter'!$A:$A=$A338)*('env Parameter'!$B:$B=$K338)*('env Parameter'!$C:$C=$L338),'env Parameter'!I:I,""),"")</f>
        <v>YR</v>
      </c>
    </row>
    <row r="339" spans="1:14">
      <c r="A339">
        <f>eDNA!A339</f>
        <v>20200717</v>
      </c>
      <c r="B339" s="10" t="str" cm="1">
        <f t="array" ref="B339">IFERROR(_xlfn.XLOOKUP(1,('env Parameter'!$A:$A=$A339)*('env Parameter'!$B:$B=$K339)*('env Parameter'!$C:$C=$L339),'env Parameter'!H:H,""),"")</f>
        <v>생물상 조사</v>
      </c>
      <c r="C339" s="10" cm="1">
        <f t="array" ref="C339">IFERROR(_xlfn.XLOOKUP(1,('env Parameter'!$A:$A=$A339)*('env Parameter'!$B:$B=$K339)*('env Parameter'!$C:$C=$L339),'env Parameter'!E:E,""),"")</f>
        <v>2.14</v>
      </c>
      <c r="D339" s="10" cm="1">
        <f t="array" ref="D339">IFERROR(_xlfn.XLOOKUP(1,('env Parameter'!$A:$A=$A339)*('env Parameter'!$B:$B=$K339)*('env Parameter'!$C:$C=$L339),'env Parameter'!F:F,""),"")</f>
        <v>478</v>
      </c>
      <c r="E339" s="10" cm="1">
        <f t="array" ref="E339">IFERROR(_xlfn.XLOOKUP(1,('env Parameter'!$A:$A=$A339)*('env Parameter'!$B:$B=$K339)*('env Parameter'!$C:$C=$L339),'env Parameter'!G:G,""),"")</f>
        <v>7.6</v>
      </c>
      <c r="F339" t="str">
        <f>eDNA!F339</f>
        <v>MiFish</v>
      </c>
      <c r="G339" t="str">
        <f>eDNA!D339</f>
        <v>Acheilognathus macropterus</v>
      </c>
      <c r="H339" t="str">
        <f>_xlfn.XLOOKUP(G339,'Common name (master file)'!$B:$B,'Common name (master file)'!$A:$A,"-------------")</f>
        <v>큰납지리</v>
      </c>
      <c r="I339">
        <f>eDNA!E339</f>
        <v>1118</v>
      </c>
      <c r="J339" t="str">
        <f>_xlfn.XLOOKUP(G339,'Common name (master file)'!$B:$B,'Common name (master file)'!$C:$C,"")</f>
        <v>어류</v>
      </c>
      <c r="K339">
        <f>eDNA!B339</f>
        <v>126.887135</v>
      </c>
      <c r="L339">
        <f>eDNA!C339</f>
        <v>37.539645499999999</v>
      </c>
      <c r="M339" s="10" t="str" cm="1">
        <f t="array" ref="M339">IFERROR(_xlfn.XLOOKUP(1,('env Parameter'!$A:$A=$A339)*('env Parameter'!$B:$B=$K339)*('env Parameter'!$C:$C=$L339),'env Parameter'!D:D,""),"")</f>
        <v>안양천-16</v>
      </c>
      <c r="N339" s="10" t="str" cm="1">
        <f t="array" ref="N339">IFERROR(_xlfn.XLOOKUP(1,('env Parameter'!$A:$A=$A339)*('env Parameter'!$B:$B=$K339)*('env Parameter'!$C:$C=$L339),'env Parameter'!I:I,""),"")</f>
        <v>YR</v>
      </c>
    </row>
    <row r="340" spans="1:14">
      <c r="A340">
        <f>eDNA!A340</f>
        <v>20200717</v>
      </c>
      <c r="B340" s="10" t="str" cm="1">
        <f t="array" ref="B340">IFERROR(_xlfn.XLOOKUP(1,('env Parameter'!$A:$A=$A340)*('env Parameter'!$B:$B=$K340)*('env Parameter'!$C:$C=$L340),'env Parameter'!H:H,""),"")</f>
        <v>생물상 조사</v>
      </c>
      <c r="C340" s="10" cm="1">
        <f t="array" ref="C340">IFERROR(_xlfn.XLOOKUP(1,('env Parameter'!$A:$A=$A340)*('env Parameter'!$B:$B=$K340)*('env Parameter'!$C:$C=$L340),'env Parameter'!E:E,""),"")</f>
        <v>2.14</v>
      </c>
      <c r="D340" s="10" cm="1">
        <f t="array" ref="D340">IFERROR(_xlfn.XLOOKUP(1,('env Parameter'!$A:$A=$A340)*('env Parameter'!$B:$B=$K340)*('env Parameter'!$C:$C=$L340),'env Parameter'!F:F,""),"")</f>
        <v>478</v>
      </c>
      <c r="E340" s="10" cm="1">
        <f t="array" ref="E340">IFERROR(_xlfn.XLOOKUP(1,('env Parameter'!$A:$A=$A340)*('env Parameter'!$B:$B=$K340)*('env Parameter'!$C:$C=$L340),'env Parameter'!G:G,""),"")</f>
        <v>7.6</v>
      </c>
      <c r="F340" t="str">
        <f>eDNA!F340</f>
        <v>MiFish</v>
      </c>
      <c r="G340" t="str">
        <f>eDNA!D340</f>
        <v>Culter dabryi</v>
      </c>
      <c r="H340" t="str">
        <f>_xlfn.XLOOKUP(G340,'Common name (master file)'!$B:$B,'Common name (master file)'!$A:$A,"-------------")</f>
        <v>다브리날카로운입치</v>
      </c>
      <c r="I340">
        <f>eDNA!E340</f>
        <v>2376</v>
      </c>
      <c r="J340" t="str">
        <f>_xlfn.XLOOKUP(G340,'Common name (master file)'!$B:$B,'Common name (master file)'!$C:$C,"")</f>
        <v>어류</v>
      </c>
      <c r="K340">
        <f>eDNA!B340</f>
        <v>126.887135</v>
      </c>
      <c r="L340">
        <f>eDNA!C340</f>
        <v>37.539645499999999</v>
      </c>
      <c r="M340" s="10" t="str" cm="1">
        <f t="array" ref="M340">IFERROR(_xlfn.XLOOKUP(1,('env Parameter'!$A:$A=$A340)*('env Parameter'!$B:$B=$K340)*('env Parameter'!$C:$C=$L340),'env Parameter'!D:D,""),"")</f>
        <v>안양천-16</v>
      </c>
      <c r="N340" s="10" t="str" cm="1">
        <f t="array" ref="N340">IFERROR(_xlfn.XLOOKUP(1,('env Parameter'!$A:$A=$A340)*('env Parameter'!$B:$B=$K340)*('env Parameter'!$C:$C=$L340),'env Parameter'!I:I,""),"")</f>
        <v>YR</v>
      </c>
    </row>
    <row r="341" spans="1:14">
      <c r="A341">
        <f>eDNA!A341</f>
        <v>20200717</v>
      </c>
      <c r="B341" s="10" t="str" cm="1">
        <f t="array" ref="B341">IFERROR(_xlfn.XLOOKUP(1,('env Parameter'!$A:$A=$A341)*('env Parameter'!$B:$B=$K341)*('env Parameter'!$C:$C=$L341),'env Parameter'!H:H,""),"")</f>
        <v>생물상 조사</v>
      </c>
      <c r="C341" s="10" cm="1">
        <f t="array" ref="C341">IFERROR(_xlfn.XLOOKUP(1,('env Parameter'!$A:$A=$A341)*('env Parameter'!$B:$B=$K341)*('env Parameter'!$C:$C=$L341),'env Parameter'!E:E,""),"")</f>
        <v>2.14</v>
      </c>
      <c r="D341" s="10" cm="1">
        <f t="array" ref="D341">IFERROR(_xlfn.XLOOKUP(1,('env Parameter'!$A:$A=$A341)*('env Parameter'!$B:$B=$K341)*('env Parameter'!$C:$C=$L341),'env Parameter'!F:F,""),"")</f>
        <v>478</v>
      </c>
      <c r="E341" s="10" cm="1">
        <f t="array" ref="E341">IFERROR(_xlfn.XLOOKUP(1,('env Parameter'!$A:$A=$A341)*('env Parameter'!$B:$B=$K341)*('env Parameter'!$C:$C=$L341),'env Parameter'!G:G,""),"")</f>
        <v>7.6</v>
      </c>
      <c r="F341" t="str">
        <f>eDNA!F341</f>
        <v>MiFish</v>
      </c>
      <c r="G341" t="str">
        <f>eDNA!D341</f>
        <v>Synechogobius hasta</v>
      </c>
      <c r="H341" t="str">
        <f>_xlfn.XLOOKUP(G341,'Common name (master file)'!$B:$B,'Common name (master file)'!$A:$A,"-------------")</f>
        <v>풀망둑</v>
      </c>
      <c r="I341">
        <f>eDNA!E341</f>
        <v>3134</v>
      </c>
      <c r="J341" t="str">
        <f>_xlfn.XLOOKUP(G341,'Common name (master file)'!$B:$B,'Common name (master file)'!$C:$C,"")</f>
        <v>어류</v>
      </c>
      <c r="K341">
        <f>eDNA!B341</f>
        <v>126.887135</v>
      </c>
      <c r="L341">
        <f>eDNA!C341</f>
        <v>37.539645499999999</v>
      </c>
      <c r="M341" s="10" t="str" cm="1">
        <f t="array" ref="M341">IFERROR(_xlfn.XLOOKUP(1,('env Parameter'!$A:$A=$A341)*('env Parameter'!$B:$B=$K341)*('env Parameter'!$C:$C=$L341),'env Parameter'!D:D,""),"")</f>
        <v>안양천-16</v>
      </c>
      <c r="N341" s="10" t="str" cm="1">
        <f t="array" ref="N341">IFERROR(_xlfn.XLOOKUP(1,('env Parameter'!$A:$A=$A341)*('env Parameter'!$B:$B=$K341)*('env Parameter'!$C:$C=$L341),'env Parameter'!I:I,""),"")</f>
        <v>YR</v>
      </c>
    </row>
    <row r="342" spans="1:14">
      <c r="A342">
        <f>eDNA!A342</f>
        <v>20200717</v>
      </c>
      <c r="B342" s="10" t="str" cm="1">
        <f t="array" ref="B342">IFERROR(_xlfn.XLOOKUP(1,('env Parameter'!$A:$A=$A342)*('env Parameter'!$B:$B=$K342)*('env Parameter'!$C:$C=$L342),'env Parameter'!H:H,""),"")</f>
        <v>생물상 조사</v>
      </c>
      <c r="C342" s="10" cm="1">
        <f t="array" ref="C342">IFERROR(_xlfn.XLOOKUP(1,('env Parameter'!$A:$A=$A342)*('env Parameter'!$B:$B=$K342)*('env Parameter'!$C:$C=$L342),'env Parameter'!E:E,""),"")</f>
        <v>2.14</v>
      </c>
      <c r="D342" s="10" cm="1">
        <f t="array" ref="D342">IFERROR(_xlfn.XLOOKUP(1,('env Parameter'!$A:$A=$A342)*('env Parameter'!$B:$B=$K342)*('env Parameter'!$C:$C=$L342),'env Parameter'!F:F,""),"")</f>
        <v>478</v>
      </c>
      <c r="E342" s="10" cm="1">
        <f t="array" ref="E342">IFERROR(_xlfn.XLOOKUP(1,('env Parameter'!$A:$A=$A342)*('env Parameter'!$B:$B=$K342)*('env Parameter'!$C:$C=$L342),'env Parameter'!G:G,""),"")</f>
        <v>7.6</v>
      </c>
      <c r="F342" t="str">
        <f>eDNA!F342</f>
        <v>MiFish</v>
      </c>
      <c r="G342" t="str">
        <f>eDNA!D342</f>
        <v>Pseudorasbora parva</v>
      </c>
      <c r="H342" t="str">
        <f>_xlfn.XLOOKUP(G342,'Common name (master file)'!$B:$B,'Common name (master file)'!$A:$A,"-------------")</f>
        <v>참붕어</v>
      </c>
      <c r="I342">
        <f>eDNA!E342</f>
        <v>10098</v>
      </c>
      <c r="J342" t="str">
        <f>_xlfn.XLOOKUP(G342,'Common name (master file)'!$B:$B,'Common name (master file)'!$C:$C,"")</f>
        <v>어류</v>
      </c>
      <c r="K342">
        <f>eDNA!B342</f>
        <v>126.887135</v>
      </c>
      <c r="L342">
        <f>eDNA!C342</f>
        <v>37.539645499999999</v>
      </c>
      <c r="M342" s="10" t="str" cm="1">
        <f t="array" ref="M342">IFERROR(_xlfn.XLOOKUP(1,('env Parameter'!$A:$A=$A342)*('env Parameter'!$B:$B=$K342)*('env Parameter'!$C:$C=$L342),'env Parameter'!D:D,""),"")</f>
        <v>안양천-16</v>
      </c>
      <c r="N342" s="10" t="str" cm="1">
        <f t="array" ref="N342">IFERROR(_xlfn.XLOOKUP(1,('env Parameter'!$A:$A=$A342)*('env Parameter'!$B:$B=$K342)*('env Parameter'!$C:$C=$L342),'env Parameter'!I:I,""),"")</f>
        <v>YR</v>
      </c>
    </row>
    <row r="343" spans="1:14">
      <c r="A343">
        <f>eDNA!A343</f>
        <v>20200717</v>
      </c>
      <c r="B343" s="10" t="str" cm="1">
        <f t="array" ref="B343">IFERROR(_xlfn.XLOOKUP(1,('env Parameter'!$A:$A=$A343)*('env Parameter'!$B:$B=$K343)*('env Parameter'!$C:$C=$L343),'env Parameter'!H:H,""),"")</f>
        <v>생물상 조사</v>
      </c>
      <c r="C343" s="10" cm="1">
        <f t="array" ref="C343">IFERROR(_xlfn.XLOOKUP(1,('env Parameter'!$A:$A=$A343)*('env Parameter'!$B:$B=$K343)*('env Parameter'!$C:$C=$L343),'env Parameter'!E:E,""),"")</f>
        <v>2.14</v>
      </c>
      <c r="D343" s="10" cm="1">
        <f t="array" ref="D343">IFERROR(_xlfn.XLOOKUP(1,('env Parameter'!$A:$A=$A343)*('env Parameter'!$B:$B=$K343)*('env Parameter'!$C:$C=$L343),'env Parameter'!F:F,""),"")</f>
        <v>478</v>
      </c>
      <c r="E343" s="10" cm="1">
        <f t="array" ref="E343">IFERROR(_xlfn.XLOOKUP(1,('env Parameter'!$A:$A=$A343)*('env Parameter'!$B:$B=$K343)*('env Parameter'!$C:$C=$L343),'env Parameter'!G:G,""),"")</f>
        <v>7.6</v>
      </c>
      <c r="F343" t="str">
        <f>eDNA!F343</f>
        <v>MiFish</v>
      </c>
      <c r="G343" t="str">
        <f>eDNA!D343</f>
        <v>Carassius gibelio</v>
      </c>
      <c r="H343" t="str">
        <f>_xlfn.XLOOKUP(G343,'Common name (master file)'!$B:$B,'Common name (master file)'!$A:$A,"-------------")</f>
        <v>기벨리오 붕어</v>
      </c>
      <c r="I343">
        <f>eDNA!E343</f>
        <v>11335</v>
      </c>
      <c r="J343" t="str">
        <f>_xlfn.XLOOKUP(G343,'Common name (master file)'!$B:$B,'Common name (master file)'!$C:$C,"")</f>
        <v>어류</v>
      </c>
      <c r="K343">
        <f>eDNA!B343</f>
        <v>126.887135</v>
      </c>
      <c r="L343">
        <f>eDNA!C343</f>
        <v>37.539645499999999</v>
      </c>
      <c r="M343" s="10" t="str" cm="1">
        <f t="array" ref="M343">IFERROR(_xlfn.XLOOKUP(1,('env Parameter'!$A:$A=$A343)*('env Parameter'!$B:$B=$K343)*('env Parameter'!$C:$C=$L343),'env Parameter'!D:D,""),"")</f>
        <v>안양천-16</v>
      </c>
      <c r="N343" s="10" t="str" cm="1">
        <f t="array" ref="N343">IFERROR(_xlfn.XLOOKUP(1,('env Parameter'!$A:$A=$A343)*('env Parameter'!$B:$B=$K343)*('env Parameter'!$C:$C=$L343),'env Parameter'!I:I,""),"")</f>
        <v>YR</v>
      </c>
    </row>
    <row r="344" spans="1:14">
      <c r="A344">
        <f>eDNA!A344</f>
        <v>20200717</v>
      </c>
      <c r="B344" s="10" t="str" cm="1">
        <f t="array" ref="B344">IFERROR(_xlfn.XLOOKUP(1,('env Parameter'!$A:$A=$A344)*('env Parameter'!$B:$B=$K344)*('env Parameter'!$C:$C=$L344),'env Parameter'!H:H,""),"")</f>
        <v>생물상 조사</v>
      </c>
      <c r="C344" s="10" cm="1">
        <f t="array" ref="C344">IFERROR(_xlfn.XLOOKUP(1,('env Parameter'!$A:$A=$A344)*('env Parameter'!$B:$B=$K344)*('env Parameter'!$C:$C=$L344),'env Parameter'!E:E,""),"")</f>
        <v>2.14</v>
      </c>
      <c r="D344" s="10" cm="1">
        <f t="array" ref="D344">IFERROR(_xlfn.XLOOKUP(1,('env Parameter'!$A:$A=$A344)*('env Parameter'!$B:$B=$K344)*('env Parameter'!$C:$C=$L344),'env Parameter'!F:F,""),"")</f>
        <v>478</v>
      </c>
      <c r="E344" s="10" cm="1">
        <f t="array" ref="E344">IFERROR(_xlfn.XLOOKUP(1,('env Parameter'!$A:$A=$A344)*('env Parameter'!$B:$B=$K344)*('env Parameter'!$C:$C=$L344),'env Parameter'!G:G,""),"")</f>
        <v>7.6</v>
      </c>
      <c r="F344" t="str">
        <f>eDNA!F344</f>
        <v>MiFish</v>
      </c>
      <c r="G344" t="str">
        <f>eDNA!D344</f>
        <v>Planiliza haematocheila</v>
      </c>
      <c r="H344" t="str">
        <f>_xlfn.XLOOKUP(G344,'Common name (master file)'!$B:$B,'Common name (master file)'!$A:$A,"-------------")</f>
        <v>가숭어</v>
      </c>
      <c r="I344">
        <f>eDNA!E344</f>
        <v>20591</v>
      </c>
      <c r="J344" t="str">
        <f>_xlfn.XLOOKUP(G344,'Common name (master file)'!$B:$B,'Common name (master file)'!$C:$C,"")</f>
        <v>어류</v>
      </c>
      <c r="K344">
        <f>eDNA!B344</f>
        <v>126.887135</v>
      </c>
      <c r="L344">
        <f>eDNA!C344</f>
        <v>37.539645499999999</v>
      </c>
      <c r="M344" s="10" t="str" cm="1">
        <f t="array" ref="M344">IFERROR(_xlfn.XLOOKUP(1,('env Parameter'!$A:$A=$A344)*('env Parameter'!$B:$B=$K344)*('env Parameter'!$C:$C=$L344),'env Parameter'!D:D,""),"")</f>
        <v>안양천-16</v>
      </c>
      <c r="N344" s="10" t="str" cm="1">
        <f t="array" ref="N344">IFERROR(_xlfn.XLOOKUP(1,('env Parameter'!$A:$A=$A344)*('env Parameter'!$B:$B=$K344)*('env Parameter'!$C:$C=$L344),'env Parameter'!I:I,""),"")</f>
        <v>YR</v>
      </c>
    </row>
    <row r="345" spans="1:14">
      <c r="A345">
        <f>eDNA!A345</f>
        <v>20200717</v>
      </c>
      <c r="B345" s="10" t="str" cm="1">
        <f t="array" ref="B345">IFERROR(_xlfn.XLOOKUP(1,('env Parameter'!$A:$A=$A345)*('env Parameter'!$B:$B=$K345)*('env Parameter'!$C:$C=$L345),'env Parameter'!H:H,""),"")</f>
        <v>생물상 조사</v>
      </c>
      <c r="C345" s="10" cm="1">
        <f t="array" ref="C345">IFERROR(_xlfn.XLOOKUP(1,('env Parameter'!$A:$A=$A345)*('env Parameter'!$B:$B=$K345)*('env Parameter'!$C:$C=$L345),'env Parameter'!E:E,""),"")</f>
        <v>2.14</v>
      </c>
      <c r="D345" s="10" cm="1">
        <f t="array" ref="D345">IFERROR(_xlfn.XLOOKUP(1,('env Parameter'!$A:$A=$A345)*('env Parameter'!$B:$B=$K345)*('env Parameter'!$C:$C=$L345),'env Parameter'!F:F,""),"")</f>
        <v>478</v>
      </c>
      <c r="E345" s="10" cm="1">
        <f t="array" ref="E345">IFERROR(_xlfn.XLOOKUP(1,('env Parameter'!$A:$A=$A345)*('env Parameter'!$B:$B=$K345)*('env Parameter'!$C:$C=$L345),'env Parameter'!G:G,""),"")</f>
        <v>7.6</v>
      </c>
      <c r="F345" t="str">
        <f>eDNA!F345</f>
        <v>MiFish</v>
      </c>
      <c r="G345" t="str">
        <f>eDNA!D345</f>
        <v>Mus musculus</v>
      </c>
      <c r="H345" t="str">
        <f>_xlfn.XLOOKUP(G345,'Common name (master file)'!$B:$B,'Common name (master file)'!$A:$A,"-------------")</f>
        <v>생쥐</v>
      </c>
      <c r="I345">
        <f>eDNA!E345</f>
        <v>16</v>
      </c>
      <c r="J345" t="str">
        <f>_xlfn.XLOOKUP(G345,'Common name (master file)'!$B:$B,'Common name (master file)'!$C:$C,"")</f>
        <v>포유류</v>
      </c>
      <c r="K345">
        <f>eDNA!B345</f>
        <v>126.8771357</v>
      </c>
      <c r="L345">
        <f>eDNA!C345</f>
        <v>37.553306900000003</v>
      </c>
      <c r="M345" s="10" t="str" cm="1">
        <f t="array" ref="M345">IFERROR(_xlfn.XLOOKUP(1,('env Parameter'!$A:$A=$A345)*('env Parameter'!$B:$B=$K345)*('env Parameter'!$C:$C=$L345),'env Parameter'!D:D,""),"")</f>
        <v>안양천-11</v>
      </c>
      <c r="N345" s="10" t="str" cm="1">
        <f t="array" ref="N345">IFERROR(_xlfn.XLOOKUP(1,('env Parameter'!$A:$A=$A345)*('env Parameter'!$B:$B=$K345)*('env Parameter'!$C:$C=$L345),'env Parameter'!I:I,""),"")</f>
        <v>YR</v>
      </c>
    </row>
    <row r="346" spans="1:14">
      <c r="A346">
        <f>eDNA!A346</f>
        <v>20200717</v>
      </c>
      <c r="B346" s="10" t="str" cm="1">
        <f t="array" ref="B346">IFERROR(_xlfn.XLOOKUP(1,('env Parameter'!$A:$A=$A346)*('env Parameter'!$B:$B=$K346)*('env Parameter'!$C:$C=$L346),'env Parameter'!H:H,""),"")</f>
        <v>생물상 조사</v>
      </c>
      <c r="C346" s="10" cm="1">
        <f t="array" ref="C346">IFERROR(_xlfn.XLOOKUP(1,('env Parameter'!$A:$A=$A346)*('env Parameter'!$B:$B=$K346)*('env Parameter'!$C:$C=$L346),'env Parameter'!E:E,""),"")</f>
        <v>2.14</v>
      </c>
      <c r="D346" s="10" cm="1">
        <f t="array" ref="D346">IFERROR(_xlfn.XLOOKUP(1,('env Parameter'!$A:$A=$A346)*('env Parameter'!$B:$B=$K346)*('env Parameter'!$C:$C=$L346),'env Parameter'!F:F,""),"")</f>
        <v>478</v>
      </c>
      <c r="E346" s="10" cm="1">
        <f t="array" ref="E346">IFERROR(_xlfn.XLOOKUP(1,('env Parameter'!$A:$A=$A346)*('env Parameter'!$B:$B=$K346)*('env Parameter'!$C:$C=$L346),'env Parameter'!G:G,""),"")</f>
        <v>7.6</v>
      </c>
      <c r="F346" t="str">
        <f>eDNA!F346</f>
        <v>MiFish</v>
      </c>
      <c r="G346" t="str">
        <f>eDNA!D346</f>
        <v>Hemibarbus maculatus</v>
      </c>
      <c r="H346" t="str">
        <f>_xlfn.XLOOKUP(G346,'Common name (master file)'!$B:$B,'Common name (master file)'!$A:$A,"-------------")</f>
        <v>알락누치</v>
      </c>
      <c r="I346">
        <f>eDNA!E346</f>
        <v>36</v>
      </c>
      <c r="J346" t="str">
        <f>_xlfn.XLOOKUP(G346,'Common name (master file)'!$B:$B,'Common name (master file)'!$C:$C,"")</f>
        <v>어류</v>
      </c>
      <c r="K346">
        <f>eDNA!B346</f>
        <v>126.8771357</v>
      </c>
      <c r="L346">
        <f>eDNA!C346</f>
        <v>37.553306900000003</v>
      </c>
      <c r="M346" s="10" t="str" cm="1">
        <f t="array" ref="M346">IFERROR(_xlfn.XLOOKUP(1,('env Parameter'!$A:$A=$A346)*('env Parameter'!$B:$B=$K346)*('env Parameter'!$C:$C=$L346),'env Parameter'!D:D,""),"")</f>
        <v>안양천-11</v>
      </c>
      <c r="N346" s="10" t="str" cm="1">
        <f t="array" ref="N346">IFERROR(_xlfn.XLOOKUP(1,('env Parameter'!$A:$A=$A346)*('env Parameter'!$B:$B=$K346)*('env Parameter'!$C:$C=$L346),'env Parameter'!I:I,""),"")</f>
        <v>YR</v>
      </c>
    </row>
    <row r="347" spans="1:14">
      <c r="A347">
        <f>eDNA!A347</f>
        <v>20200717</v>
      </c>
      <c r="B347" s="10" t="str" cm="1">
        <f t="array" ref="B347">IFERROR(_xlfn.XLOOKUP(1,('env Parameter'!$A:$A=$A347)*('env Parameter'!$B:$B=$K347)*('env Parameter'!$C:$C=$L347),'env Parameter'!H:H,""),"")</f>
        <v>생물상 조사</v>
      </c>
      <c r="C347" s="10" cm="1">
        <f t="array" ref="C347">IFERROR(_xlfn.XLOOKUP(1,('env Parameter'!$A:$A=$A347)*('env Parameter'!$B:$B=$K347)*('env Parameter'!$C:$C=$L347),'env Parameter'!E:E,""),"")</f>
        <v>2.14</v>
      </c>
      <c r="D347" s="10" cm="1">
        <f t="array" ref="D347">IFERROR(_xlfn.XLOOKUP(1,('env Parameter'!$A:$A=$A347)*('env Parameter'!$B:$B=$K347)*('env Parameter'!$C:$C=$L347),'env Parameter'!F:F,""),"")</f>
        <v>478</v>
      </c>
      <c r="E347" s="10" cm="1">
        <f t="array" ref="E347">IFERROR(_xlfn.XLOOKUP(1,('env Parameter'!$A:$A=$A347)*('env Parameter'!$B:$B=$K347)*('env Parameter'!$C:$C=$L347),'env Parameter'!G:G,""),"")</f>
        <v>7.6</v>
      </c>
      <c r="F347" t="str">
        <f>eDNA!F347</f>
        <v>MiFish</v>
      </c>
      <c r="G347" t="str">
        <f>eDNA!D347</f>
        <v>Carassius cuvieri</v>
      </c>
      <c r="H347" t="str">
        <f>_xlfn.XLOOKUP(G347,'Common name (master file)'!$B:$B,'Common name (master file)'!$A:$A,"-------------")</f>
        <v>떡붕어</v>
      </c>
      <c r="I347">
        <f>eDNA!E347</f>
        <v>39</v>
      </c>
      <c r="J347" t="str">
        <f>_xlfn.XLOOKUP(G347,'Common name (master file)'!$B:$B,'Common name (master file)'!$C:$C,"")</f>
        <v>어류</v>
      </c>
      <c r="K347">
        <f>eDNA!B347</f>
        <v>126.8771357</v>
      </c>
      <c r="L347">
        <f>eDNA!C347</f>
        <v>37.553306900000003</v>
      </c>
      <c r="M347" s="10" t="str" cm="1">
        <f t="array" ref="M347">IFERROR(_xlfn.XLOOKUP(1,('env Parameter'!$A:$A=$A347)*('env Parameter'!$B:$B=$K347)*('env Parameter'!$C:$C=$L347),'env Parameter'!D:D,""),"")</f>
        <v>안양천-11</v>
      </c>
      <c r="N347" s="10" t="str" cm="1">
        <f t="array" ref="N347">IFERROR(_xlfn.XLOOKUP(1,('env Parameter'!$A:$A=$A347)*('env Parameter'!$B:$B=$K347)*('env Parameter'!$C:$C=$L347),'env Parameter'!I:I,""),"")</f>
        <v>YR</v>
      </c>
    </row>
    <row r="348" spans="1:14">
      <c r="A348">
        <f>eDNA!A348</f>
        <v>20200717</v>
      </c>
      <c r="B348" s="10" t="str" cm="1">
        <f t="array" ref="B348">IFERROR(_xlfn.XLOOKUP(1,('env Parameter'!$A:$A=$A348)*('env Parameter'!$B:$B=$K348)*('env Parameter'!$C:$C=$L348),'env Parameter'!H:H,""),"")</f>
        <v>생물상 조사</v>
      </c>
      <c r="C348" s="10" cm="1">
        <f t="array" ref="C348">IFERROR(_xlfn.XLOOKUP(1,('env Parameter'!$A:$A=$A348)*('env Parameter'!$B:$B=$K348)*('env Parameter'!$C:$C=$L348),'env Parameter'!E:E,""),"")</f>
        <v>2.14</v>
      </c>
      <c r="D348" s="10" cm="1">
        <f t="array" ref="D348">IFERROR(_xlfn.XLOOKUP(1,('env Parameter'!$A:$A=$A348)*('env Parameter'!$B:$B=$K348)*('env Parameter'!$C:$C=$L348),'env Parameter'!F:F,""),"")</f>
        <v>478</v>
      </c>
      <c r="E348" s="10" cm="1">
        <f t="array" ref="E348">IFERROR(_xlfn.XLOOKUP(1,('env Parameter'!$A:$A=$A348)*('env Parameter'!$B:$B=$K348)*('env Parameter'!$C:$C=$L348),'env Parameter'!G:G,""),"")</f>
        <v>7.6</v>
      </c>
      <c r="F348" t="str">
        <f>eDNA!F348</f>
        <v>MiFish</v>
      </c>
      <c r="G348" t="str">
        <f>eDNA!D348</f>
        <v>Seriola quinqueradiata</v>
      </c>
      <c r="H348" t="str">
        <f>_xlfn.XLOOKUP(G348,'Common name (master file)'!$B:$B,'Common name (master file)'!$A:$A,"-------------")</f>
        <v>낫잿방어</v>
      </c>
      <c r="I348">
        <f>eDNA!E348</f>
        <v>209</v>
      </c>
      <c r="J348" t="str">
        <f>_xlfn.XLOOKUP(G348,'Common name (master file)'!$B:$B,'Common name (master file)'!$C:$C,"")</f>
        <v>어류</v>
      </c>
      <c r="K348">
        <f>eDNA!B348</f>
        <v>126.83793110000001</v>
      </c>
      <c r="L348">
        <f>eDNA!C348</f>
        <v>37.441797600000001</v>
      </c>
      <c r="M348" s="10" t="str" cm="1">
        <f t="array" ref="M348">IFERROR(_xlfn.XLOOKUP(1,('env Parameter'!$A:$A=$A348)*('env Parameter'!$B:$B=$K348)*('env Parameter'!$C:$C=$L348),'env Parameter'!D:D,""),"")</f>
        <v>목감천-2</v>
      </c>
      <c r="N348" s="10" t="str" cm="1">
        <f t="array" ref="N348">IFERROR(_xlfn.XLOOKUP(1,('env Parameter'!$A:$A=$A348)*('env Parameter'!$B:$B=$K348)*('env Parameter'!$C:$C=$L348),'env Parameter'!I:I,""),"")</f>
        <v>YR</v>
      </c>
    </row>
    <row r="349" spans="1:14">
      <c r="A349">
        <f>eDNA!A349</f>
        <v>20200717</v>
      </c>
      <c r="B349" s="10" t="str" cm="1">
        <f t="array" ref="B349">IFERROR(_xlfn.XLOOKUP(1,('env Parameter'!$A:$A=$A349)*('env Parameter'!$B:$B=$K349)*('env Parameter'!$C:$C=$L349),'env Parameter'!H:H,""),"")</f>
        <v>생물상 조사</v>
      </c>
      <c r="C349" s="10" cm="1">
        <f t="array" ref="C349">IFERROR(_xlfn.XLOOKUP(1,('env Parameter'!$A:$A=$A349)*('env Parameter'!$B:$B=$K349)*('env Parameter'!$C:$C=$L349),'env Parameter'!E:E,""),"")</f>
        <v>2.14</v>
      </c>
      <c r="D349" s="10" cm="1">
        <f t="array" ref="D349">IFERROR(_xlfn.XLOOKUP(1,('env Parameter'!$A:$A=$A349)*('env Parameter'!$B:$B=$K349)*('env Parameter'!$C:$C=$L349),'env Parameter'!F:F,""),"")</f>
        <v>478</v>
      </c>
      <c r="E349" s="10" cm="1">
        <f t="array" ref="E349">IFERROR(_xlfn.XLOOKUP(1,('env Parameter'!$A:$A=$A349)*('env Parameter'!$B:$B=$K349)*('env Parameter'!$C:$C=$L349),'env Parameter'!G:G,""),"")</f>
        <v>7.6</v>
      </c>
      <c r="F349" t="str">
        <f>eDNA!F349</f>
        <v>MiFish</v>
      </c>
      <c r="G349" t="str">
        <f>eDNA!D349</f>
        <v>Carassius auratus</v>
      </c>
      <c r="H349" t="str">
        <f>_xlfn.XLOOKUP(G349,'Common name (master file)'!$B:$B,'Common name (master file)'!$A:$A,"-------------")</f>
        <v>붕어</v>
      </c>
      <c r="I349">
        <f>eDNA!E349</f>
        <v>49</v>
      </c>
      <c r="J349" t="str">
        <f>_xlfn.XLOOKUP(G349,'Common name (master file)'!$B:$B,'Common name (master file)'!$C:$C,"")</f>
        <v>어류</v>
      </c>
      <c r="K349">
        <f>eDNA!B349</f>
        <v>126.8771357</v>
      </c>
      <c r="L349">
        <f>eDNA!C349</f>
        <v>37.553306900000003</v>
      </c>
      <c r="M349" s="10" t="str" cm="1">
        <f t="array" ref="M349">IFERROR(_xlfn.XLOOKUP(1,('env Parameter'!$A:$A=$A349)*('env Parameter'!$B:$B=$K349)*('env Parameter'!$C:$C=$L349),'env Parameter'!D:D,""),"")</f>
        <v>안양천-11</v>
      </c>
      <c r="N349" s="10" t="str" cm="1">
        <f t="array" ref="N349">IFERROR(_xlfn.XLOOKUP(1,('env Parameter'!$A:$A=$A349)*('env Parameter'!$B:$B=$K349)*('env Parameter'!$C:$C=$L349),'env Parameter'!I:I,""),"")</f>
        <v>YR</v>
      </c>
    </row>
    <row r="350" spans="1:14">
      <c r="A350">
        <f>eDNA!A350</f>
        <v>20200717</v>
      </c>
      <c r="B350" s="10" t="str" cm="1">
        <f t="array" ref="B350">IFERROR(_xlfn.XLOOKUP(1,('env Parameter'!$A:$A=$A350)*('env Parameter'!$B:$B=$K350)*('env Parameter'!$C:$C=$L350),'env Parameter'!H:H,""),"")</f>
        <v>생물상 조사</v>
      </c>
      <c r="C350" s="10" cm="1">
        <f t="array" ref="C350">IFERROR(_xlfn.XLOOKUP(1,('env Parameter'!$A:$A=$A350)*('env Parameter'!$B:$B=$K350)*('env Parameter'!$C:$C=$L350),'env Parameter'!E:E,""),"")</f>
        <v>2.14</v>
      </c>
      <c r="D350" s="10" cm="1">
        <f t="array" ref="D350">IFERROR(_xlfn.XLOOKUP(1,('env Parameter'!$A:$A=$A350)*('env Parameter'!$B:$B=$K350)*('env Parameter'!$C:$C=$L350),'env Parameter'!F:F,""),"")</f>
        <v>478</v>
      </c>
      <c r="E350" s="10" cm="1">
        <f t="array" ref="E350">IFERROR(_xlfn.XLOOKUP(1,('env Parameter'!$A:$A=$A350)*('env Parameter'!$B:$B=$K350)*('env Parameter'!$C:$C=$L350),'env Parameter'!G:G,""),"")</f>
        <v>7.6</v>
      </c>
      <c r="F350" t="str">
        <f>eDNA!F350</f>
        <v>MiFish</v>
      </c>
      <c r="G350" t="str">
        <f>eDNA!D350</f>
        <v>Bos taurus</v>
      </c>
      <c r="H350" t="str">
        <f>_xlfn.XLOOKUP(G350,'Common name (master file)'!$B:$B,'Common name (master file)'!$A:$A,"-------------")</f>
        <v>소</v>
      </c>
      <c r="I350">
        <f>eDNA!E350</f>
        <v>50</v>
      </c>
      <c r="J350" t="str">
        <f>_xlfn.XLOOKUP(G350,'Common name (master file)'!$B:$B,'Common name (master file)'!$C:$C,"")</f>
        <v>포유류</v>
      </c>
      <c r="K350">
        <f>eDNA!B350</f>
        <v>126.8771357</v>
      </c>
      <c r="L350">
        <f>eDNA!C350</f>
        <v>37.553306900000003</v>
      </c>
      <c r="M350" s="10" t="str" cm="1">
        <f t="array" ref="M350">IFERROR(_xlfn.XLOOKUP(1,('env Parameter'!$A:$A=$A350)*('env Parameter'!$B:$B=$K350)*('env Parameter'!$C:$C=$L350),'env Parameter'!D:D,""),"")</f>
        <v>안양천-11</v>
      </c>
      <c r="N350" s="10" t="str" cm="1">
        <f t="array" ref="N350">IFERROR(_xlfn.XLOOKUP(1,('env Parameter'!$A:$A=$A350)*('env Parameter'!$B:$B=$K350)*('env Parameter'!$C:$C=$L350),'env Parameter'!I:I,""),"")</f>
        <v>YR</v>
      </c>
    </row>
    <row r="351" spans="1:14">
      <c r="A351">
        <f>eDNA!A351</f>
        <v>20200717</v>
      </c>
      <c r="B351" s="10" t="str" cm="1">
        <f t="array" ref="B351">IFERROR(_xlfn.XLOOKUP(1,('env Parameter'!$A:$A=$A351)*('env Parameter'!$B:$B=$K351)*('env Parameter'!$C:$C=$L351),'env Parameter'!H:H,""),"")</f>
        <v>생물상 조사</v>
      </c>
      <c r="C351" s="10" cm="1">
        <f t="array" ref="C351">IFERROR(_xlfn.XLOOKUP(1,('env Parameter'!$A:$A=$A351)*('env Parameter'!$B:$B=$K351)*('env Parameter'!$C:$C=$L351),'env Parameter'!E:E,""),"")</f>
        <v>2.14</v>
      </c>
      <c r="D351" s="10" cm="1">
        <f t="array" ref="D351">IFERROR(_xlfn.XLOOKUP(1,('env Parameter'!$A:$A=$A351)*('env Parameter'!$B:$B=$K351)*('env Parameter'!$C:$C=$L351),'env Parameter'!F:F,""),"")</f>
        <v>478</v>
      </c>
      <c r="E351" s="10" cm="1">
        <f t="array" ref="E351">IFERROR(_xlfn.XLOOKUP(1,('env Parameter'!$A:$A=$A351)*('env Parameter'!$B:$B=$K351)*('env Parameter'!$C:$C=$L351),'env Parameter'!G:G,""),"")</f>
        <v>7.6</v>
      </c>
      <c r="F351" t="str">
        <f>eDNA!F351</f>
        <v>MiFish</v>
      </c>
      <c r="G351" t="str">
        <f>eDNA!D351</f>
        <v>Engraulis japonicus</v>
      </c>
      <c r="H351" t="str">
        <f>_xlfn.XLOOKUP(G351,'Common name (master file)'!$B:$B,'Common name (master file)'!$A:$A,"-------------")</f>
        <v>멸치</v>
      </c>
      <c r="I351">
        <f>eDNA!E351</f>
        <v>59</v>
      </c>
      <c r="J351" t="str">
        <f>_xlfn.XLOOKUP(G351,'Common name (master file)'!$B:$B,'Common name (master file)'!$C:$C,"")</f>
        <v>어류</v>
      </c>
      <c r="K351">
        <f>eDNA!B351</f>
        <v>126.8771357</v>
      </c>
      <c r="L351">
        <f>eDNA!C351</f>
        <v>37.553306900000003</v>
      </c>
      <c r="M351" s="10" t="str" cm="1">
        <f t="array" ref="M351">IFERROR(_xlfn.XLOOKUP(1,('env Parameter'!$A:$A=$A351)*('env Parameter'!$B:$B=$K351)*('env Parameter'!$C:$C=$L351),'env Parameter'!D:D,""),"")</f>
        <v>안양천-11</v>
      </c>
      <c r="N351" s="10" t="str" cm="1">
        <f t="array" ref="N351">IFERROR(_xlfn.XLOOKUP(1,('env Parameter'!$A:$A=$A351)*('env Parameter'!$B:$B=$K351)*('env Parameter'!$C:$C=$L351),'env Parameter'!I:I,""),"")</f>
        <v>YR</v>
      </c>
    </row>
    <row r="352" spans="1:14">
      <c r="A352">
        <f>eDNA!A352</f>
        <v>20200717</v>
      </c>
      <c r="B352" s="10" t="str" cm="1">
        <f t="array" ref="B352">IFERROR(_xlfn.XLOOKUP(1,('env Parameter'!$A:$A=$A352)*('env Parameter'!$B:$B=$K352)*('env Parameter'!$C:$C=$L352),'env Parameter'!H:H,""),"")</f>
        <v>생물상 조사</v>
      </c>
      <c r="C352" s="10" cm="1">
        <f t="array" ref="C352">IFERROR(_xlfn.XLOOKUP(1,('env Parameter'!$A:$A=$A352)*('env Parameter'!$B:$B=$K352)*('env Parameter'!$C:$C=$L352),'env Parameter'!E:E,""),"")</f>
        <v>2.14</v>
      </c>
      <c r="D352" s="10" cm="1">
        <f t="array" ref="D352">IFERROR(_xlfn.XLOOKUP(1,('env Parameter'!$A:$A=$A352)*('env Parameter'!$B:$B=$K352)*('env Parameter'!$C:$C=$L352),'env Parameter'!F:F,""),"")</f>
        <v>478</v>
      </c>
      <c r="E352" s="10" cm="1">
        <f t="array" ref="E352">IFERROR(_xlfn.XLOOKUP(1,('env Parameter'!$A:$A=$A352)*('env Parameter'!$B:$B=$K352)*('env Parameter'!$C:$C=$L352),'env Parameter'!G:G,""),"")</f>
        <v>7.6</v>
      </c>
      <c r="F352" t="str">
        <f>eDNA!F352</f>
        <v>MiFish</v>
      </c>
      <c r="G352" t="str">
        <f>eDNA!D352</f>
        <v>Chanodichthys mongolicus</v>
      </c>
      <c r="H352" t="str">
        <f>_xlfn.XLOOKUP(G352,'Common name (master file)'!$B:$B,'Common name (master file)'!$A:$A,"-------------")</f>
        <v>몽골붕어</v>
      </c>
      <c r="I352">
        <f>eDNA!E352</f>
        <v>60</v>
      </c>
      <c r="J352" t="str">
        <f>_xlfn.XLOOKUP(G352,'Common name (master file)'!$B:$B,'Common name (master file)'!$C:$C,"")</f>
        <v>어류</v>
      </c>
      <c r="K352">
        <f>eDNA!B352</f>
        <v>126.8771357</v>
      </c>
      <c r="L352">
        <f>eDNA!C352</f>
        <v>37.553306900000003</v>
      </c>
      <c r="M352" s="10" t="str" cm="1">
        <f t="array" ref="M352">IFERROR(_xlfn.XLOOKUP(1,('env Parameter'!$A:$A=$A352)*('env Parameter'!$B:$B=$K352)*('env Parameter'!$C:$C=$L352),'env Parameter'!D:D,""),"")</f>
        <v>안양천-11</v>
      </c>
      <c r="N352" s="10" t="str" cm="1">
        <f t="array" ref="N352">IFERROR(_xlfn.XLOOKUP(1,('env Parameter'!$A:$A=$A352)*('env Parameter'!$B:$B=$K352)*('env Parameter'!$C:$C=$L352),'env Parameter'!I:I,""),"")</f>
        <v>YR</v>
      </c>
    </row>
    <row r="353" spans="1:14">
      <c r="A353">
        <f>eDNA!A353</f>
        <v>20200717</v>
      </c>
      <c r="B353" s="10" t="str" cm="1">
        <f t="array" ref="B353">IFERROR(_xlfn.XLOOKUP(1,('env Parameter'!$A:$A=$A353)*('env Parameter'!$B:$B=$K353)*('env Parameter'!$C:$C=$L353),'env Parameter'!H:H,""),"")</f>
        <v>생물상 조사</v>
      </c>
      <c r="C353" s="10" cm="1">
        <f t="array" ref="C353">IFERROR(_xlfn.XLOOKUP(1,('env Parameter'!$A:$A=$A353)*('env Parameter'!$B:$B=$K353)*('env Parameter'!$C:$C=$L353),'env Parameter'!E:E,""),"")</f>
        <v>2.14</v>
      </c>
      <c r="D353" s="10" cm="1">
        <f t="array" ref="D353">IFERROR(_xlfn.XLOOKUP(1,('env Parameter'!$A:$A=$A353)*('env Parameter'!$B:$B=$K353)*('env Parameter'!$C:$C=$L353),'env Parameter'!F:F,""),"")</f>
        <v>478</v>
      </c>
      <c r="E353" s="10" cm="1">
        <f t="array" ref="E353">IFERROR(_xlfn.XLOOKUP(1,('env Parameter'!$A:$A=$A353)*('env Parameter'!$B:$B=$K353)*('env Parameter'!$C:$C=$L353),'env Parameter'!G:G,""),"")</f>
        <v>7.6</v>
      </c>
      <c r="F353" t="str">
        <f>eDNA!F353</f>
        <v>MiFish</v>
      </c>
      <c r="G353" t="str">
        <f>eDNA!D353</f>
        <v>Rattus norvegicus</v>
      </c>
      <c r="H353" t="str">
        <f>_xlfn.XLOOKUP(G353,'Common name (master file)'!$B:$B,'Common name (master file)'!$A:$A,"-------------")</f>
        <v>시궁쥐</v>
      </c>
      <c r="I353">
        <f>eDNA!E353</f>
        <v>63</v>
      </c>
      <c r="J353" t="str">
        <f>_xlfn.XLOOKUP(G353,'Common name (master file)'!$B:$B,'Common name (master file)'!$C:$C,"")</f>
        <v>포유류</v>
      </c>
      <c r="K353">
        <f>eDNA!B353</f>
        <v>126.8771357</v>
      </c>
      <c r="L353">
        <f>eDNA!C353</f>
        <v>37.553306900000003</v>
      </c>
      <c r="M353" s="10" t="str" cm="1">
        <f t="array" ref="M353">IFERROR(_xlfn.XLOOKUP(1,('env Parameter'!$A:$A=$A353)*('env Parameter'!$B:$B=$K353)*('env Parameter'!$C:$C=$L353),'env Parameter'!D:D,""),"")</f>
        <v>안양천-11</v>
      </c>
      <c r="N353" s="10" t="str" cm="1">
        <f t="array" ref="N353">IFERROR(_xlfn.XLOOKUP(1,('env Parameter'!$A:$A=$A353)*('env Parameter'!$B:$B=$K353)*('env Parameter'!$C:$C=$L353),'env Parameter'!I:I,""),"")</f>
        <v>YR</v>
      </c>
    </row>
    <row r="354" spans="1:14">
      <c r="A354">
        <f>eDNA!A354</f>
        <v>20200717</v>
      </c>
      <c r="B354" s="10" t="str" cm="1">
        <f t="array" ref="B354">IFERROR(_xlfn.XLOOKUP(1,('env Parameter'!$A:$A=$A354)*('env Parameter'!$B:$B=$K354)*('env Parameter'!$C:$C=$L354),'env Parameter'!H:H,""),"")</f>
        <v>생물상 조사</v>
      </c>
      <c r="C354" s="10" cm="1">
        <f t="array" ref="C354">IFERROR(_xlfn.XLOOKUP(1,('env Parameter'!$A:$A=$A354)*('env Parameter'!$B:$B=$K354)*('env Parameter'!$C:$C=$L354),'env Parameter'!E:E,""),"")</f>
        <v>2.14</v>
      </c>
      <c r="D354" s="10" cm="1">
        <f t="array" ref="D354">IFERROR(_xlfn.XLOOKUP(1,('env Parameter'!$A:$A=$A354)*('env Parameter'!$B:$B=$K354)*('env Parameter'!$C:$C=$L354),'env Parameter'!F:F,""),"")</f>
        <v>478</v>
      </c>
      <c r="E354" s="10" cm="1">
        <f t="array" ref="E354">IFERROR(_xlfn.XLOOKUP(1,('env Parameter'!$A:$A=$A354)*('env Parameter'!$B:$B=$K354)*('env Parameter'!$C:$C=$L354),'env Parameter'!G:G,""),"")</f>
        <v>7.6</v>
      </c>
      <c r="F354" t="str">
        <f>eDNA!F354</f>
        <v>MiFish</v>
      </c>
      <c r="G354" t="str">
        <f>eDNA!D354</f>
        <v>Hemibarbus umbrifer</v>
      </c>
      <c r="H354" t="str">
        <f>_xlfn.XLOOKUP(G354,'Common name (master file)'!$B:$B,'Common name (master file)'!$A:$A,"-------------")</f>
        <v>누치</v>
      </c>
      <c r="I354">
        <f>eDNA!E354</f>
        <v>65</v>
      </c>
      <c r="J354" t="str">
        <f>_xlfn.XLOOKUP(G354,'Common name (master file)'!$B:$B,'Common name (master file)'!$C:$C,"")</f>
        <v>어류</v>
      </c>
      <c r="K354">
        <f>eDNA!B354</f>
        <v>126.8771357</v>
      </c>
      <c r="L354">
        <f>eDNA!C354</f>
        <v>37.553306900000003</v>
      </c>
      <c r="M354" s="10" t="str" cm="1">
        <f t="array" ref="M354">IFERROR(_xlfn.XLOOKUP(1,('env Parameter'!$A:$A=$A354)*('env Parameter'!$B:$B=$K354)*('env Parameter'!$C:$C=$L354),'env Parameter'!D:D,""),"")</f>
        <v>안양천-11</v>
      </c>
      <c r="N354" s="10" t="str" cm="1">
        <f t="array" ref="N354">IFERROR(_xlfn.XLOOKUP(1,('env Parameter'!$A:$A=$A354)*('env Parameter'!$B:$B=$K354)*('env Parameter'!$C:$C=$L354),'env Parameter'!I:I,""),"")</f>
        <v>YR</v>
      </c>
    </row>
    <row r="355" spans="1:14">
      <c r="A355">
        <f>eDNA!A355</f>
        <v>20200717</v>
      </c>
      <c r="B355" s="10" t="str" cm="1">
        <f t="array" ref="B355">IFERROR(_xlfn.XLOOKUP(1,('env Parameter'!$A:$A=$A355)*('env Parameter'!$B:$B=$K355)*('env Parameter'!$C:$C=$L355),'env Parameter'!H:H,""),"")</f>
        <v>생물상 조사</v>
      </c>
      <c r="C355" s="10" cm="1">
        <f t="array" ref="C355">IFERROR(_xlfn.XLOOKUP(1,('env Parameter'!$A:$A=$A355)*('env Parameter'!$B:$B=$K355)*('env Parameter'!$C:$C=$L355),'env Parameter'!E:E,""),"")</f>
        <v>2.14</v>
      </c>
      <c r="D355" s="10" cm="1">
        <f t="array" ref="D355">IFERROR(_xlfn.XLOOKUP(1,('env Parameter'!$A:$A=$A355)*('env Parameter'!$B:$B=$K355)*('env Parameter'!$C:$C=$L355),'env Parameter'!F:F,""),"")</f>
        <v>478</v>
      </c>
      <c r="E355" s="10" cm="1">
        <f t="array" ref="E355">IFERROR(_xlfn.XLOOKUP(1,('env Parameter'!$A:$A=$A355)*('env Parameter'!$B:$B=$K355)*('env Parameter'!$C:$C=$L355),'env Parameter'!G:G,""),"")</f>
        <v>7.6</v>
      </c>
      <c r="F355" t="str">
        <f>eDNA!F355</f>
        <v>MiFish</v>
      </c>
      <c r="G355" t="str">
        <f>eDNA!D355</f>
        <v>Anguilla japonica</v>
      </c>
      <c r="H355" t="str">
        <f>_xlfn.XLOOKUP(G355,'Common name (master file)'!$B:$B,'Common name (master file)'!$A:$A,"-------------")</f>
        <v>뱀장어</v>
      </c>
      <c r="I355">
        <f>eDNA!E355</f>
        <v>83</v>
      </c>
      <c r="J355" t="str">
        <f>_xlfn.XLOOKUP(G355,'Common name (master file)'!$B:$B,'Common name (master file)'!$C:$C,"")</f>
        <v>어류</v>
      </c>
      <c r="K355">
        <f>eDNA!B355</f>
        <v>126.8771357</v>
      </c>
      <c r="L355">
        <f>eDNA!C355</f>
        <v>37.553306900000003</v>
      </c>
      <c r="M355" s="10" t="str" cm="1">
        <f t="array" ref="M355">IFERROR(_xlfn.XLOOKUP(1,('env Parameter'!$A:$A=$A355)*('env Parameter'!$B:$B=$K355)*('env Parameter'!$C:$C=$L355),'env Parameter'!D:D,""),"")</f>
        <v>안양천-11</v>
      </c>
      <c r="N355" s="10" t="str" cm="1">
        <f t="array" ref="N355">IFERROR(_xlfn.XLOOKUP(1,('env Parameter'!$A:$A=$A355)*('env Parameter'!$B:$B=$K355)*('env Parameter'!$C:$C=$L355),'env Parameter'!I:I,""),"")</f>
        <v>YR</v>
      </c>
    </row>
    <row r="356" spans="1:14">
      <c r="A356">
        <f>eDNA!A356</f>
        <v>20200717</v>
      </c>
      <c r="B356" s="10" t="str" cm="1">
        <f t="array" ref="B356">IFERROR(_xlfn.XLOOKUP(1,('env Parameter'!$A:$A=$A356)*('env Parameter'!$B:$B=$K356)*('env Parameter'!$C:$C=$L356),'env Parameter'!H:H,""),"")</f>
        <v>생물상 조사</v>
      </c>
      <c r="C356" s="10" cm="1">
        <f t="array" ref="C356">IFERROR(_xlfn.XLOOKUP(1,('env Parameter'!$A:$A=$A356)*('env Parameter'!$B:$B=$K356)*('env Parameter'!$C:$C=$L356),'env Parameter'!E:E,""),"")</f>
        <v>2.14</v>
      </c>
      <c r="D356" s="10" cm="1">
        <f t="array" ref="D356">IFERROR(_xlfn.XLOOKUP(1,('env Parameter'!$A:$A=$A356)*('env Parameter'!$B:$B=$K356)*('env Parameter'!$C:$C=$L356),'env Parameter'!F:F,""),"")</f>
        <v>478</v>
      </c>
      <c r="E356" s="10" cm="1">
        <f t="array" ref="E356">IFERROR(_xlfn.XLOOKUP(1,('env Parameter'!$A:$A=$A356)*('env Parameter'!$B:$B=$K356)*('env Parameter'!$C:$C=$L356),'env Parameter'!G:G,""),"")</f>
        <v>7.6</v>
      </c>
      <c r="F356" t="str">
        <f>eDNA!F356</f>
        <v>MiFish</v>
      </c>
      <c r="G356" t="str">
        <f>eDNA!D356</f>
        <v>Larimichthy crocea</v>
      </c>
      <c r="H356" t="str">
        <f>_xlfn.XLOOKUP(G356,'Common name (master file)'!$B:$B,'Common name (master file)'!$A:$A,"-------------")</f>
        <v>대황조기</v>
      </c>
      <c r="I356">
        <f>eDNA!E356</f>
        <v>84</v>
      </c>
      <c r="J356" t="str">
        <f>_xlfn.XLOOKUP(G356,'Common name (master file)'!$B:$B,'Common name (master file)'!$C:$C,"")</f>
        <v>어류</v>
      </c>
      <c r="K356">
        <f>eDNA!B356</f>
        <v>126.8771357</v>
      </c>
      <c r="L356">
        <f>eDNA!C356</f>
        <v>37.553306900000003</v>
      </c>
      <c r="M356" s="10" t="str" cm="1">
        <f t="array" ref="M356">IFERROR(_xlfn.XLOOKUP(1,('env Parameter'!$A:$A=$A356)*('env Parameter'!$B:$B=$K356)*('env Parameter'!$C:$C=$L356),'env Parameter'!D:D,""),"")</f>
        <v>안양천-11</v>
      </c>
      <c r="N356" s="10" t="str" cm="1">
        <f t="array" ref="N356">IFERROR(_xlfn.XLOOKUP(1,('env Parameter'!$A:$A=$A356)*('env Parameter'!$B:$B=$K356)*('env Parameter'!$C:$C=$L356),'env Parameter'!I:I,""),"")</f>
        <v>YR</v>
      </c>
    </row>
    <row r="357" spans="1:14">
      <c r="A357">
        <f>eDNA!A357</f>
        <v>20200717</v>
      </c>
      <c r="B357" s="10" t="str" cm="1">
        <f t="array" ref="B357">IFERROR(_xlfn.XLOOKUP(1,('env Parameter'!$A:$A=$A357)*('env Parameter'!$B:$B=$K357)*('env Parameter'!$C:$C=$L357),'env Parameter'!H:H,""),"")</f>
        <v>생물상 조사</v>
      </c>
      <c r="C357" s="10" cm="1">
        <f t="array" ref="C357">IFERROR(_xlfn.XLOOKUP(1,('env Parameter'!$A:$A=$A357)*('env Parameter'!$B:$B=$K357)*('env Parameter'!$C:$C=$L357),'env Parameter'!E:E,""),"")</f>
        <v>2.14</v>
      </c>
      <c r="D357" s="10" cm="1">
        <f t="array" ref="D357">IFERROR(_xlfn.XLOOKUP(1,('env Parameter'!$A:$A=$A357)*('env Parameter'!$B:$B=$K357)*('env Parameter'!$C:$C=$L357),'env Parameter'!F:F,""),"")</f>
        <v>478</v>
      </c>
      <c r="E357" s="10" cm="1">
        <f t="array" ref="E357">IFERROR(_xlfn.XLOOKUP(1,('env Parameter'!$A:$A=$A357)*('env Parameter'!$B:$B=$K357)*('env Parameter'!$C:$C=$L357),'env Parameter'!G:G,""),"")</f>
        <v>7.6</v>
      </c>
      <c r="F357" t="str">
        <f>eDNA!F357</f>
        <v>MiFish</v>
      </c>
      <c r="G357" t="str">
        <f>eDNA!D357</f>
        <v>Lefua pleskei</v>
      </c>
      <c r="H357" t="str">
        <f>_xlfn.XLOOKUP(G357,'Common name (master file)'!$B:$B,'Common name (master file)'!$A:$A,"-------------")</f>
        <v>참종개</v>
      </c>
      <c r="I357">
        <f>eDNA!E357</f>
        <v>37</v>
      </c>
      <c r="J357" t="str">
        <f>_xlfn.XLOOKUP(G357,'Common name (master file)'!$B:$B,'Common name (master file)'!$C:$C,"")</f>
        <v>어류</v>
      </c>
      <c r="K357">
        <f>eDNA!B357</f>
        <v>126.9724018</v>
      </c>
      <c r="L357">
        <f>eDNA!C357</f>
        <v>37.348161500000003</v>
      </c>
      <c r="M357" s="10" t="str" cm="1">
        <f t="array" ref="M357">IFERROR(_xlfn.XLOOKUP(1,('env Parameter'!$A:$A=$A357)*('env Parameter'!$B:$B=$K357)*('env Parameter'!$C:$C=$L357),'env Parameter'!D:D,""),"")</f>
        <v>안양천-1</v>
      </c>
      <c r="N357" s="10" t="str" cm="1">
        <f t="array" ref="N357">IFERROR(_xlfn.XLOOKUP(1,('env Parameter'!$A:$A=$A357)*('env Parameter'!$B:$B=$K357)*('env Parameter'!$C:$C=$L357),'env Parameter'!I:I,""),"")</f>
        <v>YR</v>
      </c>
    </row>
    <row r="358" spans="1:14">
      <c r="A358">
        <f>eDNA!A358</f>
        <v>20200717</v>
      </c>
      <c r="B358" s="10" t="str" cm="1">
        <f t="array" ref="B358">IFERROR(_xlfn.XLOOKUP(1,('env Parameter'!$A:$A=$A358)*('env Parameter'!$B:$B=$K358)*('env Parameter'!$C:$C=$L358),'env Parameter'!H:H,""),"")</f>
        <v>생물상 조사</v>
      </c>
      <c r="C358" s="10" cm="1">
        <f t="array" ref="C358">IFERROR(_xlfn.XLOOKUP(1,('env Parameter'!$A:$A=$A358)*('env Parameter'!$B:$B=$K358)*('env Parameter'!$C:$C=$L358),'env Parameter'!E:E,""),"")</f>
        <v>2.14</v>
      </c>
      <c r="D358" s="10" cm="1">
        <f t="array" ref="D358">IFERROR(_xlfn.XLOOKUP(1,('env Parameter'!$A:$A=$A358)*('env Parameter'!$B:$B=$K358)*('env Parameter'!$C:$C=$L358),'env Parameter'!F:F,""),"")</f>
        <v>478</v>
      </c>
      <c r="E358" s="10" cm="1">
        <f t="array" ref="E358">IFERROR(_xlfn.XLOOKUP(1,('env Parameter'!$A:$A=$A358)*('env Parameter'!$B:$B=$K358)*('env Parameter'!$C:$C=$L358),'env Parameter'!G:G,""),"")</f>
        <v>7.6</v>
      </c>
      <c r="F358" t="str">
        <f>eDNA!F358</f>
        <v>MiFish</v>
      </c>
      <c r="G358" t="str">
        <f>eDNA!D358</f>
        <v>Scomber japonicus</v>
      </c>
      <c r="H358" t="str">
        <f>_xlfn.XLOOKUP(G358,'Common name (master file)'!$B:$B,'Common name (master file)'!$A:$A,"-------------")</f>
        <v>참고등어</v>
      </c>
      <c r="I358">
        <f>eDNA!E358</f>
        <v>87</v>
      </c>
      <c r="J358" t="str">
        <f>_xlfn.XLOOKUP(G358,'Common name (master file)'!$B:$B,'Common name (master file)'!$C:$C,"")</f>
        <v>어류</v>
      </c>
      <c r="K358">
        <f>eDNA!B358</f>
        <v>126.8771357</v>
      </c>
      <c r="L358">
        <f>eDNA!C358</f>
        <v>37.553306900000003</v>
      </c>
      <c r="M358" s="10" t="str" cm="1">
        <f t="array" ref="M358">IFERROR(_xlfn.XLOOKUP(1,('env Parameter'!$A:$A=$A358)*('env Parameter'!$B:$B=$K358)*('env Parameter'!$C:$C=$L358),'env Parameter'!D:D,""),"")</f>
        <v>안양천-11</v>
      </c>
      <c r="N358" s="10" t="str" cm="1">
        <f t="array" ref="N358">IFERROR(_xlfn.XLOOKUP(1,('env Parameter'!$A:$A=$A358)*('env Parameter'!$B:$B=$K358)*('env Parameter'!$C:$C=$L358),'env Parameter'!I:I,""),"")</f>
        <v>YR</v>
      </c>
    </row>
    <row r="359" spans="1:14">
      <c r="A359">
        <f>eDNA!A359</f>
        <v>20200717</v>
      </c>
      <c r="B359" s="10" t="str" cm="1">
        <f t="array" ref="B359">IFERROR(_xlfn.XLOOKUP(1,('env Parameter'!$A:$A=$A359)*('env Parameter'!$B:$B=$K359)*('env Parameter'!$C:$C=$L359),'env Parameter'!H:H,""),"")</f>
        <v>생물상 조사</v>
      </c>
      <c r="C359" s="10" cm="1">
        <f t="array" ref="C359">IFERROR(_xlfn.XLOOKUP(1,('env Parameter'!$A:$A=$A359)*('env Parameter'!$B:$B=$K359)*('env Parameter'!$C:$C=$L359),'env Parameter'!E:E,""),"")</f>
        <v>2.14</v>
      </c>
      <c r="D359" s="10" cm="1">
        <f t="array" ref="D359">IFERROR(_xlfn.XLOOKUP(1,('env Parameter'!$A:$A=$A359)*('env Parameter'!$B:$B=$K359)*('env Parameter'!$C:$C=$L359),'env Parameter'!F:F,""),"")</f>
        <v>478</v>
      </c>
      <c r="E359" s="10" cm="1">
        <f t="array" ref="E359">IFERROR(_xlfn.XLOOKUP(1,('env Parameter'!$A:$A=$A359)*('env Parameter'!$B:$B=$K359)*('env Parameter'!$C:$C=$L359),'env Parameter'!G:G,""),"")</f>
        <v>7.6</v>
      </c>
      <c r="F359" t="str">
        <f>eDNA!F359</f>
        <v>MiFish</v>
      </c>
      <c r="G359" t="str">
        <f>eDNA!D359</f>
        <v>Cyprinus carpio</v>
      </c>
      <c r="H359" t="str">
        <f>_xlfn.XLOOKUP(G359,'Common name (master file)'!$B:$B,'Common name (master file)'!$A:$A,"-------------")</f>
        <v>잉어</v>
      </c>
      <c r="I359">
        <f>eDNA!E359</f>
        <v>88</v>
      </c>
      <c r="J359" t="str">
        <f>_xlfn.XLOOKUP(G359,'Common name (master file)'!$B:$B,'Common name (master file)'!$C:$C,"")</f>
        <v>어류</v>
      </c>
      <c r="K359">
        <f>eDNA!B359</f>
        <v>126.8771357</v>
      </c>
      <c r="L359">
        <f>eDNA!C359</f>
        <v>37.553306900000003</v>
      </c>
      <c r="M359" s="10" t="str" cm="1">
        <f t="array" ref="M359">IFERROR(_xlfn.XLOOKUP(1,('env Parameter'!$A:$A=$A359)*('env Parameter'!$B:$B=$K359)*('env Parameter'!$C:$C=$L359),'env Parameter'!D:D,""),"")</f>
        <v>안양천-11</v>
      </c>
      <c r="N359" s="10" t="str" cm="1">
        <f t="array" ref="N359">IFERROR(_xlfn.XLOOKUP(1,('env Parameter'!$A:$A=$A359)*('env Parameter'!$B:$B=$K359)*('env Parameter'!$C:$C=$L359),'env Parameter'!I:I,""),"")</f>
        <v>YR</v>
      </c>
    </row>
    <row r="360" spans="1:14">
      <c r="A360">
        <f>eDNA!A360</f>
        <v>20200717</v>
      </c>
      <c r="B360" s="10" t="str" cm="1">
        <f t="array" ref="B360">IFERROR(_xlfn.XLOOKUP(1,('env Parameter'!$A:$A=$A360)*('env Parameter'!$B:$B=$K360)*('env Parameter'!$C:$C=$L360),'env Parameter'!H:H,""),"")</f>
        <v>생물상 조사</v>
      </c>
      <c r="C360" s="10" cm="1">
        <f t="array" ref="C360">IFERROR(_xlfn.XLOOKUP(1,('env Parameter'!$A:$A=$A360)*('env Parameter'!$B:$B=$K360)*('env Parameter'!$C:$C=$L360),'env Parameter'!E:E,""),"")</f>
        <v>2.14</v>
      </c>
      <c r="D360" s="10" cm="1">
        <f t="array" ref="D360">IFERROR(_xlfn.XLOOKUP(1,('env Parameter'!$A:$A=$A360)*('env Parameter'!$B:$B=$K360)*('env Parameter'!$C:$C=$L360),'env Parameter'!F:F,""),"")</f>
        <v>478</v>
      </c>
      <c r="E360" s="10" cm="1">
        <f t="array" ref="E360">IFERROR(_xlfn.XLOOKUP(1,('env Parameter'!$A:$A=$A360)*('env Parameter'!$B:$B=$K360)*('env Parameter'!$C:$C=$L360),'env Parameter'!G:G,""),"")</f>
        <v>7.6</v>
      </c>
      <c r="F360" t="str">
        <f>eDNA!F360</f>
        <v>MiFish</v>
      </c>
      <c r="G360" t="str">
        <f>eDNA!D360</f>
        <v>Mugil cephalus</v>
      </c>
      <c r="H360" t="str">
        <f>_xlfn.XLOOKUP(G360,'Common name (master file)'!$B:$B,'Common name (master file)'!$A:$A,"-------------")</f>
        <v>숭어</v>
      </c>
      <c r="I360">
        <f>eDNA!E360</f>
        <v>166</v>
      </c>
      <c r="J360" t="str">
        <f>_xlfn.XLOOKUP(G360,'Common name (master file)'!$B:$B,'Common name (master file)'!$C:$C,"")</f>
        <v>어류</v>
      </c>
      <c r="K360">
        <f>eDNA!B360</f>
        <v>126.8771357</v>
      </c>
      <c r="L360">
        <f>eDNA!C360</f>
        <v>37.553306900000003</v>
      </c>
      <c r="M360" s="10" t="str" cm="1">
        <f t="array" ref="M360">IFERROR(_xlfn.XLOOKUP(1,('env Parameter'!$A:$A=$A360)*('env Parameter'!$B:$B=$K360)*('env Parameter'!$C:$C=$L360),'env Parameter'!D:D,""),"")</f>
        <v>안양천-11</v>
      </c>
      <c r="N360" s="10" t="str" cm="1">
        <f t="array" ref="N360">IFERROR(_xlfn.XLOOKUP(1,('env Parameter'!$A:$A=$A360)*('env Parameter'!$B:$B=$K360)*('env Parameter'!$C:$C=$L360),'env Parameter'!I:I,""),"")</f>
        <v>YR</v>
      </c>
    </row>
    <row r="361" spans="1:14">
      <c r="A361">
        <f>eDNA!A361</f>
        <v>20200717</v>
      </c>
      <c r="B361" s="10" t="str" cm="1">
        <f t="array" ref="B361">IFERROR(_xlfn.XLOOKUP(1,('env Parameter'!$A:$A=$A361)*('env Parameter'!$B:$B=$K361)*('env Parameter'!$C:$C=$L361),'env Parameter'!H:H,""),"")</f>
        <v>생물상 조사</v>
      </c>
      <c r="C361" s="10" cm="1">
        <f t="array" ref="C361">IFERROR(_xlfn.XLOOKUP(1,('env Parameter'!$A:$A=$A361)*('env Parameter'!$B:$B=$K361)*('env Parameter'!$C:$C=$L361),'env Parameter'!E:E,""),"")</f>
        <v>2.14</v>
      </c>
      <c r="D361" s="10" cm="1">
        <f t="array" ref="D361">IFERROR(_xlfn.XLOOKUP(1,('env Parameter'!$A:$A=$A361)*('env Parameter'!$B:$B=$K361)*('env Parameter'!$C:$C=$L361),'env Parameter'!F:F,""),"")</f>
        <v>478</v>
      </c>
      <c r="E361" s="10" cm="1">
        <f t="array" ref="E361">IFERROR(_xlfn.XLOOKUP(1,('env Parameter'!$A:$A=$A361)*('env Parameter'!$B:$B=$K361)*('env Parameter'!$C:$C=$L361),'env Parameter'!G:G,""),"")</f>
        <v>7.6</v>
      </c>
      <c r="F361" t="str">
        <f>eDNA!F361</f>
        <v>MiFish</v>
      </c>
      <c r="G361" t="str">
        <f>eDNA!D361</f>
        <v>Gnathopogon strigatus</v>
      </c>
      <c r="H361" t="str">
        <f>_xlfn.XLOOKUP(G361,'Common name (master file)'!$B:$B,'Common name (master file)'!$A:$A,"-------------")</f>
        <v>줄몰개</v>
      </c>
      <c r="I361">
        <f>eDNA!E361</f>
        <v>104</v>
      </c>
      <c r="J361" t="str">
        <f>_xlfn.XLOOKUP(G361,'Common name (master file)'!$B:$B,'Common name (master file)'!$C:$C,"")</f>
        <v>어류</v>
      </c>
      <c r="K361">
        <f>eDNA!B361</f>
        <v>126.8771357</v>
      </c>
      <c r="L361">
        <f>eDNA!C361</f>
        <v>37.553306900000003</v>
      </c>
      <c r="M361" s="10" t="str" cm="1">
        <f t="array" ref="M361">IFERROR(_xlfn.XLOOKUP(1,('env Parameter'!$A:$A=$A361)*('env Parameter'!$B:$B=$K361)*('env Parameter'!$C:$C=$L361),'env Parameter'!D:D,""),"")</f>
        <v>안양천-11</v>
      </c>
      <c r="N361" s="10" t="str" cm="1">
        <f t="array" ref="N361">IFERROR(_xlfn.XLOOKUP(1,('env Parameter'!$A:$A=$A361)*('env Parameter'!$B:$B=$K361)*('env Parameter'!$C:$C=$L361),'env Parameter'!I:I,""),"")</f>
        <v>YR</v>
      </c>
    </row>
    <row r="362" spans="1:14">
      <c r="A362">
        <f>eDNA!A362</f>
        <v>20200717</v>
      </c>
      <c r="B362" s="10" t="str" cm="1">
        <f t="array" ref="B362">IFERROR(_xlfn.XLOOKUP(1,('env Parameter'!$A:$A=$A362)*('env Parameter'!$B:$B=$K362)*('env Parameter'!$C:$C=$L362),'env Parameter'!H:H,""),"")</f>
        <v>생물상 조사</v>
      </c>
      <c r="C362" s="10" cm="1">
        <f t="array" ref="C362">IFERROR(_xlfn.XLOOKUP(1,('env Parameter'!$A:$A=$A362)*('env Parameter'!$B:$B=$K362)*('env Parameter'!$C:$C=$L362),'env Parameter'!E:E,""),"")</f>
        <v>2.14</v>
      </c>
      <c r="D362" s="10" cm="1">
        <f t="array" ref="D362">IFERROR(_xlfn.XLOOKUP(1,('env Parameter'!$A:$A=$A362)*('env Parameter'!$B:$B=$K362)*('env Parameter'!$C:$C=$L362),'env Parameter'!F:F,""),"")</f>
        <v>478</v>
      </c>
      <c r="E362" s="10" cm="1">
        <f t="array" ref="E362">IFERROR(_xlfn.XLOOKUP(1,('env Parameter'!$A:$A=$A362)*('env Parameter'!$B:$B=$K362)*('env Parameter'!$C:$C=$L362),'env Parameter'!G:G,""),"")</f>
        <v>7.6</v>
      </c>
      <c r="F362" t="str">
        <f>eDNA!F362</f>
        <v>MiFish</v>
      </c>
      <c r="G362" t="str">
        <f>eDNA!D362</f>
        <v>Pleuronectes yokohamae</v>
      </c>
      <c r="H362" t="str">
        <f>_xlfn.XLOOKUP(G362,'Common name (master file)'!$B:$B,'Common name (master file)'!$A:$A,"-------------")</f>
        <v>가자미</v>
      </c>
      <c r="I362">
        <f>eDNA!E362</f>
        <v>104</v>
      </c>
      <c r="J362" t="str">
        <f>_xlfn.XLOOKUP(G362,'Common name (master file)'!$B:$B,'Common name (master file)'!$C:$C,"")</f>
        <v>어류</v>
      </c>
      <c r="K362">
        <f>eDNA!B362</f>
        <v>126.8771357</v>
      </c>
      <c r="L362">
        <f>eDNA!C362</f>
        <v>37.553306900000003</v>
      </c>
      <c r="M362" s="10" t="str" cm="1">
        <f t="array" ref="M362">IFERROR(_xlfn.XLOOKUP(1,('env Parameter'!$A:$A=$A362)*('env Parameter'!$B:$B=$K362)*('env Parameter'!$C:$C=$L362),'env Parameter'!D:D,""),"")</f>
        <v>안양천-11</v>
      </c>
      <c r="N362" s="10" t="str" cm="1">
        <f t="array" ref="N362">IFERROR(_xlfn.XLOOKUP(1,('env Parameter'!$A:$A=$A362)*('env Parameter'!$B:$B=$K362)*('env Parameter'!$C:$C=$L362),'env Parameter'!I:I,""),"")</f>
        <v>YR</v>
      </c>
    </row>
    <row r="363" spans="1:14">
      <c r="A363">
        <f>eDNA!A363</f>
        <v>20200717</v>
      </c>
      <c r="B363" s="10" t="str" cm="1">
        <f t="array" ref="B363">IFERROR(_xlfn.XLOOKUP(1,('env Parameter'!$A:$A=$A363)*('env Parameter'!$B:$B=$K363)*('env Parameter'!$C:$C=$L363),'env Parameter'!H:H,""),"")</f>
        <v>생물상 조사</v>
      </c>
      <c r="C363" s="10" cm="1">
        <f t="array" ref="C363">IFERROR(_xlfn.XLOOKUP(1,('env Parameter'!$A:$A=$A363)*('env Parameter'!$B:$B=$K363)*('env Parameter'!$C:$C=$L363),'env Parameter'!E:E,""),"")</f>
        <v>2.14</v>
      </c>
      <c r="D363" s="10" cm="1">
        <f t="array" ref="D363">IFERROR(_xlfn.XLOOKUP(1,('env Parameter'!$A:$A=$A363)*('env Parameter'!$B:$B=$K363)*('env Parameter'!$C:$C=$L363),'env Parameter'!F:F,""),"")</f>
        <v>478</v>
      </c>
      <c r="E363" s="10" cm="1">
        <f t="array" ref="E363">IFERROR(_xlfn.XLOOKUP(1,('env Parameter'!$A:$A=$A363)*('env Parameter'!$B:$B=$K363)*('env Parameter'!$C:$C=$L363),'env Parameter'!G:G,""),"")</f>
        <v>7.6</v>
      </c>
      <c r="F363" t="str">
        <f>eDNA!F363</f>
        <v>MiFish</v>
      </c>
      <c r="G363" t="str">
        <f>eDNA!D363</f>
        <v>Micropterus salmoides</v>
      </c>
      <c r="H363" t="str">
        <f>_xlfn.XLOOKUP(G363,'Common name (master file)'!$B:$B,'Common name (master file)'!$A:$A,"-------------")</f>
        <v>큰입배스</v>
      </c>
      <c r="I363">
        <f>eDNA!E363</f>
        <v>108</v>
      </c>
      <c r="J363" t="str">
        <f>_xlfn.XLOOKUP(G363,'Common name (master file)'!$B:$B,'Common name (master file)'!$C:$C,"")</f>
        <v>어류</v>
      </c>
      <c r="K363">
        <f>eDNA!B363</f>
        <v>126.8771357</v>
      </c>
      <c r="L363">
        <f>eDNA!C363</f>
        <v>37.553306900000003</v>
      </c>
      <c r="M363" s="10" t="str" cm="1">
        <f t="array" ref="M363">IFERROR(_xlfn.XLOOKUP(1,('env Parameter'!$A:$A=$A363)*('env Parameter'!$B:$B=$K363)*('env Parameter'!$C:$C=$L363),'env Parameter'!D:D,""),"")</f>
        <v>안양천-11</v>
      </c>
      <c r="N363" s="10" t="str" cm="1">
        <f t="array" ref="N363">IFERROR(_xlfn.XLOOKUP(1,('env Parameter'!$A:$A=$A363)*('env Parameter'!$B:$B=$K363)*('env Parameter'!$C:$C=$L363),'env Parameter'!I:I,""),"")</f>
        <v>YR</v>
      </c>
    </row>
    <row r="364" spans="1:14">
      <c r="A364">
        <f>eDNA!A364</f>
        <v>20200717</v>
      </c>
      <c r="B364" s="10" t="str" cm="1">
        <f t="array" ref="B364">IFERROR(_xlfn.XLOOKUP(1,('env Parameter'!$A:$A=$A364)*('env Parameter'!$B:$B=$K364)*('env Parameter'!$C:$C=$L364),'env Parameter'!H:H,""),"")</f>
        <v>생물상 조사</v>
      </c>
      <c r="C364" s="10" cm="1">
        <f t="array" ref="C364">IFERROR(_xlfn.XLOOKUP(1,('env Parameter'!$A:$A=$A364)*('env Parameter'!$B:$B=$K364)*('env Parameter'!$C:$C=$L364),'env Parameter'!E:E,""),"")</f>
        <v>2.14</v>
      </c>
      <c r="D364" s="10" cm="1">
        <f t="array" ref="D364">IFERROR(_xlfn.XLOOKUP(1,('env Parameter'!$A:$A=$A364)*('env Parameter'!$B:$B=$K364)*('env Parameter'!$C:$C=$L364),'env Parameter'!F:F,""),"")</f>
        <v>478</v>
      </c>
      <c r="E364" s="10" cm="1">
        <f t="array" ref="E364">IFERROR(_xlfn.XLOOKUP(1,('env Parameter'!$A:$A=$A364)*('env Parameter'!$B:$B=$K364)*('env Parameter'!$C:$C=$L364),'env Parameter'!G:G,""),"")</f>
        <v>7.6</v>
      </c>
      <c r="F364" t="str">
        <f>eDNA!F364</f>
        <v>MiFish</v>
      </c>
      <c r="G364" t="str">
        <f>eDNA!D364</f>
        <v>Paralichthys olivaceus</v>
      </c>
      <c r="H364" t="str">
        <f>_xlfn.XLOOKUP(G364,'Common name (master file)'!$B:$B,'Common name (master file)'!$A:$A,"-------------")</f>
        <v>남해산 넙치</v>
      </c>
      <c r="I364">
        <f>eDNA!E364</f>
        <v>196</v>
      </c>
      <c r="J364" t="str">
        <f>_xlfn.XLOOKUP(G364,'Common name (master file)'!$B:$B,'Common name (master file)'!$C:$C,"")</f>
        <v>어류</v>
      </c>
      <c r="K364">
        <f>eDNA!B364</f>
        <v>126.8771357</v>
      </c>
      <c r="L364">
        <f>eDNA!C364</f>
        <v>37.553306900000003</v>
      </c>
      <c r="M364" s="10" t="str" cm="1">
        <f t="array" ref="M364">IFERROR(_xlfn.XLOOKUP(1,('env Parameter'!$A:$A=$A364)*('env Parameter'!$B:$B=$K364)*('env Parameter'!$C:$C=$L364),'env Parameter'!D:D,""),"")</f>
        <v>안양천-11</v>
      </c>
      <c r="N364" s="10" t="str" cm="1">
        <f t="array" ref="N364">IFERROR(_xlfn.XLOOKUP(1,('env Parameter'!$A:$A=$A364)*('env Parameter'!$B:$B=$K364)*('env Parameter'!$C:$C=$L364),'env Parameter'!I:I,""),"")</f>
        <v>YR</v>
      </c>
    </row>
    <row r="365" spans="1:14">
      <c r="A365">
        <f>eDNA!A365</f>
        <v>20200717</v>
      </c>
      <c r="B365" s="10" t="str" cm="1">
        <f t="array" ref="B365">IFERROR(_xlfn.XLOOKUP(1,('env Parameter'!$A:$A=$A365)*('env Parameter'!$B:$B=$K365)*('env Parameter'!$C:$C=$L365),'env Parameter'!H:H,""),"")</f>
        <v>생물상 조사</v>
      </c>
      <c r="C365" s="10" cm="1">
        <f t="array" ref="C365">IFERROR(_xlfn.XLOOKUP(1,('env Parameter'!$A:$A=$A365)*('env Parameter'!$B:$B=$K365)*('env Parameter'!$C:$C=$L365),'env Parameter'!E:E,""),"")</f>
        <v>2.14</v>
      </c>
      <c r="D365" s="10" cm="1">
        <f t="array" ref="D365">IFERROR(_xlfn.XLOOKUP(1,('env Parameter'!$A:$A=$A365)*('env Parameter'!$B:$B=$K365)*('env Parameter'!$C:$C=$L365),'env Parameter'!F:F,""),"")</f>
        <v>478</v>
      </c>
      <c r="E365" s="10" cm="1">
        <f t="array" ref="E365">IFERROR(_xlfn.XLOOKUP(1,('env Parameter'!$A:$A=$A365)*('env Parameter'!$B:$B=$K365)*('env Parameter'!$C:$C=$L365),'env Parameter'!G:G,""),"")</f>
        <v>7.6</v>
      </c>
      <c r="F365" t="str">
        <f>eDNA!F365</f>
        <v>MiFish</v>
      </c>
      <c r="G365" t="str">
        <f>eDNA!D365</f>
        <v>Sus scrofa</v>
      </c>
      <c r="H365" t="str">
        <f>_xlfn.XLOOKUP(G365,'Common name (master file)'!$B:$B,'Common name (master file)'!$A:$A,"-------------")</f>
        <v>멧돼지</v>
      </c>
      <c r="I365">
        <f>eDNA!E365</f>
        <v>658</v>
      </c>
      <c r="J365" t="str">
        <f>_xlfn.XLOOKUP(G365,'Common name (master file)'!$B:$B,'Common name (master file)'!$C:$C,"")</f>
        <v>포유류</v>
      </c>
      <c r="K365">
        <f>eDNA!B365</f>
        <v>126.8771357</v>
      </c>
      <c r="L365">
        <f>eDNA!C365</f>
        <v>37.553306900000003</v>
      </c>
      <c r="M365" s="10" t="str" cm="1">
        <f t="array" ref="M365">IFERROR(_xlfn.XLOOKUP(1,('env Parameter'!$A:$A=$A365)*('env Parameter'!$B:$B=$K365)*('env Parameter'!$C:$C=$L365),'env Parameter'!D:D,""),"")</f>
        <v>안양천-11</v>
      </c>
      <c r="N365" s="10" t="str" cm="1">
        <f t="array" ref="N365">IFERROR(_xlfn.XLOOKUP(1,('env Parameter'!$A:$A=$A365)*('env Parameter'!$B:$B=$K365)*('env Parameter'!$C:$C=$L365),'env Parameter'!I:I,""),"")</f>
        <v>YR</v>
      </c>
    </row>
    <row r="366" spans="1:14">
      <c r="A366">
        <f>eDNA!A366</f>
        <v>20200717</v>
      </c>
      <c r="B366" s="10" t="str" cm="1">
        <f t="array" ref="B366">IFERROR(_xlfn.XLOOKUP(1,('env Parameter'!$A:$A=$A366)*('env Parameter'!$B:$B=$K366)*('env Parameter'!$C:$C=$L366),'env Parameter'!H:H,""),"")</f>
        <v>생물상 조사</v>
      </c>
      <c r="C366" s="10" cm="1">
        <f t="array" ref="C366">IFERROR(_xlfn.XLOOKUP(1,('env Parameter'!$A:$A=$A366)*('env Parameter'!$B:$B=$K366)*('env Parameter'!$C:$C=$L366),'env Parameter'!E:E,""),"")</f>
        <v>2.14</v>
      </c>
      <c r="D366" s="10" cm="1">
        <f t="array" ref="D366">IFERROR(_xlfn.XLOOKUP(1,('env Parameter'!$A:$A=$A366)*('env Parameter'!$B:$B=$K366)*('env Parameter'!$C:$C=$L366),'env Parameter'!F:F,""),"")</f>
        <v>478</v>
      </c>
      <c r="E366" s="10" cm="1">
        <f t="array" ref="E366">IFERROR(_xlfn.XLOOKUP(1,('env Parameter'!$A:$A=$A366)*('env Parameter'!$B:$B=$K366)*('env Parameter'!$C:$C=$L366),'env Parameter'!G:G,""),"")</f>
        <v>7.6</v>
      </c>
      <c r="F366" t="str">
        <f>eDNA!F366</f>
        <v>MiFish</v>
      </c>
      <c r="G366" t="str">
        <f>eDNA!D366</f>
        <v>Rhinogobius giurinus</v>
      </c>
      <c r="H366" t="str">
        <f>_xlfn.XLOOKUP(G366,'Common name (master file)'!$B:$B,'Common name (master file)'!$A:$A,"-------------")</f>
        <v>갈문망둑</v>
      </c>
      <c r="I366">
        <f>eDNA!E366</f>
        <v>316</v>
      </c>
      <c r="J366" t="str">
        <f>_xlfn.XLOOKUP(G366,'Common name (master file)'!$B:$B,'Common name (master file)'!$C:$C,"")</f>
        <v>어류</v>
      </c>
      <c r="K366">
        <f>eDNA!B366</f>
        <v>126.8771357</v>
      </c>
      <c r="L366">
        <f>eDNA!C366</f>
        <v>37.553306900000003</v>
      </c>
      <c r="M366" s="10" t="str" cm="1">
        <f t="array" ref="M366">IFERROR(_xlfn.XLOOKUP(1,('env Parameter'!$A:$A=$A366)*('env Parameter'!$B:$B=$K366)*('env Parameter'!$C:$C=$L366),'env Parameter'!D:D,""),"")</f>
        <v>안양천-11</v>
      </c>
      <c r="N366" s="10" t="str" cm="1">
        <f t="array" ref="N366">IFERROR(_xlfn.XLOOKUP(1,('env Parameter'!$A:$A=$A366)*('env Parameter'!$B:$B=$K366)*('env Parameter'!$C:$C=$L366),'env Parameter'!I:I,""),"")</f>
        <v>YR</v>
      </c>
    </row>
    <row r="367" spans="1:14">
      <c r="A367">
        <f>eDNA!A367</f>
        <v>20200717</v>
      </c>
      <c r="B367" s="10" t="str" cm="1">
        <f t="array" ref="B367">IFERROR(_xlfn.XLOOKUP(1,('env Parameter'!$A:$A=$A367)*('env Parameter'!$B:$B=$K367)*('env Parameter'!$C:$C=$L367),'env Parameter'!H:H,""),"")</f>
        <v>생물상 조사</v>
      </c>
      <c r="C367" s="10" cm="1">
        <f t="array" ref="C367">IFERROR(_xlfn.XLOOKUP(1,('env Parameter'!$A:$A=$A367)*('env Parameter'!$B:$B=$K367)*('env Parameter'!$C:$C=$L367),'env Parameter'!E:E,""),"")</f>
        <v>2.14</v>
      </c>
      <c r="D367" s="10" cm="1">
        <f t="array" ref="D367">IFERROR(_xlfn.XLOOKUP(1,('env Parameter'!$A:$A=$A367)*('env Parameter'!$B:$B=$K367)*('env Parameter'!$C:$C=$L367),'env Parameter'!F:F,""),"")</f>
        <v>478</v>
      </c>
      <c r="E367" s="10" cm="1">
        <f t="array" ref="E367">IFERROR(_xlfn.XLOOKUP(1,('env Parameter'!$A:$A=$A367)*('env Parameter'!$B:$B=$K367)*('env Parameter'!$C:$C=$L367),'env Parameter'!G:G,""),"")</f>
        <v>7.6</v>
      </c>
      <c r="F367" t="str">
        <f>eDNA!F367</f>
        <v>MiFish</v>
      </c>
      <c r="G367" t="str">
        <f>eDNA!D367</f>
        <v>Channa argus</v>
      </c>
      <c r="H367" t="str">
        <f>_xlfn.XLOOKUP(G367,'Common name (master file)'!$B:$B,'Common name (master file)'!$A:$A,"-------------")</f>
        <v>가물치</v>
      </c>
      <c r="I367">
        <f>eDNA!E367</f>
        <v>409</v>
      </c>
      <c r="J367" t="str">
        <f>_xlfn.XLOOKUP(G367,'Common name (master file)'!$B:$B,'Common name (master file)'!$C:$C,"")</f>
        <v>어류</v>
      </c>
      <c r="K367">
        <f>eDNA!B367</f>
        <v>126.8771357</v>
      </c>
      <c r="L367">
        <f>eDNA!C367</f>
        <v>37.553306900000003</v>
      </c>
      <c r="M367" s="10" t="str" cm="1">
        <f t="array" ref="M367">IFERROR(_xlfn.XLOOKUP(1,('env Parameter'!$A:$A=$A367)*('env Parameter'!$B:$B=$K367)*('env Parameter'!$C:$C=$L367),'env Parameter'!D:D,""),"")</f>
        <v>안양천-11</v>
      </c>
      <c r="N367" s="10" t="str" cm="1">
        <f t="array" ref="N367">IFERROR(_xlfn.XLOOKUP(1,('env Parameter'!$A:$A=$A367)*('env Parameter'!$B:$B=$K367)*('env Parameter'!$C:$C=$L367),'env Parameter'!I:I,""),"")</f>
        <v>YR</v>
      </c>
    </row>
    <row r="368" spans="1:14">
      <c r="A368">
        <f>eDNA!A368</f>
        <v>20200717</v>
      </c>
      <c r="B368" s="10" t="str" cm="1">
        <f t="array" ref="B368">IFERROR(_xlfn.XLOOKUP(1,('env Parameter'!$A:$A=$A368)*('env Parameter'!$B:$B=$K368)*('env Parameter'!$C:$C=$L368),'env Parameter'!H:H,""),"")</f>
        <v>생물상 조사</v>
      </c>
      <c r="C368" s="10" cm="1">
        <f t="array" ref="C368">IFERROR(_xlfn.XLOOKUP(1,('env Parameter'!$A:$A=$A368)*('env Parameter'!$B:$B=$K368)*('env Parameter'!$C:$C=$L368),'env Parameter'!E:E,""),"")</f>
        <v>2.14</v>
      </c>
      <c r="D368" s="10" cm="1">
        <f t="array" ref="D368">IFERROR(_xlfn.XLOOKUP(1,('env Parameter'!$A:$A=$A368)*('env Parameter'!$B:$B=$K368)*('env Parameter'!$C:$C=$L368),'env Parameter'!F:F,""),"")</f>
        <v>478</v>
      </c>
      <c r="E368" s="10" cm="1">
        <f t="array" ref="E368">IFERROR(_xlfn.XLOOKUP(1,('env Parameter'!$A:$A=$A368)*('env Parameter'!$B:$B=$K368)*('env Parameter'!$C:$C=$L368),'env Parameter'!G:G,""),"")</f>
        <v>7.6</v>
      </c>
      <c r="F368" t="str">
        <f>eDNA!F368</f>
        <v>MiFish</v>
      </c>
      <c r="G368" t="str">
        <f>eDNA!D368</f>
        <v>Acheilognathus macropterus</v>
      </c>
      <c r="H368" t="str">
        <f>_xlfn.XLOOKUP(G368,'Common name (master file)'!$B:$B,'Common name (master file)'!$A:$A,"-------------")</f>
        <v>큰납지리</v>
      </c>
      <c r="I368">
        <f>eDNA!E368</f>
        <v>389</v>
      </c>
      <c r="J368" t="str">
        <f>_xlfn.XLOOKUP(G368,'Common name (master file)'!$B:$B,'Common name (master file)'!$C:$C,"")</f>
        <v>어류</v>
      </c>
      <c r="K368">
        <f>eDNA!B368</f>
        <v>126.8771357</v>
      </c>
      <c r="L368">
        <f>eDNA!C368</f>
        <v>37.553306900000003</v>
      </c>
      <c r="M368" s="10" t="str" cm="1">
        <f t="array" ref="M368">IFERROR(_xlfn.XLOOKUP(1,('env Parameter'!$A:$A=$A368)*('env Parameter'!$B:$B=$K368)*('env Parameter'!$C:$C=$L368),'env Parameter'!D:D,""),"")</f>
        <v>안양천-11</v>
      </c>
      <c r="N368" s="10" t="str" cm="1">
        <f t="array" ref="N368">IFERROR(_xlfn.XLOOKUP(1,('env Parameter'!$A:$A=$A368)*('env Parameter'!$B:$B=$K368)*('env Parameter'!$C:$C=$L368),'env Parameter'!I:I,""),"")</f>
        <v>YR</v>
      </c>
    </row>
    <row r="369" spans="1:14">
      <c r="A369">
        <f>eDNA!A369</f>
        <v>20200717</v>
      </c>
      <c r="B369" s="10" t="str" cm="1">
        <f t="array" ref="B369">IFERROR(_xlfn.XLOOKUP(1,('env Parameter'!$A:$A=$A369)*('env Parameter'!$B:$B=$K369)*('env Parameter'!$C:$C=$L369),'env Parameter'!H:H,""),"")</f>
        <v>생물상 조사</v>
      </c>
      <c r="C369" s="10" cm="1">
        <f t="array" ref="C369">IFERROR(_xlfn.XLOOKUP(1,('env Parameter'!$A:$A=$A369)*('env Parameter'!$B:$B=$K369)*('env Parameter'!$C:$C=$L369),'env Parameter'!E:E,""),"")</f>
        <v>2.14</v>
      </c>
      <c r="D369" s="10" cm="1">
        <f t="array" ref="D369">IFERROR(_xlfn.XLOOKUP(1,('env Parameter'!$A:$A=$A369)*('env Parameter'!$B:$B=$K369)*('env Parameter'!$C:$C=$L369),'env Parameter'!F:F,""),"")</f>
        <v>478</v>
      </c>
      <c r="E369" s="10" cm="1">
        <f t="array" ref="E369">IFERROR(_xlfn.XLOOKUP(1,('env Parameter'!$A:$A=$A369)*('env Parameter'!$B:$B=$K369)*('env Parameter'!$C:$C=$L369),'env Parameter'!G:G,""),"")</f>
        <v>7.6</v>
      </c>
      <c r="F369" t="str">
        <f>eDNA!F369</f>
        <v>MiFish</v>
      </c>
      <c r="G369" t="str">
        <f>eDNA!D369</f>
        <v>Bos taurus</v>
      </c>
      <c r="H369" t="str">
        <f>_xlfn.XLOOKUP(G369,'Common name (master file)'!$B:$B,'Common name (master file)'!$A:$A,"-------------")</f>
        <v>소</v>
      </c>
      <c r="I369">
        <f>eDNA!E369</f>
        <v>356</v>
      </c>
      <c r="J369" t="str">
        <f>_xlfn.XLOOKUP(G369,'Common name (master file)'!$B:$B,'Common name (master file)'!$C:$C,"")</f>
        <v>포유류</v>
      </c>
      <c r="K369">
        <f>eDNA!B369</f>
        <v>126.8771357</v>
      </c>
      <c r="L369">
        <f>eDNA!C369</f>
        <v>37.553306900000003</v>
      </c>
      <c r="M369" s="10" t="str" cm="1">
        <f t="array" ref="M369">IFERROR(_xlfn.XLOOKUP(1,('env Parameter'!$A:$A=$A369)*('env Parameter'!$B:$B=$K369)*('env Parameter'!$C:$C=$L369),'env Parameter'!D:D,""),"")</f>
        <v>안양천-11</v>
      </c>
      <c r="N369" s="10" t="str" cm="1">
        <f t="array" ref="N369">IFERROR(_xlfn.XLOOKUP(1,('env Parameter'!$A:$A=$A369)*('env Parameter'!$B:$B=$K369)*('env Parameter'!$C:$C=$L369),'env Parameter'!I:I,""),"")</f>
        <v>YR</v>
      </c>
    </row>
    <row r="370" spans="1:14">
      <c r="A370">
        <f>eDNA!A370</f>
        <v>20200717</v>
      </c>
      <c r="B370" s="10" t="str" cm="1">
        <f t="array" ref="B370">IFERROR(_xlfn.XLOOKUP(1,('env Parameter'!$A:$A=$A370)*('env Parameter'!$B:$B=$K370)*('env Parameter'!$C:$C=$L370),'env Parameter'!H:H,""),"")</f>
        <v>생물상 조사</v>
      </c>
      <c r="C370" s="10" cm="1">
        <f t="array" ref="C370">IFERROR(_xlfn.XLOOKUP(1,('env Parameter'!$A:$A=$A370)*('env Parameter'!$B:$B=$K370)*('env Parameter'!$C:$C=$L370),'env Parameter'!E:E,""),"")</f>
        <v>2.14</v>
      </c>
      <c r="D370" s="10" cm="1">
        <f t="array" ref="D370">IFERROR(_xlfn.XLOOKUP(1,('env Parameter'!$A:$A=$A370)*('env Parameter'!$B:$B=$K370)*('env Parameter'!$C:$C=$L370),'env Parameter'!F:F,""),"")</f>
        <v>478</v>
      </c>
      <c r="E370" s="10" cm="1">
        <f t="array" ref="E370">IFERROR(_xlfn.XLOOKUP(1,('env Parameter'!$A:$A=$A370)*('env Parameter'!$B:$B=$K370)*('env Parameter'!$C:$C=$L370),'env Parameter'!G:G,""),"")</f>
        <v>7.6</v>
      </c>
      <c r="F370" t="str">
        <f>eDNA!F370</f>
        <v>MiFish</v>
      </c>
      <c r="G370" t="str">
        <f>eDNA!D370</f>
        <v>Odontobutis interrupta</v>
      </c>
      <c r="H370" t="str">
        <f>_xlfn.XLOOKUP(G370,'Common name (master file)'!$B:$B,'Common name (master file)'!$A:$A,"-------------")</f>
        <v>얼록동사리</v>
      </c>
      <c r="I370">
        <f>eDNA!E370</f>
        <v>457</v>
      </c>
      <c r="J370" t="str">
        <f>_xlfn.XLOOKUP(G370,'Common name (master file)'!$B:$B,'Common name (master file)'!$C:$C,"")</f>
        <v>어류</v>
      </c>
      <c r="K370">
        <f>eDNA!B370</f>
        <v>126.8771357</v>
      </c>
      <c r="L370">
        <f>eDNA!C370</f>
        <v>37.553306900000003</v>
      </c>
      <c r="M370" s="10" t="str" cm="1">
        <f t="array" ref="M370">IFERROR(_xlfn.XLOOKUP(1,('env Parameter'!$A:$A=$A370)*('env Parameter'!$B:$B=$K370)*('env Parameter'!$C:$C=$L370),'env Parameter'!D:D,""),"")</f>
        <v>안양천-11</v>
      </c>
      <c r="N370" s="10" t="str" cm="1">
        <f t="array" ref="N370">IFERROR(_xlfn.XLOOKUP(1,('env Parameter'!$A:$A=$A370)*('env Parameter'!$B:$B=$K370)*('env Parameter'!$C:$C=$L370),'env Parameter'!I:I,""),"")</f>
        <v>YR</v>
      </c>
    </row>
    <row r="371" spans="1:14">
      <c r="A371">
        <f>eDNA!A371</f>
        <v>20200717</v>
      </c>
      <c r="B371" s="10" t="str" cm="1">
        <f t="array" ref="B371">IFERROR(_xlfn.XLOOKUP(1,('env Parameter'!$A:$A=$A371)*('env Parameter'!$B:$B=$K371)*('env Parameter'!$C:$C=$L371),'env Parameter'!H:H,""),"")</f>
        <v>생물상 조사</v>
      </c>
      <c r="C371" s="10" cm="1">
        <f t="array" ref="C371">IFERROR(_xlfn.XLOOKUP(1,('env Parameter'!$A:$A=$A371)*('env Parameter'!$B:$B=$K371)*('env Parameter'!$C:$C=$L371),'env Parameter'!E:E,""),"")</f>
        <v>2.14</v>
      </c>
      <c r="D371" s="10" cm="1">
        <f t="array" ref="D371">IFERROR(_xlfn.XLOOKUP(1,('env Parameter'!$A:$A=$A371)*('env Parameter'!$B:$B=$K371)*('env Parameter'!$C:$C=$L371),'env Parameter'!F:F,""),"")</f>
        <v>478</v>
      </c>
      <c r="E371" s="10" cm="1">
        <f t="array" ref="E371">IFERROR(_xlfn.XLOOKUP(1,('env Parameter'!$A:$A=$A371)*('env Parameter'!$B:$B=$K371)*('env Parameter'!$C:$C=$L371),'env Parameter'!G:G,""),"")</f>
        <v>7.6</v>
      </c>
      <c r="F371" t="str">
        <f>eDNA!F371</f>
        <v>MiFish</v>
      </c>
      <c r="G371" t="str">
        <f>eDNA!D371</f>
        <v>Plagiognathops microlepis</v>
      </c>
      <c r="H371" t="str">
        <f>_xlfn.XLOOKUP(G371,'Common name (master file)'!$B:$B,'Common name (master file)'!$A:$A,"-------------")</f>
        <v>왜몰개</v>
      </c>
      <c r="I371">
        <f>eDNA!E371</f>
        <v>511</v>
      </c>
      <c r="J371" t="str">
        <f>_xlfn.XLOOKUP(G371,'Common name (master file)'!$B:$B,'Common name (master file)'!$C:$C,"")</f>
        <v>어류</v>
      </c>
      <c r="K371">
        <f>eDNA!B371</f>
        <v>126.8771357</v>
      </c>
      <c r="L371">
        <f>eDNA!C371</f>
        <v>37.553306900000003</v>
      </c>
      <c r="M371" s="10" t="str" cm="1">
        <f t="array" ref="M371">IFERROR(_xlfn.XLOOKUP(1,('env Parameter'!$A:$A=$A371)*('env Parameter'!$B:$B=$K371)*('env Parameter'!$C:$C=$L371),'env Parameter'!D:D,""),"")</f>
        <v>안양천-11</v>
      </c>
      <c r="N371" s="10" t="str" cm="1">
        <f t="array" ref="N371">IFERROR(_xlfn.XLOOKUP(1,('env Parameter'!$A:$A=$A371)*('env Parameter'!$B:$B=$K371)*('env Parameter'!$C:$C=$L371),'env Parameter'!I:I,""),"")</f>
        <v>YR</v>
      </c>
    </row>
    <row r="372" spans="1:14">
      <c r="A372">
        <f>eDNA!A372</f>
        <v>20200717</v>
      </c>
      <c r="B372" s="10" t="str" cm="1">
        <f t="array" ref="B372">IFERROR(_xlfn.XLOOKUP(1,('env Parameter'!$A:$A=$A372)*('env Parameter'!$B:$B=$K372)*('env Parameter'!$C:$C=$L372),'env Parameter'!H:H,""),"")</f>
        <v>생물상 조사</v>
      </c>
      <c r="C372" s="10" cm="1">
        <f t="array" ref="C372">IFERROR(_xlfn.XLOOKUP(1,('env Parameter'!$A:$A=$A372)*('env Parameter'!$B:$B=$K372)*('env Parameter'!$C:$C=$L372),'env Parameter'!E:E,""),"")</f>
        <v>2.14</v>
      </c>
      <c r="D372" s="10" cm="1">
        <f t="array" ref="D372">IFERROR(_xlfn.XLOOKUP(1,('env Parameter'!$A:$A=$A372)*('env Parameter'!$B:$B=$K372)*('env Parameter'!$C:$C=$L372),'env Parameter'!F:F,""),"")</f>
        <v>478</v>
      </c>
      <c r="E372" s="10" cm="1">
        <f t="array" ref="E372">IFERROR(_xlfn.XLOOKUP(1,('env Parameter'!$A:$A=$A372)*('env Parameter'!$B:$B=$K372)*('env Parameter'!$C:$C=$L372),'env Parameter'!G:G,""),"")</f>
        <v>7.6</v>
      </c>
      <c r="F372" t="str">
        <f>eDNA!F372</f>
        <v>MiFish</v>
      </c>
      <c r="G372" t="str">
        <f>eDNA!D372</f>
        <v>Homo sapiens</v>
      </c>
      <c r="H372" t="str">
        <f>_xlfn.XLOOKUP(G372,'Common name (master file)'!$B:$B,'Common name (master file)'!$A:$A,"-------------")</f>
        <v>사람</v>
      </c>
      <c r="I372">
        <f>eDNA!E372</f>
        <v>483</v>
      </c>
      <c r="J372" t="str">
        <f>_xlfn.XLOOKUP(G372,'Common name (master file)'!$B:$B,'Common name (master file)'!$C:$C,"")</f>
        <v>포유류</v>
      </c>
      <c r="K372">
        <f>eDNA!B372</f>
        <v>126.8771357</v>
      </c>
      <c r="L372">
        <f>eDNA!C372</f>
        <v>37.553306900000003</v>
      </c>
      <c r="M372" s="10" t="str" cm="1">
        <f t="array" ref="M372">IFERROR(_xlfn.XLOOKUP(1,('env Parameter'!$A:$A=$A372)*('env Parameter'!$B:$B=$K372)*('env Parameter'!$C:$C=$L372),'env Parameter'!D:D,""),"")</f>
        <v>안양천-11</v>
      </c>
      <c r="N372" s="10" t="str" cm="1">
        <f t="array" ref="N372">IFERROR(_xlfn.XLOOKUP(1,('env Parameter'!$A:$A=$A372)*('env Parameter'!$B:$B=$K372)*('env Parameter'!$C:$C=$L372),'env Parameter'!I:I,""),"")</f>
        <v>YR</v>
      </c>
    </row>
    <row r="373" spans="1:14">
      <c r="A373">
        <f>eDNA!A373</f>
        <v>20200717</v>
      </c>
      <c r="B373" s="10" t="str" cm="1">
        <f t="array" ref="B373">IFERROR(_xlfn.XLOOKUP(1,('env Parameter'!$A:$A=$A373)*('env Parameter'!$B:$B=$K373)*('env Parameter'!$C:$C=$L373),'env Parameter'!H:H,""),"")</f>
        <v>생물상 조사</v>
      </c>
      <c r="C373" s="10" cm="1">
        <f t="array" ref="C373">IFERROR(_xlfn.XLOOKUP(1,('env Parameter'!$A:$A=$A373)*('env Parameter'!$B:$B=$K373)*('env Parameter'!$C:$C=$L373),'env Parameter'!E:E,""),"")</f>
        <v>2.14</v>
      </c>
      <c r="D373" s="10" cm="1">
        <f t="array" ref="D373">IFERROR(_xlfn.XLOOKUP(1,('env Parameter'!$A:$A=$A373)*('env Parameter'!$B:$B=$K373)*('env Parameter'!$C:$C=$L373),'env Parameter'!F:F,""),"")</f>
        <v>478</v>
      </c>
      <c r="E373" s="10" cm="1">
        <f t="array" ref="E373">IFERROR(_xlfn.XLOOKUP(1,('env Parameter'!$A:$A=$A373)*('env Parameter'!$B:$B=$K373)*('env Parameter'!$C:$C=$L373),'env Parameter'!G:G,""),"")</f>
        <v>7.6</v>
      </c>
      <c r="F373" t="str">
        <f>eDNA!F373</f>
        <v>MiFish</v>
      </c>
      <c r="G373" t="str">
        <f>eDNA!D373</f>
        <v>Lateolabrax maculatus</v>
      </c>
      <c r="H373" t="str">
        <f>_xlfn.XLOOKUP(G373,'Common name (master file)'!$B:$B,'Common name (master file)'!$A:$A,"-------------")</f>
        <v>점농어</v>
      </c>
      <c r="I373">
        <f>eDNA!E373</f>
        <v>434</v>
      </c>
      <c r="J373" t="str">
        <f>_xlfn.XLOOKUP(G373,'Common name (master file)'!$B:$B,'Common name (master file)'!$C:$C,"")</f>
        <v>어류</v>
      </c>
      <c r="K373">
        <f>eDNA!B373</f>
        <v>126.8771357</v>
      </c>
      <c r="L373">
        <f>eDNA!C373</f>
        <v>37.553306900000003</v>
      </c>
      <c r="M373" s="10" t="str" cm="1">
        <f t="array" ref="M373">IFERROR(_xlfn.XLOOKUP(1,('env Parameter'!$A:$A=$A373)*('env Parameter'!$B:$B=$K373)*('env Parameter'!$C:$C=$L373),'env Parameter'!D:D,""),"")</f>
        <v>안양천-11</v>
      </c>
      <c r="N373" s="10" t="str" cm="1">
        <f t="array" ref="N373">IFERROR(_xlfn.XLOOKUP(1,('env Parameter'!$A:$A=$A373)*('env Parameter'!$B:$B=$K373)*('env Parameter'!$C:$C=$L373),'env Parameter'!I:I,""),"")</f>
        <v>YR</v>
      </c>
    </row>
    <row r="374" spans="1:14">
      <c r="A374">
        <f>eDNA!A374</f>
        <v>20200717</v>
      </c>
      <c r="B374" s="10" t="str" cm="1">
        <f t="array" ref="B374">IFERROR(_xlfn.XLOOKUP(1,('env Parameter'!$A:$A=$A374)*('env Parameter'!$B:$B=$K374)*('env Parameter'!$C:$C=$L374),'env Parameter'!H:H,""),"")</f>
        <v>생물상 조사</v>
      </c>
      <c r="C374" s="10" cm="1">
        <f t="array" ref="C374">IFERROR(_xlfn.XLOOKUP(1,('env Parameter'!$A:$A=$A374)*('env Parameter'!$B:$B=$K374)*('env Parameter'!$C:$C=$L374),'env Parameter'!E:E,""),"")</f>
        <v>2.14</v>
      </c>
      <c r="D374" s="10" cm="1">
        <f t="array" ref="D374">IFERROR(_xlfn.XLOOKUP(1,('env Parameter'!$A:$A=$A374)*('env Parameter'!$B:$B=$K374)*('env Parameter'!$C:$C=$L374),'env Parameter'!F:F,""),"")</f>
        <v>478</v>
      </c>
      <c r="E374" s="10" cm="1">
        <f t="array" ref="E374">IFERROR(_xlfn.XLOOKUP(1,('env Parameter'!$A:$A=$A374)*('env Parameter'!$B:$B=$K374)*('env Parameter'!$C:$C=$L374),'env Parameter'!G:G,""),"")</f>
        <v>7.6</v>
      </c>
      <c r="F374" t="str">
        <f>eDNA!F374</f>
        <v>MiFish</v>
      </c>
      <c r="G374" t="str">
        <f>eDNA!D374</f>
        <v>Tridentiger trigonocephalus</v>
      </c>
      <c r="H374" t="str">
        <f>_xlfn.XLOOKUP(G374,'Common name (master file)'!$B:$B,'Common name (master file)'!$A:$A,"-------------")</f>
        <v>두줄망둑</v>
      </c>
      <c r="I374">
        <f>eDNA!E374</f>
        <v>438</v>
      </c>
      <c r="J374" t="str">
        <f>_xlfn.XLOOKUP(G374,'Common name (master file)'!$B:$B,'Common name (master file)'!$C:$C,"")</f>
        <v>어류</v>
      </c>
      <c r="K374">
        <f>eDNA!B374</f>
        <v>126.8771357</v>
      </c>
      <c r="L374">
        <f>eDNA!C374</f>
        <v>37.553306900000003</v>
      </c>
      <c r="M374" s="10" t="str" cm="1">
        <f t="array" ref="M374">IFERROR(_xlfn.XLOOKUP(1,('env Parameter'!$A:$A=$A374)*('env Parameter'!$B:$B=$K374)*('env Parameter'!$C:$C=$L374),'env Parameter'!D:D,""),"")</f>
        <v>안양천-11</v>
      </c>
      <c r="N374" s="10" t="str" cm="1">
        <f t="array" ref="N374">IFERROR(_xlfn.XLOOKUP(1,('env Parameter'!$A:$A=$A374)*('env Parameter'!$B:$B=$K374)*('env Parameter'!$C:$C=$L374),'env Parameter'!I:I,""),"")</f>
        <v>YR</v>
      </c>
    </row>
    <row r="375" spans="1:14">
      <c r="A375">
        <f>eDNA!A375</f>
        <v>20200717</v>
      </c>
      <c r="B375" s="10" t="str" cm="1">
        <f t="array" ref="B375">IFERROR(_xlfn.XLOOKUP(1,('env Parameter'!$A:$A=$A375)*('env Parameter'!$B:$B=$K375)*('env Parameter'!$C:$C=$L375),'env Parameter'!H:H,""),"")</f>
        <v>생물상 조사</v>
      </c>
      <c r="C375" s="10" cm="1">
        <f t="array" ref="C375">IFERROR(_xlfn.XLOOKUP(1,('env Parameter'!$A:$A=$A375)*('env Parameter'!$B:$B=$K375)*('env Parameter'!$C:$C=$L375),'env Parameter'!E:E,""),"")</f>
        <v>2.14</v>
      </c>
      <c r="D375" s="10" cm="1">
        <f t="array" ref="D375">IFERROR(_xlfn.XLOOKUP(1,('env Parameter'!$A:$A=$A375)*('env Parameter'!$B:$B=$K375)*('env Parameter'!$C:$C=$L375),'env Parameter'!F:F,""),"")</f>
        <v>478</v>
      </c>
      <c r="E375" s="10" cm="1">
        <f t="array" ref="E375">IFERROR(_xlfn.XLOOKUP(1,('env Parameter'!$A:$A=$A375)*('env Parameter'!$B:$B=$K375)*('env Parameter'!$C:$C=$L375),'env Parameter'!G:G,""),"")</f>
        <v>7.6</v>
      </c>
      <c r="F375" t="str">
        <f>eDNA!F375</f>
        <v>MiFish</v>
      </c>
      <c r="G375" t="str">
        <f>eDNA!D375</f>
        <v>Hemibarbus sp.</v>
      </c>
      <c r="H375" t="str">
        <f>_xlfn.XLOOKUP(G375,'Common name (master file)'!$B:$B,'Common name (master file)'!$A:$A,"-------------")</f>
        <v>누치 속</v>
      </c>
      <c r="I375">
        <f>eDNA!E375</f>
        <v>671</v>
      </c>
      <c r="J375" t="str">
        <f>_xlfn.XLOOKUP(G375,'Common name (master file)'!$B:$B,'Common name (master file)'!$C:$C,"")</f>
        <v>어류</v>
      </c>
      <c r="K375">
        <f>eDNA!B375</f>
        <v>126.8771357</v>
      </c>
      <c r="L375">
        <f>eDNA!C375</f>
        <v>37.553306900000003</v>
      </c>
      <c r="M375" s="10" t="str" cm="1">
        <f t="array" ref="M375">IFERROR(_xlfn.XLOOKUP(1,('env Parameter'!$A:$A=$A375)*('env Parameter'!$B:$B=$K375)*('env Parameter'!$C:$C=$L375),'env Parameter'!D:D,""),"")</f>
        <v>안양천-11</v>
      </c>
      <c r="N375" s="10" t="str" cm="1">
        <f t="array" ref="N375">IFERROR(_xlfn.XLOOKUP(1,('env Parameter'!$A:$A=$A375)*('env Parameter'!$B:$B=$K375)*('env Parameter'!$C:$C=$L375),'env Parameter'!I:I,""),"")</f>
        <v>YR</v>
      </c>
    </row>
    <row r="376" spans="1:14">
      <c r="A376">
        <f>eDNA!A376</f>
        <v>20200717</v>
      </c>
      <c r="B376" s="10" t="str" cm="1">
        <f t="array" ref="B376">IFERROR(_xlfn.XLOOKUP(1,('env Parameter'!$A:$A=$A376)*('env Parameter'!$B:$B=$K376)*('env Parameter'!$C:$C=$L376),'env Parameter'!H:H,""),"")</f>
        <v>생물상 조사</v>
      </c>
      <c r="C376" s="10" cm="1">
        <f t="array" ref="C376">IFERROR(_xlfn.XLOOKUP(1,('env Parameter'!$A:$A=$A376)*('env Parameter'!$B:$B=$K376)*('env Parameter'!$C:$C=$L376),'env Parameter'!E:E,""),"")</f>
        <v>2.14</v>
      </c>
      <c r="D376" s="10" cm="1">
        <f t="array" ref="D376">IFERROR(_xlfn.XLOOKUP(1,('env Parameter'!$A:$A=$A376)*('env Parameter'!$B:$B=$K376)*('env Parameter'!$C:$C=$L376),'env Parameter'!F:F,""),"")</f>
        <v>478</v>
      </c>
      <c r="E376" s="10" cm="1">
        <f t="array" ref="E376">IFERROR(_xlfn.XLOOKUP(1,('env Parameter'!$A:$A=$A376)*('env Parameter'!$B:$B=$K376)*('env Parameter'!$C:$C=$L376),'env Parameter'!G:G,""),"")</f>
        <v>7.6</v>
      </c>
      <c r="F376" t="str">
        <f>eDNA!F376</f>
        <v>MiFish</v>
      </c>
      <c r="G376" t="str">
        <f>eDNA!D376</f>
        <v>Rhinogobius sp.</v>
      </c>
      <c r="H376" t="str">
        <f>_xlfn.XLOOKUP(G376,'Common name (master file)'!$B:$B,'Common name (master file)'!$A:$A,"-------------")</f>
        <v>밀어</v>
      </c>
      <c r="I376">
        <f>eDNA!E376</f>
        <v>951</v>
      </c>
      <c r="J376" t="str">
        <f>_xlfn.XLOOKUP(G376,'Common name (master file)'!$B:$B,'Common name (master file)'!$C:$C,"")</f>
        <v>어류</v>
      </c>
      <c r="K376">
        <f>eDNA!B376</f>
        <v>126.8771357</v>
      </c>
      <c r="L376">
        <f>eDNA!C376</f>
        <v>37.553306900000003</v>
      </c>
      <c r="M376" s="10" t="str" cm="1">
        <f t="array" ref="M376">IFERROR(_xlfn.XLOOKUP(1,('env Parameter'!$A:$A=$A376)*('env Parameter'!$B:$B=$K376)*('env Parameter'!$C:$C=$L376),'env Parameter'!D:D,""),"")</f>
        <v>안양천-11</v>
      </c>
      <c r="N376" s="10" t="str" cm="1">
        <f t="array" ref="N376">IFERROR(_xlfn.XLOOKUP(1,('env Parameter'!$A:$A=$A376)*('env Parameter'!$B:$B=$K376)*('env Parameter'!$C:$C=$L376),'env Parameter'!I:I,""),"")</f>
        <v>YR</v>
      </c>
    </row>
    <row r="377" spans="1:14">
      <c r="A377">
        <f>eDNA!A377</f>
        <v>20200717</v>
      </c>
      <c r="B377" s="10" t="str" cm="1">
        <f t="array" ref="B377">IFERROR(_xlfn.XLOOKUP(1,('env Parameter'!$A:$A=$A377)*('env Parameter'!$B:$B=$K377)*('env Parameter'!$C:$C=$L377),'env Parameter'!H:H,""),"")</f>
        <v>생물상 조사</v>
      </c>
      <c r="C377" s="10" cm="1">
        <f t="array" ref="C377">IFERROR(_xlfn.XLOOKUP(1,('env Parameter'!$A:$A=$A377)*('env Parameter'!$B:$B=$K377)*('env Parameter'!$C:$C=$L377),'env Parameter'!E:E,""),"")</f>
        <v>2.14</v>
      </c>
      <c r="D377" s="10" cm="1">
        <f t="array" ref="D377">IFERROR(_xlfn.XLOOKUP(1,('env Parameter'!$A:$A=$A377)*('env Parameter'!$B:$B=$K377)*('env Parameter'!$C:$C=$L377),'env Parameter'!F:F,""),"")</f>
        <v>478</v>
      </c>
      <c r="E377" s="10" cm="1">
        <f t="array" ref="E377">IFERROR(_xlfn.XLOOKUP(1,('env Parameter'!$A:$A=$A377)*('env Parameter'!$B:$B=$K377)*('env Parameter'!$C:$C=$L377),'env Parameter'!G:G,""),"")</f>
        <v>7.6</v>
      </c>
      <c r="F377" t="str">
        <f>eDNA!F377</f>
        <v>MiFish</v>
      </c>
      <c r="G377" t="str">
        <f>eDNA!D377</f>
        <v>Carassius sp.</v>
      </c>
      <c r="H377" t="str">
        <f>_xlfn.XLOOKUP(G377,'Common name (master file)'!$B:$B,'Common name (master file)'!$A:$A,"-------------")</f>
        <v>붕어 속</v>
      </c>
      <c r="I377">
        <f>eDNA!E377</f>
        <v>914</v>
      </c>
      <c r="J377" t="str">
        <f>_xlfn.XLOOKUP(G377,'Common name (master file)'!$B:$B,'Common name (master file)'!$C:$C,"")</f>
        <v>어류</v>
      </c>
      <c r="K377">
        <f>eDNA!B377</f>
        <v>126.8771357</v>
      </c>
      <c r="L377">
        <f>eDNA!C377</f>
        <v>37.553306900000003</v>
      </c>
      <c r="M377" s="10" t="str" cm="1">
        <f t="array" ref="M377">IFERROR(_xlfn.XLOOKUP(1,('env Parameter'!$A:$A=$A377)*('env Parameter'!$B:$B=$K377)*('env Parameter'!$C:$C=$L377),'env Parameter'!D:D,""),"")</f>
        <v>안양천-11</v>
      </c>
      <c r="N377" s="10" t="str" cm="1">
        <f t="array" ref="N377">IFERROR(_xlfn.XLOOKUP(1,('env Parameter'!$A:$A=$A377)*('env Parameter'!$B:$B=$K377)*('env Parameter'!$C:$C=$L377),'env Parameter'!I:I,""),"")</f>
        <v>YR</v>
      </c>
    </row>
    <row r="378" spans="1:14">
      <c r="A378">
        <f>eDNA!A378</f>
        <v>20200717</v>
      </c>
      <c r="B378" s="10" t="str" cm="1">
        <f t="array" ref="B378">IFERROR(_xlfn.XLOOKUP(1,('env Parameter'!$A:$A=$A378)*('env Parameter'!$B:$B=$K378)*('env Parameter'!$C:$C=$L378),'env Parameter'!H:H,""),"")</f>
        <v>생물상 조사</v>
      </c>
      <c r="C378" s="10" cm="1">
        <f t="array" ref="C378">IFERROR(_xlfn.XLOOKUP(1,('env Parameter'!$A:$A=$A378)*('env Parameter'!$B:$B=$K378)*('env Parameter'!$C:$C=$L378),'env Parameter'!E:E,""),"")</f>
        <v>2.14</v>
      </c>
      <c r="D378" s="10" cm="1">
        <f t="array" ref="D378">IFERROR(_xlfn.XLOOKUP(1,('env Parameter'!$A:$A=$A378)*('env Parameter'!$B:$B=$K378)*('env Parameter'!$C:$C=$L378),'env Parameter'!F:F,""),"")</f>
        <v>478</v>
      </c>
      <c r="E378" s="10" cm="1">
        <f t="array" ref="E378">IFERROR(_xlfn.XLOOKUP(1,('env Parameter'!$A:$A=$A378)*('env Parameter'!$B:$B=$K378)*('env Parameter'!$C:$C=$L378),'env Parameter'!G:G,""),"")</f>
        <v>7.6</v>
      </c>
      <c r="F378" t="str">
        <f>eDNA!F378</f>
        <v>MiFish</v>
      </c>
      <c r="G378" t="str">
        <f>eDNA!D378</f>
        <v>Silurus soldatovi</v>
      </c>
      <c r="H378" t="str">
        <f>_xlfn.XLOOKUP(G378,'Common name (master file)'!$B:$B,'Common name (master file)'!$A:$A,"-------------")</f>
        <v>솔다토비 메기</v>
      </c>
      <c r="I378">
        <f>eDNA!E378</f>
        <v>1315</v>
      </c>
      <c r="J378" t="str">
        <f>_xlfn.XLOOKUP(G378,'Common name (master file)'!$B:$B,'Common name (master file)'!$C:$C,"")</f>
        <v>어류</v>
      </c>
      <c r="K378">
        <f>eDNA!B378</f>
        <v>126.8771357</v>
      </c>
      <c r="L378">
        <f>eDNA!C378</f>
        <v>37.553306900000003</v>
      </c>
      <c r="M378" s="10" t="str" cm="1">
        <f t="array" ref="M378">IFERROR(_xlfn.XLOOKUP(1,('env Parameter'!$A:$A=$A378)*('env Parameter'!$B:$B=$K378)*('env Parameter'!$C:$C=$L378),'env Parameter'!D:D,""),"")</f>
        <v>안양천-11</v>
      </c>
      <c r="N378" s="10" t="str" cm="1">
        <f t="array" ref="N378">IFERROR(_xlfn.XLOOKUP(1,('env Parameter'!$A:$A=$A378)*('env Parameter'!$B:$B=$K378)*('env Parameter'!$C:$C=$L378),'env Parameter'!I:I,""),"")</f>
        <v>YR</v>
      </c>
    </row>
    <row r="379" spans="1:14">
      <c r="A379">
        <f>eDNA!A379</f>
        <v>20200717</v>
      </c>
      <c r="B379" s="10" t="str" cm="1">
        <f t="array" ref="B379">IFERROR(_xlfn.XLOOKUP(1,('env Parameter'!$A:$A=$A379)*('env Parameter'!$B:$B=$K379)*('env Parameter'!$C:$C=$L379),'env Parameter'!H:H,""),"")</f>
        <v>생물상 조사</v>
      </c>
      <c r="C379" s="10" cm="1">
        <f t="array" ref="C379">IFERROR(_xlfn.XLOOKUP(1,('env Parameter'!$A:$A=$A379)*('env Parameter'!$B:$B=$K379)*('env Parameter'!$C:$C=$L379),'env Parameter'!E:E,""),"")</f>
        <v>2.14</v>
      </c>
      <c r="D379" s="10" cm="1">
        <f t="array" ref="D379">IFERROR(_xlfn.XLOOKUP(1,('env Parameter'!$A:$A=$A379)*('env Parameter'!$B:$B=$K379)*('env Parameter'!$C:$C=$L379),'env Parameter'!F:F,""),"")</f>
        <v>478</v>
      </c>
      <c r="E379" s="10" cm="1">
        <f t="array" ref="E379">IFERROR(_xlfn.XLOOKUP(1,('env Parameter'!$A:$A=$A379)*('env Parameter'!$B:$B=$K379)*('env Parameter'!$C:$C=$L379),'env Parameter'!G:G,""),"")</f>
        <v>7.6</v>
      </c>
      <c r="F379" t="str">
        <f>eDNA!F379</f>
        <v>MiFish</v>
      </c>
      <c r="G379" t="str">
        <f>eDNA!D379</f>
        <v>Acanthorhodeus chankaensis</v>
      </c>
      <c r="H379" t="str">
        <f>_xlfn.XLOOKUP(G379,'Common name (master file)'!$B:$B,'Common name (master file)'!$A:$A,"-------------")</f>
        <v>가시납지리</v>
      </c>
      <c r="I379">
        <f>eDNA!E379</f>
        <v>1655</v>
      </c>
      <c r="J379" t="str">
        <f>_xlfn.XLOOKUP(G379,'Common name (master file)'!$B:$B,'Common name (master file)'!$C:$C,"")</f>
        <v>어류</v>
      </c>
      <c r="K379">
        <f>eDNA!B379</f>
        <v>126.8771357</v>
      </c>
      <c r="L379">
        <f>eDNA!C379</f>
        <v>37.553306900000003</v>
      </c>
      <c r="M379" s="10" t="str" cm="1">
        <f t="array" ref="M379">IFERROR(_xlfn.XLOOKUP(1,('env Parameter'!$A:$A=$A379)*('env Parameter'!$B:$B=$K379)*('env Parameter'!$C:$C=$L379),'env Parameter'!D:D,""),"")</f>
        <v>안양천-11</v>
      </c>
      <c r="N379" s="10" t="str" cm="1">
        <f t="array" ref="N379">IFERROR(_xlfn.XLOOKUP(1,('env Parameter'!$A:$A=$A379)*('env Parameter'!$B:$B=$K379)*('env Parameter'!$C:$C=$L379),'env Parameter'!I:I,""),"")</f>
        <v>YR</v>
      </c>
    </row>
    <row r="380" spans="1:14">
      <c r="A380">
        <f>eDNA!A380</f>
        <v>20200717</v>
      </c>
      <c r="B380" s="10" t="str" cm="1">
        <f t="array" ref="B380">IFERROR(_xlfn.XLOOKUP(1,('env Parameter'!$A:$A=$A380)*('env Parameter'!$B:$B=$K380)*('env Parameter'!$C:$C=$L380),'env Parameter'!H:H,""),"")</f>
        <v>생물상 조사</v>
      </c>
      <c r="C380" s="10" cm="1">
        <f t="array" ref="C380">IFERROR(_xlfn.XLOOKUP(1,('env Parameter'!$A:$A=$A380)*('env Parameter'!$B:$B=$K380)*('env Parameter'!$C:$C=$L380),'env Parameter'!E:E,""),"")</f>
        <v>2.14</v>
      </c>
      <c r="D380" s="10" cm="1">
        <f t="array" ref="D380">IFERROR(_xlfn.XLOOKUP(1,('env Parameter'!$A:$A=$A380)*('env Parameter'!$B:$B=$K380)*('env Parameter'!$C:$C=$L380),'env Parameter'!F:F,""),"")</f>
        <v>478</v>
      </c>
      <c r="E380" s="10" cm="1">
        <f t="array" ref="E380">IFERROR(_xlfn.XLOOKUP(1,('env Parameter'!$A:$A=$A380)*('env Parameter'!$B:$B=$K380)*('env Parameter'!$C:$C=$L380),'env Parameter'!G:G,""),"")</f>
        <v>7.6</v>
      </c>
      <c r="F380" t="str">
        <f>eDNA!F380</f>
        <v>MiFish</v>
      </c>
      <c r="G380" t="str">
        <f>eDNA!D380</f>
        <v>Synechogobius hasta</v>
      </c>
      <c r="H380" t="str">
        <f>_xlfn.XLOOKUP(G380,'Common name (master file)'!$B:$B,'Common name (master file)'!$A:$A,"-------------")</f>
        <v>풀망둑</v>
      </c>
      <c r="I380">
        <f>eDNA!E380</f>
        <v>3062</v>
      </c>
      <c r="J380" t="str">
        <f>_xlfn.XLOOKUP(G380,'Common name (master file)'!$B:$B,'Common name (master file)'!$C:$C,"")</f>
        <v>어류</v>
      </c>
      <c r="K380">
        <f>eDNA!B380</f>
        <v>126.8771357</v>
      </c>
      <c r="L380">
        <f>eDNA!C380</f>
        <v>37.553306900000003</v>
      </c>
      <c r="M380" s="10" t="str" cm="1">
        <f t="array" ref="M380">IFERROR(_xlfn.XLOOKUP(1,('env Parameter'!$A:$A=$A380)*('env Parameter'!$B:$B=$K380)*('env Parameter'!$C:$C=$L380),'env Parameter'!D:D,""),"")</f>
        <v>안양천-11</v>
      </c>
      <c r="N380" s="10" t="str" cm="1">
        <f t="array" ref="N380">IFERROR(_xlfn.XLOOKUP(1,('env Parameter'!$A:$A=$A380)*('env Parameter'!$B:$B=$K380)*('env Parameter'!$C:$C=$L380),'env Parameter'!I:I,""),"")</f>
        <v>YR</v>
      </c>
    </row>
    <row r="381" spans="1:14">
      <c r="A381">
        <f>eDNA!A381</f>
        <v>20200717</v>
      </c>
      <c r="B381" s="10" t="str" cm="1">
        <f t="array" ref="B381">IFERROR(_xlfn.XLOOKUP(1,('env Parameter'!$A:$A=$A381)*('env Parameter'!$B:$B=$K381)*('env Parameter'!$C:$C=$L381),'env Parameter'!H:H,""),"")</f>
        <v>생물상 조사</v>
      </c>
      <c r="C381" s="10" cm="1">
        <f t="array" ref="C381">IFERROR(_xlfn.XLOOKUP(1,('env Parameter'!$A:$A=$A381)*('env Parameter'!$B:$B=$K381)*('env Parameter'!$C:$C=$L381),'env Parameter'!E:E,""),"")</f>
        <v>2.14</v>
      </c>
      <c r="D381" s="10" cm="1">
        <f t="array" ref="D381">IFERROR(_xlfn.XLOOKUP(1,('env Parameter'!$A:$A=$A381)*('env Parameter'!$B:$B=$K381)*('env Parameter'!$C:$C=$L381),'env Parameter'!F:F,""),"")</f>
        <v>478</v>
      </c>
      <c r="E381" s="10" cm="1">
        <f t="array" ref="E381">IFERROR(_xlfn.XLOOKUP(1,('env Parameter'!$A:$A=$A381)*('env Parameter'!$B:$B=$K381)*('env Parameter'!$C:$C=$L381),'env Parameter'!G:G,""),"")</f>
        <v>7.6</v>
      </c>
      <c r="F381" t="str">
        <f>eDNA!F381</f>
        <v>MiFish</v>
      </c>
      <c r="G381" t="str">
        <f>eDNA!D381</f>
        <v>Culter dabryi</v>
      </c>
      <c r="H381" t="str">
        <f>_xlfn.XLOOKUP(G381,'Common name (master file)'!$B:$B,'Common name (master file)'!$A:$A,"-------------")</f>
        <v>다브리날카로운입치</v>
      </c>
      <c r="I381">
        <f>eDNA!E381</f>
        <v>4766</v>
      </c>
      <c r="J381" t="str">
        <f>_xlfn.XLOOKUP(G381,'Common name (master file)'!$B:$B,'Common name (master file)'!$C:$C,"")</f>
        <v>어류</v>
      </c>
      <c r="K381">
        <f>eDNA!B381</f>
        <v>126.8771357</v>
      </c>
      <c r="L381">
        <f>eDNA!C381</f>
        <v>37.553306900000003</v>
      </c>
      <c r="M381" s="10" t="str" cm="1">
        <f t="array" ref="M381">IFERROR(_xlfn.XLOOKUP(1,('env Parameter'!$A:$A=$A381)*('env Parameter'!$B:$B=$K381)*('env Parameter'!$C:$C=$L381),'env Parameter'!D:D,""),"")</f>
        <v>안양천-11</v>
      </c>
      <c r="N381" s="10" t="str" cm="1">
        <f t="array" ref="N381">IFERROR(_xlfn.XLOOKUP(1,('env Parameter'!$A:$A=$A381)*('env Parameter'!$B:$B=$K381)*('env Parameter'!$C:$C=$L381),'env Parameter'!I:I,""),"")</f>
        <v>YR</v>
      </c>
    </row>
    <row r="382" spans="1:14">
      <c r="A382">
        <f>eDNA!A382</f>
        <v>20200717</v>
      </c>
      <c r="B382" s="10" t="str" cm="1">
        <f t="array" ref="B382">IFERROR(_xlfn.XLOOKUP(1,('env Parameter'!$A:$A=$A382)*('env Parameter'!$B:$B=$K382)*('env Parameter'!$C:$C=$L382),'env Parameter'!H:H,""),"")</f>
        <v>생물상 조사</v>
      </c>
      <c r="C382" s="10" cm="1">
        <f t="array" ref="C382">IFERROR(_xlfn.XLOOKUP(1,('env Parameter'!$A:$A=$A382)*('env Parameter'!$B:$B=$K382)*('env Parameter'!$C:$C=$L382),'env Parameter'!E:E,""),"")</f>
        <v>2.14</v>
      </c>
      <c r="D382" s="10" cm="1">
        <f t="array" ref="D382">IFERROR(_xlfn.XLOOKUP(1,('env Parameter'!$A:$A=$A382)*('env Parameter'!$B:$B=$K382)*('env Parameter'!$C:$C=$L382),'env Parameter'!F:F,""),"")</f>
        <v>478</v>
      </c>
      <c r="E382" s="10" cm="1">
        <f t="array" ref="E382">IFERROR(_xlfn.XLOOKUP(1,('env Parameter'!$A:$A=$A382)*('env Parameter'!$B:$B=$K382)*('env Parameter'!$C:$C=$L382),'env Parameter'!G:G,""),"")</f>
        <v>7.6</v>
      </c>
      <c r="F382" t="str">
        <f>eDNA!F382</f>
        <v>MiFish</v>
      </c>
      <c r="G382" t="str">
        <f>eDNA!D382</f>
        <v>Tridentiger obscurus</v>
      </c>
      <c r="H382" t="str">
        <f>_xlfn.XLOOKUP(G382,'Common name (master file)'!$B:$B,'Common name (master file)'!$A:$A,"-------------")</f>
        <v>검정망둑</v>
      </c>
      <c r="I382">
        <f>eDNA!E382</f>
        <v>9456</v>
      </c>
      <c r="J382" t="str">
        <f>_xlfn.XLOOKUP(G382,'Common name (master file)'!$B:$B,'Common name (master file)'!$C:$C,"")</f>
        <v>어류</v>
      </c>
      <c r="K382">
        <f>eDNA!B382</f>
        <v>126.8771357</v>
      </c>
      <c r="L382">
        <f>eDNA!C382</f>
        <v>37.553306900000003</v>
      </c>
      <c r="M382" s="10" t="str" cm="1">
        <f t="array" ref="M382">IFERROR(_xlfn.XLOOKUP(1,('env Parameter'!$A:$A=$A382)*('env Parameter'!$B:$B=$K382)*('env Parameter'!$C:$C=$L382),'env Parameter'!D:D,""),"")</f>
        <v>안양천-11</v>
      </c>
      <c r="N382" s="10" t="str" cm="1">
        <f t="array" ref="N382">IFERROR(_xlfn.XLOOKUP(1,('env Parameter'!$A:$A=$A382)*('env Parameter'!$B:$B=$K382)*('env Parameter'!$C:$C=$L382),'env Parameter'!I:I,""),"")</f>
        <v>YR</v>
      </c>
    </row>
    <row r="383" spans="1:14">
      <c r="A383">
        <f>eDNA!A383</f>
        <v>20200717</v>
      </c>
      <c r="B383" s="10" t="str" cm="1">
        <f t="array" ref="B383">IFERROR(_xlfn.XLOOKUP(1,('env Parameter'!$A:$A=$A383)*('env Parameter'!$B:$B=$K383)*('env Parameter'!$C:$C=$L383),'env Parameter'!H:H,""),"")</f>
        <v>생물상 조사</v>
      </c>
      <c r="C383" s="10" cm="1">
        <f t="array" ref="C383">IFERROR(_xlfn.XLOOKUP(1,('env Parameter'!$A:$A=$A383)*('env Parameter'!$B:$B=$K383)*('env Parameter'!$C:$C=$L383),'env Parameter'!E:E,""),"")</f>
        <v>2.14</v>
      </c>
      <c r="D383" s="10" cm="1">
        <f t="array" ref="D383">IFERROR(_xlfn.XLOOKUP(1,('env Parameter'!$A:$A=$A383)*('env Parameter'!$B:$B=$K383)*('env Parameter'!$C:$C=$L383),'env Parameter'!F:F,""),"")</f>
        <v>478</v>
      </c>
      <c r="E383" s="10" cm="1">
        <f t="array" ref="E383">IFERROR(_xlfn.XLOOKUP(1,('env Parameter'!$A:$A=$A383)*('env Parameter'!$B:$B=$K383)*('env Parameter'!$C:$C=$L383),'env Parameter'!G:G,""),"")</f>
        <v>7.6</v>
      </c>
      <c r="F383" t="str">
        <f>eDNA!F383</f>
        <v>MiFish</v>
      </c>
      <c r="G383" t="str">
        <f>eDNA!D383</f>
        <v>Carassius gibelio</v>
      </c>
      <c r="H383" t="str">
        <f>_xlfn.XLOOKUP(G383,'Common name (master file)'!$B:$B,'Common name (master file)'!$A:$A,"-------------")</f>
        <v>기벨리오 붕어</v>
      </c>
      <c r="I383">
        <f>eDNA!E383</f>
        <v>14777</v>
      </c>
      <c r="J383" t="str">
        <f>_xlfn.XLOOKUP(G383,'Common name (master file)'!$B:$B,'Common name (master file)'!$C:$C,"")</f>
        <v>어류</v>
      </c>
      <c r="K383">
        <f>eDNA!B383</f>
        <v>126.8771357</v>
      </c>
      <c r="L383">
        <f>eDNA!C383</f>
        <v>37.553306900000003</v>
      </c>
      <c r="M383" s="10" t="str" cm="1">
        <f t="array" ref="M383">IFERROR(_xlfn.XLOOKUP(1,('env Parameter'!$A:$A=$A383)*('env Parameter'!$B:$B=$K383)*('env Parameter'!$C:$C=$L383),'env Parameter'!D:D,""),"")</f>
        <v>안양천-11</v>
      </c>
      <c r="N383" s="10" t="str" cm="1">
        <f t="array" ref="N383">IFERROR(_xlfn.XLOOKUP(1,('env Parameter'!$A:$A=$A383)*('env Parameter'!$B:$B=$K383)*('env Parameter'!$C:$C=$L383),'env Parameter'!I:I,""),"")</f>
        <v>YR</v>
      </c>
    </row>
    <row r="384" spans="1:14">
      <c r="A384">
        <f>eDNA!A384</f>
        <v>20200717</v>
      </c>
      <c r="B384" s="10" t="str" cm="1">
        <f t="array" ref="B384">IFERROR(_xlfn.XLOOKUP(1,('env Parameter'!$A:$A=$A384)*('env Parameter'!$B:$B=$K384)*('env Parameter'!$C:$C=$L384),'env Parameter'!H:H,""),"")</f>
        <v>생물상 조사</v>
      </c>
      <c r="C384" s="10" cm="1">
        <f t="array" ref="C384">IFERROR(_xlfn.XLOOKUP(1,('env Parameter'!$A:$A=$A384)*('env Parameter'!$B:$B=$K384)*('env Parameter'!$C:$C=$L384),'env Parameter'!E:E,""),"")</f>
        <v>2.14</v>
      </c>
      <c r="D384" s="10" cm="1">
        <f t="array" ref="D384">IFERROR(_xlfn.XLOOKUP(1,('env Parameter'!$A:$A=$A384)*('env Parameter'!$B:$B=$K384)*('env Parameter'!$C:$C=$L384),'env Parameter'!F:F,""),"")</f>
        <v>478</v>
      </c>
      <c r="E384" s="10" cm="1">
        <f t="array" ref="E384">IFERROR(_xlfn.XLOOKUP(1,('env Parameter'!$A:$A=$A384)*('env Parameter'!$B:$B=$K384)*('env Parameter'!$C:$C=$L384),'env Parameter'!G:G,""),"")</f>
        <v>7.6</v>
      </c>
      <c r="F384" t="str">
        <f>eDNA!F384</f>
        <v>MiFish</v>
      </c>
      <c r="G384" t="str">
        <f>eDNA!D384</f>
        <v>Planiliza haematocheila</v>
      </c>
      <c r="H384" t="str">
        <f>_xlfn.XLOOKUP(G384,'Common name (master file)'!$B:$B,'Common name (master file)'!$A:$A,"-------------")</f>
        <v>가숭어</v>
      </c>
      <c r="I384">
        <f>eDNA!E384</f>
        <v>14935</v>
      </c>
      <c r="J384" t="str">
        <f>_xlfn.XLOOKUP(G384,'Common name (master file)'!$B:$B,'Common name (master file)'!$C:$C,"")</f>
        <v>어류</v>
      </c>
      <c r="K384">
        <f>eDNA!B384</f>
        <v>126.8771357</v>
      </c>
      <c r="L384">
        <f>eDNA!C384</f>
        <v>37.553306900000003</v>
      </c>
      <c r="M384" s="10" t="str" cm="1">
        <f t="array" ref="M384">IFERROR(_xlfn.XLOOKUP(1,('env Parameter'!$A:$A=$A384)*('env Parameter'!$B:$B=$K384)*('env Parameter'!$C:$C=$L384),'env Parameter'!D:D,""),"")</f>
        <v>안양천-11</v>
      </c>
      <c r="N384" s="10" t="str" cm="1">
        <f t="array" ref="N384">IFERROR(_xlfn.XLOOKUP(1,('env Parameter'!$A:$A=$A384)*('env Parameter'!$B:$B=$K384)*('env Parameter'!$C:$C=$L384),'env Parameter'!I:I,""),"")</f>
        <v>YR</v>
      </c>
    </row>
    <row r="385" spans="1:14">
      <c r="A385">
        <f>eDNA!A385</f>
        <v>20200717</v>
      </c>
      <c r="B385" s="10" t="str" cm="1">
        <f t="array" ref="B385">IFERROR(_xlfn.XLOOKUP(1,('env Parameter'!$A:$A=$A385)*('env Parameter'!$B:$B=$K385)*('env Parameter'!$C:$C=$L385),'env Parameter'!H:H,""),"")</f>
        <v>생물상 조사</v>
      </c>
      <c r="C385" s="10" cm="1">
        <f t="array" ref="C385">IFERROR(_xlfn.XLOOKUP(1,('env Parameter'!$A:$A=$A385)*('env Parameter'!$B:$B=$K385)*('env Parameter'!$C:$C=$L385),'env Parameter'!E:E,""),"")</f>
        <v>2.14</v>
      </c>
      <c r="D385" s="10" cm="1">
        <f t="array" ref="D385">IFERROR(_xlfn.XLOOKUP(1,('env Parameter'!$A:$A=$A385)*('env Parameter'!$B:$B=$K385)*('env Parameter'!$C:$C=$L385),'env Parameter'!F:F,""),"")</f>
        <v>478</v>
      </c>
      <c r="E385" s="10" cm="1">
        <f t="array" ref="E385">IFERROR(_xlfn.XLOOKUP(1,('env Parameter'!$A:$A=$A385)*('env Parameter'!$B:$B=$K385)*('env Parameter'!$C:$C=$L385),'env Parameter'!G:G,""),"")</f>
        <v>7.6</v>
      </c>
      <c r="F385" t="str">
        <f>eDNA!F385</f>
        <v>MiFish</v>
      </c>
      <c r="G385" t="str">
        <f>eDNA!D385</f>
        <v>Pseudorasbora parva</v>
      </c>
      <c r="H385" t="str">
        <f>_xlfn.XLOOKUP(G385,'Common name (master file)'!$B:$B,'Common name (master file)'!$A:$A,"-------------")</f>
        <v>참붕어</v>
      </c>
      <c r="I385">
        <f>eDNA!E385</f>
        <v>17413</v>
      </c>
      <c r="J385" t="str">
        <f>_xlfn.XLOOKUP(G385,'Common name (master file)'!$B:$B,'Common name (master file)'!$C:$C,"")</f>
        <v>어류</v>
      </c>
      <c r="K385">
        <f>eDNA!B385</f>
        <v>126.8771357</v>
      </c>
      <c r="L385">
        <f>eDNA!C385</f>
        <v>37.553306900000003</v>
      </c>
      <c r="M385" s="10" t="str" cm="1">
        <f t="array" ref="M385">IFERROR(_xlfn.XLOOKUP(1,('env Parameter'!$A:$A=$A385)*('env Parameter'!$B:$B=$K385)*('env Parameter'!$C:$C=$L385),'env Parameter'!D:D,""),"")</f>
        <v>안양천-11</v>
      </c>
      <c r="N385" s="10" t="str" cm="1">
        <f t="array" ref="N385">IFERROR(_xlfn.XLOOKUP(1,('env Parameter'!$A:$A=$A385)*('env Parameter'!$B:$B=$K385)*('env Parameter'!$C:$C=$L385),'env Parameter'!I:I,""),"")</f>
        <v>YR</v>
      </c>
    </row>
    <row r="386" spans="1:14">
      <c r="A386">
        <f>eDNA!A386</f>
        <v>20200717</v>
      </c>
      <c r="B386" s="10" t="str" cm="1">
        <f t="array" ref="B386">IFERROR(_xlfn.XLOOKUP(1,('env Parameter'!$A:$A=$A386)*('env Parameter'!$B:$B=$K386)*('env Parameter'!$C:$C=$L386),'env Parameter'!H:H,""),"")</f>
        <v>생물상 조사</v>
      </c>
      <c r="C386" s="10" cm="1">
        <f t="array" ref="C386">IFERROR(_xlfn.XLOOKUP(1,('env Parameter'!$A:$A=$A386)*('env Parameter'!$B:$B=$K386)*('env Parameter'!$C:$C=$L386),'env Parameter'!E:E,""),"")</f>
        <v>2.14</v>
      </c>
      <c r="D386" s="10" cm="1">
        <f t="array" ref="D386">IFERROR(_xlfn.XLOOKUP(1,('env Parameter'!$A:$A=$A386)*('env Parameter'!$B:$B=$K386)*('env Parameter'!$C:$C=$L386),'env Parameter'!F:F,""),"")</f>
        <v>478</v>
      </c>
      <c r="E386" s="10" cm="1">
        <f t="array" ref="E386">IFERROR(_xlfn.XLOOKUP(1,('env Parameter'!$A:$A=$A386)*('env Parameter'!$B:$B=$K386)*('env Parameter'!$C:$C=$L386),'env Parameter'!G:G,""),"")</f>
        <v>7.6</v>
      </c>
      <c r="F386" t="str">
        <f>eDNA!F386</f>
        <v>MiFish</v>
      </c>
      <c r="G386" t="str">
        <f>eDNA!D386</f>
        <v>Bos taurus</v>
      </c>
      <c r="H386" t="str">
        <f>_xlfn.XLOOKUP(G386,'Common name (master file)'!$B:$B,'Common name (master file)'!$A:$A,"-------------")</f>
        <v>소</v>
      </c>
      <c r="I386">
        <f>eDNA!E386</f>
        <v>14</v>
      </c>
      <c r="J386" t="str">
        <f>_xlfn.XLOOKUP(G386,'Common name (master file)'!$B:$B,'Common name (master file)'!$C:$C,"")</f>
        <v>포유류</v>
      </c>
      <c r="K386">
        <f>eDNA!B386</f>
        <v>126.85185540000001</v>
      </c>
      <c r="L386">
        <f>eDNA!C386</f>
        <v>37.406578799999998</v>
      </c>
      <c r="M386" s="10" t="str" cm="1">
        <f t="array" ref="M386">IFERROR(_xlfn.XLOOKUP(1,('env Parameter'!$A:$A=$A386)*('env Parameter'!$B:$B=$K386)*('env Parameter'!$C:$C=$L386),'env Parameter'!D:D,""),"")</f>
        <v>목감천-4</v>
      </c>
      <c r="N386" s="10" t="str" cm="1">
        <f t="array" ref="N386">IFERROR(_xlfn.XLOOKUP(1,('env Parameter'!$A:$A=$A386)*('env Parameter'!$B:$B=$K386)*('env Parameter'!$C:$C=$L386),'env Parameter'!I:I,""),"")</f>
        <v>YR</v>
      </c>
    </row>
    <row r="387" spans="1:14">
      <c r="A387">
        <f>eDNA!A387</f>
        <v>20200717</v>
      </c>
      <c r="B387" s="10" t="str" cm="1">
        <f t="array" ref="B387">IFERROR(_xlfn.XLOOKUP(1,('env Parameter'!$A:$A=$A387)*('env Parameter'!$B:$B=$K387)*('env Parameter'!$C:$C=$L387),'env Parameter'!H:H,""),"")</f>
        <v>생물상 조사</v>
      </c>
      <c r="C387" s="10" cm="1">
        <f t="array" ref="C387">IFERROR(_xlfn.XLOOKUP(1,('env Parameter'!$A:$A=$A387)*('env Parameter'!$B:$B=$K387)*('env Parameter'!$C:$C=$L387),'env Parameter'!E:E,""),"")</f>
        <v>2.14</v>
      </c>
      <c r="D387" s="10" cm="1">
        <f t="array" ref="D387">IFERROR(_xlfn.XLOOKUP(1,('env Parameter'!$A:$A=$A387)*('env Parameter'!$B:$B=$K387)*('env Parameter'!$C:$C=$L387),'env Parameter'!F:F,""),"")</f>
        <v>478</v>
      </c>
      <c r="E387" s="10" cm="1">
        <f t="array" ref="E387">IFERROR(_xlfn.XLOOKUP(1,('env Parameter'!$A:$A=$A387)*('env Parameter'!$B:$B=$K387)*('env Parameter'!$C:$C=$L387),'env Parameter'!G:G,""),"")</f>
        <v>7.6</v>
      </c>
      <c r="F387" t="str">
        <f>eDNA!F387</f>
        <v>MiFish</v>
      </c>
      <c r="G387" t="str">
        <f>eDNA!D387</f>
        <v>Cyprinus megalophthalmus</v>
      </c>
      <c r="H387" t="str">
        <f>_xlfn.XLOOKUP(G387,'Common name (master file)'!$B:$B,'Common name (master file)'!$A:$A,"-------------")</f>
        <v>큰눈잉어</v>
      </c>
      <c r="I387">
        <f>eDNA!E387</f>
        <v>26</v>
      </c>
      <c r="J387" t="str">
        <f>_xlfn.XLOOKUP(G387,'Common name (master file)'!$B:$B,'Common name (master file)'!$C:$C,"")</f>
        <v>어류</v>
      </c>
      <c r="K387">
        <f>eDNA!B387</f>
        <v>126.85185540000001</v>
      </c>
      <c r="L387">
        <f>eDNA!C387</f>
        <v>37.406578799999998</v>
      </c>
      <c r="M387" s="10" t="str" cm="1">
        <f t="array" ref="M387">IFERROR(_xlfn.XLOOKUP(1,('env Parameter'!$A:$A=$A387)*('env Parameter'!$B:$B=$K387)*('env Parameter'!$C:$C=$L387),'env Parameter'!D:D,""),"")</f>
        <v>목감천-4</v>
      </c>
      <c r="N387" s="10" t="str" cm="1">
        <f t="array" ref="N387">IFERROR(_xlfn.XLOOKUP(1,('env Parameter'!$A:$A=$A387)*('env Parameter'!$B:$B=$K387)*('env Parameter'!$C:$C=$L387),'env Parameter'!I:I,""),"")</f>
        <v>YR</v>
      </c>
    </row>
    <row r="388" spans="1:14">
      <c r="A388">
        <f>eDNA!A388</f>
        <v>20200717</v>
      </c>
      <c r="B388" s="10" t="str" cm="1">
        <f t="array" ref="B388">IFERROR(_xlfn.XLOOKUP(1,('env Parameter'!$A:$A=$A388)*('env Parameter'!$B:$B=$K388)*('env Parameter'!$C:$C=$L388),'env Parameter'!H:H,""),"")</f>
        <v>생물상 조사</v>
      </c>
      <c r="C388" s="10" cm="1">
        <f t="array" ref="C388">IFERROR(_xlfn.XLOOKUP(1,('env Parameter'!$A:$A=$A388)*('env Parameter'!$B:$B=$K388)*('env Parameter'!$C:$C=$L388),'env Parameter'!E:E,""),"")</f>
        <v>2.14</v>
      </c>
      <c r="D388" s="10" cm="1">
        <f t="array" ref="D388">IFERROR(_xlfn.XLOOKUP(1,('env Parameter'!$A:$A=$A388)*('env Parameter'!$B:$B=$K388)*('env Parameter'!$C:$C=$L388),'env Parameter'!F:F,""),"")</f>
        <v>478</v>
      </c>
      <c r="E388" s="10" cm="1">
        <f t="array" ref="E388">IFERROR(_xlfn.XLOOKUP(1,('env Parameter'!$A:$A=$A388)*('env Parameter'!$B:$B=$K388)*('env Parameter'!$C:$C=$L388),'env Parameter'!G:G,""),"")</f>
        <v>7.6</v>
      </c>
      <c r="F388" t="str">
        <f>eDNA!F388</f>
        <v>MiFish</v>
      </c>
      <c r="G388" t="str">
        <f>eDNA!D388</f>
        <v>Tadorna tadorna</v>
      </c>
      <c r="H388" t="str">
        <f>_xlfn.XLOOKUP(G388,'Common name (master file)'!$B:$B,'Common name (master file)'!$A:$A,"-------------")</f>
        <v>혹부리오리</v>
      </c>
      <c r="I388">
        <f>eDNA!E388</f>
        <v>30</v>
      </c>
      <c r="J388" t="str">
        <f>_xlfn.XLOOKUP(G388,'Common name (master file)'!$B:$B,'Common name (master file)'!$C:$C,"")</f>
        <v>조류</v>
      </c>
      <c r="K388">
        <f>eDNA!B388</f>
        <v>126.85185540000001</v>
      </c>
      <c r="L388">
        <f>eDNA!C388</f>
        <v>37.406578799999998</v>
      </c>
      <c r="M388" s="10" t="str" cm="1">
        <f t="array" ref="M388">IFERROR(_xlfn.XLOOKUP(1,('env Parameter'!$A:$A=$A388)*('env Parameter'!$B:$B=$K388)*('env Parameter'!$C:$C=$L388),'env Parameter'!D:D,""),"")</f>
        <v>목감천-4</v>
      </c>
      <c r="N388" s="10" t="str" cm="1">
        <f t="array" ref="N388">IFERROR(_xlfn.XLOOKUP(1,('env Parameter'!$A:$A=$A388)*('env Parameter'!$B:$B=$K388)*('env Parameter'!$C:$C=$L388),'env Parameter'!I:I,""),"")</f>
        <v>YR</v>
      </c>
    </row>
    <row r="389" spans="1:14">
      <c r="A389">
        <f>eDNA!A389</f>
        <v>20200717</v>
      </c>
      <c r="B389" s="10" t="str" cm="1">
        <f t="array" ref="B389">IFERROR(_xlfn.XLOOKUP(1,('env Parameter'!$A:$A=$A389)*('env Parameter'!$B:$B=$K389)*('env Parameter'!$C:$C=$L389),'env Parameter'!H:H,""),"")</f>
        <v>생물상 조사</v>
      </c>
      <c r="C389" s="10" cm="1">
        <f t="array" ref="C389">IFERROR(_xlfn.XLOOKUP(1,('env Parameter'!$A:$A=$A389)*('env Parameter'!$B:$B=$K389)*('env Parameter'!$C:$C=$L389),'env Parameter'!E:E,""),"")</f>
        <v>2.14</v>
      </c>
      <c r="D389" s="10" cm="1">
        <f t="array" ref="D389">IFERROR(_xlfn.XLOOKUP(1,('env Parameter'!$A:$A=$A389)*('env Parameter'!$B:$B=$K389)*('env Parameter'!$C:$C=$L389),'env Parameter'!F:F,""),"")</f>
        <v>478</v>
      </c>
      <c r="E389" s="10" cm="1">
        <f t="array" ref="E389">IFERROR(_xlfn.XLOOKUP(1,('env Parameter'!$A:$A=$A389)*('env Parameter'!$B:$B=$K389)*('env Parameter'!$C:$C=$L389),'env Parameter'!G:G,""),"")</f>
        <v>7.6</v>
      </c>
      <c r="F389" t="str">
        <f>eDNA!F389</f>
        <v>MiFish</v>
      </c>
      <c r="G389" t="str">
        <f>eDNA!D389</f>
        <v>Paramisgurnus dabryanus</v>
      </c>
      <c r="H389" t="str">
        <f>_xlfn.XLOOKUP(G389,'Common name (master file)'!$B:$B,'Common name (master file)'!$A:$A,"-------------")</f>
        <v>중국미꾸라지</v>
      </c>
      <c r="I389">
        <f>eDNA!E389</f>
        <v>38</v>
      </c>
      <c r="J389" t="str">
        <f>_xlfn.XLOOKUP(G389,'Common name (master file)'!$B:$B,'Common name (master file)'!$C:$C,"")</f>
        <v>어류</v>
      </c>
      <c r="K389">
        <f>eDNA!B389</f>
        <v>126.85185540000001</v>
      </c>
      <c r="L389">
        <f>eDNA!C389</f>
        <v>37.406578799999998</v>
      </c>
      <c r="M389" s="10" t="str" cm="1">
        <f t="array" ref="M389">IFERROR(_xlfn.XLOOKUP(1,('env Parameter'!$A:$A=$A389)*('env Parameter'!$B:$B=$K389)*('env Parameter'!$C:$C=$L389),'env Parameter'!D:D,""),"")</f>
        <v>목감천-4</v>
      </c>
      <c r="N389" s="10" t="str" cm="1">
        <f t="array" ref="N389">IFERROR(_xlfn.XLOOKUP(1,('env Parameter'!$A:$A=$A389)*('env Parameter'!$B:$B=$K389)*('env Parameter'!$C:$C=$L389),'env Parameter'!I:I,""),"")</f>
        <v>YR</v>
      </c>
    </row>
    <row r="390" spans="1:14">
      <c r="A390">
        <f>eDNA!A390</f>
        <v>20200717</v>
      </c>
      <c r="B390" s="10" t="str" cm="1">
        <f t="array" ref="B390">IFERROR(_xlfn.XLOOKUP(1,('env Parameter'!$A:$A=$A390)*('env Parameter'!$B:$B=$K390)*('env Parameter'!$C:$C=$L390),'env Parameter'!H:H,""),"")</f>
        <v>생물상 조사</v>
      </c>
      <c r="C390" s="10" cm="1">
        <f t="array" ref="C390">IFERROR(_xlfn.XLOOKUP(1,('env Parameter'!$A:$A=$A390)*('env Parameter'!$B:$B=$K390)*('env Parameter'!$C:$C=$L390),'env Parameter'!E:E,""),"")</f>
        <v>2.14</v>
      </c>
      <c r="D390" s="10" cm="1">
        <f t="array" ref="D390">IFERROR(_xlfn.XLOOKUP(1,('env Parameter'!$A:$A=$A390)*('env Parameter'!$B:$B=$K390)*('env Parameter'!$C:$C=$L390),'env Parameter'!F:F,""),"")</f>
        <v>478</v>
      </c>
      <c r="E390" s="10" cm="1">
        <f t="array" ref="E390">IFERROR(_xlfn.XLOOKUP(1,('env Parameter'!$A:$A=$A390)*('env Parameter'!$B:$B=$K390)*('env Parameter'!$C:$C=$L390),'env Parameter'!G:G,""),"")</f>
        <v>7.6</v>
      </c>
      <c r="F390" t="str">
        <f>eDNA!F390</f>
        <v>MiFish</v>
      </c>
      <c r="G390" t="str">
        <f>eDNA!D390</f>
        <v>Capra hircus</v>
      </c>
      <c r="H390" t="str">
        <f>_xlfn.XLOOKUP(G390,'Common name (master file)'!$B:$B,'Common name (master file)'!$A:$A,"-------------")</f>
        <v>염소</v>
      </c>
      <c r="I390">
        <f>eDNA!E390</f>
        <v>47</v>
      </c>
      <c r="J390" t="str">
        <f>_xlfn.XLOOKUP(G390,'Common name (master file)'!$B:$B,'Common name (master file)'!$C:$C,"")</f>
        <v>포유류</v>
      </c>
      <c r="K390">
        <f>eDNA!B390</f>
        <v>126.85185540000001</v>
      </c>
      <c r="L390">
        <f>eDNA!C390</f>
        <v>37.406578799999998</v>
      </c>
      <c r="M390" s="10" t="str" cm="1">
        <f t="array" ref="M390">IFERROR(_xlfn.XLOOKUP(1,('env Parameter'!$A:$A=$A390)*('env Parameter'!$B:$B=$K390)*('env Parameter'!$C:$C=$L390),'env Parameter'!D:D,""),"")</f>
        <v>목감천-4</v>
      </c>
      <c r="N390" s="10" t="str" cm="1">
        <f t="array" ref="N390">IFERROR(_xlfn.XLOOKUP(1,('env Parameter'!$A:$A=$A390)*('env Parameter'!$B:$B=$K390)*('env Parameter'!$C:$C=$L390),'env Parameter'!I:I,""),"")</f>
        <v>YR</v>
      </c>
    </row>
    <row r="391" spans="1:14">
      <c r="A391">
        <f>eDNA!A391</f>
        <v>20200717</v>
      </c>
      <c r="B391" s="10" t="str" cm="1">
        <f t="array" ref="B391">IFERROR(_xlfn.XLOOKUP(1,('env Parameter'!$A:$A=$A391)*('env Parameter'!$B:$B=$K391)*('env Parameter'!$C:$C=$L391),'env Parameter'!H:H,""),"")</f>
        <v>생물상 조사</v>
      </c>
      <c r="C391" s="10" cm="1">
        <f t="array" ref="C391">IFERROR(_xlfn.XLOOKUP(1,('env Parameter'!$A:$A=$A391)*('env Parameter'!$B:$B=$K391)*('env Parameter'!$C:$C=$L391),'env Parameter'!E:E,""),"")</f>
        <v>2.14</v>
      </c>
      <c r="D391" s="10" cm="1">
        <f t="array" ref="D391">IFERROR(_xlfn.XLOOKUP(1,('env Parameter'!$A:$A=$A391)*('env Parameter'!$B:$B=$K391)*('env Parameter'!$C:$C=$L391),'env Parameter'!F:F,""),"")</f>
        <v>478</v>
      </c>
      <c r="E391" s="10" cm="1">
        <f t="array" ref="E391">IFERROR(_xlfn.XLOOKUP(1,('env Parameter'!$A:$A=$A391)*('env Parameter'!$B:$B=$K391)*('env Parameter'!$C:$C=$L391),'env Parameter'!G:G,""),"")</f>
        <v>7.6</v>
      </c>
      <c r="F391" t="str">
        <f>eDNA!F391</f>
        <v>MiFish</v>
      </c>
      <c r="G391" t="str">
        <f>eDNA!D391</f>
        <v>Rhinogobius giurinus</v>
      </c>
      <c r="H391" t="str">
        <f>_xlfn.XLOOKUP(G391,'Common name (master file)'!$B:$B,'Common name (master file)'!$A:$A,"-------------")</f>
        <v>갈문망둑</v>
      </c>
      <c r="I391">
        <f>eDNA!E391</f>
        <v>73</v>
      </c>
      <c r="J391" t="str">
        <f>_xlfn.XLOOKUP(G391,'Common name (master file)'!$B:$B,'Common name (master file)'!$C:$C,"")</f>
        <v>어류</v>
      </c>
      <c r="K391">
        <f>eDNA!B391</f>
        <v>126.85185540000001</v>
      </c>
      <c r="L391">
        <f>eDNA!C391</f>
        <v>37.406578799999998</v>
      </c>
      <c r="M391" s="10" t="str" cm="1">
        <f t="array" ref="M391">IFERROR(_xlfn.XLOOKUP(1,('env Parameter'!$A:$A=$A391)*('env Parameter'!$B:$B=$K391)*('env Parameter'!$C:$C=$L391),'env Parameter'!D:D,""),"")</f>
        <v>목감천-4</v>
      </c>
      <c r="N391" s="10" t="str" cm="1">
        <f t="array" ref="N391">IFERROR(_xlfn.XLOOKUP(1,('env Parameter'!$A:$A=$A391)*('env Parameter'!$B:$B=$K391)*('env Parameter'!$C:$C=$L391),'env Parameter'!I:I,""),"")</f>
        <v>YR</v>
      </c>
    </row>
    <row r="392" spans="1:14">
      <c r="A392">
        <f>eDNA!A392</f>
        <v>20200717</v>
      </c>
      <c r="B392" s="10" t="str" cm="1">
        <f t="array" ref="B392">IFERROR(_xlfn.XLOOKUP(1,('env Parameter'!$A:$A=$A392)*('env Parameter'!$B:$B=$K392)*('env Parameter'!$C:$C=$L392),'env Parameter'!H:H,""),"")</f>
        <v>생물상 조사</v>
      </c>
      <c r="C392" s="10" cm="1">
        <f t="array" ref="C392">IFERROR(_xlfn.XLOOKUP(1,('env Parameter'!$A:$A=$A392)*('env Parameter'!$B:$B=$K392)*('env Parameter'!$C:$C=$L392),'env Parameter'!E:E,""),"")</f>
        <v>2.14</v>
      </c>
      <c r="D392" s="10" cm="1">
        <f t="array" ref="D392">IFERROR(_xlfn.XLOOKUP(1,('env Parameter'!$A:$A=$A392)*('env Parameter'!$B:$B=$K392)*('env Parameter'!$C:$C=$L392),'env Parameter'!F:F,""),"")</f>
        <v>478</v>
      </c>
      <c r="E392" s="10" cm="1">
        <f t="array" ref="E392">IFERROR(_xlfn.XLOOKUP(1,('env Parameter'!$A:$A=$A392)*('env Parameter'!$B:$B=$K392)*('env Parameter'!$C:$C=$L392),'env Parameter'!G:G,""),"")</f>
        <v>7.6</v>
      </c>
      <c r="F392" t="str">
        <f>eDNA!F392</f>
        <v>MiFish</v>
      </c>
      <c r="G392" t="str">
        <f>eDNA!D392</f>
        <v>Pelodiscus sinensis</v>
      </c>
      <c r="H392" t="str">
        <f>_xlfn.XLOOKUP(G392,'Common name (master file)'!$B:$B,'Common name (master file)'!$A:$A,"-------------")</f>
        <v>중국자라</v>
      </c>
      <c r="I392">
        <f>eDNA!E392</f>
        <v>123</v>
      </c>
      <c r="J392" t="str">
        <f>_xlfn.XLOOKUP(G392,'Common name (master file)'!$B:$B,'Common name (master file)'!$C:$C,"")</f>
        <v>양서파충류</v>
      </c>
      <c r="K392">
        <f>eDNA!B392</f>
        <v>126.85185540000001</v>
      </c>
      <c r="L392">
        <f>eDNA!C392</f>
        <v>37.406578799999998</v>
      </c>
      <c r="M392" s="10" t="str" cm="1">
        <f t="array" ref="M392">IFERROR(_xlfn.XLOOKUP(1,('env Parameter'!$A:$A=$A392)*('env Parameter'!$B:$B=$K392)*('env Parameter'!$C:$C=$L392),'env Parameter'!D:D,""),"")</f>
        <v>목감천-4</v>
      </c>
      <c r="N392" s="10" t="str" cm="1">
        <f t="array" ref="N392">IFERROR(_xlfn.XLOOKUP(1,('env Parameter'!$A:$A=$A392)*('env Parameter'!$B:$B=$K392)*('env Parameter'!$C:$C=$L392),'env Parameter'!I:I,""),"")</f>
        <v>YR</v>
      </c>
    </row>
    <row r="393" spans="1:14">
      <c r="A393">
        <f>eDNA!A393</f>
        <v>20200717</v>
      </c>
      <c r="B393" s="10" t="str" cm="1">
        <f t="array" ref="B393">IFERROR(_xlfn.XLOOKUP(1,('env Parameter'!$A:$A=$A393)*('env Parameter'!$B:$B=$K393)*('env Parameter'!$C:$C=$L393),'env Parameter'!H:H,""),"")</f>
        <v>생물상 조사</v>
      </c>
      <c r="C393" s="10" cm="1">
        <f t="array" ref="C393">IFERROR(_xlfn.XLOOKUP(1,('env Parameter'!$A:$A=$A393)*('env Parameter'!$B:$B=$K393)*('env Parameter'!$C:$C=$L393),'env Parameter'!E:E,""),"")</f>
        <v>2.14</v>
      </c>
      <c r="D393" s="10" cm="1">
        <f t="array" ref="D393">IFERROR(_xlfn.XLOOKUP(1,('env Parameter'!$A:$A=$A393)*('env Parameter'!$B:$B=$K393)*('env Parameter'!$C:$C=$L393),'env Parameter'!F:F,""),"")</f>
        <v>478</v>
      </c>
      <c r="E393" s="10" cm="1">
        <f t="array" ref="E393">IFERROR(_xlfn.XLOOKUP(1,('env Parameter'!$A:$A=$A393)*('env Parameter'!$B:$B=$K393)*('env Parameter'!$C:$C=$L393),'env Parameter'!G:G,""),"")</f>
        <v>7.6</v>
      </c>
      <c r="F393" t="str">
        <f>eDNA!F393</f>
        <v>MiFish</v>
      </c>
      <c r="G393" t="str">
        <f>eDNA!D393</f>
        <v>Misgurnus anguillicaudatus</v>
      </c>
      <c r="H393" t="str">
        <f>_xlfn.XLOOKUP(G393,'Common name (master file)'!$B:$B,'Common name (master file)'!$A:$A,"-------------")</f>
        <v>미꾸리</v>
      </c>
      <c r="I393">
        <f>eDNA!E393</f>
        <v>139</v>
      </c>
      <c r="J393" t="str">
        <f>_xlfn.XLOOKUP(G393,'Common name (master file)'!$B:$B,'Common name (master file)'!$C:$C,"")</f>
        <v>어류</v>
      </c>
      <c r="K393">
        <f>eDNA!B393</f>
        <v>126.85185540000001</v>
      </c>
      <c r="L393">
        <f>eDNA!C393</f>
        <v>37.406578799999998</v>
      </c>
      <c r="M393" s="10" t="str" cm="1">
        <f t="array" ref="M393">IFERROR(_xlfn.XLOOKUP(1,('env Parameter'!$A:$A=$A393)*('env Parameter'!$B:$B=$K393)*('env Parameter'!$C:$C=$L393),'env Parameter'!D:D,""),"")</f>
        <v>목감천-4</v>
      </c>
      <c r="N393" s="10" t="str" cm="1">
        <f t="array" ref="N393">IFERROR(_xlfn.XLOOKUP(1,('env Parameter'!$A:$A=$A393)*('env Parameter'!$B:$B=$K393)*('env Parameter'!$C:$C=$L393),'env Parameter'!I:I,""),"")</f>
        <v>YR</v>
      </c>
    </row>
    <row r="394" spans="1:14">
      <c r="A394">
        <f>eDNA!A394</f>
        <v>20200717</v>
      </c>
      <c r="B394" s="10" t="str" cm="1">
        <f t="array" ref="B394">IFERROR(_xlfn.XLOOKUP(1,('env Parameter'!$A:$A=$A394)*('env Parameter'!$B:$B=$K394)*('env Parameter'!$C:$C=$L394),'env Parameter'!H:H,""),"")</f>
        <v>생물상 조사</v>
      </c>
      <c r="C394" s="10" cm="1">
        <f t="array" ref="C394">IFERROR(_xlfn.XLOOKUP(1,('env Parameter'!$A:$A=$A394)*('env Parameter'!$B:$B=$K394)*('env Parameter'!$C:$C=$L394),'env Parameter'!E:E,""),"")</f>
        <v>2.14</v>
      </c>
      <c r="D394" s="10" cm="1">
        <f t="array" ref="D394">IFERROR(_xlfn.XLOOKUP(1,('env Parameter'!$A:$A=$A394)*('env Parameter'!$B:$B=$K394)*('env Parameter'!$C:$C=$L394),'env Parameter'!F:F,""),"")</f>
        <v>478</v>
      </c>
      <c r="E394" s="10" cm="1">
        <f t="array" ref="E394">IFERROR(_xlfn.XLOOKUP(1,('env Parameter'!$A:$A=$A394)*('env Parameter'!$B:$B=$K394)*('env Parameter'!$C:$C=$L394),'env Parameter'!G:G,""),"")</f>
        <v>7.6</v>
      </c>
      <c r="F394" t="str">
        <f>eDNA!F394</f>
        <v>MiFish</v>
      </c>
      <c r="G394" t="str">
        <f>eDNA!D394</f>
        <v>Misgurnus bipartitus</v>
      </c>
      <c r="H394" t="str">
        <f>_xlfn.XLOOKUP(G394,'Common name (master file)'!$B:$B,'Common name (master file)'!$A:$A,"-------------")</f>
        <v>쌍무늬미꾸리</v>
      </c>
      <c r="I394">
        <f>eDNA!E394</f>
        <v>263</v>
      </c>
      <c r="J394" t="str">
        <f>_xlfn.XLOOKUP(G394,'Common name (master file)'!$B:$B,'Common name (master file)'!$C:$C,"")</f>
        <v>어류</v>
      </c>
      <c r="K394">
        <f>eDNA!B394</f>
        <v>126.85185540000001</v>
      </c>
      <c r="L394">
        <f>eDNA!C394</f>
        <v>37.406578799999998</v>
      </c>
      <c r="M394" s="10" t="str" cm="1">
        <f t="array" ref="M394">IFERROR(_xlfn.XLOOKUP(1,('env Parameter'!$A:$A=$A394)*('env Parameter'!$B:$B=$K394)*('env Parameter'!$C:$C=$L394),'env Parameter'!D:D,""),"")</f>
        <v>목감천-4</v>
      </c>
      <c r="N394" s="10" t="str" cm="1">
        <f t="array" ref="N394">IFERROR(_xlfn.XLOOKUP(1,('env Parameter'!$A:$A=$A394)*('env Parameter'!$B:$B=$K394)*('env Parameter'!$C:$C=$L394),'env Parameter'!I:I,""),"")</f>
        <v>YR</v>
      </c>
    </row>
    <row r="395" spans="1:14">
      <c r="A395">
        <f>eDNA!A395</f>
        <v>20200717</v>
      </c>
      <c r="B395" s="10" t="str" cm="1">
        <f t="array" ref="B395">IFERROR(_xlfn.XLOOKUP(1,('env Parameter'!$A:$A=$A395)*('env Parameter'!$B:$B=$K395)*('env Parameter'!$C:$C=$L395),'env Parameter'!H:H,""),"")</f>
        <v>생물상 조사</v>
      </c>
      <c r="C395" s="10" cm="1">
        <f t="array" ref="C395">IFERROR(_xlfn.XLOOKUP(1,('env Parameter'!$A:$A=$A395)*('env Parameter'!$B:$B=$K395)*('env Parameter'!$C:$C=$L395),'env Parameter'!E:E,""),"")</f>
        <v>2.14</v>
      </c>
      <c r="D395" s="10" cm="1">
        <f t="array" ref="D395">IFERROR(_xlfn.XLOOKUP(1,('env Parameter'!$A:$A=$A395)*('env Parameter'!$B:$B=$K395)*('env Parameter'!$C:$C=$L395),'env Parameter'!F:F,""),"")</f>
        <v>478</v>
      </c>
      <c r="E395" s="10" cm="1">
        <f t="array" ref="E395">IFERROR(_xlfn.XLOOKUP(1,('env Parameter'!$A:$A=$A395)*('env Parameter'!$B:$B=$K395)*('env Parameter'!$C:$C=$L395),'env Parameter'!G:G,""),"")</f>
        <v>7.6</v>
      </c>
      <c r="F395" t="str">
        <f>eDNA!F395</f>
        <v>MiFish</v>
      </c>
      <c r="G395" t="str">
        <f>eDNA!D395</f>
        <v>Canis lupus familiaris</v>
      </c>
      <c r="H395" t="str">
        <f>_xlfn.XLOOKUP(G395,'Common name (master file)'!$B:$B,'Common name (master file)'!$A:$A,"-------------")</f>
        <v>개</v>
      </c>
      <c r="I395">
        <f>eDNA!E395</f>
        <v>613</v>
      </c>
      <c r="J395" t="str">
        <f>_xlfn.XLOOKUP(G395,'Common name (master file)'!$B:$B,'Common name (master file)'!$C:$C,"")</f>
        <v>포유류</v>
      </c>
      <c r="K395">
        <f>eDNA!B395</f>
        <v>126.85185540000001</v>
      </c>
      <c r="L395">
        <f>eDNA!C395</f>
        <v>37.406578799999998</v>
      </c>
      <c r="M395" s="10" t="str" cm="1">
        <f t="array" ref="M395">IFERROR(_xlfn.XLOOKUP(1,('env Parameter'!$A:$A=$A395)*('env Parameter'!$B:$B=$K395)*('env Parameter'!$C:$C=$L395),'env Parameter'!D:D,""),"")</f>
        <v>목감천-4</v>
      </c>
      <c r="N395" s="10" t="str" cm="1">
        <f t="array" ref="N395">IFERROR(_xlfn.XLOOKUP(1,('env Parameter'!$A:$A=$A395)*('env Parameter'!$B:$B=$K395)*('env Parameter'!$C:$C=$L395),'env Parameter'!I:I,""),"")</f>
        <v>YR</v>
      </c>
    </row>
    <row r="396" spans="1:14">
      <c r="A396">
        <f>eDNA!A396</f>
        <v>20200717</v>
      </c>
      <c r="B396" s="10" t="str" cm="1">
        <f t="array" ref="B396">IFERROR(_xlfn.XLOOKUP(1,('env Parameter'!$A:$A=$A396)*('env Parameter'!$B:$B=$K396)*('env Parameter'!$C:$C=$L396),'env Parameter'!H:H,""),"")</f>
        <v>생물상 조사</v>
      </c>
      <c r="C396" s="10" cm="1">
        <f t="array" ref="C396">IFERROR(_xlfn.XLOOKUP(1,('env Parameter'!$A:$A=$A396)*('env Parameter'!$B:$B=$K396)*('env Parameter'!$C:$C=$L396),'env Parameter'!E:E,""),"")</f>
        <v>2.14</v>
      </c>
      <c r="D396" s="10" cm="1">
        <f t="array" ref="D396">IFERROR(_xlfn.XLOOKUP(1,('env Parameter'!$A:$A=$A396)*('env Parameter'!$B:$B=$K396)*('env Parameter'!$C:$C=$L396),'env Parameter'!F:F,""),"")</f>
        <v>478</v>
      </c>
      <c r="E396" s="10" cm="1">
        <f t="array" ref="E396">IFERROR(_xlfn.XLOOKUP(1,('env Parameter'!$A:$A=$A396)*('env Parameter'!$B:$B=$K396)*('env Parameter'!$C:$C=$L396),'env Parameter'!G:G,""),"")</f>
        <v>7.6</v>
      </c>
      <c r="F396" t="str">
        <f>eDNA!F396</f>
        <v>MiFish</v>
      </c>
      <c r="G396" t="str">
        <f>eDNA!D396</f>
        <v>Carassius sp.</v>
      </c>
      <c r="H396" t="str">
        <f>_xlfn.XLOOKUP(G396,'Common name (master file)'!$B:$B,'Common name (master file)'!$A:$A,"-------------")</f>
        <v>붕어 속</v>
      </c>
      <c r="I396">
        <f>eDNA!E396</f>
        <v>549</v>
      </c>
      <c r="J396" t="str">
        <f>_xlfn.XLOOKUP(G396,'Common name (master file)'!$B:$B,'Common name (master file)'!$C:$C,"")</f>
        <v>어류</v>
      </c>
      <c r="K396">
        <f>eDNA!B396</f>
        <v>126.85185540000001</v>
      </c>
      <c r="L396">
        <f>eDNA!C396</f>
        <v>37.406578799999998</v>
      </c>
      <c r="M396" s="10" t="str" cm="1">
        <f t="array" ref="M396">IFERROR(_xlfn.XLOOKUP(1,('env Parameter'!$A:$A=$A396)*('env Parameter'!$B:$B=$K396)*('env Parameter'!$C:$C=$L396),'env Parameter'!D:D,""),"")</f>
        <v>목감천-4</v>
      </c>
      <c r="N396" s="10" t="str" cm="1">
        <f t="array" ref="N396">IFERROR(_xlfn.XLOOKUP(1,('env Parameter'!$A:$A=$A396)*('env Parameter'!$B:$B=$K396)*('env Parameter'!$C:$C=$L396),'env Parameter'!I:I,""),"")</f>
        <v>YR</v>
      </c>
    </row>
    <row r="397" spans="1:14">
      <c r="A397">
        <f>eDNA!A397</f>
        <v>20200717</v>
      </c>
      <c r="B397" s="10" t="str" cm="1">
        <f t="array" ref="B397">IFERROR(_xlfn.XLOOKUP(1,('env Parameter'!$A:$A=$A397)*('env Parameter'!$B:$B=$K397)*('env Parameter'!$C:$C=$L397),'env Parameter'!H:H,""),"")</f>
        <v>생물상 조사</v>
      </c>
      <c r="C397" s="10" cm="1">
        <f t="array" ref="C397">IFERROR(_xlfn.XLOOKUP(1,('env Parameter'!$A:$A=$A397)*('env Parameter'!$B:$B=$K397)*('env Parameter'!$C:$C=$L397),'env Parameter'!E:E,""),"")</f>
        <v>2.14</v>
      </c>
      <c r="D397" s="10" cm="1">
        <f t="array" ref="D397">IFERROR(_xlfn.XLOOKUP(1,('env Parameter'!$A:$A=$A397)*('env Parameter'!$B:$B=$K397)*('env Parameter'!$C:$C=$L397),'env Parameter'!F:F,""),"")</f>
        <v>478</v>
      </c>
      <c r="E397" s="10" cm="1">
        <f t="array" ref="E397">IFERROR(_xlfn.XLOOKUP(1,('env Parameter'!$A:$A=$A397)*('env Parameter'!$B:$B=$K397)*('env Parameter'!$C:$C=$L397),'env Parameter'!G:G,""),"")</f>
        <v>7.6</v>
      </c>
      <c r="F397" t="str">
        <f>eDNA!F397</f>
        <v>MiFish</v>
      </c>
      <c r="G397" t="str">
        <f>eDNA!D397</f>
        <v>Pseudorasbora parva</v>
      </c>
      <c r="H397" t="str">
        <f>_xlfn.XLOOKUP(G397,'Common name (master file)'!$B:$B,'Common name (master file)'!$A:$A,"-------------")</f>
        <v>참붕어</v>
      </c>
      <c r="I397">
        <f>eDNA!E397</f>
        <v>5052</v>
      </c>
      <c r="J397" t="str">
        <f>_xlfn.XLOOKUP(G397,'Common name (master file)'!$B:$B,'Common name (master file)'!$C:$C,"")</f>
        <v>어류</v>
      </c>
      <c r="K397">
        <f>eDNA!B397</f>
        <v>126.85185540000001</v>
      </c>
      <c r="L397">
        <f>eDNA!C397</f>
        <v>37.406578799999998</v>
      </c>
      <c r="M397" s="10" t="str" cm="1">
        <f t="array" ref="M397">IFERROR(_xlfn.XLOOKUP(1,('env Parameter'!$A:$A=$A397)*('env Parameter'!$B:$B=$K397)*('env Parameter'!$C:$C=$L397),'env Parameter'!D:D,""),"")</f>
        <v>목감천-4</v>
      </c>
      <c r="N397" s="10" t="str" cm="1">
        <f t="array" ref="N397">IFERROR(_xlfn.XLOOKUP(1,('env Parameter'!$A:$A=$A397)*('env Parameter'!$B:$B=$K397)*('env Parameter'!$C:$C=$L397),'env Parameter'!I:I,""),"")</f>
        <v>YR</v>
      </c>
    </row>
    <row r="398" spans="1:14">
      <c r="A398">
        <f>eDNA!A398</f>
        <v>20200717</v>
      </c>
      <c r="B398" s="10" t="str" cm="1">
        <f t="array" ref="B398">IFERROR(_xlfn.XLOOKUP(1,('env Parameter'!$A:$A=$A398)*('env Parameter'!$B:$B=$K398)*('env Parameter'!$C:$C=$L398),'env Parameter'!H:H,""),"")</f>
        <v>생물상 조사</v>
      </c>
      <c r="C398" s="10" cm="1">
        <f t="array" ref="C398">IFERROR(_xlfn.XLOOKUP(1,('env Parameter'!$A:$A=$A398)*('env Parameter'!$B:$B=$K398)*('env Parameter'!$C:$C=$L398),'env Parameter'!E:E,""),"")</f>
        <v>2.14</v>
      </c>
      <c r="D398" s="10" cm="1">
        <f t="array" ref="D398">IFERROR(_xlfn.XLOOKUP(1,('env Parameter'!$A:$A=$A398)*('env Parameter'!$B:$B=$K398)*('env Parameter'!$C:$C=$L398),'env Parameter'!F:F,""),"")</f>
        <v>478</v>
      </c>
      <c r="E398" s="10" cm="1">
        <f t="array" ref="E398">IFERROR(_xlfn.XLOOKUP(1,('env Parameter'!$A:$A=$A398)*('env Parameter'!$B:$B=$K398)*('env Parameter'!$C:$C=$L398),'env Parameter'!G:G,""),"")</f>
        <v>7.6</v>
      </c>
      <c r="F398" t="str">
        <f>eDNA!F398</f>
        <v>MiFish</v>
      </c>
      <c r="G398" t="str">
        <f>eDNA!D398</f>
        <v>Oryzias sinensis</v>
      </c>
      <c r="H398" t="str">
        <f>_xlfn.XLOOKUP(G398,'Common name (master file)'!$B:$B,'Common name (master file)'!$A:$A,"-------------")</f>
        <v>대륙송사리</v>
      </c>
      <c r="I398">
        <f>eDNA!E398</f>
        <v>10054</v>
      </c>
      <c r="J398" t="str">
        <f>_xlfn.XLOOKUP(G398,'Common name (master file)'!$B:$B,'Common name (master file)'!$C:$C,"")</f>
        <v>어류</v>
      </c>
      <c r="K398">
        <f>eDNA!B398</f>
        <v>126.85185540000001</v>
      </c>
      <c r="L398">
        <f>eDNA!C398</f>
        <v>37.406578799999998</v>
      </c>
      <c r="M398" s="10" t="str" cm="1">
        <f t="array" ref="M398">IFERROR(_xlfn.XLOOKUP(1,('env Parameter'!$A:$A=$A398)*('env Parameter'!$B:$B=$K398)*('env Parameter'!$C:$C=$L398),'env Parameter'!D:D,""),"")</f>
        <v>목감천-4</v>
      </c>
      <c r="N398" s="10" t="str" cm="1">
        <f t="array" ref="N398">IFERROR(_xlfn.XLOOKUP(1,('env Parameter'!$A:$A=$A398)*('env Parameter'!$B:$B=$K398)*('env Parameter'!$C:$C=$L398),'env Parameter'!I:I,""),"")</f>
        <v>YR</v>
      </c>
    </row>
    <row r="399" spans="1:14">
      <c r="A399">
        <f>eDNA!A399</f>
        <v>20200717</v>
      </c>
      <c r="B399" s="10" t="str" cm="1">
        <f t="array" ref="B399">IFERROR(_xlfn.XLOOKUP(1,('env Parameter'!$A:$A=$A399)*('env Parameter'!$B:$B=$K399)*('env Parameter'!$C:$C=$L399),'env Parameter'!H:H,""),"")</f>
        <v>생물상 조사</v>
      </c>
      <c r="C399" s="10" cm="1">
        <f t="array" ref="C399">IFERROR(_xlfn.XLOOKUP(1,('env Parameter'!$A:$A=$A399)*('env Parameter'!$B:$B=$K399)*('env Parameter'!$C:$C=$L399),'env Parameter'!E:E,""),"")</f>
        <v>2.14</v>
      </c>
      <c r="D399" s="10" cm="1">
        <f t="array" ref="D399">IFERROR(_xlfn.XLOOKUP(1,('env Parameter'!$A:$A=$A399)*('env Parameter'!$B:$B=$K399)*('env Parameter'!$C:$C=$L399),'env Parameter'!F:F,""),"")</f>
        <v>478</v>
      </c>
      <c r="E399" s="10" cm="1">
        <f t="array" ref="E399">IFERROR(_xlfn.XLOOKUP(1,('env Parameter'!$A:$A=$A399)*('env Parameter'!$B:$B=$K399)*('env Parameter'!$C:$C=$L399),'env Parameter'!G:G,""),"")</f>
        <v>7.6</v>
      </c>
      <c r="F399" t="str">
        <f>eDNA!F399</f>
        <v>MiFish</v>
      </c>
      <c r="G399" t="str">
        <f>eDNA!D399</f>
        <v>Silurus soldatovi</v>
      </c>
      <c r="H399" t="str">
        <f>_xlfn.XLOOKUP(G399,'Common name (master file)'!$B:$B,'Common name (master file)'!$A:$A,"-------------")</f>
        <v>솔다토비 메기</v>
      </c>
      <c r="I399">
        <f>eDNA!E399</f>
        <v>12937</v>
      </c>
      <c r="J399" t="str">
        <f>_xlfn.XLOOKUP(G399,'Common name (master file)'!$B:$B,'Common name (master file)'!$C:$C,"")</f>
        <v>어류</v>
      </c>
      <c r="K399">
        <f>eDNA!B399</f>
        <v>126.85185540000001</v>
      </c>
      <c r="L399">
        <f>eDNA!C399</f>
        <v>37.406578799999998</v>
      </c>
      <c r="M399" s="10" t="str" cm="1">
        <f t="array" ref="M399">IFERROR(_xlfn.XLOOKUP(1,('env Parameter'!$A:$A=$A399)*('env Parameter'!$B:$B=$K399)*('env Parameter'!$C:$C=$L399),'env Parameter'!D:D,""),"")</f>
        <v>목감천-4</v>
      </c>
      <c r="N399" s="10" t="str" cm="1">
        <f t="array" ref="N399">IFERROR(_xlfn.XLOOKUP(1,('env Parameter'!$A:$A=$A399)*('env Parameter'!$B:$B=$K399)*('env Parameter'!$C:$C=$L399),'env Parameter'!I:I,""),"")</f>
        <v>YR</v>
      </c>
    </row>
    <row r="400" spans="1:14">
      <c r="A400">
        <f>eDNA!A400</f>
        <v>20200717</v>
      </c>
      <c r="B400" s="10" t="str" cm="1">
        <f t="array" ref="B400">IFERROR(_xlfn.XLOOKUP(1,('env Parameter'!$A:$A=$A400)*('env Parameter'!$B:$B=$K400)*('env Parameter'!$C:$C=$L400),'env Parameter'!H:H,""),"")</f>
        <v>생물상 조사</v>
      </c>
      <c r="C400" s="10" cm="1">
        <f t="array" ref="C400">IFERROR(_xlfn.XLOOKUP(1,('env Parameter'!$A:$A=$A400)*('env Parameter'!$B:$B=$K400)*('env Parameter'!$C:$C=$L400),'env Parameter'!E:E,""),"")</f>
        <v>2.14</v>
      </c>
      <c r="D400" s="10" cm="1">
        <f t="array" ref="D400">IFERROR(_xlfn.XLOOKUP(1,('env Parameter'!$A:$A=$A400)*('env Parameter'!$B:$B=$K400)*('env Parameter'!$C:$C=$L400),'env Parameter'!F:F,""),"")</f>
        <v>478</v>
      </c>
      <c r="E400" s="10" cm="1">
        <f t="array" ref="E400">IFERROR(_xlfn.XLOOKUP(1,('env Parameter'!$A:$A=$A400)*('env Parameter'!$B:$B=$K400)*('env Parameter'!$C:$C=$L400),'env Parameter'!G:G,""),"")</f>
        <v>7.6</v>
      </c>
      <c r="F400" t="str">
        <f>eDNA!F400</f>
        <v>MiFish</v>
      </c>
      <c r="G400" t="str">
        <f>eDNA!D400</f>
        <v>Misgurnus mizolepis</v>
      </c>
      <c r="H400" t="str">
        <f>_xlfn.XLOOKUP(G400,'Common name (master file)'!$B:$B,'Common name (master file)'!$A:$A,"-------------")</f>
        <v>미꾸라지</v>
      </c>
      <c r="I400">
        <f>eDNA!E400</f>
        <v>23254</v>
      </c>
      <c r="J400" t="str">
        <f>_xlfn.XLOOKUP(G400,'Common name (master file)'!$B:$B,'Common name (master file)'!$C:$C,"")</f>
        <v>어류</v>
      </c>
      <c r="K400">
        <f>eDNA!B400</f>
        <v>126.85185540000001</v>
      </c>
      <c r="L400">
        <f>eDNA!C400</f>
        <v>37.406578799999998</v>
      </c>
      <c r="M400" s="10" t="str" cm="1">
        <f t="array" ref="M400">IFERROR(_xlfn.XLOOKUP(1,('env Parameter'!$A:$A=$A400)*('env Parameter'!$B:$B=$K400)*('env Parameter'!$C:$C=$L400),'env Parameter'!D:D,""),"")</f>
        <v>목감천-4</v>
      </c>
      <c r="N400" s="10" t="str" cm="1">
        <f t="array" ref="N400">IFERROR(_xlfn.XLOOKUP(1,('env Parameter'!$A:$A=$A400)*('env Parameter'!$B:$B=$K400)*('env Parameter'!$C:$C=$L400),'env Parameter'!I:I,""),"")</f>
        <v>YR</v>
      </c>
    </row>
    <row r="401" spans="1:14">
      <c r="A401">
        <f>eDNA!A401</f>
        <v>20200717</v>
      </c>
      <c r="B401" s="10" t="str" cm="1">
        <f t="array" ref="B401">IFERROR(_xlfn.XLOOKUP(1,('env Parameter'!$A:$A=$A401)*('env Parameter'!$B:$B=$K401)*('env Parameter'!$C:$C=$L401),'env Parameter'!H:H,""),"")</f>
        <v>생물상 조사</v>
      </c>
      <c r="C401" s="10" cm="1">
        <f t="array" ref="C401">IFERROR(_xlfn.XLOOKUP(1,('env Parameter'!$A:$A=$A401)*('env Parameter'!$B:$B=$K401)*('env Parameter'!$C:$C=$L401),'env Parameter'!E:E,""),"")</f>
        <v>2.14</v>
      </c>
      <c r="D401" s="10" cm="1">
        <f t="array" ref="D401">IFERROR(_xlfn.XLOOKUP(1,('env Parameter'!$A:$A=$A401)*('env Parameter'!$B:$B=$K401)*('env Parameter'!$C:$C=$L401),'env Parameter'!F:F,""),"")</f>
        <v>478</v>
      </c>
      <c r="E401" s="10" cm="1">
        <f t="array" ref="E401">IFERROR(_xlfn.XLOOKUP(1,('env Parameter'!$A:$A=$A401)*('env Parameter'!$B:$B=$K401)*('env Parameter'!$C:$C=$L401),'env Parameter'!G:G,""),"")</f>
        <v>7.6</v>
      </c>
      <c r="F401" t="str">
        <f>eDNA!F401</f>
        <v>MiFish</v>
      </c>
      <c r="G401" t="str">
        <f>eDNA!D401</f>
        <v>Carassius gibelio</v>
      </c>
      <c r="H401" t="str">
        <f>_xlfn.XLOOKUP(G401,'Common name (master file)'!$B:$B,'Common name (master file)'!$A:$A,"-------------")</f>
        <v>기벨리오 붕어</v>
      </c>
      <c r="I401">
        <f>eDNA!E401</f>
        <v>54085</v>
      </c>
      <c r="J401" t="str">
        <f>_xlfn.XLOOKUP(G401,'Common name (master file)'!$B:$B,'Common name (master file)'!$C:$C,"")</f>
        <v>어류</v>
      </c>
      <c r="K401">
        <f>eDNA!B401</f>
        <v>126.85185540000001</v>
      </c>
      <c r="L401">
        <f>eDNA!C401</f>
        <v>37.406578799999998</v>
      </c>
      <c r="M401" s="10" t="str" cm="1">
        <f t="array" ref="M401">IFERROR(_xlfn.XLOOKUP(1,('env Parameter'!$A:$A=$A401)*('env Parameter'!$B:$B=$K401)*('env Parameter'!$C:$C=$L401),'env Parameter'!D:D,""),"")</f>
        <v>목감천-4</v>
      </c>
      <c r="N401" s="10" t="str" cm="1">
        <f t="array" ref="N401">IFERROR(_xlfn.XLOOKUP(1,('env Parameter'!$A:$A=$A401)*('env Parameter'!$B:$B=$K401)*('env Parameter'!$C:$C=$L401),'env Parameter'!I:I,""),"")</f>
        <v>YR</v>
      </c>
    </row>
    <row r="402" spans="1:14">
      <c r="A402">
        <f>eDNA!A402</f>
        <v>20200717</v>
      </c>
      <c r="B402" s="10" t="str" cm="1">
        <f t="array" ref="B402">IFERROR(_xlfn.XLOOKUP(1,('env Parameter'!$A:$A=$A402)*('env Parameter'!$B:$B=$K402)*('env Parameter'!$C:$C=$L402),'env Parameter'!H:H,""),"")</f>
        <v>생물상 조사</v>
      </c>
      <c r="C402" s="10" cm="1">
        <f t="array" ref="C402">IFERROR(_xlfn.XLOOKUP(1,('env Parameter'!$A:$A=$A402)*('env Parameter'!$B:$B=$K402)*('env Parameter'!$C:$C=$L402),'env Parameter'!E:E,""),"")</f>
        <v>2.14</v>
      </c>
      <c r="D402" s="10" cm="1">
        <f t="array" ref="D402">IFERROR(_xlfn.XLOOKUP(1,('env Parameter'!$A:$A=$A402)*('env Parameter'!$B:$B=$K402)*('env Parameter'!$C:$C=$L402),'env Parameter'!F:F,""),"")</f>
        <v>478</v>
      </c>
      <c r="E402" s="10" cm="1">
        <f t="array" ref="E402">IFERROR(_xlfn.XLOOKUP(1,('env Parameter'!$A:$A=$A402)*('env Parameter'!$B:$B=$K402)*('env Parameter'!$C:$C=$L402),'env Parameter'!G:G,""),"")</f>
        <v>7.6</v>
      </c>
      <c r="F402" t="str">
        <f>eDNA!F402</f>
        <v>MiFish</v>
      </c>
      <c r="G402" t="str">
        <f>eDNA!D402</f>
        <v>Lefua pleskei</v>
      </c>
      <c r="H402" t="str">
        <f>_xlfn.XLOOKUP(G402,'Common name (master file)'!$B:$B,'Common name (master file)'!$A:$A,"-------------")</f>
        <v>참종개</v>
      </c>
      <c r="I402">
        <f>eDNA!E402</f>
        <v>115</v>
      </c>
      <c r="J402" t="str">
        <f>_xlfn.XLOOKUP(G402,'Common name (master file)'!$B:$B,'Common name (master file)'!$C:$C,"")</f>
        <v>어류</v>
      </c>
      <c r="K402">
        <f>eDNA!B402</f>
        <v>126.99657019999999</v>
      </c>
      <c r="L402">
        <f>eDNA!C402</f>
        <v>37.389118600000003</v>
      </c>
      <c r="M402" s="10" t="str" cm="1">
        <f t="array" ref="M402">IFERROR(_xlfn.XLOOKUP(1,('env Parameter'!$A:$A=$A402)*('env Parameter'!$B:$B=$K402)*('env Parameter'!$C:$C=$L402),'env Parameter'!D:D,""),"")</f>
        <v>안양천-19</v>
      </c>
      <c r="N402" s="10" t="str" cm="1">
        <f t="array" ref="N402">IFERROR(_xlfn.XLOOKUP(1,('env Parameter'!$A:$A=$A402)*('env Parameter'!$B:$B=$K402)*('env Parameter'!$C:$C=$L402),'env Parameter'!I:I,""),"")</f>
        <v>YR</v>
      </c>
    </row>
    <row r="403" spans="1:14">
      <c r="A403">
        <f>eDNA!A403</f>
        <v>20200717</v>
      </c>
      <c r="B403" s="10" t="str" cm="1">
        <f t="array" ref="B403">IFERROR(_xlfn.XLOOKUP(1,('env Parameter'!$A:$A=$A403)*('env Parameter'!$B:$B=$K403)*('env Parameter'!$C:$C=$L403),'env Parameter'!H:H,""),"")</f>
        <v>생물상 조사</v>
      </c>
      <c r="C403" s="10" cm="1">
        <f t="array" ref="C403">IFERROR(_xlfn.XLOOKUP(1,('env Parameter'!$A:$A=$A403)*('env Parameter'!$B:$B=$K403)*('env Parameter'!$C:$C=$L403),'env Parameter'!E:E,""),"")</f>
        <v>2.14</v>
      </c>
      <c r="D403" s="10" cm="1">
        <f t="array" ref="D403">IFERROR(_xlfn.XLOOKUP(1,('env Parameter'!$A:$A=$A403)*('env Parameter'!$B:$B=$K403)*('env Parameter'!$C:$C=$L403),'env Parameter'!F:F,""),"")</f>
        <v>478</v>
      </c>
      <c r="E403" s="10" cm="1">
        <f t="array" ref="E403">IFERROR(_xlfn.XLOOKUP(1,('env Parameter'!$A:$A=$A403)*('env Parameter'!$B:$B=$K403)*('env Parameter'!$C:$C=$L403),'env Parameter'!G:G,""),"")</f>
        <v>7.6</v>
      </c>
      <c r="F403" t="str">
        <f>eDNA!F403</f>
        <v>MiFish</v>
      </c>
      <c r="G403" t="str">
        <f>eDNA!D403</f>
        <v>Tadorna tadorna</v>
      </c>
      <c r="H403" t="str">
        <f>_xlfn.XLOOKUP(G403,'Common name (master file)'!$B:$B,'Common name (master file)'!$A:$A,"-------------")</f>
        <v>혹부리오리</v>
      </c>
      <c r="I403">
        <f>eDNA!E403</f>
        <v>12</v>
      </c>
      <c r="J403" t="str">
        <f>_xlfn.XLOOKUP(G403,'Common name (master file)'!$B:$B,'Common name (master file)'!$C:$C,"")</f>
        <v>조류</v>
      </c>
      <c r="K403">
        <f>eDNA!B403</f>
        <v>126.8446659</v>
      </c>
      <c r="L403">
        <f>eDNA!C403</f>
        <v>37.420618699999999</v>
      </c>
      <c r="M403" s="10" t="str" cm="1">
        <f t="array" ref="M403">IFERROR(_xlfn.XLOOKUP(1,('env Parameter'!$A:$A=$A403)*('env Parameter'!$B:$B=$K403)*('env Parameter'!$C:$C=$L403),'env Parameter'!D:D,""),"")</f>
        <v>목감천-3</v>
      </c>
      <c r="N403" s="10" t="str" cm="1">
        <f t="array" ref="N403">IFERROR(_xlfn.XLOOKUP(1,('env Parameter'!$A:$A=$A403)*('env Parameter'!$B:$B=$K403)*('env Parameter'!$C:$C=$L403),'env Parameter'!I:I,""),"")</f>
        <v>YR</v>
      </c>
    </row>
    <row r="404" spans="1:14">
      <c r="A404">
        <f>eDNA!A404</f>
        <v>20200717</v>
      </c>
      <c r="B404" s="10" t="str" cm="1">
        <f t="array" ref="B404">IFERROR(_xlfn.XLOOKUP(1,('env Parameter'!$A:$A=$A404)*('env Parameter'!$B:$B=$K404)*('env Parameter'!$C:$C=$L404),'env Parameter'!H:H,""),"")</f>
        <v>생물상 조사</v>
      </c>
      <c r="C404" s="10" cm="1">
        <f t="array" ref="C404">IFERROR(_xlfn.XLOOKUP(1,('env Parameter'!$A:$A=$A404)*('env Parameter'!$B:$B=$K404)*('env Parameter'!$C:$C=$L404),'env Parameter'!E:E,""),"")</f>
        <v>2.14</v>
      </c>
      <c r="D404" s="10" cm="1">
        <f t="array" ref="D404">IFERROR(_xlfn.XLOOKUP(1,('env Parameter'!$A:$A=$A404)*('env Parameter'!$B:$B=$K404)*('env Parameter'!$C:$C=$L404),'env Parameter'!F:F,""),"")</f>
        <v>478</v>
      </c>
      <c r="E404" s="10" cm="1">
        <f t="array" ref="E404">IFERROR(_xlfn.XLOOKUP(1,('env Parameter'!$A:$A=$A404)*('env Parameter'!$B:$B=$K404)*('env Parameter'!$C:$C=$L404),'env Parameter'!G:G,""),"")</f>
        <v>7.6</v>
      </c>
      <c r="F404" t="str">
        <f>eDNA!F404</f>
        <v>MiFish</v>
      </c>
      <c r="G404" t="str">
        <f>eDNA!D404</f>
        <v>Carassius auratus</v>
      </c>
      <c r="H404" t="str">
        <f>_xlfn.XLOOKUP(G404,'Common name (master file)'!$B:$B,'Common name (master file)'!$A:$A,"-------------")</f>
        <v>붕어</v>
      </c>
      <c r="I404">
        <f>eDNA!E404</f>
        <v>21</v>
      </c>
      <c r="J404" t="str">
        <f>_xlfn.XLOOKUP(G404,'Common name (master file)'!$B:$B,'Common name (master file)'!$C:$C,"")</f>
        <v>어류</v>
      </c>
      <c r="K404">
        <f>eDNA!B404</f>
        <v>126.8446659</v>
      </c>
      <c r="L404">
        <f>eDNA!C404</f>
        <v>37.420618699999999</v>
      </c>
      <c r="M404" s="10" t="str" cm="1">
        <f t="array" ref="M404">IFERROR(_xlfn.XLOOKUP(1,('env Parameter'!$A:$A=$A404)*('env Parameter'!$B:$B=$K404)*('env Parameter'!$C:$C=$L404),'env Parameter'!D:D,""),"")</f>
        <v>목감천-3</v>
      </c>
      <c r="N404" s="10" t="str" cm="1">
        <f t="array" ref="N404">IFERROR(_xlfn.XLOOKUP(1,('env Parameter'!$A:$A=$A404)*('env Parameter'!$B:$B=$K404)*('env Parameter'!$C:$C=$L404),'env Parameter'!I:I,""),"")</f>
        <v>YR</v>
      </c>
    </row>
    <row r="405" spans="1:14">
      <c r="A405">
        <f>eDNA!A405</f>
        <v>20200717</v>
      </c>
      <c r="B405" s="10" t="str" cm="1">
        <f t="array" ref="B405">IFERROR(_xlfn.XLOOKUP(1,('env Parameter'!$A:$A=$A405)*('env Parameter'!$B:$B=$K405)*('env Parameter'!$C:$C=$L405),'env Parameter'!H:H,""),"")</f>
        <v>생물상 조사</v>
      </c>
      <c r="C405" s="10" cm="1">
        <f t="array" ref="C405">IFERROR(_xlfn.XLOOKUP(1,('env Parameter'!$A:$A=$A405)*('env Parameter'!$B:$B=$K405)*('env Parameter'!$C:$C=$L405),'env Parameter'!E:E,""),"")</f>
        <v>2.14</v>
      </c>
      <c r="D405" s="10" cm="1">
        <f t="array" ref="D405">IFERROR(_xlfn.XLOOKUP(1,('env Parameter'!$A:$A=$A405)*('env Parameter'!$B:$B=$K405)*('env Parameter'!$C:$C=$L405),'env Parameter'!F:F,""),"")</f>
        <v>478</v>
      </c>
      <c r="E405" s="10" cm="1">
        <f t="array" ref="E405">IFERROR(_xlfn.XLOOKUP(1,('env Parameter'!$A:$A=$A405)*('env Parameter'!$B:$B=$K405)*('env Parameter'!$C:$C=$L405),'env Parameter'!G:G,""),"")</f>
        <v>7.6</v>
      </c>
      <c r="F405" t="str">
        <f>eDNA!F405</f>
        <v>MiFish</v>
      </c>
      <c r="G405" t="str">
        <f>eDNA!D405</f>
        <v>Carassius cuvieri</v>
      </c>
      <c r="H405" t="str">
        <f>_xlfn.XLOOKUP(G405,'Common name (master file)'!$B:$B,'Common name (master file)'!$A:$A,"-------------")</f>
        <v>떡붕어</v>
      </c>
      <c r="I405">
        <f>eDNA!E405</f>
        <v>41</v>
      </c>
      <c r="J405" t="str">
        <f>_xlfn.XLOOKUP(G405,'Common name (master file)'!$B:$B,'Common name (master file)'!$C:$C,"")</f>
        <v>어류</v>
      </c>
      <c r="K405">
        <f>eDNA!B405</f>
        <v>126.8446659</v>
      </c>
      <c r="L405">
        <f>eDNA!C405</f>
        <v>37.420618699999999</v>
      </c>
      <c r="M405" s="10" t="str" cm="1">
        <f t="array" ref="M405">IFERROR(_xlfn.XLOOKUP(1,('env Parameter'!$A:$A=$A405)*('env Parameter'!$B:$B=$K405)*('env Parameter'!$C:$C=$L405),'env Parameter'!D:D,""),"")</f>
        <v>목감천-3</v>
      </c>
      <c r="N405" s="10" t="str" cm="1">
        <f t="array" ref="N405">IFERROR(_xlfn.XLOOKUP(1,('env Parameter'!$A:$A=$A405)*('env Parameter'!$B:$B=$K405)*('env Parameter'!$C:$C=$L405),'env Parameter'!I:I,""),"")</f>
        <v>YR</v>
      </c>
    </row>
    <row r="406" spans="1:14">
      <c r="A406">
        <f>eDNA!A406</f>
        <v>20200717</v>
      </c>
      <c r="B406" s="10" t="str" cm="1">
        <f t="array" ref="B406">IFERROR(_xlfn.XLOOKUP(1,('env Parameter'!$A:$A=$A406)*('env Parameter'!$B:$B=$K406)*('env Parameter'!$C:$C=$L406),'env Parameter'!H:H,""),"")</f>
        <v>생물상 조사</v>
      </c>
      <c r="C406" s="10" cm="1">
        <f t="array" ref="C406">IFERROR(_xlfn.XLOOKUP(1,('env Parameter'!$A:$A=$A406)*('env Parameter'!$B:$B=$K406)*('env Parameter'!$C:$C=$L406),'env Parameter'!E:E,""),"")</f>
        <v>2.14</v>
      </c>
      <c r="D406" s="10" cm="1">
        <f t="array" ref="D406">IFERROR(_xlfn.XLOOKUP(1,('env Parameter'!$A:$A=$A406)*('env Parameter'!$B:$B=$K406)*('env Parameter'!$C:$C=$L406),'env Parameter'!F:F,""),"")</f>
        <v>478</v>
      </c>
      <c r="E406" s="10" cm="1">
        <f t="array" ref="E406">IFERROR(_xlfn.XLOOKUP(1,('env Parameter'!$A:$A=$A406)*('env Parameter'!$B:$B=$K406)*('env Parameter'!$C:$C=$L406),'env Parameter'!G:G,""),"")</f>
        <v>7.6</v>
      </c>
      <c r="F406" t="str">
        <f>eDNA!F406</f>
        <v>MiFish</v>
      </c>
      <c r="G406" t="str">
        <f>eDNA!D406</f>
        <v>Misgurnus anguillicaudatus</v>
      </c>
      <c r="H406" t="str">
        <f>_xlfn.XLOOKUP(G406,'Common name (master file)'!$B:$B,'Common name (master file)'!$A:$A,"-------------")</f>
        <v>미꾸리</v>
      </c>
      <c r="I406">
        <f>eDNA!E406</f>
        <v>38</v>
      </c>
      <c r="J406" t="str">
        <f>_xlfn.XLOOKUP(G406,'Common name (master file)'!$B:$B,'Common name (master file)'!$C:$C,"")</f>
        <v>어류</v>
      </c>
      <c r="K406">
        <f>eDNA!B406</f>
        <v>126.8446659</v>
      </c>
      <c r="L406">
        <f>eDNA!C406</f>
        <v>37.420618699999999</v>
      </c>
      <c r="M406" s="10" t="str" cm="1">
        <f t="array" ref="M406">IFERROR(_xlfn.XLOOKUP(1,('env Parameter'!$A:$A=$A406)*('env Parameter'!$B:$B=$K406)*('env Parameter'!$C:$C=$L406),'env Parameter'!D:D,""),"")</f>
        <v>목감천-3</v>
      </c>
      <c r="N406" s="10" t="str" cm="1">
        <f t="array" ref="N406">IFERROR(_xlfn.XLOOKUP(1,('env Parameter'!$A:$A=$A406)*('env Parameter'!$B:$B=$K406)*('env Parameter'!$C:$C=$L406),'env Parameter'!I:I,""),"")</f>
        <v>YR</v>
      </c>
    </row>
    <row r="407" spans="1:14">
      <c r="A407">
        <f>eDNA!A407</f>
        <v>20200717</v>
      </c>
      <c r="B407" s="10" t="str" cm="1">
        <f t="array" ref="B407">IFERROR(_xlfn.XLOOKUP(1,('env Parameter'!$A:$A=$A407)*('env Parameter'!$B:$B=$K407)*('env Parameter'!$C:$C=$L407),'env Parameter'!H:H,""),"")</f>
        <v>생물상 조사</v>
      </c>
      <c r="C407" s="10" cm="1">
        <f t="array" ref="C407">IFERROR(_xlfn.XLOOKUP(1,('env Parameter'!$A:$A=$A407)*('env Parameter'!$B:$B=$K407)*('env Parameter'!$C:$C=$L407),'env Parameter'!E:E,""),"")</f>
        <v>2.14</v>
      </c>
      <c r="D407" s="10" cm="1">
        <f t="array" ref="D407">IFERROR(_xlfn.XLOOKUP(1,('env Parameter'!$A:$A=$A407)*('env Parameter'!$B:$B=$K407)*('env Parameter'!$C:$C=$L407),'env Parameter'!F:F,""),"")</f>
        <v>478</v>
      </c>
      <c r="E407" s="10" cm="1">
        <f t="array" ref="E407">IFERROR(_xlfn.XLOOKUP(1,('env Parameter'!$A:$A=$A407)*('env Parameter'!$B:$B=$K407)*('env Parameter'!$C:$C=$L407),'env Parameter'!G:G,""),"")</f>
        <v>7.6</v>
      </c>
      <c r="F407" t="str">
        <f>eDNA!F407</f>
        <v>MiFish</v>
      </c>
      <c r="G407" t="str">
        <f>eDNA!D407</f>
        <v>Misgurnus bipartitus</v>
      </c>
      <c r="H407" t="str">
        <f>_xlfn.XLOOKUP(G407,'Common name (master file)'!$B:$B,'Common name (master file)'!$A:$A,"-------------")</f>
        <v>쌍무늬미꾸리</v>
      </c>
      <c r="I407">
        <f>eDNA!E407</f>
        <v>51</v>
      </c>
      <c r="J407" t="str">
        <f>_xlfn.XLOOKUP(G407,'Common name (master file)'!$B:$B,'Common name (master file)'!$C:$C,"")</f>
        <v>어류</v>
      </c>
      <c r="K407">
        <f>eDNA!B407</f>
        <v>126.8446659</v>
      </c>
      <c r="L407">
        <f>eDNA!C407</f>
        <v>37.420618699999999</v>
      </c>
      <c r="M407" s="10" t="str" cm="1">
        <f t="array" ref="M407">IFERROR(_xlfn.XLOOKUP(1,('env Parameter'!$A:$A=$A407)*('env Parameter'!$B:$B=$K407)*('env Parameter'!$C:$C=$L407),'env Parameter'!D:D,""),"")</f>
        <v>목감천-3</v>
      </c>
      <c r="N407" s="10" t="str" cm="1">
        <f t="array" ref="N407">IFERROR(_xlfn.XLOOKUP(1,('env Parameter'!$A:$A=$A407)*('env Parameter'!$B:$B=$K407)*('env Parameter'!$C:$C=$L407),'env Parameter'!I:I,""),"")</f>
        <v>YR</v>
      </c>
    </row>
    <row r="408" spans="1:14">
      <c r="A408">
        <f>eDNA!A408</f>
        <v>20200717</v>
      </c>
      <c r="B408" s="10" t="str" cm="1">
        <f t="array" ref="B408">IFERROR(_xlfn.XLOOKUP(1,('env Parameter'!$A:$A=$A408)*('env Parameter'!$B:$B=$K408)*('env Parameter'!$C:$C=$L408),'env Parameter'!H:H,""),"")</f>
        <v>생물상 조사</v>
      </c>
      <c r="C408" s="10" cm="1">
        <f t="array" ref="C408">IFERROR(_xlfn.XLOOKUP(1,('env Parameter'!$A:$A=$A408)*('env Parameter'!$B:$B=$K408)*('env Parameter'!$C:$C=$L408),'env Parameter'!E:E,""),"")</f>
        <v>2.14</v>
      </c>
      <c r="D408" s="10" cm="1">
        <f t="array" ref="D408">IFERROR(_xlfn.XLOOKUP(1,('env Parameter'!$A:$A=$A408)*('env Parameter'!$B:$B=$K408)*('env Parameter'!$C:$C=$L408),'env Parameter'!F:F,""),"")</f>
        <v>478</v>
      </c>
      <c r="E408" s="10" cm="1">
        <f t="array" ref="E408">IFERROR(_xlfn.XLOOKUP(1,('env Parameter'!$A:$A=$A408)*('env Parameter'!$B:$B=$K408)*('env Parameter'!$C:$C=$L408),'env Parameter'!G:G,""),"")</f>
        <v>7.6</v>
      </c>
      <c r="F408" t="str">
        <f>eDNA!F408</f>
        <v>MiFish</v>
      </c>
      <c r="G408" t="str">
        <f>eDNA!D408</f>
        <v>Pleuronectes yokohamae</v>
      </c>
      <c r="H408" t="str">
        <f>_xlfn.XLOOKUP(G408,'Common name (master file)'!$B:$B,'Common name (master file)'!$A:$A,"-------------")</f>
        <v>가자미</v>
      </c>
      <c r="I408">
        <f>eDNA!E408</f>
        <v>52</v>
      </c>
      <c r="J408" t="str">
        <f>_xlfn.XLOOKUP(G408,'Common name (master file)'!$B:$B,'Common name (master file)'!$C:$C,"")</f>
        <v>어류</v>
      </c>
      <c r="K408">
        <f>eDNA!B408</f>
        <v>126.8446659</v>
      </c>
      <c r="L408">
        <f>eDNA!C408</f>
        <v>37.420618699999999</v>
      </c>
      <c r="M408" s="10" t="str" cm="1">
        <f t="array" ref="M408">IFERROR(_xlfn.XLOOKUP(1,('env Parameter'!$A:$A=$A408)*('env Parameter'!$B:$B=$K408)*('env Parameter'!$C:$C=$L408),'env Parameter'!D:D,""),"")</f>
        <v>목감천-3</v>
      </c>
      <c r="N408" s="10" t="str" cm="1">
        <f t="array" ref="N408">IFERROR(_xlfn.XLOOKUP(1,('env Parameter'!$A:$A=$A408)*('env Parameter'!$B:$B=$K408)*('env Parameter'!$C:$C=$L408),'env Parameter'!I:I,""),"")</f>
        <v>YR</v>
      </c>
    </row>
    <row r="409" spans="1:14">
      <c r="A409">
        <f>eDNA!A409</f>
        <v>20200717</v>
      </c>
      <c r="B409" s="10" t="str" cm="1">
        <f t="array" ref="B409">IFERROR(_xlfn.XLOOKUP(1,('env Parameter'!$A:$A=$A409)*('env Parameter'!$B:$B=$K409)*('env Parameter'!$C:$C=$L409),'env Parameter'!H:H,""),"")</f>
        <v>생물상 조사</v>
      </c>
      <c r="C409" s="10" cm="1">
        <f t="array" ref="C409">IFERROR(_xlfn.XLOOKUP(1,('env Parameter'!$A:$A=$A409)*('env Parameter'!$B:$B=$K409)*('env Parameter'!$C:$C=$L409),'env Parameter'!E:E,""),"")</f>
        <v>2.14</v>
      </c>
      <c r="D409" s="10" cm="1">
        <f t="array" ref="D409">IFERROR(_xlfn.XLOOKUP(1,('env Parameter'!$A:$A=$A409)*('env Parameter'!$B:$B=$K409)*('env Parameter'!$C:$C=$L409),'env Parameter'!F:F,""),"")</f>
        <v>478</v>
      </c>
      <c r="E409" s="10" cm="1">
        <f t="array" ref="E409">IFERROR(_xlfn.XLOOKUP(1,('env Parameter'!$A:$A=$A409)*('env Parameter'!$B:$B=$K409)*('env Parameter'!$C:$C=$L409),'env Parameter'!G:G,""),"")</f>
        <v>7.6</v>
      </c>
      <c r="F409" t="str">
        <f>eDNA!F409</f>
        <v>MiFish</v>
      </c>
      <c r="G409" t="str">
        <f>eDNA!D409</f>
        <v>Lateolabrax maculatus</v>
      </c>
      <c r="H409" t="str">
        <f>_xlfn.XLOOKUP(G409,'Common name (master file)'!$B:$B,'Common name (master file)'!$A:$A,"-------------")</f>
        <v>점농어</v>
      </c>
      <c r="I409">
        <f>eDNA!E409</f>
        <v>54</v>
      </c>
      <c r="J409" t="str">
        <f>_xlfn.XLOOKUP(G409,'Common name (master file)'!$B:$B,'Common name (master file)'!$C:$C,"")</f>
        <v>어류</v>
      </c>
      <c r="K409">
        <f>eDNA!B409</f>
        <v>126.8446659</v>
      </c>
      <c r="L409">
        <f>eDNA!C409</f>
        <v>37.420618699999999</v>
      </c>
      <c r="M409" s="10" t="str" cm="1">
        <f t="array" ref="M409">IFERROR(_xlfn.XLOOKUP(1,('env Parameter'!$A:$A=$A409)*('env Parameter'!$B:$B=$K409)*('env Parameter'!$C:$C=$L409),'env Parameter'!D:D,""),"")</f>
        <v>목감천-3</v>
      </c>
      <c r="N409" s="10" t="str" cm="1">
        <f t="array" ref="N409">IFERROR(_xlfn.XLOOKUP(1,('env Parameter'!$A:$A=$A409)*('env Parameter'!$B:$B=$K409)*('env Parameter'!$C:$C=$L409),'env Parameter'!I:I,""),"")</f>
        <v>YR</v>
      </c>
    </row>
    <row r="410" spans="1:14">
      <c r="A410">
        <f>eDNA!A410</f>
        <v>20200717</v>
      </c>
      <c r="B410" s="10" t="str" cm="1">
        <f t="array" ref="B410">IFERROR(_xlfn.XLOOKUP(1,('env Parameter'!$A:$A=$A410)*('env Parameter'!$B:$B=$K410)*('env Parameter'!$C:$C=$L410),'env Parameter'!H:H,""),"")</f>
        <v>생물상 조사</v>
      </c>
      <c r="C410" s="10" cm="1">
        <f t="array" ref="C410">IFERROR(_xlfn.XLOOKUP(1,('env Parameter'!$A:$A=$A410)*('env Parameter'!$B:$B=$K410)*('env Parameter'!$C:$C=$L410),'env Parameter'!E:E,""),"")</f>
        <v>2.14</v>
      </c>
      <c r="D410" s="10" cm="1">
        <f t="array" ref="D410">IFERROR(_xlfn.XLOOKUP(1,('env Parameter'!$A:$A=$A410)*('env Parameter'!$B:$B=$K410)*('env Parameter'!$C:$C=$L410),'env Parameter'!F:F,""),"")</f>
        <v>478</v>
      </c>
      <c r="E410" s="10" cm="1">
        <f t="array" ref="E410">IFERROR(_xlfn.XLOOKUP(1,('env Parameter'!$A:$A=$A410)*('env Parameter'!$B:$B=$K410)*('env Parameter'!$C:$C=$L410),'env Parameter'!G:G,""),"")</f>
        <v>7.6</v>
      </c>
      <c r="F410" t="str">
        <f>eDNA!F410</f>
        <v>MiFish</v>
      </c>
      <c r="G410" t="str">
        <f>eDNA!D410</f>
        <v>Bos taurus</v>
      </c>
      <c r="H410" t="str">
        <f>_xlfn.XLOOKUP(G410,'Common name (master file)'!$B:$B,'Common name (master file)'!$A:$A,"-------------")</f>
        <v>소</v>
      </c>
      <c r="I410">
        <f>eDNA!E410</f>
        <v>84</v>
      </c>
      <c r="J410" t="str">
        <f>_xlfn.XLOOKUP(G410,'Common name (master file)'!$B:$B,'Common name (master file)'!$C:$C,"")</f>
        <v>포유류</v>
      </c>
      <c r="K410">
        <f>eDNA!B410</f>
        <v>126.8446659</v>
      </c>
      <c r="L410">
        <f>eDNA!C410</f>
        <v>37.420618699999999</v>
      </c>
      <c r="M410" s="10" t="str" cm="1">
        <f t="array" ref="M410">IFERROR(_xlfn.XLOOKUP(1,('env Parameter'!$A:$A=$A410)*('env Parameter'!$B:$B=$K410)*('env Parameter'!$C:$C=$L410),'env Parameter'!D:D,""),"")</f>
        <v>목감천-3</v>
      </c>
      <c r="N410" s="10" t="str" cm="1">
        <f t="array" ref="N410">IFERROR(_xlfn.XLOOKUP(1,('env Parameter'!$A:$A=$A410)*('env Parameter'!$B:$B=$K410)*('env Parameter'!$C:$C=$L410),'env Parameter'!I:I,""),"")</f>
        <v>YR</v>
      </c>
    </row>
    <row r="411" spans="1:14">
      <c r="A411">
        <f>eDNA!A411</f>
        <v>20200717</v>
      </c>
      <c r="B411" s="10" t="str" cm="1">
        <f t="array" ref="B411">IFERROR(_xlfn.XLOOKUP(1,('env Parameter'!$A:$A=$A411)*('env Parameter'!$B:$B=$K411)*('env Parameter'!$C:$C=$L411),'env Parameter'!H:H,""),"")</f>
        <v>생물상 조사</v>
      </c>
      <c r="C411" s="10" cm="1">
        <f t="array" ref="C411">IFERROR(_xlfn.XLOOKUP(1,('env Parameter'!$A:$A=$A411)*('env Parameter'!$B:$B=$K411)*('env Parameter'!$C:$C=$L411),'env Parameter'!E:E,""),"")</f>
        <v>2.14</v>
      </c>
      <c r="D411" s="10" cm="1">
        <f t="array" ref="D411">IFERROR(_xlfn.XLOOKUP(1,('env Parameter'!$A:$A=$A411)*('env Parameter'!$B:$B=$K411)*('env Parameter'!$C:$C=$L411),'env Parameter'!F:F,""),"")</f>
        <v>478</v>
      </c>
      <c r="E411" s="10" cm="1">
        <f t="array" ref="E411">IFERROR(_xlfn.XLOOKUP(1,('env Parameter'!$A:$A=$A411)*('env Parameter'!$B:$B=$K411)*('env Parameter'!$C:$C=$L411),'env Parameter'!G:G,""),"")</f>
        <v>7.6</v>
      </c>
      <c r="F411" t="str">
        <f>eDNA!F411</f>
        <v>MiFish</v>
      </c>
      <c r="G411" t="str">
        <f>eDNA!D411</f>
        <v>Channa argus</v>
      </c>
      <c r="H411" t="str">
        <f>_xlfn.XLOOKUP(G411,'Common name (master file)'!$B:$B,'Common name (master file)'!$A:$A,"-------------")</f>
        <v>가물치</v>
      </c>
      <c r="I411">
        <f>eDNA!E411</f>
        <v>89</v>
      </c>
      <c r="J411" t="str">
        <f>_xlfn.XLOOKUP(G411,'Common name (master file)'!$B:$B,'Common name (master file)'!$C:$C,"")</f>
        <v>어류</v>
      </c>
      <c r="K411">
        <f>eDNA!B411</f>
        <v>126.8446659</v>
      </c>
      <c r="L411">
        <f>eDNA!C411</f>
        <v>37.420618699999999</v>
      </c>
      <c r="M411" s="10" t="str" cm="1">
        <f t="array" ref="M411">IFERROR(_xlfn.XLOOKUP(1,('env Parameter'!$A:$A=$A411)*('env Parameter'!$B:$B=$K411)*('env Parameter'!$C:$C=$L411),'env Parameter'!D:D,""),"")</f>
        <v>목감천-3</v>
      </c>
      <c r="N411" s="10" t="str" cm="1">
        <f t="array" ref="N411">IFERROR(_xlfn.XLOOKUP(1,('env Parameter'!$A:$A=$A411)*('env Parameter'!$B:$B=$K411)*('env Parameter'!$C:$C=$L411),'env Parameter'!I:I,""),"")</f>
        <v>YR</v>
      </c>
    </row>
    <row r="412" spans="1:14">
      <c r="A412">
        <f>eDNA!A412</f>
        <v>20200717</v>
      </c>
      <c r="B412" s="10" t="str" cm="1">
        <f t="array" ref="B412">IFERROR(_xlfn.XLOOKUP(1,('env Parameter'!$A:$A=$A412)*('env Parameter'!$B:$B=$K412)*('env Parameter'!$C:$C=$L412),'env Parameter'!H:H,""),"")</f>
        <v>생물상 조사</v>
      </c>
      <c r="C412" s="10" cm="1">
        <f t="array" ref="C412">IFERROR(_xlfn.XLOOKUP(1,('env Parameter'!$A:$A=$A412)*('env Parameter'!$B:$B=$K412)*('env Parameter'!$C:$C=$L412),'env Parameter'!E:E,""),"")</f>
        <v>2.14</v>
      </c>
      <c r="D412" s="10" cm="1">
        <f t="array" ref="D412">IFERROR(_xlfn.XLOOKUP(1,('env Parameter'!$A:$A=$A412)*('env Parameter'!$B:$B=$K412)*('env Parameter'!$C:$C=$L412),'env Parameter'!F:F,""),"")</f>
        <v>478</v>
      </c>
      <c r="E412" s="10" cm="1">
        <f t="array" ref="E412">IFERROR(_xlfn.XLOOKUP(1,('env Parameter'!$A:$A=$A412)*('env Parameter'!$B:$B=$K412)*('env Parameter'!$C:$C=$L412),'env Parameter'!G:G,""),"")</f>
        <v>7.6</v>
      </c>
      <c r="F412" t="str">
        <f>eDNA!F412</f>
        <v>MiFish</v>
      </c>
      <c r="G412" t="str">
        <f>eDNA!D412</f>
        <v>Sebastes zacentrus</v>
      </c>
      <c r="H412" t="str">
        <f>_xlfn.XLOOKUP(G412,'Common name (master file)'!$B:$B,'Common name (master file)'!$A:$A,"-------------")</f>
        <v>쏨뱅이</v>
      </c>
      <c r="I412">
        <f>eDNA!E412</f>
        <v>116</v>
      </c>
      <c r="J412" t="str">
        <f>_xlfn.XLOOKUP(G412,'Common name (master file)'!$B:$B,'Common name (master file)'!$C:$C,"")</f>
        <v>어류</v>
      </c>
      <c r="K412">
        <f>eDNA!B412</f>
        <v>126.8446659</v>
      </c>
      <c r="L412">
        <f>eDNA!C412</f>
        <v>37.420618699999999</v>
      </c>
      <c r="M412" s="10" t="str" cm="1">
        <f t="array" ref="M412">IFERROR(_xlfn.XLOOKUP(1,('env Parameter'!$A:$A=$A412)*('env Parameter'!$B:$B=$K412)*('env Parameter'!$C:$C=$L412),'env Parameter'!D:D,""),"")</f>
        <v>목감천-3</v>
      </c>
      <c r="N412" s="10" t="str" cm="1">
        <f t="array" ref="N412">IFERROR(_xlfn.XLOOKUP(1,('env Parameter'!$A:$A=$A412)*('env Parameter'!$B:$B=$K412)*('env Parameter'!$C:$C=$L412),'env Parameter'!I:I,""),"")</f>
        <v>YR</v>
      </c>
    </row>
    <row r="413" spans="1:14">
      <c r="A413">
        <f>eDNA!A413</f>
        <v>20200717</v>
      </c>
      <c r="B413" s="10" t="str" cm="1">
        <f t="array" ref="B413">IFERROR(_xlfn.XLOOKUP(1,('env Parameter'!$A:$A=$A413)*('env Parameter'!$B:$B=$K413)*('env Parameter'!$C:$C=$L413),'env Parameter'!H:H,""),"")</f>
        <v>생물상 조사</v>
      </c>
      <c r="C413" s="10" cm="1">
        <f t="array" ref="C413">IFERROR(_xlfn.XLOOKUP(1,('env Parameter'!$A:$A=$A413)*('env Parameter'!$B:$B=$K413)*('env Parameter'!$C:$C=$L413),'env Parameter'!E:E,""),"")</f>
        <v>2.14</v>
      </c>
      <c r="D413" s="10" cm="1">
        <f t="array" ref="D413">IFERROR(_xlfn.XLOOKUP(1,('env Parameter'!$A:$A=$A413)*('env Parameter'!$B:$B=$K413)*('env Parameter'!$C:$C=$L413),'env Parameter'!F:F,""),"")</f>
        <v>478</v>
      </c>
      <c r="E413" s="10" cm="1">
        <f t="array" ref="E413">IFERROR(_xlfn.XLOOKUP(1,('env Parameter'!$A:$A=$A413)*('env Parameter'!$B:$B=$K413)*('env Parameter'!$C:$C=$L413),'env Parameter'!G:G,""),"")</f>
        <v>7.6</v>
      </c>
      <c r="F413" t="str">
        <f>eDNA!F413</f>
        <v>MiFish</v>
      </c>
      <c r="G413" t="str">
        <f>eDNA!D413</f>
        <v>Odontobutis interrupta</v>
      </c>
      <c r="H413" t="str">
        <f>_xlfn.XLOOKUP(G413,'Common name (master file)'!$B:$B,'Common name (master file)'!$A:$A,"-------------")</f>
        <v>얼록동사리</v>
      </c>
      <c r="I413">
        <f>eDNA!E413</f>
        <v>118</v>
      </c>
      <c r="J413" t="str">
        <f>_xlfn.XLOOKUP(G413,'Common name (master file)'!$B:$B,'Common name (master file)'!$C:$C,"")</f>
        <v>어류</v>
      </c>
      <c r="K413">
        <f>eDNA!B413</f>
        <v>126.8446659</v>
      </c>
      <c r="L413">
        <f>eDNA!C413</f>
        <v>37.420618699999999</v>
      </c>
      <c r="M413" s="10" t="str" cm="1">
        <f t="array" ref="M413">IFERROR(_xlfn.XLOOKUP(1,('env Parameter'!$A:$A=$A413)*('env Parameter'!$B:$B=$K413)*('env Parameter'!$C:$C=$L413),'env Parameter'!D:D,""),"")</f>
        <v>목감천-3</v>
      </c>
      <c r="N413" s="10" t="str" cm="1">
        <f t="array" ref="N413">IFERROR(_xlfn.XLOOKUP(1,('env Parameter'!$A:$A=$A413)*('env Parameter'!$B:$B=$K413)*('env Parameter'!$C:$C=$L413),'env Parameter'!I:I,""),"")</f>
        <v>YR</v>
      </c>
    </row>
    <row r="414" spans="1:14">
      <c r="A414">
        <f>eDNA!A414</f>
        <v>20200717</v>
      </c>
      <c r="B414" s="10" t="str" cm="1">
        <f t="array" ref="B414">IFERROR(_xlfn.XLOOKUP(1,('env Parameter'!$A:$A=$A414)*('env Parameter'!$B:$B=$K414)*('env Parameter'!$C:$C=$L414),'env Parameter'!H:H,""),"")</f>
        <v>생물상 조사</v>
      </c>
      <c r="C414" s="10" cm="1">
        <f t="array" ref="C414">IFERROR(_xlfn.XLOOKUP(1,('env Parameter'!$A:$A=$A414)*('env Parameter'!$B:$B=$K414)*('env Parameter'!$C:$C=$L414),'env Parameter'!E:E,""),"")</f>
        <v>2.14</v>
      </c>
      <c r="D414" s="10" cm="1">
        <f t="array" ref="D414">IFERROR(_xlfn.XLOOKUP(1,('env Parameter'!$A:$A=$A414)*('env Parameter'!$B:$B=$K414)*('env Parameter'!$C:$C=$L414),'env Parameter'!F:F,""),"")</f>
        <v>478</v>
      </c>
      <c r="E414" s="10" cm="1">
        <f t="array" ref="E414">IFERROR(_xlfn.XLOOKUP(1,('env Parameter'!$A:$A=$A414)*('env Parameter'!$B:$B=$K414)*('env Parameter'!$C:$C=$L414),'env Parameter'!G:G,""),"")</f>
        <v>7.6</v>
      </c>
      <c r="F414" t="str">
        <f>eDNA!F414</f>
        <v>MiFish</v>
      </c>
      <c r="G414" t="str">
        <f>eDNA!D414</f>
        <v>Homo sapiens</v>
      </c>
      <c r="H414" t="str">
        <f>_xlfn.XLOOKUP(G414,'Common name (master file)'!$B:$B,'Common name (master file)'!$A:$A,"-------------")</f>
        <v>사람</v>
      </c>
      <c r="I414">
        <f>eDNA!E414</f>
        <v>204</v>
      </c>
      <c r="J414" t="str">
        <f>_xlfn.XLOOKUP(G414,'Common name (master file)'!$B:$B,'Common name (master file)'!$C:$C,"")</f>
        <v>포유류</v>
      </c>
      <c r="K414">
        <f>eDNA!B414</f>
        <v>126.8446659</v>
      </c>
      <c r="L414">
        <f>eDNA!C414</f>
        <v>37.420618699999999</v>
      </c>
      <c r="M414" s="10" t="str" cm="1">
        <f t="array" ref="M414">IFERROR(_xlfn.XLOOKUP(1,('env Parameter'!$A:$A=$A414)*('env Parameter'!$B:$B=$K414)*('env Parameter'!$C:$C=$L414),'env Parameter'!D:D,""),"")</f>
        <v>목감천-3</v>
      </c>
      <c r="N414" s="10" t="str" cm="1">
        <f t="array" ref="N414">IFERROR(_xlfn.XLOOKUP(1,('env Parameter'!$A:$A=$A414)*('env Parameter'!$B:$B=$K414)*('env Parameter'!$C:$C=$L414),'env Parameter'!I:I,""),"")</f>
        <v>YR</v>
      </c>
    </row>
    <row r="415" spans="1:14">
      <c r="A415">
        <f>eDNA!A415</f>
        <v>20200717</v>
      </c>
      <c r="B415" s="10" t="str" cm="1">
        <f t="array" ref="B415">IFERROR(_xlfn.XLOOKUP(1,('env Parameter'!$A:$A=$A415)*('env Parameter'!$B:$B=$K415)*('env Parameter'!$C:$C=$L415),'env Parameter'!H:H,""),"")</f>
        <v>생물상 조사</v>
      </c>
      <c r="C415" s="10" cm="1">
        <f t="array" ref="C415">IFERROR(_xlfn.XLOOKUP(1,('env Parameter'!$A:$A=$A415)*('env Parameter'!$B:$B=$K415)*('env Parameter'!$C:$C=$L415),'env Parameter'!E:E,""),"")</f>
        <v>2.14</v>
      </c>
      <c r="D415" s="10" cm="1">
        <f t="array" ref="D415">IFERROR(_xlfn.XLOOKUP(1,('env Parameter'!$A:$A=$A415)*('env Parameter'!$B:$B=$K415)*('env Parameter'!$C:$C=$L415),'env Parameter'!F:F,""),"")</f>
        <v>478</v>
      </c>
      <c r="E415" s="10" cm="1">
        <f t="array" ref="E415">IFERROR(_xlfn.XLOOKUP(1,('env Parameter'!$A:$A=$A415)*('env Parameter'!$B:$B=$K415)*('env Parameter'!$C:$C=$L415),'env Parameter'!G:G,""),"")</f>
        <v>7.6</v>
      </c>
      <c r="F415" t="str">
        <f>eDNA!F415</f>
        <v>MiFish</v>
      </c>
      <c r="G415" t="str">
        <f>eDNA!D415</f>
        <v>Pelodiscus sinensis</v>
      </c>
      <c r="H415" t="str">
        <f>_xlfn.XLOOKUP(G415,'Common name (master file)'!$B:$B,'Common name (master file)'!$A:$A,"-------------")</f>
        <v>중국자라</v>
      </c>
      <c r="I415">
        <f>eDNA!E415</f>
        <v>314</v>
      </c>
      <c r="J415" t="str">
        <f>_xlfn.XLOOKUP(G415,'Common name (master file)'!$B:$B,'Common name (master file)'!$C:$C,"")</f>
        <v>양서파충류</v>
      </c>
      <c r="K415">
        <f>eDNA!B415</f>
        <v>126.8446659</v>
      </c>
      <c r="L415">
        <f>eDNA!C415</f>
        <v>37.420618699999999</v>
      </c>
      <c r="M415" s="10" t="str" cm="1">
        <f t="array" ref="M415">IFERROR(_xlfn.XLOOKUP(1,('env Parameter'!$A:$A=$A415)*('env Parameter'!$B:$B=$K415)*('env Parameter'!$C:$C=$L415),'env Parameter'!D:D,""),"")</f>
        <v>목감천-3</v>
      </c>
      <c r="N415" s="10" t="str" cm="1">
        <f t="array" ref="N415">IFERROR(_xlfn.XLOOKUP(1,('env Parameter'!$A:$A=$A415)*('env Parameter'!$B:$B=$K415)*('env Parameter'!$C:$C=$L415),'env Parameter'!I:I,""),"")</f>
        <v>YR</v>
      </c>
    </row>
    <row r="416" spans="1:14">
      <c r="A416">
        <f>eDNA!A416</f>
        <v>20200717</v>
      </c>
      <c r="B416" s="10" t="str" cm="1">
        <f t="array" ref="B416">IFERROR(_xlfn.XLOOKUP(1,('env Parameter'!$A:$A=$A416)*('env Parameter'!$B:$B=$K416)*('env Parameter'!$C:$C=$L416),'env Parameter'!H:H,""),"")</f>
        <v>생물상 조사</v>
      </c>
      <c r="C416" s="10" cm="1">
        <f t="array" ref="C416">IFERROR(_xlfn.XLOOKUP(1,('env Parameter'!$A:$A=$A416)*('env Parameter'!$B:$B=$K416)*('env Parameter'!$C:$C=$L416),'env Parameter'!E:E,""),"")</f>
        <v>2.14</v>
      </c>
      <c r="D416" s="10" cm="1">
        <f t="array" ref="D416">IFERROR(_xlfn.XLOOKUP(1,('env Parameter'!$A:$A=$A416)*('env Parameter'!$B:$B=$K416)*('env Parameter'!$C:$C=$L416),'env Parameter'!F:F,""),"")</f>
        <v>478</v>
      </c>
      <c r="E416" s="10" cm="1">
        <f t="array" ref="E416">IFERROR(_xlfn.XLOOKUP(1,('env Parameter'!$A:$A=$A416)*('env Parameter'!$B:$B=$K416)*('env Parameter'!$C:$C=$L416),'env Parameter'!G:G,""),"")</f>
        <v>7.6</v>
      </c>
      <c r="F416" t="str">
        <f>eDNA!F416</f>
        <v>MiFish</v>
      </c>
      <c r="G416" t="str">
        <f>eDNA!D416</f>
        <v>Sus scrofa</v>
      </c>
      <c r="H416" t="str">
        <f>_xlfn.XLOOKUP(G416,'Common name (master file)'!$B:$B,'Common name (master file)'!$A:$A,"-------------")</f>
        <v>멧돼지</v>
      </c>
      <c r="I416">
        <f>eDNA!E416</f>
        <v>382</v>
      </c>
      <c r="J416" t="str">
        <f>_xlfn.XLOOKUP(G416,'Common name (master file)'!$B:$B,'Common name (master file)'!$C:$C,"")</f>
        <v>포유류</v>
      </c>
      <c r="K416">
        <f>eDNA!B416</f>
        <v>126.8446659</v>
      </c>
      <c r="L416">
        <f>eDNA!C416</f>
        <v>37.420618699999999</v>
      </c>
      <c r="M416" s="10" t="str" cm="1">
        <f t="array" ref="M416">IFERROR(_xlfn.XLOOKUP(1,('env Parameter'!$A:$A=$A416)*('env Parameter'!$B:$B=$K416)*('env Parameter'!$C:$C=$L416),'env Parameter'!D:D,""),"")</f>
        <v>목감천-3</v>
      </c>
      <c r="N416" s="10" t="str" cm="1">
        <f t="array" ref="N416">IFERROR(_xlfn.XLOOKUP(1,('env Parameter'!$A:$A=$A416)*('env Parameter'!$B:$B=$K416)*('env Parameter'!$C:$C=$L416),'env Parameter'!I:I,""),"")</f>
        <v>YR</v>
      </c>
    </row>
    <row r="417" spans="1:14">
      <c r="A417">
        <f>eDNA!A417</f>
        <v>20200717</v>
      </c>
      <c r="B417" s="10" t="str" cm="1">
        <f t="array" ref="B417">IFERROR(_xlfn.XLOOKUP(1,('env Parameter'!$A:$A=$A417)*('env Parameter'!$B:$B=$K417)*('env Parameter'!$C:$C=$L417),'env Parameter'!H:H,""),"")</f>
        <v>생물상 조사</v>
      </c>
      <c r="C417" s="10" cm="1">
        <f t="array" ref="C417">IFERROR(_xlfn.XLOOKUP(1,('env Parameter'!$A:$A=$A417)*('env Parameter'!$B:$B=$K417)*('env Parameter'!$C:$C=$L417),'env Parameter'!E:E,""),"")</f>
        <v>2.14</v>
      </c>
      <c r="D417" s="10" cm="1">
        <f t="array" ref="D417">IFERROR(_xlfn.XLOOKUP(1,('env Parameter'!$A:$A=$A417)*('env Parameter'!$B:$B=$K417)*('env Parameter'!$C:$C=$L417),'env Parameter'!F:F,""),"")</f>
        <v>478</v>
      </c>
      <c r="E417" s="10" cm="1">
        <f t="array" ref="E417">IFERROR(_xlfn.XLOOKUP(1,('env Parameter'!$A:$A=$A417)*('env Parameter'!$B:$B=$K417)*('env Parameter'!$C:$C=$L417),'env Parameter'!G:G,""),"")</f>
        <v>7.6</v>
      </c>
      <c r="F417" t="str">
        <f>eDNA!F417</f>
        <v>MiFish</v>
      </c>
      <c r="G417" t="str">
        <f>eDNA!D417</f>
        <v>Canis lupus familiaris</v>
      </c>
      <c r="H417" t="str">
        <f>_xlfn.XLOOKUP(G417,'Common name (master file)'!$B:$B,'Common name (master file)'!$A:$A,"-------------")</f>
        <v>개</v>
      </c>
      <c r="I417">
        <f>eDNA!E417</f>
        <v>529</v>
      </c>
      <c r="J417" t="str">
        <f>_xlfn.XLOOKUP(G417,'Common name (master file)'!$B:$B,'Common name (master file)'!$C:$C,"")</f>
        <v>포유류</v>
      </c>
      <c r="K417">
        <f>eDNA!B417</f>
        <v>126.8446659</v>
      </c>
      <c r="L417">
        <f>eDNA!C417</f>
        <v>37.420618699999999</v>
      </c>
      <c r="M417" s="10" t="str" cm="1">
        <f t="array" ref="M417">IFERROR(_xlfn.XLOOKUP(1,('env Parameter'!$A:$A=$A417)*('env Parameter'!$B:$B=$K417)*('env Parameter'!$C:$C=$L417),'env Parameter'!D:D,""),"")</f>
        <v>목감천-3</v>
      </c>
      <c r="N417" s="10" t="str" cm="1">
        <f t="array" ref="N417">IFERROR(_xlfn.XLOOKUP(1,('env Parameter'!$A:$A=$A417)*('env Parameter'!$B:$B=$K417)*('env Parameter'!$C:$C=$L417),'env Parameter'!I:I,""),"")</f>
        <v>YR</v>
      </c>
    </row>
    <row r="418" spans="1:14">
      <c r="A418">
        <f>eDNA!A418</f>
        <v>20200717</v>
      </c>
      <c r="B418" s="10" t="str" cm="1">
        <f t="array" ref="B418">IFERROR(_xlfn.XLOOKUP(1,('env Parameter'!$A:$A=$A418)*('env Parameter'!$B:$B=$K418)*('env Parameter'!$C:$C=$L418),'env Parameter'!H:H,""),"")</f>
        <v>생물상 조사</v>
      </c>
      <c r="C418" s="10" cm="1">
        <f t="array" ref="C418">IFERROR(_xlfn.XLOOKUP(1,('env Parameter'!$A:$A=$A418)*('env Parameter'!$B:$B=$K418)*('env Parameter'!$C:$C=$L418),'env Parameter'!E:E,""),"")</f>
        <v>2.14</v>
      </c>
      <c r="D418" s="10" cm="1">
        <f t="array" ref="D418">IFERROR(_xlfn.XLOOKUP(1,('env Parameter'!$A:$A=$A418)*('env Parameter'!$B:$B=$K418)*('env Parameter'!$C:$C=$L418),'env Parameter'!F:F,""),"")</f>
        <v>478</v>
      </c>
      <c r="E418" s="10" cm="1">
        <f t="array" ref="E418">IFERROR(_xlfn.XLOOKUP(1,('env Parameter'!$A:$A=$A418)*('env Parameter'!$B:$B=$K418)*('env Parameter'!$C:$C=$L418),'env Parameter'!G:G,""),"")</f>
        <v>7.6</v>
      </c>
      <c r="F418" t="str">
        <f>eDNA!F418</f>
        <v>MiFish</v>
      </c>
      <c r="G418" t="str">
        <f>eDNA!D418</f>
        <v>Carassius sp.</v>
      </c>
      <c r="H418" t="str">
        <f>_xlfn.XLOOKUP(G418,'Common name (master file)'!$B:$B,'Common name (master file)'!$A:$A,"-------------")</f>
        <v>붕어 속</v>
      </c>
      <c r="I418">
        <f>eDNA!E418</f>
        <v>759</v>
      </c>
      <c r="J418" t="str">
        <f>_xlfn.XLOOKUP(G418,'Common name (master file)'!$B:$B,'Common name (master file)'!$C:$C,"")</f>
        <v>어류</v>
      </c>
      <c r="K418">
        <f>eDNA!B418</f>
        <v>126.8446659</v>
      </c>
      <c r="L418">
        <f>eDNA!C418</f>
        <v>37.420618699999999</v>
      </c>
      <c r="M418" s="10" t="str" cm="1">
        <f t="array" ref="M418">IFERROR(_xlfn.XLOOKUP(1,('env Parameter'!$A:$A=$A418)*('env Parameter'!$B:$B=$K418)*('env Parameter'!$C:$C=$L418),'env Parameter'!D:D,""),"")</f>
        <v>목감천-3</v>
      </c>
      <c r="N418" s="10" t="str" cm="1">
        <f t="array" ref="N418">IFERROR(_xlfn.XLOOKUP(1,('env Parameter'!$A:$A=$A418)*('env Parameter'!$B:$B=$K418)*('env Parameter'!$C:$C=$L418),'env Parameter'!I:I,""),"")</f>
        <v>YR</v>
      </c>
    </row>
    <row r="419" spans="1:14">
      <c r="A419">
        <f>eDNA!A419</f>
        <v>20200717</v>
      </c>
      <c r="B419" s="10" t="str" cm="1">
        <f t="array" ref="B419">IFERROR(_xlfn.XLOOKUP(1,('env Parameter'!$A:$A=$A419)*('env Parameter'!$B:$B=$K419)*('env Parameter'!$C:$C=$L419),'env Parameter'!H:H,""),"")</f>
        <v>생물상 조사</v>
      </c>
      <c r="C419" s="10" cm="1">
        <f t="array" ref="C419">IFERROR(_xlfn.XLOOKUP(1,('env Parameter'!$A:$A=$A419)*('env Parameter'!$B:$B=$K419)*('env Parameter'!$C:$C=$L419),'env Parameter'!E:E,""),"")</f>
        <v>2.14</v>
      </c>
      <c r="D419" s="10" cm="1">
        <f t="array" ref="D419">IFERROR(_xlfn.XLOOKUP(1,('env Parameter'!$A:$A=$A419)*('env Parameter'!$B:$B=$K419)*('env Parameter'!$C:$C=$L419),'env Parameter'!F:F,""),"")</f>
        <v>478</v>
      </c>
      <c r="E419" s="10" cm="1">
        <f t="array" ref="E419">IFERROR(_xlfn.XLOOKUP(1,('env Parameter'!$A:$A=$A419)*('env Parameter'!$B:$B=$K419)*('env Parameter'!$C:$C=$L419),'env Parameter'!G:G,""),"")</f>
        <v>7.6</v>
      </c>
      <c r="F419" t="str">
        <f>eDNA!F419</f>
        <v>MiFish</v>
      </c>
      <c r="G419" t="str">
        <f>eDNA!D419</f>
        <v>Oryzias sinensis</v>
      </c>
      <c r="H419" t="str">
        <f>_xlfn.XLOOKUP(G419,'Common name (master file)'!$B:$B,'Common name (master file)'!$A:$A,"-------------")</f>
        <v>대륙송사리</v>
      </c>
      <c r="I419">
        <f>eDNA!E419</f>
        <v>3076</v>
      </c>
      <c r="J419" t="str">
        <f>_xlfn.XLOOKUP(G419,'Common name (master file)'!$B:$B,'Common name (master file)'!$C:$C,"")</f>
        <v>어류</v>
      </c>
      <c r="K419">
        <f>eDNA!B419</f>
        <v>126.8446659</v>
      </c>
      <c r="L419">
        <f>eDNA!C419</f>
        <v>37.420618699999999</v>
      </c>
      <c r="M419" s="10" t="str" cm="1">
        <f t="array" ref="M419">IFERROR(_xlfn.XLOOKUP(1,('env Parameter'!$A:$A=$A419)*('env Parameter'!$B:$B=$K419)*('env Parameter'!$C:$C=$L419),'env Parameter'!D:D,""),"")</f>
        <v>목감천-3</v>
      </c>
      <c r="N419" s="10" t="str" cm="1">
        <f t="array" ref="N419">IFERROR(_xlfn.XLOOKUP(1,('env Parameter'!$A:$A=$A419)*('env Parameter'!$B:$B=$K419)*('env Parameter'!$C:$C=$L419),'env Parameter'!I:I,""),"")</f>
        <v>YR</v>
      </c>
    </row>
    <row r="420" spans="1:14">
      <c r="A420">
        <f>eDNA!A420</f>
        <v>20200717</v>
      </c>
      <c r="B420" s="10" t="str" cm="1">
        <f t="array" ref="B420">IFERROR(_xlfn.XLOOKUP(1,('env Parameter'!$A:$A=$A420)*('env Parameter'!$B:$B=$K420)*('env Parameter'!$C:$C=$L420),'env Parameter'!H:H,""),"")</f>
        <v>생물상 조사</v>
      </c>
      <c r="C420" s="10" cm="1">
        <f t="array" ref="C420">IFERROR(_xlfn.XLOOKUP(1,('env Parameter'!$A:$A=$A420)*('env Parameter'!$B:$B=$K420)*('env Parameter'!$C:$C=$L420),'env Parameter'!E:E,""),"")</f>
        <v>2.14</v>
      </c>
      <c r="D420" s="10" cm="1">
        <f t="array" ref="D420">IFERROR(_xlfn.XLOOKUP(1,('env Parameter'!$A:$A=$A420)*('env Parameter'!$B:$B=$K420)*('env Parameter'!$C:$C=$L420),'env Parameter'!F:F,""),"")</f>
        <v>478</v>
      </c>
      <c r="E420" s="10" cm="1">
        <f t="array" ref="E420">IFERROR(_xlfn.XLOOKUP(1,('env Parameter'!$A:$A=$A420)*('env Parameter'!$B:$B=$K420)*('env Parameter'!$C:$C=$L420),'env Parameter'!G:G,""),"")</f>
        <v>7.6</v>
      </c>
      <c r="F420" t="str">
        <f>eDNA!F420</f>
        <v>MiFish</v>
      </c>
      <c r="G420" t="str">
        <f>eDNA!D420</f>
        <v>Misgurnus mizolepis</v>
      </c>
      <c r="H420" t="str">
        <f>_xlfn.XLOOKUP(G420,'Common name (master file)'!$B:$B,'Common name (master file)'!$A:$A,"-------------")</f>
        <v>미꾸라지</v>
      </c>
      <c r="I420">
        <f>eDNA!E420</f>
        <v>5587</v>
      </c>
      <c r="J420" t="str">
        <f>_xlfn.XLOOKUP(G420,'Common name (master file)'!$B:$B,'Common name (master file)'!$C:$C,"")</f>
        <v>어류</v>
      </c>
      <c r="K420">
        <f>eDNA!B420</f>
        <v>126.8446659</v>
      </c>
      <c r="L420">
        <f>eDNA!C420</f>
        <v>37.420618699999999</v>
      </c>
      <c r="M420" s="10" t="str" cm="1">
        <f t="array" ref="M420">IFERROR(_xlfn.XLOOKUP(1,('env Parameter'!$A:$A=$A420)*('env Parameter'!$B:$B=$K420)*('env Parameter'!$C:$C=$L420),'env Parameter'!D:D,""),"")</f>
        <v>목감천-3</v>
      </c>
      <c r="N420" s="10" t="str" cm="1">
        <f t="array" ref="N420">IFERROR(_xlfn.XLOOKUP(1,('env Parameter'!$A:$A=$A420)*('env Parameter'!$B:$B=$K420)*('env Parameter'!$C:$C=$L420),'env Parameter'!I:I,""),"")</f>
        <v>YR</v>
      </c>
    </row>
    <row r="421" spans="1:14">
      <c r="A421">
        <f>eDNA!A421</f>
        <v>20200717</v>
      </c>
      <c r="B421" s="10" t="str" cm="1">
        <f t="array" ref="B421">IFERROR(_xlfn.XLOOKUP(1,('env Parameter'!$A:$A=$A421)*('env Parameter'!$B:$B=$K421)*('env Parameter'!$C:$C=$L421),'env Parameter'!H:H,""),"")</f>
        <v>생물상 조사</v>
      </c>
      <c r="C421" s="10" cm="1">
        <f t="array" ref="C421">IFERROR(_xlfn.XLOOKUP(1,('env Parameter'!$A:$A=$A421)*('env Parameter'!$B:$B=$K421)*('env Parameter'!$C:$C=$L421),'env Parameter'!E:E,""),"")</f>
        <v>2.14</v>
      </c>
      <c r="D421" s="10" cm="1">
        <f t="array" ref="D421">IFERROR(_xlfn.XLOOKUP(1,('env Parameter'!$A:$A=$A421)*('env Parameter'!$B:$B=$K421)*('env Parameter'!$C:$C=$L421),'env Parameter'!F:F,""),"")</f>
        <v>478</v>
      </c>
      <c r="E421" s="10" cm="1">
        <f t="array" ref="E421">IFERROR(_xlfn.XLOOKUP(1,('env Parameter'!$A:$A=$A421)*('env Parameter'!$B:$B=$K421)*('env Parameter'!$C:$C=$L421),'env Parameter'!G:G,""),"")</f>
        <v>7.6</v>
      </c>
      <c r="F421" t="str">
        <f>eDNA!F421</f>
        <v>MiFish</v>
      </c>
      <c r="G421" t="str">
        <f>eDNA!D421</f>
        <v>Pseudorasbora parva</v>
      </c>
      <c r="H421" t="str">
        <f>_xlfn.XLOOKUP(G421,'Common name (master file)'!$B:$B,'Common name (master file)'!$A:$A,"-------------")</f>
        <v>참붕어</v>
      </c>
      <c r="I421">
        <f>eDNA!E421</f>
        <v>6157</v>
      </c>
      <c r="J421" t="str">
        <f>_xlfn.XLOOKUP(G421,'Common name (master file)'!$B:$B,'Common name (master file)'!$C:$C,"")</f>
        <v>어류</v>
      </c>
      <c r="K421">
        <f>eDNA!B421</f>
        <v>126.8446659</v>
      </c>
      <c r="L421">
        <f>eDNA!C421</f>
        <v>37.420618699999999</v>
      </c>
      <c r="M421" s="10" t="str" cm="1">
        <f t="array" ref="M421">IFERROR(_xlfn.XLOOKUP(1,('env Parameter'!$A:$A=$A421)*('env Parameter'!$B:$B=$K421)*('env Parameter'!$C:$C=$L421),'env Parameter'!D:D,""),"")</f>
        <v>목감천-3</v>
      </c>
      <c r="N421" s="10" t="str" cm="1">
        <f t="array" ref="N421">IFERROR(_xlfn.XLOOKUP(1,('env Parameter'!$A:$A=$A421)*('env Parameter'!$B:$B=$K421)*('env Parameter'!$C:$C=$L421),'env Parameter'!I:I,""),"")</f>
        <v>YR</v>
      </c>
    </row>
    <row r="422" spans="1:14">
      <c r="A422">
        <f>eDNA!A422</f>
        <v>20200717</v>
      </c>
      <c r="B422" s="10" t="str" cm="1">
        <f t="array" ref="B422">IFERROR(_xlfn.XLOOKUP(1,('env Parameter'!$A:$A=$A422)*('env Parameter'!$B:$B=$K422)*('env Parameter'!$C:$C=$L422),'env Parameter'!H:H,""),"")</f>
        <v>생물상 조사</v>
      </c>
      <c r="C422" s="10" cm="1">
        <f t="array" ref="C422">IFERROR(_xlfn.XLOOKUP(1,('env Parameter'!$A:$A=$A422)*('env Parameter'!$B:$B=$K422)*('env Parameter'!$C:$C=$L422),'env Parameter'!E:E,""),"")</f>
        <v>2.14</v>
      </c>
      <c r="D422" s="10" cm="1">
        <f t="array" ref="D422">IFERROR(_xlfn.XLOOKUP(1,('env Parameter'!$A:$A=$A422)*('env Parameter'!$B:$B=$K422)*('env Parameter'!$C:$C=$L422),'env Parameter'!F:F,""),"")</f>
        <v>478</v>
      </c>
      <c r="E422" s="10" cm="1">
        <f t="array" ref="E422">IFERROR(_xlfn.XLOOKUP(1,('env Parameter'!$A:$A=$A422)*('env Parameter'!$B:$B=$K422)*('env Parameter'!$C:$C=$L422),'env Parameter'!G:G,""),"")</f>
        <v>7.6</v>
      </c>
      <c r="F422" t="str">
        <f>eDNA!F422</f>
        <v>MiFish</v>
      </c>
      <c r="G422" t="str">
        <f>eDNA!D422</f>
        <v>Silurus soldatovi</v>
      </c>
      <c r="H422" t="str">
        <f>_xlfn.XLOOKUP(G422,'Common name (master file)'!$B:$B,'Common name (master file)'!$A:$A,"-------------")</f>
        <v>솔다토비 메기</v>
      </c>
      <c r="I422">
        <f>eDNA!E422</f>
        <v>7246</v>
      </c>
      <c r="J422" t="str">
        <f>_xlfn.XLOOKUP(G422,'Common name (master file)'!$B:$B,'Common name (master file)'!$C:$C,"")</f>
        <v>어류</v>
      </c>
      <c r="K422">
        <f>eDNA!B422</f>
        <v>126.8446659</v>
      </c>
      <c r="L422">
        <f>eDNA!C422</f>
        <v>37.420618699999999</v>
      </c>
      <c r="M422" s="10" t="str" cm="1">
        <f t="array" ref="M422">IFERROR(_xlfn.XLOOKUP(1,('env Parameter'!$A:$A=$A422)*('env Parameter'!$B:$B=$K422)*('env Parameter'!$C:$C=$L422),'env Parameter'!D:D,""),"")</f>
        <v>목감천-3</v>
      </c>
      <c r="N422" s="10" t="str" cm="1">
        <f t="array" ref="N422">IFERROR(_xlfn.XLOOKUP(1,('env Parameter'!$A:$A=$A422)*('env Parameter'!$B:$B=$K422)*('env Parameter'!$C:$C=$L422),'env Parameter'!I:I,""),"")</f>
        <v>YR</v>
      </c>
    </row>
    <row r="423" spans="1:14">
      <c r="A423">
        <f>eDNA!A423</f>
        <v>20200717</v>
      </c>
      <c r="B423" s="10" t="str" cm="1">
        <f t="array" ref="B423">IFERROR(_xlfn.XLOOKUP(1,('env Parameter'!$A:$A=$A423)*('env Parameter'!$B:$B=$K423)*('env Parameter'!$C:$C=$L423),'env Parameter'!H:H,""),"")</f>
        <v>생물상 조사</v>
      </c>
      <c r="C423" s="10" cm="1">
        <f t="array" ref="C423">IFERROR(_xlfn.XLOOKUP(1,('env Parameter'!$A:$A=$A423)*('env Parameter'!$B:$B=$K423)*('env Parameter'!$C:$C=$L423),'env Parameter'!E:E,""),"")</f>
        <v>2.14</v>
      </c>
      <c r="D423" s="10" cm="1">
        <f t="array" ref="D423">IFERROR(_xlfn.XLOOKUP(1,('env Parameter'!$A:$A=$A423)*('env Parameter'!$B:$B=$K423)*('env Parameter'!$C:$C=$L423),'env Parameter'!F:F,""),"")</f>
        <v>478</v>
      </c>
      <c r="E423" s="10" cm="1">
        <f t="array" ref="E423">IFERROR(_xlfn.XLOOKUP(1,('env Parameter'!$A:$A=$A423)*('env Parameter'!$B:$B=$K423)*('env Parameter'!$C:$C=$L423),'env Parameter'!G:G,""),"")</f>
        <v>7.6</v>
      </c>
      <c r="F423" t="str">
        <f>eDNA!F423</f>
        <v>MiFish</v>
      </c>
      <c r="G423" t="str">
        <f>eDNA!D423</f>
        <v>Carassius gibelio</v>
      </c>
      <c r="H423" t="str">
        <f>_xlfn.XLOOKUP(G423,'Common name (master file)'!$B:$B,'Common name (master file)'!$A:$A,"-------------")</f>
        <v>기벨리오 붕어</v>
      </c>
      <c r="I423">
        <f>eDNA!E423</f>
        <v>52191</v>
      </c>
      <c r="J423" t="str">
        <f>_xlfn.XLOOKUP(G423,'Common name (master file)'!$B:$B,'Common name (master file)'!$C:$C,"")</f>
        <v>어류</v>
      </c>
      <c r="K423">
        <f>eDNA!B423</f>
        <v>126.8446659</v>
      </c>
      <c r="L423">
        <f>eDNA!C423</f>
        <v>37.420618699999999</v>
      </c>
      <c r="M423" s="10" t="str" cm="1">
        <f t="array" ref="M423">IFERROR(_xlfn.XLOOKUP(1,('env Parameter'!$A:$A=$A423)*('env Parameter'!$B:$B=$K423)*('env Parameter'!$C:$C=$L423),'env Parameter'!D:D,""),"")</f>
        <v>목감천-3</v>
      </c>
      <c r="N423" s="10" t="str" cm="1">
        <f t="array" ref="N423">IFERROR(_xlfn.XLOOKUP(1,('env Parameter'!$A:$A=$A423)*('env Parameter'!$B:$B=$K423)*('env Parameter'!$C:$C=$L423),'env Parameter'!I:I,""),"")</f>
        <v>YR</v>
      </c>
    </row>
    <row r="424" spans="1:14">
      <c r="A424">
        <f>eDNA!A424</f>
        <v>20200717</v>
      </c>
      <c r="B424" s="10" t="str" cm="1">
        <f t="array" ref="B424">IFERROR(_xlfn.XLOOKUP(1,('env Parameter'!$A:$A=$A424)*('env Parameter'!$B:$B=$K424)*('env Parameter'!$C:$C=$L424),'env Parameter'!H:H,""),"")</f>
        <v>생물상 조사</v>
      </c>
      <c r="C424" s="10" cm="1">
        <f t="array" ref="C424">IFERROR(_xlfn.XLOOKUP(1,('env Parameter'!$A:$A=$A424)*('env Parameter'!$B:$B=$K424)*('env Parameter'!$C:$C=$L424),'env Parameter'!E:E,""),"")</f>
        <v>2.14</v>
      </c>
      <c r="D424" s="10" cm="1">
        <f t="array" ref="D424">IFERROR(_xlfn.XLOOKUP(1,('env Parameter'!$A:$A=$A424)*('env Parameter'!$B:$B=$K424)*('env Parameter'!$C:$C=$L424),'env Parameter'!F:F,""),"")</f>
        <v>478</v>
      </c>
      <c r="E424" s="10" cm="1">
        <f t="array" ref="E424">IFERROR(_xlfn.XLOOKUP(1,('env Parameter'!$A:$A=$A424)*('env Parameter'!$B:$B=$K424)*('env Parameter'!$C:$C=$L424),'env Parameter'!G:G,""),"")</f>
        <v>7.6</v>
      </c>
      <c r="F424" t="str">
        <f>eDNA!F424</f>
        <v>MiFish</v>
      </c>
      <c r="G424" t="str">
        <f>eDNA!D424</f>
        <v>Rattus norvegicus</v>
      </c>
      <c r="H424" t="str">
        <f>_xlfn.XLOOKUP(G424,'Common name (master file)'!$B:$B,'Common name (master file)'!$A:$A,"-------------")</f>
        <v>시궁쥐</v>
      </c>
      <c r="I424">
        <f>eDNA!E424</f>
        <v>10</v>
      </c>
      <c r="J424" t="str">
        <f>_xlfn.XLOOKUP(G424,'Common name (master file)'!$B:$B,'Common name (master file)'!$C:$C,"")</f>
        <v>포유류</v>
      </c>
      <c r="K424">
        <f>eDNA!B424</f>
        <v>126.83793110000001</v>
      </c>
      <c r="L424">
        <f>eDNA!C424</f>
        <v>37.441797600000001</v>
      </c>
      <c r="M424" s="10" t="str" cm="1">
        <f t="array" ref="M424">IFERROR(_xlfn.XLOOKUP(1,('env Parameter'!$A:$A=$A424)*('env Parameter'!$B:$B=$K424)*('env Parameter'!$C:$C=$L424),'env Parameter'!D:D,""),"")</f>
        <v>목감천-2</v>
      </c>
      <c r="N424" s="10" t="str" cm="1">
        <f t="array" ref="N424">IFERROR(_xlfn.XLOOKUP(1,('env Parameter'!$A:$A=$A424)*('env Parameter'!$B:$B=$K424)*('env Parameter'!$C:$C=$L424),'env Parameter'!I:I,""),"")</f>
        <v>YR</v>
      </c>
    </row>
    <row r="425" spans="1:14">
      <c r="A425">
        <f>eDNA!A425</f>
        <v>20200717</v>
      </c>
      <c r="B425" s="10" t="str" cm="1">
        <f t="array" ref="B425">IFERROR(_xlfn.XLOOKUP(1,('env Parameter'!$A:$A=$A425)*('env Parameter'!$B:$B=$K425)*('env Parameter'!$C:$C=$L425),'env Parameter'!H:H,""),"")</f>
        <v>생물상 조사</v>
      </c>
      <c r="C425" s="10" cm="1">
        <f t="array" ref="C425">IFERROR(_xlfn.XLOOKUP(1,('env Parameter'!$A:$A=$A425)*('env Parameter'!$B:$B=$K425)*('env Parameter'!$C:$C=$L425),'env Parameter'!E:E,""),"")</f>
        <v>2.14</v>
      </c>
      <c r="D425" s="10" cm="1">
        <f t="array" ref="D425">IFERROR(_xlfn.XLOOKUP(1,('env Parameter'!$A:$A=$A425)*('env Parameter'!$B:$B=$K425)*('env Parameter'!$C:$C=$L425),'env Parameter'!F:F,""),"")</f>
        <v>478</v>
      </c>
      <c r="E425" s="10" cm="1">
        <f t="array" ref="E425">IFERROR(_xlfn.XLOOKUP(1,('env Parameter'!$A:$A=$A425)*('env Parameter'!$B:$B=$K425)*('env Parameter'!$C:$C=$L425),'env Parameter'!G:G,""),"")</f>
        <v>7.6</v>
      </c>
      <c r="F425" t="str">
        <f>eDNA!F425</f>
        <v>MiFish</v>
      </c>
      <c r="G425" t="str">
        <f>eDNA!D425</f>
        <v>Canis lupus familiaris</v>
      </c>
      <c r="H425" t="str">
        <f>_xlfn.XLOOKUP(G425,'Common name (master file)'!$B:$B,'Common name (master file)'!$A:$A,"-------------")</f>
        <v>개</v>
      </c>
      <c r="I425">
        <f>eDNA!E425</f>
        <v>14</v>
      </c>
      <c r="J425" t="str">
        <f>_xlfn.XLOOKUP(G425,'Common name (master file)'!$B:$B,'Common name (master file)'!$C:$C,"")</f>
        <v>포유류</v>
      </c>
      <c r="K425">
        <f>eDNA!B425</f>
        <v>126.83793110000001</v>
      </c>
      <c r="L425">
        <f>eDNA!C425</f>
        <v>37.441797600000001</v>
      </c>
      <c r="M425" s="10" t="str" cm="1">
        <f t="array" ref="M425">IFERROR(_xlfn.XLOOKUP(1,('env Parameter'!$A:$A=$A425)*('env Parameter'!$B:$B=$K425)*('env Parameter'!$C:$C=$L425),'env Parameter'!D:D,""),"")</f>
        <v>목감천-2</v>
      </c>
      <c r="N425" s="10" t="str" cm="1">
        <f t="array" ref="N425">IFERROR(_xlfn.XLOOKUP(1,('env Parameter'!$A:$A=$A425)*('env Parameter'!$B:$B=$K425)*('env Parameter'!$C:$C=$L425),'env Parameter'!I:I,""),"")</f>
        <v>YR</v>
      </c>
    </row>
    <row r="426" spans="1:14">
      <c r="A426">
        <f>eDNA!A426</f>
        <v>20200717</v>
      </c>
      <c r="B426" s="10" t="str" cm="1">
        <f t="array" ref="B426">IFERROR(_xlfn.XLOOKUP(1,('env Parameter'!$A:$A=$A426)*('env Parameter'!$B:$B=$K426)*('env Parameter'!$C:$C=$L426),'env Parameter'!H:H,""),"")</f>
        <v>생물상 조사</v>
      </c>
      <c r="C426" s="10" cm="1">
        <f t="array" ref="C426">IFERROR(_xlfn.XLOOKUP(1,('env Parameter'!$A:$A=$A426)*('env Parameter'!$B:$B=$K426)*('env Parameter'!$C:$C=$L426),'env Parameter'!E:E,""),"")</f>
        <v>2.14</v>
      </c>
      <c r="D426" s="10" cm="1">
        <f t="array" ref="D426">IFERROR(_xlfn.XLOOKUP(1,('env Parameter'!$A:$A=$A426)*('env Parameter'!$B:$B=$K426)*('env Parameter'!$C:$C=$L426),'env Parameter'!F:F,""),"")</f>
        <v>478</v>
      </c>
      <c r="E426" s="10" cm="1">
        <f t="array" ref="E426">IFERROR(_xlfn.XLOOKUP(1,('env Parameter'!$A:$A=$A426)*('env Parameter'!$B:$B=$K426)*('env Parameter'!$C:$C=$L426),'env Parameter'!G:G,""),"")</f>
        <v>7.6</v>
      </c>
      <c r="F426" t="str">
        <f>eDNA!F426</f>
        <v>MiFish</v>
      </c>
      <c r="G426" t="str">
        <f>eDNA!D426</f>
        <v>Cyprinus megalophthalmus</v>
      </c>
      <c r="H426" t="str">
        <f>_xlfn.XLOOKUP(G426,'Common name (master file)'!$B:$B,'Common name (master file)'!$A:$A,"-------------")</f>
        <v>큰눈잉어</v>
      </c>
      <c r="I426">
        <f>eDNA!E426</f>
        <v>22</v>
      </c>
      <c r="J426" t="str">
        <f>_xlfn.XLOOKUP(G426,'Common name (master file)'!$B:$B,'Common name (master file)'!$C:$C,"")</f>
        <v>어류</v>
      </c>
      <c r="K426">
        <f>eDNA!B426</f>
        <v>126.83793110000001</v>
      </c>
      <c r="L426">
        <f>eDNA!C426</f>
        <v>37.441797600000001</v>
      </c>
      <c r="M426" s="10" t="str" cm="1">
        <f t="array" ref="M426">IFERROR(_xlfn.XLOOKUP(1,('env Parameter'!$A:$A=$A426)*('env Parameter'!$B:$B=$K426)*('env Parameter'!$C:$C=$L426),'env Parameter'!D:D,""),"")</f>
        <v>목감천-2</v>
      </c>
      <c r="N426" s="10" t="str" cm="1">
        <f t="array" ref="N426">IFERROR(_xlfn.XLOOKUP(1,('env Parameter'!$A:$A=$A426)*('env Parameter'!$B:$B=$K426)*('env Parameter'!$C:$C=$L426),'env Parameter'!I:I,""),"")</f>
        <v>YR</v>
      </c>
    </row>
    <row r="427" spans="1:14">
      <c r="A427">
        <f>eDNA!A427</f>
        <v>20200717</v>
      </c>
      <c r="B427" s="10" t="str" cm="1">
        <f t="array" ref="B427">IFERROR(_xlfn.XLOOKUP(1,('env Parameter'!$A:$A=$A427)*('env Parameter'!$B:$B=$K427)*('env Parameter'!$C:$C=$L427),'env Parameter'!H:H,""),"")</f>
        <v>생물상 조사</v>
      </c>
      <c r="C427" s="10" cm="1">
        <f t="array" ref="C427">IFERROR(_xlfn.XLOOKUP(1,('env Parameter'!$A:$A=$A427)*('env Parameter'!$B:$B=$K427)*('env Parameter'!$C:$C=$L427),'env Parameter'!E:E,""),"")</f>
        <v>2.14</v>
      </c>
      <c r="D427" s="10" cm="1">
        <f t="array" ref="D427">IFERROR(_xlfn.XLOOKUP(1,('env Parameter'!$A:$A=$A427)*('env Parameter'!$B:$B=$K427)*('env Parameter'!$C:$C=$L427),'env Parameter'!F:F,""),"")</f>
        <v>478</v>
      </c>
      <c r="E427" s="10" cm="1">
        <f t="array" ref="E427">IFERROR(_xlfn.XLOOKUP(1,('env Parameter'!$A:$A=$A427)*('env Parameter'!$B:$B=$K427)*('env Parameter'!$C:$C=$L427),'env Parameter'!G:G,""),"")</f>
        <v>7.6</v>
      </c>
      <c r="F427" t="str">
        <f>eDNA!F427</f>
        <v>MiFish</v>
      </c>
      <c r="G427" t="str">
        <f>eDNA!D427</f>
        <v>Carassius auratus</v>
      </c>
      <c r="H427" t="str">
        <f>_xlfn.XLOOKUP(G427,'Common name (master file)'!$B:$B,'Common name (master file)'!$A:$A,"-------------")</f>
        <v>붕어</v>
      </c>
      <c r="I427">
        <f>eDNA!E427</f>
        <v>44</v>
      </c>
      <c r="J427" t="str">
        <f>_xlfn.XLOOKUP(G427,'Common name (master file)'!$B:$B,'Common name (master file)'!$C:$C,"")</f>
        <v>어류</v>
      </c>
      <c r="K427">
        <f>eDNA!B427</f>
        <v>126.83793110000001</v>
      </c>
      <c r="L427">
        <f>eDNA!C427</f>
        <v>37.441797600000001</v>
      </c>
      <c r="M427" s="10" t="str" cm="1">
        <f t="array" ref="M427">IFERROR(_xlfn.XLOOKUP(1,('env Parameter'!$A:$A=$A427)*('env Parameter'!$B:$B=$K427)*('env Parameter'!$C:$C=$L427),'env Parameter'!D:D,""),"")</f>
        <v>목감천-2</v>
      </c>
      <c r="N427" s="10" t="str" cm="1">
        <f t="array" ref="N427">IFERROR(_xlfn.XLOOKUP(1,('env Parameter'!$A:$A=$A427)*('env Parameter'!$B:$B=$K427)*('env Parameter'!$C:$C=$L427),'env Parameter'!I:I,""),"")</f>
        <v>YR</v>
      </c>
    </row>
    <row r="428" spans="1:14">
      <c r="A428">
        <f>eDNA!A428</f>
        <v>20200717</v>
      </c>
      <c r="B428" s="10" t="str" cm="1">
        <f t="array" ref="B428">IFERROR(_xlfn.XLOOKUP(1,('env Parameter'!$A:$A=$A428)*('env Parameter'!$B:$B=$K428)*('env Parameter'!$C:$C=$L428),'env Parameter'!H:H,""),"")</f>
        <v>생물상 조사</v>
      </c>
      <c r="C428" s="10" cm="1">
        <f t="array" ref="C428">IFERROR(_xlfn.XLOOKUP(1,('env Parameter'!$A:$A=$A428)*('env Parameter'!$B:$B=$K428)*('env Parameter'!$C:$C=$L428),'env Parameter'!E:E,""),"")</f>
        <v>2.14</v>
      </c>
      <c r="D428" s="10" cm="1">
        <f t="array" ref="D428">IFERROR(_xlfn.XLOOKUP(1,('env Parameter'!$A:$A=$A428)*('env Parameter'!$B:$B=$K428)*('env Parameter'!$C:$C=$L428),'env Parameter'!F:F,""),"")</f>
        <v>478</v>
      </c>
      <c r="E428" s="10" cm="1">
        <f t="array" ref="E428">IFERROR(_xlfn.XLOOKUP(1,('env Parameter'!$A:$A=$A428)*('env Parameter'!$B:$B=$K428)*('env Parameter'!$C:$C=$L428),'env Parameter'!G:G,""),"")</f>
        <v>7.6</v>
      </c>
      <c r="F428" t="str">
        <f>eDNA!F428</f>
        <v>MiFish</v>
      </c>
      <c r="G428" t="str">
        <f>eDNA!D428</f>
        <v>Misgurnus anguillicaudatus</v>
      </c>
      <c r="H428" t="str">
        <f>_xlfn.XLOOKUP(G428,'Common name (master file)'!$B:$B,'Common name (master file)'!$A:$A,"-------------")</f>
        <v>미꾸리</v>
      </c>
      <c r="I428">
        <f>eDNA!E428</f>
        <v>215</v>
      </c>
      <c r="J428" t="str">
        <f>_xlfn.XLOOKUP(G428,'Common name (master file)'!$B:$B,'Common name (master file)'!$C:$C,"")</f>
        <v>어류</v>
      </c>
      <c r="K428">
        <f>eDNA!B428</f>
        <v>126.83793110000001</v>
      </c>
      <c r="L428">
        <f>eDNA!C428</f>
        <v>37.441797600000001</v>
      </c>
      <c r="M428" s="10" t="str" cm="1">
        <f t="array" ref="M428">IFERROR(_xlfn.XLOOKUP(1,('env Parameter'!$A:$A=$A428)*('env Parameter'!$B:$B=$K428)*('env Parameter'!$C:$C=$L428),'env Parameter'!D:D,""),"")</f>
        <v>목감천-2</v>
      </c>
      <c r="N428" s="10" t="str" cm="1">
        <f t="array" ref="N428">IFERROR(_xlfn.XLOOKUP(1,('env Parameter'!$A:$A=$A428)*('env Parameter'!$B:$B=$K428)*('env Parameter'!$C:$C=$L428),'env Parameter'!I:I,""),"")</f>
        <v>YR</v>
      </c>
    </row>
    <row r="429" spans="1:14">
      <c r="A429">
        <f>eDNA!A429</f>
        <v>20200717</v>
      </c>
      <c r="B429" s="10" t="str" cm="1">
        <f t="array" ref="B429">IFERROR(_xlfn.XLOOKUP(1,('env Parameter'!$A:$A=$A429)*('env Parameter'!$B:$B=$K429)*('env Parameter'!$C:$C=$L429),'env Parameter'!H:H,""),"")</f>
        <v>생물상 조사</v>
      </c>
      <c r="C429" s="10" cm="1">
        <f t="array" ref="C429">IFERROR(_xlfn.XLOOKUP(1,('env Parameter'!$A:$A=$A429)*('env Parameter'!$B:$B=$K429)*('env Parameter'!$C:$C=$L429),'env Parameter'!E:E,""),"")</f>
        <v>2.14</v>
      </c>
      <c r="D429" s="10" cm="1">
        <f t="array" ref="D429">IFERROR(_xlfn.XLOOKUP(1,('env Parameter'!$A:$A=$A429)*('env Parameter'!$B:$B=$K429)*('env Parameter'!$C:$C=$L429),'env Parameter'!F:F,""),"")</f>
        <v>478</v>
      </c>
      <c r="E429" s="10" cm="1">
        <f t="array" ref="E429">IFERROR(_xlfn.XLOOKUP(1,('env Parameter'!$A:$A=$A429)*('env Parameter'!$B:$B=$K429)*('env Parameter'!$C:$C=$L429),'env Parameter'!G:G,""),"")</f>
        <v>7.6</v>
      </c>
      <c r="F429" t="str">
        <f>eDNA!F429</f>
        <v>MiFish</v>
      </c>
      <c r="G429" t="str">
        <f>eDNA!D429</f>
        <v>Carassius cuvieri</v>
      </c>
      <c r="H429" t="str">
        <f>_xlfn.XLOOKUP(G429,'Common name (master file)'!$B:$B,'Common name (master file)'!$A:$A,"-------------")</f>
        <v>떡붕어</v>
      </c>
      <c r="I429">
        <f>eDNA!E429</f>
        <v>198</v>
      </c>
      <c r="J429" t="str">
        <f>_xlfn.XLOOKUP(G429,'Common name (master file)'!$B:$B,'Common name (master file)'!$C:$C,"")</f>
        <v>어류</v>
      </c>
      <c r="K429">
        <f>eDNA!B429</f>
        <v>126.83793110000001</v>
      </c>
      <c r="L429">
        <f>eDNA!C429</f>
        <v>37.441797600000001</v>
      </c>
      <c r="M429" s="10" t="str" cm="1">
        <f t="array" ref="M429">IFERROR(_xlfn.XLOOKUP(1,('env Parameter'!$A:$A=$A429)*('env Parameter'!$B:$B=$K429)*('env Parameter'!$C:$C=$L429),'env Parameter'!D:D,""),"")</f>
        <v>목감천-2</v>
      </c>
      <c r="N429" s="10" t="str" cm="1">
        <f t="array" ref="N429">IFERROR(_xlfn.XLOOKUP(1,('env Parameter'!$A:$A=$A429)*('env Parameter'!$B:$B=$K429)*('env Parameter'!$C:$C=$L429),'env Parameter'!I:I,""),"")</f>
        <v>YR</v>
      </c>
    </row>
    <row r="430" spans="1:14">
      <c r="A430">
        <f>eDNA!A430</f>
        <v>20200717</v>
      </c>
      <c r="B430" s="10" t="str" cm="1">
        <f t="array" ref="B430">IFERROR(_xlfn.XLOOKUP(1,('env Parameter'!$A:$A=$A430)*('env Parameter'!$B:$B=$K430)*('env Parameter'!$C:$C=$L430),'env Parameter'!H:H,""),"")</f>
        <v>생물상 조사</v>
      </c>
      <c r="C430" s="10" cm="1">
        <f t="array" ref="C430">IFERROR(_xlfn.XLOOKUP(1,('env Parameter'!$A:$A=$A430)*('env Parameter'!$B:$B=$K430)*('env Parameter'!$C:$C=$L430),'env Parameter'!E:E,""),"")</f>
        <v>2.14</v>
      </c>
      <c r="D430" s="10" cm="1">
        <f t="array" ref="D430">IFERROR(_xlfn.XLOOKUP(1,('env Parameter'!$A:$A=$A430)*('env Parameter'!$B:$B=$K430)*('env Parameter'!$C:$C=$L430),'env Parameter'!F:F,""),"")</f>
        <v>478</v>
      </c>
      <c r="E430" s="10" cm="1">
        <f t="array" ref="E430">IFERROR(_xlfn.XLOOKUP(1,('env Parameter'!$A:$A=$A430)*('env Parameter'!$B:$B=$K430)*('env Parameter'!$C:$C=$L430),'env Parameter'!G:G,""),"")</f>
        <v>7.6</v>
      </c>
      <c r="F430" t="str">
        <f>eDNA!F430</f>
        <v>MiFish</v>
      </c>
      <c r="G430" t="str">
        <f>eDNA!D430</f>
        <v>Oryzias sinensis</v>
      </c>
      <c r="H430" t="str">
        <f>_xlfn.XLOOKUP(G430,'Common name (master file)'!$B:$B,'Common name (master file)'!$A:$A,"-------------")</f>
        <v>대륙송사리</v>
      </c>
      <c r="I430">
        <f>eDNA!E430</f>
        <v>322</v>
      </c>
      <c r="J430" t="str">
        <f>_xlfn.XLOOKUP(G430,'Common name (master file)'!$B:$B,'Common name (master file)'!$C:$C,"")</f>
        <v>어류</v>
      </c>
      <c r="K430">
        <f>eDNA!B430</f>
        <v>126.83793110000001</v>
      </c>
      <c r="L430">
        <f>eDNA!C430</f>
        <v>37.441797600000001</v>
      </c>
      <c r="M430" s="10" t="str" cm="1">
        <f t="array" ref="M430">IFERROR(_xlfn.XLOOKUP(1,('env Parameter'!$A:$A=$A430)*('env Parameter'!$B:$B=$K430)*('env Parameter'!$C:$C=$L430),'env Parameter'!D:D,""),"")</f>
        <v>목감천-2</v>
      </c>
      <c r="N430" s="10" t="str" cm="1">
        <f t="array" ref="N430">IFERROR(_xlfn.XLOOKUP(1,('env Parameter'!$A:$A=$A430)*('env Parameter'!$B:$B=$K430)*('env Parameter'!$C:$C=$L430),'env Parameter'!I:I,""),"")</f>
        <v>YR</v>
      </c>
    </row>
    <row r="431" spans="1:14">
      <c r="A431">
        <f>eDNA!A431</f>
        <v>20200717</v>
      </c>
      <c r="B431" s="10" t="str" cm="1">
        <f t="array" ref="B431">IFERROR(_xlfn.XLOOKUP(1,('env Parameter'!$A:$A=$A431)*('env Parameter'!$B:$B=$K431)*('env Parameter'!$C:$C=$L431),'env Parameter'!H:H,""),"")</f>
        <v>생물상 조사</v>
      </c>
      <c r="C431" s="10" cm="1">
        <f t="array" ref="C431">IFERROR(_xlfn.XLOOKUP(1,('env Parameter'!$A:$A=$A431)*('env Parameter'!$B:$B=$K431)*('env Parameter'!$C:$C=$L431),'env Parameter'!E:E,""),"")</f>
        <v>2.14</v>
      </c>
      <c r="D431" s="10" cm="1">
        <f t="array" ref="D431">IFERROR(_xlfn.XLOOKUP(1,('env Parameter'!$A:$A=$A431)*('env Parameter'!$B:$B=$K431)*('env Parameter'!$C:$C=$L431),'env Parameter'!F:F,""),"")</f>
        <v>478</v>
      </c>
      <c r="E431" s="10" cm="1">
        <f t="array" ref="E431">IFERROR(_xlfn.XLOOKUP(1,('env Parameter'!$A:$A=$A431)*('env Parameter'!$B:$B=$K431)*('env Parameter'!$C:$C=$L431),'env Parameter'!G:G,""),"")</f>
        <v>7.6</v>
      </c>
      <c r="F431" t="str">
        <f>eDNA!F431</f>
        <v>MiFish</v>
      </c>
      <c r="G431" t="str">
        <f>eDNA!D431</f>
        <v>Pelodiscus sinensis</v>
      </c>
      <c r="H431" t="str">
        <f>_xlfn.XLOOKUP(G431,'Common name (master file)'!$B:$B,'Common name (master file)'!$A:$A,"-------------")</f>
        <v>중국자라</v>
      </c>
      <c r="I431">
        <f>eDNA!E431</f>
        <v>386</v>
      </c>
      <c r="J431" t="str">
        <f>_xlfn.XLOOKUP(G431,'Common name (master file)'!$B:$B,'Common name (master file)'!$C:$C,"")</f>
        <v>양서파충류</v>
      </c>
      <c r="K431">
        <f>eDNA!B431</f>
        <v>126.83793110000001</v>
      </c>
      <c r="L431">
        <f>eDNA!C431</f>
        <v>37.441797600000001</v>
      </c>
      <c r="M431" s="10" t="str" cm="1">
        <f t="array" ref="M431">IFERROR(_xlfn.XLOOKUP(1,('env Parameter'!$A:$A=$A431)*('env Parameter'!$B:$B=$K431)*('env Parameter'!$C:$C=$L431),'env Parameter'!D:D,""),"")</f>
        <v>목감천-2</v>
      </c>
      <c r="N431" s="10" t="str" cm="1">
        <f t="array" ref="N431">IFERROR(_xlfn.XLOOKUP(1,('env Parameter'!$A:$A=$A431)*('env Parameter'!$B:$B=$K431)*('env Parameter'!$C:$C=$L431),'env Parameter'!I:I,""),"")</f>
        <v>YR</v>
      </c>
    </row>
    <row r="432" spans="1:14">
      <c r="A432">
        <f>eDNA!A432</f>
        <v>20200717</v>
      </c>
      <c r="B432" s="10" t="str" cm="1">
        <f t="array" ref="B432">IFERROR(_xlfn.XLOOKUP(1,('env Parameter'!$A:$A=$A432)*('env Parameter'!$B:$B=$K432)*('env Parameter'!$C:$C=$L432),'env Parameter'!H:H,""),"")</f>
        <v>생물상 조사</v>
      </c>
      <c r="C432" s="10" cm="1">
        <f t="array" ref="C432">IFERROR(_xlfn.XLOOKUP(1,('env Parameter'!$A:$A=$A432)*('env Parameter'!$B:$B=$K432)*('env Parameter'!$C:$C=$L432),'env Parameter'!E:E,""),"")</f>
        <v>2.14</v>
      </c>
      <c r="D432" s="10" cm="1">
        <f t="array" ref="D432">IFERROR(_xlfn.XLOOKUP(1,('env Parameter'!$A:$A=$A432)*('env Parameter'!$B:$B=$K432)*('env Parameter'!$C:$C=$L432),'env Parameter'!F:F,""),"")</f>
        <v>478</v>
      </c>
      <c r="E432" s="10" cm="1">
        <f t="array" ref="E432">IFERROR(_xlfn.XLOOKUP(1,('env Parameter'!$A:$A=$A432)*('env Parameter'!$B:$B=$K432)*('env Parameter'!$C:$C=$L432),'env Parameter'!G:G,""),"")</f>
        <v>7.6</v>
      </c>
      <c r="F432" t="str">
        <f>eDNA!F432</f>
        <v>MiFish</v>
      </c>
      <c r="G432" t="str">
        <f>eDNA!D432</f>
        <v>Lepomis macrochirus</v>
      </c>
      <c r="H432" t="str">
        <f>_xlfn.XLOOKUP(G432,'Common name (master file)'!$B:$B,'Common name (master file)'!$A:$A,"-------------")</f>
        <v>블루길</v>
      </c>
      <c r="I432">
        <f>eDNA!E432</f>
        <v>422</v>
      </c>
      <c r="J432" t="str">
        <f>_xlfn.XLOOKUP(G432,'Common name (master file)'!$B:$B,'Common name (master file)'!$C:$C,"")</f>
        <v>어류</v>
      </c>
      <c r="K432">
        <f>eDNA!B432</f>
        <v>126.83793110000001</v>
      </c>
      <c r="L432">
        <f>eDNA!C432</f>
        <v>37.441797600000001</v>
      </c>
      <c r="M432" s="10" t="str" cm="1">
        <f t="array" ref="M432">IFERROR(_xlfn.XLOOKUP(1,('env Parameter'!$A:$A=$A432)*('env Parameter'!$B:$B=$K432)*('env Parameter'!$C:$C=$L432),'env Parameter'!D:D,""),"")</f>
        <v>목감천-2</v>
      </c>
      <c r="N432" s="10" t="str" cm="1">
        <f t="array" ref="N432">IFERROR(_xlfn.XLOOKUP(1,('env Parameter'!$A:$A=$A432)*('env Parameter'!$B:$B=$K432)*('env Parameter'!$C:$C=$L432),'env Parameter'!I:I,""),"")</f>
        <v>YR</v>
      </c>
    </row>
    <row r="433" spans="1:14">
      <c r="A433">
        <f>eDNA!A433</f>
        <v>20200717</v>
      </c>
      <c r="B433" s="10" t="str" cm="1">
        <f t="array" ref="B433">IFERROR(_xlfn.XLOOKUP(1,('env Parameter'!$A:$A=$A433)*('env Parameter'!$B:$B=$K433)*('env Parameter'!$C:$C=$L433),'env Parameter'!H:H,""),"")</f>
        <v>생물상 조사</v>
      </c>
      <c r="C433" s="10" cm="1">
        <f t="array" ref="C433">IFERROR(_xlfn.XLOOKUP(1,('env Parameter'!$A:$A=$A433)*('env Parameter'!$B:$B=$K433)*('env Parameter'!$C:$C=$L433),'env Parameter'!E:E,""),"")</f>
        <v>2.14</v>
      </c>
      <c r="D433" s="10" cm="1">
        <f t="array" ref="D433">IFERROR(_xlfn.XLOOKUP(1,('env Parameter'!$A:$A=$A433)*('env Parameter'!$B:$B=$K433)*('env Parameter'!$C:$C=$L433),'env Parameter'!F:F,""),"")</f>
        <v>478</v>
      </c>
      <c r="E433" s="10" cm="1">
        <f t="array" ref="E433">IFERROR(_xlfn.XLOOKUP(1,('env Parameter'!$A:$A=$A433)*('env Parameter'!$B:$B=$K433)*('env Parameter'!$C:$C=$L433),'env Parameter'!G:G,""),"")</f>
        <v>7.6</v>
      </c>
      <c r="F433" t="str">
        <f>eDNA!F433</f>
        <v>MiFish</v>
      </c>
      <c r="G433" t="str">
        <f>eDNA!D433</f>
        <v>Channa argus</v>
      </c>
      <c r="H433" t="str">
        <f>_xlfn.XLOOKUP(G433,'Common name (master file)'!$B:$B,'Common name (master file)'!$A:$A,"-------------")</f>
        <v>가물치</v>
      </c>
      <c r="I433">
        <f>eDNA!E433</f>
        <v>444</v>
      </c>
      <c r="J433" t="str">
        <f>_xlfn.XLOOKUP(G433,'Common name (master file)'!$B:$B,'Common name (master file)'!$C:$C,"")</f>
        <v>어류</v>
      </c>
      <c r="K433">
        <f>eDNA!B433</f>
        <v>126.83793110000001</v>
      </c>
      <c r="L433">
        <f>eDNA!C433</f>
        <v>37.441797600000001</v>
      </c>
      <c r="M433" s="10" t="str" cm="1">
        <f t="array" ref="M433">IFERROR(_xlfn.XLOOKUP(1,('env Parameter'!$A:$A=$A433)*('env Parameter'!$B:$B=$K433)*('env Parameter'!$C:$C=$L433),'env Parameter'!D:D,""),"")</f>
        <v>목감천-2</v>
      </c>
      <c r="N433" s="10" t="str" cm="1">
        <f t="array" ref="N433">IFERROR(_xlfn.XLOOKUP(1,('env Parameter'!$A:$A=$A433)*('env Parameter'!$B:$B=$K433)*('env Parameter'!$C:$C=$L433),'env Parameter'!I:I,""),"")</f>
        <v>YR</v>
      </c>
    </row>
    <row r="434" spans="1:14">
      <c r="A434">
        <f>eDNA!A434</f>
        <v>20200717</v>
      </c>
      <c r="B434" s="10" t="str" cm="1">
        <f t="array" ref="B434">IFERROR(_xlfn.XLOOKUP(1,('env Parameter'!$A:$A=$A434)*('env Parameter'!$B:$B=$K434)*('env Parameter'!$C:$C=$L434),'env Parameter'!H:H,""),"")</f>
        <v>생물상 조사</v>
      </c>
      <c r="C434" s="10" cm="1">
        <f t="array" ref="C434">IFERROR(_xlfn.XLOOKUP(1,('env Parameter'!$A:$A=$A434)*('env Parameter'!$B:$B=$K434)*('env Parameter'!$C:$C=$L434),'env Parameter'!E:E,""),"")</f>
        <v>2.14</v>
      </c>
      <c r="D434" s="10" cm="1">
        <f t="array" ref="D434">IFERROR(_xlfn.XLOOKUP(1,('env Parameter'!$A:$A=$A434)*('env Parameter'!$B:$B=$K434)*('env Parameter'!$C:$C=$L434),'env Parameter'!F:F,""),"")</f>
        <v>478</v>
      </c>
      <c r="E434" s="10" cm="1">
        <f t="array" ref="E434">IFERROR(_xlfn.XLOOKUP(1,('env Parameter'!$A:$A=$A434)*('env Parameter'!$B:$B=$K434)*('env Parameter'!$C:$C=$L434),'env Parameter'!G:G,""),"")</f>
        <v>7.6</v>
      </c>
      <c r="F434" t="str">
        <f>eDNA!F434</f>
        <v>MiFish</v>
      </c>
      <c r="G434" t="str">
        <f>eDNA!D434</f>
        <v>Carassius sp.</v>
      </c>
      <c r="H434" t="str">
        <f>_xlfn.XLOOKUP(G434,'Common name (master file)'!$B:$B,'Common name (master file)'!$A:$A,"-------------")</f>
        <v>붕어 속</v>
      </c>
      <c r="I434">
        <f>eDNA!E434</f>
        <v>986</v>
      </c>
      <c r="J434" t="str">
        <f>_xlfn.XLOOKUP(G434,'Common name (master file)'!$B:$B,'Common name (master file)'!$C:$C,"")</f>
        <v>어류</v>
      </c>
      <c r="K434">
        <f>eDNA!B434</f>
        <v>126.83793110000001</v>
      </c>
      <c r="L434">
        <f>eDNA!C434</f>
        <v>37.441797600000001</v>
      </c>
      <c r="M434" s="10" t="str" cm="1">
        <f t="array" ref="M434">IFERROR(_xlfn.XLOOKUP(1,('env Parameter'!$A:$A=$A434)*('env Parameter'!$B:$B=$K434)*('env Parameter'!$C:$C=$L434),'env Parameter'!D:D,""),"")</f>
        <v>목감천-2</v>
      </c>
      <c r="N434" s="10" t="str" cm="1">
        <f t="array" ref="N434">IFERROR(_xlfn.XLOOKUP(1,('env Parameter'!$A:$A=$A434)*('env Parameter'!$B:$B=$K434)*('env Parameter'!$C:$C=$L434),'env Parameter'!I:I,""),"")</f>
        <v>YR</v>
      </c>
    </row>
    <row r="435" spans="1:14">
      <c r="A435">
        <f>eDNA!A435</f>
        <v>20200717</v>
      </c>
      <c r="B435" s="10" t="str" cm="1">
        <f t="array" ref="B435">IFERROR(_xlfn.XLOOKUP(1,('env Parameter'!$A:$A=$A435)*('env Parameter'!$B:$B=$K435)*('env Parameter'!$C:$C=$L435),'env Parameter'!H:H,""),"")</f>
        <v>생물상 조사</v>
      </c>
      <c r="C435" s="10" cm="1">
        <f t="array" ref="C435">IFERROR(_xlfn.XLOOKUP(1,('env Parameter'!$A:$A=$A435)*('env Parameter'!$B:$B=$K435)*('env Parameter'!$C:$C=$L435),'env Parameter'!E:E,""),"")</f>
        <v>2.14</v>
      </c>
      <c r="D435" s="10" cm="1">
        <f t="array" ref="D435">IFERROR(_xlfn.XLOOKUP(1,('env Parameter'!$A:$A=$A435)*('env Parameter'!$B:$B=$K435)*('env Parameter'!$C:$C=$L435),'env Parameter'!F:F,""),"")</f>
        <v>478</v>
      </c>
      <c r="E435" s="10" cm="1">
        <f t="array" ref="E435">IFERROR(_xlfn.XLOOKUP(1,('env Parameter'!$A:$A=$A435)*('env Parameter'!$B:$B=$K435)*('env Parameter'!$C:$C=$L435),'env Parameter'!G:G,""),"")</f>
        <v>7.6</v>
      </c>
      <c r="F435" t="str">
        <f>eDNA!F435</f>
        <v>MiFish</v>
      </c>
      <c r="G435" t="str">
        <f>eDNA!D435</f>
        <v>Cyprinus carpio</v>
      </c>
      <c r="H435" t="str">
        <f>_xlfn.XLOOKUP(G435,'Common name (master file)'!$B:$B,'Common name (master file)'!$A:$A,"-------------")</f>
        <v>잉어</v>
      </c>
      <c r="I435">
        <f>eDNA!E435</f>
        <v>1329</v>
      </c>
      <c r="J435" t="str">
        <f>_xlfn.XLOOKUP(G435,'Common name (master file)'!$B:$B,'Common name (master file)'!$C:$C,"")</f>
        <v>어류</v>
      </c>
      <c r="K435">
        <f>eDNA!B435</f>
        <v>126.83793110000001</v>
      </c>
      <c r="L435">
        <f>eDNA!C435</f>
        <v>37.441797600000001</v>
      </c>
      <c r="M435" s="10" t="str" cm="1">
        <f t="array" ref="M435">IFERROR(_xlfn.XLOOKUP(1,('env Parameter'!$A:$A=$A435)*('env Parameter'!$B:$B=$K435)*('env Parameter'!$C:$C=$L435),'env Parameter'!D:D,""),"")</f>
        <v>목감천-2</v>
      </c>
      <c r="N435" s="10" t="str" cm="1">
        <f t="array" ref="N435">IFERROR(_xlfn.XLOOKUP(1,('env Parameter'!$A:$A=$A435)*('env Parameter'!$B:$B=$K435)*('env Parameter'!$C:$C=$L435),'env Parameter'!I:I,""),"")</f>
        <v>YR</v>
      </c>
    </row>
    <row r="436" spans="1:14">
      <c r="A436">
        <f>eDNA!A436</f>
        <v>20200717</v>
      </c>
      <c r="B436" s="10" t="str" cm="1">
        <f t="array" ref="B436">IFERROR(_xlfn.XLOOKUP(1,('env Parameter'!$A:$A=$A436)*('env Parameter'!$B:$B=$K436)*('env Parameter'!$C:$C=$L436),'env Parameter'!H:H,""),"")</f>
        <v>생물상 조사</v>
      </c>
      <c r="C436" s="10" cm="1">
        <f t="array" ref="C436">IFERROR(_xlfn.XLOOKUP(1,('env Parameter'!$A:$A=$A436)*('env Parameter'!$B:$B=$K436)*('env Parameter'!$C:$C=$L436),'env Parameter'!E:E,""),"")</f>
        <v>2.14</v>
      </c>
      <c r="D436" s="10" cm="1">
        <f t="array" ref="D436">IFERROR(_xlfn.XLOOKUP(1,('env Parameter'!$A:$A=$A436)*('env Parameter'!$B:$B=$K436)*('env Parameter'!$C:$C=$L436),'env Parameter'!F:F,""),"")</f>
        <v>478</v>
      </c>
      <c r="E436" s="10" cm="1">
        <f t="array" ref="E436">IFERROR(_xlfn.XLOOKUP(1,('env Parameter'!$A:$A=$A436)*('env Parameter'!$B:$B=$K436)*('env Parameter'!$C:$C=$L436),'env Parameter'!G:G,""),"")</f>
        <v>7.6</v>
      </c>
      <c r="F436" t="str">
        <f>eDNA!F436</f>
        <v>MiFish</v>
      </c>
      <c r="G436" t="str">
        <f>eDNA!D436</f>
        <v>Odontobutis interrupta</v>
      </c>
      <c r="H436" t="str">
        <f>_xlfn.XLOOKUP(G436,'Common name (master file)'!$B:$B,'Common name (master file)'!$A:$A,"-------------")</f>
        <v>얼록동사리</v>
      </c>
      <c r="I436">
        <f>eDNA!E436</f>
        <v>1319</v>
      </c>
      <c r="J436" t="str">
        <f>_xlfn.XLOOKUP(G436,'Common name (master file)'!$B:$B,'Common name (master file)'!$C:$C,"")</f>
        <v>어류</v>
      </c>
      <c r="K436">
        <f>eDNA!B436</f>
        <v>126.83793110000001</v>
      </c>
      <c r="L436">
        <f>eDNA!C436</f>
        <v>37.441797600000001</v>
      </c>
      <c r="M436" s="10" t="str" cm="1">
        <f t="array" ref="M436">IFERROR(_xlfn.XLOOKUP(1,('env Parameter'!$A:$A=$A436)*('env Parameter'!$B:$B=$K436)*('env Parameter'!$C:$C=$L436),'env Parameter'!D:D,""),"")</f>
        <v>목감천-2</v>
      </c>
      <c r="N436" s="10" t="str" cm="1">
        <f t="array" ref="N436">IFERROR(_xlfn.XLOOKUP(1,('env Parameter'!$A:$A=$A436)*('env Parameter'!$B:$B=$K436)*('env Parameter'!$C:$C=$L436),'env Parameter'!I:I,""),"")</f>
        <v>YR</v>
      </c>
    </row>
    <row r="437" spans="1:14">
      <c r="A437">
        <f>eDNA!A437</f>
        <v>20200717</v>
      </c>
      <c r="B437" s="10" t="str" cm="1">
        <f t="array" ref="B437">IFERROR(_xlfn.XLOOKUP(1,('env Parameter'!$A:$A=$A437)*('env Parameter'!$B:$B=$K437)*('env Parameter'!$C:$C=$L437),'env Parameter'!H:H,""),"")</f>
        <v>생물상 조사</v>
      </c>
      <c r="C437" s="10" cm="1">
        <f t="array" ref="C437">IFERROR(_xlfn.XLOOKUP(1,('env Parameter'!$A:$A=$A437)*('env Parameter'!$B:$B=$K437)*('env Parameter'!$C:$C=$L437),'env Parameter'!E:E,""),"")</f>
        <v>2.14</v>
      </c>
      <c r="D437" s="10" cm="1">
        <f t="array" ref="D437">IFERROR(_xlfn.XLOOKUP(1,('env Parameter'!$A:$A=$A437)*('env Parameter'!$B:$B=$K437)*('env Parameter'!$C:$C=$L437),'env Parameter'!F:F,""),"")</f>
        <v>478</v>
      </c>
      <c r="E437" s="10" cm="1">
        <f t="array" ref="E437">IFERROR(_xlfn.XLOOKUP(1,('env Parameter'!$A:$A=$A437)*('env Parameter'!$B:$B=$K437)*('env Parameter'!$C:$C=$L437),'env Parameter'!G:G,""),"")</f>
        <v>7.6</v>
      </c>
      <c r="F437" t="str">
        <f>eDNA!F437</f>
        <v>MiFish</v>
      </c>
      <c r="G437" t="str">
        <f>eDNA!D437</f>
        <v>Silurus soldatovi</v>
      </c>
      <c r="H437" t="str">
        <f>_xlfn.XLOOKUP(G437,'Common name (master file)'!$B:$B,'Common name (master file)'!$A:$A,"-------------")</f>
        <v>솔다토비 메기</v>
      </c>
      <c r="I437">
        <f>eDNA!E437</f>
        <v>1810</v>
      </c>
      <c r="J437" t="str">
        <f>_xlfn.XLOOKUP(G437,'Common name (master file)'!$B:$B,'Common name (master file)'!$C:$C,"")</f>
        <v>어류</v>
      </c>
      <c r="K437">
        <f>eDNA!B437</f>
        <v>126.83793110000001</v>
      </c>
      <c r="L437">
        <f>eDNA!C437</f>
        <v>37.441797600000001</v>
      </c>
      <c r="M437" s="10" t="str" cm="1">
        <f t="array" ref="M437">IFERROR(_xlfn.XLOOKUP(1,('env Parameter'!$A:$A=$A437)*('env Parameter'!$B:$B=$K437)*('env Parameter'!$C:$C=$L437),'env Parameter'!D:D,""),"")</f>
        <v>목감천-2</v>
      </c>
      <c r="N437" s="10" t="str" cm="1">
        <f t="array" ref="N437">IFERROR(_xlfn.XLOOKUP(1,('env Parameter'!$A:$A=$A437)*('env Parameter'!$B:$B=$K437)*('env Parameter'!$C:$C=$L437),'env Parameter'!I:I,""),"")</f>
        <v>YR</v>
      </c>
    </row>
    <row r="438" spans="1:14">
      <c r="A438">
        <f>eDNA!A438</f>
        <v>20200717</v>
      </c>
      <c r="B438" s="10" t="str" cm="1">
        <f t="array" ref="B438">IFERROR(_xlfn.XLOOKUP(1,('env Parameter'!$A:$A=$A438)*('env Parameter'!$B:$B=$K438)*('env Parameter'!$C:$C=$L438),'env Parameter'!H:H,""),"")</f>
        <v>생물상 조사</v>
      </c>
      <c r="C438" s="10" cm="1">
        <f t="array" ref="C438">IFERROR(_xlfn.XLOOKUP(1,('env Parameter'!$A:$A=$A438)*('env Parameter'!$B:$B=$K438)*('env Parameter'!$C:$C=$L438),'env Parameter'!E:E,""),"")</f>
        <v>2.14</v>
      </c>
      <c r="D438" s="10" cm="1">
        <f t="array" ref="D438">IFERROR(_xlfn.XLOOKUP(1,('env Parameter'!$A:$A=$A438)*('env Parameter'!$B:$B=$K438)*('env Parameter'!$C:$C=$L438),'env Parameter'!F:F,""),"")</f>
        <v>478</v>
      </c>
      <c r="E438" s="10" cm="1">
        <f t="array" ref="E438">IFERROR(_xlfn.XLOOKUP(1,('env Parameter'!$A:$A=$A438)*('env Parameter'!$B:$B=$K438)*('env Parameter'!$C:$C=$L438),'env Parameter'!G:G,""),"")</f>
        <v>7.6</v>
      </c>
      <c r="F438" t="str">
        <f>eDNA!F438</f>
        <v>MiFish</v>
      </c>
      <c r="G438" t="str">
        <f>eDNA!D438</f>
        <v>Misgurnus mizolepis</v>
      </c>
      <c r="H438" t="str">
        <f>_xlfn.XLOOKUP(G438,'Common name (master file)'!$B:$B,'Common name (master file)'!$A:$A,"-------------")</f>
        <v>미꾸라지</v>
      </c>
      <c r="I438">
        <f>eDNA!E438</f>
        <v>2129</v>
      </c>
      <c r="J438" t="str">
        <f>_xlfn.XLOOKUP(G438,'Common name (master file)'!$B:$B,'Common name (master file)'!$C:$C,"")</f>
        <v>어류</v>
      </c>
      <c r="K438">
        <f>eDNA!B438</f>
        <v>126.83793110000001</v>
      </c>
      <c r="L438">
        <f>eDNA!C438</f>
        <v>37.441797600000001</v>
      </c>
      <c r="M438" s="10" t="str" cm="1">
        <f t="array" ref="M438">IFERROR(_xlfn.XLOOKUP(1,('env Parameter'!$A:$A=$A438)*('env Parameter'!$B:$B=$K438)*('env Parameter'!$C:$C=$L438),'env Parameter'!D:D,""),"")</f>
        <v>목감천-2</v>
      </c>
      <c r="N438" s="10" t="str" cm="1">
        <f t="array" ref="N438">IFERROR(_xlfn.XLOOKUP(1,('env Parameter'!$A:$A=$A438)*('env Parameter'!$B:$B=$K438)*('env Parameter'!$C:$C=$L438),'env Parameter'!I:I,""),"")</f>
        <v>YR</v>
      </c>
    </row>
    <row r="439" spans="1:14">
      <c r="A439">
        <f>eDNA!A439</f>
        <v>20200717</v>
      </c>
      <c r="B439" s="10" t="str" cm="1">
        <f t="array" ref="B439">IFERROR(_xlfn.XLOOKUP(1,('env Parameter'!$A:$A=$A439)*('env Parameter'!$B:$B=$K439)*('env Parameter'!$C:$C=$L439),'env Parameter'!H:H,""),"")</f>
        <v>생물상 조사</v>
      </c>
      <c r="C439" s="10" cm="1">
        <f t="array" ref="C439">IFERROR(_xlfn.XLOOKUP(1,('env Parameter'!$A:$A=$A439)*('env Parameter'!$B:$B=$K439)*('env Parameter'!$C:$C=$L439),'env Parameter'!E:E,""),"")</f>
        <v>2.14</v>
      </c>
      <c r="D439" s="10" cm="1">
        <f t="array" ref="D439">IFERROR(_xlfn.XLOOKUP(1,('env Parameter'!$A:$A=$A439)*('env Parameter'!$B:$B=$K439)*('env Parameter'!$C:$C=$L439),'env Parameter'!F:F,""),"")</f>
        <v>478</v>
      </c>
      <c r="E439" s="10" cm="1">
        <f t="array" ref="E439">IFERROR(_xlfn.XLOOKUP(1,('env Parameter'!$A:$A=$A439)*('env Parameter'!$B:$B=$K439)*('env Parameter'!$C:$C=$L439),'env Parameter'!G:G,""),"")</f>
        <v>7.6</v>
      </c>
      <c r="F439" t="str">
        <f>eDNA!F439</f>
        <v>MiFish</v>
      </c>
      <c r="G439" t="str">
        <f>eDNA!D439</f>
        <v>Paramisgurnus dabryanus</v>
      </c>
      <c r="H439" t="str">
        <f>_xlfn.XLOOKUP(G439,'Common name (master file)'!$B:$B,'Common name (master file)'!$A:$A,"-------------")</f>
        <v>중국미꾸라지</v>
      </c>
      <c r="I439">
        <f>eDNA!E439</f>
        <v>5004</v>
      </c>
      <c r="J439" t="str">
        <f>_xlfn.XLOOKUP(G439,'Common name (master file)'!$B:$B,'Common name (master file)'!$C:$C,"")</f>
        <v>어류</v>
      </c>
      <c r="K439">
        <f>eDNA!B439</f>
        <v>126.83793110000001</v>
      </c>
      <c r="L439">
        <f>eDNA!C439</f>
        <v>37.441797600000001</v>
      </c>
      <c r="M439" s="10" t="str" cm="1">
        <f t="array" ref="M439">IFERROR(_xlfn.XLOOKUP(1,('env Parameter'!$A:$A=$A439)*('env Parameter'!$B:$B=$K439)*('env Parameter'!$C:$C=$L439),'env Parameter'!D:D,""),"")</f>
        <v>목감천-2</v>
      </c>
      <c r="N439" s="10" t="str" cm="1">
        <f t="array" ref="N439">IFERROR(_xlfn.XLOOKUP(1,('env Parameter'!$A:$A=$A439)*('env Parameter'!$B:$B=$K439)*('env Parameter'!$C:$C=$L439),'env Parameter'!I:I,""),"")</f>
        <v>YR</v>
      </c>
    </row>
    <row r="440" spans="1:14">
      <c r="A440">
        <f>eDNA!A440</f>
        <v>20200717</v>
      </c>
      <c r="B440" s="10" t="str" cm="1">
        <f t="array" ref="B440">IFERROR(_xlfn.XLOOKUP(1,('env Parameter'!$A:$A=$A440)*('env Parameter'!$B:$B=$K440)*('env Parameter'!$C:$C=$L440),'env Parameter'!H:H,""),"")</f>
        <v>생물상 조사</v>
      </c>
      <c r="C440" s="10" cm="1">
        <f t="array" ref="C440">IFERROR(_xlfn.XLOOKUP(1,('env Parameter'!$A:$A=$A440)*('env Parameter'!$B:$B=$K440)*('env Parameter'!$C:$C=$L440),'env Parameter'!E:E,""),"")</f>
        <v>2.14</v>
      </c>
      <c r="D440" s="10" cm="1">
        <f t="array" ref="D440">IFERROR(_xlfn.XLOOKUP(1,('env Parameter'!$A:$A=$A440)*('env Parameter'!$B:$B=$K440)*('env Parameter'!$C:$C=$L440),'env Parameter'!F:F,""),"")</f>
        <v>478</v>
      </c>
      <c r="E440" s="10" cm="1">
        <f t="array" ref="E440">IFERROR(_xlfn.XLOOKUP(1,('env Parameter'!$A:$A=$A440)*('env Parameter'!$B:$B=$K440)*('env Parameter'!$C:$C=$L440),'env Parameter'!G:G,""),"")</f>
        <v>7.6</v>
      </c>
      <c r="F440" t="str">
        <f>eDNA!F440</f>
        <v>MiFish</v>
      </c>
      <c r="G440" t="str">
        <f>eDNA!D440</f>
        <v>Sus scrofa</v>
      </c>
      <c r="H440" t="str">
        <f>_xlfn.XLOOKUP(G440,'Common name (master file)'!$B:$B,'Common name (master file)'!$A:$A,"-------------")</f>
        <v>멧돼지</v>
      </c>
      <c r="I440">
        <f>eDNA!E440</f>
        <v>7159</v>
      </c>
      <c r="J440" t="str">
        <f>_xlfn.XLOOKUP(G440,'Common name (master file)'!$B:$B,'Common name (master file)'!$C:$C,"")</f>
        <v>포유류</v>
      </c>
      <c r="K440">
        <f>eDNA!B440</f>
        <v>126.83793110000001</v>
      </c>
      <c r="L440">
        <f>eDNA!C440</f>
        <v>37.441797600000001</v>
      </c>
      <c r="M440" s="10" t="str" cm="1">
        <f t="array" ref="M440">IFERROR(_xlfn.XLOOKUP(1,('env Parameter'!$A:$A=$A440)*('env Parameter'!$B:$B=$K440)*('env Parameter'!$C:$C=$L440),'env Parameter'!D:D,""),"")</f>
        <v>목감천-2</v>
      </c>
      <c r="N440" s="10" t="str" cm="1">
        <f t="array" ref="N440">IFERROR(_xlfn.XLOOKUP(1,('env Parameter'!$A:$A=$A440)*('env Parameter'!$B:$B=$K440)*('env Parameter'!$C:$C=$L440),'env Parameter'!I:I,""),"")</f>
        <v>YR</v>
      </c>
    </row>
    <row r="441" spans="1:14">
      <c r="A441">
        <f>eDNA!A441</f>
        <v>20200717</v>
      </c>
      <c r="B441" s="10" t="str" cm="1">
        <f t="array" ref="B441">IFERROR(_xlfn.XLOOKUP(1,('env Parameter'!$A:$A=$A441)*('env Parameter'!$B:$B=$K441)*('env Parameter'!$C:$C=$L441),'env Parameter'!H:H,""),"")</f>
        <v>생물상 조사</v>
      </c>
      <c r="C441" s="10" cm="1">
        <f t="array" ref="C441">IFERROR(_xlfn.XLOOKUP(1,('env Parameter'!$A:$A=$A441)*('env Parameter'!$B:$B=$K441)*('env Parameter'!$C:$C=$L441),'env Parameter'!E:E,""),"")</f>
        <v>2.14</v>
      </c>
      <c r="D441" s="10" cm="1">
        <f t="array" ref="D441">IFERROR(_xlfn.XLOOKUP(1,('env Parameter'!$A:$A=$A441)*('env Parameter'!$B:$B=$K441)*('env Parameter'!$C:$C=$L441),'env Parameter'!F:F,""),"")</f>
        <v>478</v>
      </c>
      <c r="E441" s="10" cm="1">
        <f t="array" ref="E441">IFERROR(_xlfn.XLOOKUP(1,('env Parameter'!$A:$A=$A441)*('env Parameter'!$B:$B=$K441)*('env Parameter'!$C:$C=$L441),'env Parameter'!G:G,""),"")</f>
        <v>7.6</v>
      </c>
      <c r="F441" t="str">
        <f>eDNA!F441</f>
        <v>MiFish</v>
      </c>
      <c r="G441" t="str">
        <f>eDNA!D441</f>
        <v>Pseudorasbora parva</v>
      </c>
      <c r="H441" t="str">
        <f>_xlfn.XLOOKUP(G441,'Common name (master file)'!$B:$B,'Common name (master file)'!$A:$A,"-------------")</f>
        <v>참붕어</v>
      </c>
      <c r="I441">
        <f>eDNA!E441</f>
        <v>10888</v>
      </c>
      <c r="J441" t="str">
        <f>_xlfn.XLOOKUP(G441,'Common name (master file)'!$B:$B,'Common name (master file)'!$C:$C,"")</f>
        <v>어류</v>
      </c>
      <c r="K441">
        <f>eDNA!B441</f>
        <v>126.83793110000001</v>
      </c>
      <c r="L441">
        <f>eDNA!C441</f>
        <v>37.441797600000001</v>
      </c>
      <c r="M441" s="10" t="str" cm="1">
        <f t="array" ref="M441">IFERROR(_xlfn.XLOOKUP(1,('env Parameter'!$A:$A=$A441)*('env Parameter'!$B:$B=$K441)*('env Parameter'!$C:$C=$L441),'env Parameter'!D:D,""),"")</f>
        <v>목감천-2</v>
      </c>
      <c r="N441" s="10" t="str" cm="1">
        <f t="array" ref="N441">IFERROR(_xlfn.XLOOKUP(1,('env Parameter'!$A:$A=$A441)*('env Parameter'!$B:$B=$K441)*('env Parameter'!$C:$C=$L441),'env Parameter'!I:I,""),"")</f>
        <v>YR</v>
      </c>
    </row>
    <row r="442" spans="1:14">
      <c r="A442">
        <f>eDNA!A442</f>
        <v>20200717</v>
      </c>
      <c r="B442" s="10" t="str" cm="1">
        <f t="array" ref="B442">IFERROR(_xlfn.XLOOKUP(1,('env Parameter'!$A:$A=$A442)*('env Parameter'!$B:$B=$K442)*('env Parameter'!$C:$C=$L442),'env Parameter'!H:H,""),"")</f>
        <v>생물상 조사</v>
      </c>
      <c r="C442" s="10" cm="1">
        <f t="array" ref="C442">IFERROR(_xlfn.XLOOKUP(1,('env Parameter'!$A:$A=$A442)*('env Parameter'!$B:$B=$K442)*('env Parameter'!$C:$C=$L442),'env Parameter'!E:E,""),"")</f>
        <v>2.14</v>
      </c>
      <c r="D442" s="10" cm="1">
        <f t="array" ref="D442">IFERROR(_xlfn.XLOOKUP(1,('env Parameter'!$A:$A=$A442)*('env Parameter'!$B:$B=$K442)*('env Parameter'!$C:$C=$L442),'env Parameter'!F:F,""),"")</f>
        <v>478</v>
      </c>
      <c r="E442" s="10" cm="1">
        <f t="array" ref="E442">IFERROR(_xlfn.XLOOKUP(1,('env Parameter'!$A:$A=$A442)*('env Parameter'!$B:$B=$K442)*('env Parameter'!$C:$C=$L442),'env Parameter'!G:G,""),"")</f>
        <v>7.6</v>
      </c>
      <c r="F442" t="str">
        <f>eDNA!F442</f>
        <v>MiFish</v>
      </c>
      <c r="G442" t="str">
        <f>eDNA!D442</f>
        <v>Carassius gibelio</v>
      </c>
      <c r="H442" t="str">
        <f>_xlfn.XLOOKUP(G442,'Common name (master file)'!$B:$B,'Common name (master file)'!$A:$A,"-------------")</f>
        <v>기벨리오 붕어</v>
      </c>
      <c r="I442">
        <f>eDNA!E442</f>
        <v>22493</v>
      </c>
      <c r="J442" t="str">
        <f>_xlfn.XLOOKUP(G442,'Common name (master file)'!$B:$B,'Common name (master file)'!$C:$C,"")</f>
        <v>어류</v>
      </c>
      <c r="K442">
        <f>eDNA!B442</f>
        <v>126.83793110000001</v>
      </c>
      <c r="L442">
        <f>eDNA!C442</f>
        <v>37.441797600000001</v>
      </c>
      <c r="M442" s="10" t="str" cm="1">
        <f t="array" ref="M442">IFERROR(_xlfn.XLOOKUP(1,('env Parameter'!$A:$A=$A442)*('env Parameter'!$B:$B=$K442)*('env Parameter'!$C:$C=$L442),'env Parameter'!D:D,""),"")</f>
        <v>목감천-2</v>
      </c>
      <c r="N442" s="10" t="str" cm="1">
        <f t="array" ref="N442">IFERROR(_xlfn.XLOOKUP(1,('env Parameter'!$A:$A=$A442)*('env Parameter'!$B:$B=$K442)*('env Parameter'!$C:$C=$L442),'env Parameter'!I:I,""),"")</f>
        <v>YR</v>
      </c>
    </row>
    <row r="443" spans="1:14">
      <c r="A443">
        <f>eDNA!A443</f>
        <v>20200717</v>
      </c>
      <c r="B443" s="10" t="str" cm="1">
        <f t="array" ref="B443">IFERROR(_xlfn.XLOOKUP(1,('env Parameter'!$A:$A=$A443)*('env Parameter'!$B:$B=$K443)*('env Parameter'!$C:$C=$L443),'env Parameter'!H:H,""),"")</f>
        <v>생물상 조사</v>
      </c>
      <c r="C443" s="10" cm="1">
        <f t="array" ref="C443">IFERROR(_xlfn.XLOOKUP(1,('env Parameter'!$A:$A=$A443)*('env Parameter'!$B:$B=$K443)*('env Parameter'!$C:$C=$L443),'env Parameter'!E:E,""),"")</f>
        <v>2.14</v>
      </c>
      <c r="D443" s="10" cm="1">
        <f t="array" ref="D443">IFERROR(_xlfn.XLOOKUP(1,('env Parameter'!$A:$A=$A443)*('env Parameter'!$B:$B=$K443)*('env Parameter'!$C:$C=$L443),'env Parameter'!F:F,""),"")</f>
        <v>478</v>
      </c>
      <c r="E443" s="10" cm="1">
        <f t="array" ref="E443">IFERROR(_xlfn.XLOOKUP(1,('env Parameter'!$A:$A=$A443)*('env Parameter'!$B:$B=$K443)*('env Parameter'!$C:$C=$L443),'env Parameter'!G:G,""),"")</f>
        <v>7.6</v>
      </c>
      <c r="F443" t="str">
        <f>eDNA!F443</f>
        <v>MiFish</v>
      </c>
      <c r="G443" t="str">
        <f>eDNA!D443</f>
        <v>Tadorna tadorna</v>
      </c>
      <c r="H443" t="str">
        <f>_xlfn.XLOOKUP(G443,'Common name (master file)'!$B:$B,'Common name (master file)'!$A:$A,"-------------")</f>
        <v>혹부리오리</v>
      </c>
      <c r="I443">
        <f>eDNA!E443</f>
        <v>30</v>
      </c>
      <c r="J443" t="str">
        <f>_xlfn.XLOOKUP(G443,'Common name (master file)'!$B:$B,'Common name (master file)'!$C:$C,"")</f>
        <v>조류</v>
      </c>
      <c r="K443">
        <f>eDNA!B443</f>
        <v>126.8499561</v>
      </c>
      <c r="L443">
        <f>eDNA!C443</f>
        <v>37.481606900000003</v>
      </c>
      <c r="M443" s="10" t="str" cm="1">
        <f t="array" ref="M443">IFERROR(_xlfn.XLOOKUP(1,('env Parameter'!$A:$A=$A443)*('env Parameter'!$B:$B=$K443)*('env Parameter'!$C:$C=$L443),'env Parameter'!D:D,""),"")</f>
        <v>목감천-5</v>
      </c>
      <c r="N443" s="10" t="str" cm="1">
        <f t="array" ref="N443">IFERROR(_xlfn.XLOOKUP(1,('env Parameter'!$A:$A=$A443)*('env Parameter'!$B:$B=$K443)*('env Parameter'!$C:$C=$L443),'env Parameter'!I:I,""),"")</f>
        <v>YR</v>
      </c>
    </row>
    <row r="444" spans="1:14">
      <c r="A444">
        <f>eDNA!A444</f>
        <v>20200717</v>
      </c>
      <c r="B444" s="10" t="str" cm="1">
        <f t="array" ref="B444">IFERROR(_xlfn.XLOOKUP(1,('env Parameter'!$A:$A=$A444)*('env Parameter'!$B:$B=$K444)*('env Parameter'!$C:$C=$L444),'env Parameter'!H:H,""),"")</f>
        <v>생물상 조사</v>
      </c>
      <c r="C444" s="10" cm="1">
        <f t="array" ref="C444">IFERROR(_xlfn.XLOOKUP(1,('env Parameter'!$A:$A=$A444)*('env Parameter'!$B:$B=$K444)*('env Parameter'!$C:$C=$L444),'env Parameter'!E:E,""),"")</f>
        <v>2.14</v>
      </c>
      <c r="D444" s="10" cm="1">
        <f t="array" ref="D444">IFERROR(_xlfn.XLOOKUP(1,('env Parameter'!$A:$A=$A444)*('env Parameter'!$B:$B=$K444)*('env Parameter'!$C:$C=$L444),'env Parameter'!F:F,""),"")</f>
        <v>478</v>
      </c>
      <c r="E444" s="10" cm="1">
        <f t="array" ref="E444">IFERROR(_xlfn.XLOOKUP(1,('env Parameter'!$A:$A=$A444)*('env Parameter'!$B:$B=$K444)*('env Parameter'!$C:$C=$L444),'env Parameter'!G:G,""),"")</f>
        <v>7.6</v>
      </c>
      <c r="F444" t="str">
        <f>eDNA!F444</f>
        <v>MiFish</v>
      </c>
      <c r="G444" t="str">
        <f>eDNA!D444</f>
        <v>Homo sapiens</v>
      </c>
      <c r="H444" t="str">
        <f>_xlfn.XLOOKUP(G444,'Common name (master file)'!$B:$B,'Common name (master file)'!$A:$A,"-------------")</f>
        <v>사람</v>
      </c>
      <c r="I444">
        <f>eDNA!E444</f>
        <v>30</v>
      </c>
      <c r="J444" t="str">
        <f>_xlfn.XLOOKUP(G444,'Common name (master file)'!$B:$B,'Common name (master file)'!$C:$C,"")</f>
        <v>포유류</v>
      </c>
      <c r="K444">
        <f>eDNA!B444</f>
        <v>126.8499561</v>
      </c>
      <c r="L444">
        <f>eDNA!C444</f>
        <v>37.481606900000003</v>
      </c>
      <c r="M444" s="10" t="str" cm="1">
        <f t="array" ref="M444">IFERROR(_xlfn.XLOOKUP(1,('env Parameter'!$A:$A=$A444)*('env Parameter'!$B:$B=$K444)*('env Parameter'!$C:$C=$L444),'env Parameter'!D:D,""),"")</f>
        <v>목감천-5</v>
      </c>
      <c r="N444" s="10" t="str" cm="1">
        <f t="array" ref="N444">IFERROR(_xlfn.XLOOKUP(1,('env Parameter'!$A:$A=$A444)*('env Parameter'!$B:$B=$K444)*('env Parameter'!$C:$C=$L444),'env Parameter'!I:I,""),"")</f>
        <v>YR</v>
      </c>
    </row>
    <row r="445" spans="1:14">
      <c r="A445">
        <f>eDNA!A445</f>
        <v>20200717</v>
      </c>
      <c r="B445" s="10" t="str" cm="1">
        <f t="array" ref="B445">IFERROR(_xlfn.XLOOKUP(1,('env Parameter'!$A:$A=$A445)*('env Parameter'!$B:$B=$K445)*('env Parameter'!$C:$C=$L445),'env Parameter'!H:H,""),"")</f>
        <v>생물상 조사</v>
      </c>
      <c r="C445" s="10" cm="1">
        <f t="array" ref="C445">IFERROR(_xlfn.XLOOKUP(1,('env Parameter'!$A:$A=$A445)*('env Parameter'!$B:$B=$K445)*('env Parameter'!$C:$C=$L445),'env Parameter'!E:E,""),"")</f>
        <v>2.14</v>
      </c>
      <c r="D445" s="10" cm="1">
        <f t="array" ref="D445">IFERROR(_xlfn.XLOOKUP(1,('env Parameter'!$A:$A=$A445)*('env Parameter'!$B:$B=$K445)*('env Parameter'!$C:$C=$L445),'env Parameter'!F:F,""),"")</f>
        <v>478</v>
      </c>
      <c r="E445" s="10" cm="1">
        <f t="array" ref="E445">IFERROR(_xlfn.XLOOKUP(1,('env Parameter'!$A:$A=$A445)*('env Parameter'!$B:$B=$K445)*('env Parameter'!$C:$C=$L445),'env Parameter'!G:G,""),"")</f>
        <v>7.6</v>
      </c>
      <c r="F445" t="str">
        <f>eDNA!F445</f>
        <v>MiFish</v>
      </c>
      <c r="G445" t="str">
        <f>eDNA!D445</f>
        <v>Misgurnus anguillicaudatus</v>
      </c>
      <c r="H445" t="str">
        <f>_xlfn.XLOOKUP(G445,'Common name (master file)'!$B:$B,'Common name (master file)'!$A:$A,"-------------")</f>
        <v>미꾸리</v>
      </c>
      <c r="I445">
        <f>eDNA!E445</f>
        <v>35</v>
      </c>
      <c r="J445" t="str">
        <f>_xlfn.XLOOKUP(G445,'Common name (master file)'!$B:$B,'Common name (master file)'!$C:$C,"")</f>
        <v>어류</v>
      </c>
      <c r="K445">
        <f>eDNA!B445</f>
        <v>126.8499561</v>
      </c>
      <c r="L445">
        <f>eDNA!C445</f>
        <v>37.481606900000003</v>
      </c>
      <c r="M445" s="10" t="str" cm="1">
        <f t="array" ref="M445">IFERROR(_xlfn.XLOOKUP(1,('env Parameter'!$A:$A=$A445)*('env Parameter'!$B:$B=$K445)*('env Parameter'!$C:$C=$L445),'env Parameter'!D:D,""),"")</f>
        <v>목감천-5</v>
      </c>
      <c r="N445" s="10" t="str" cm="1">
        <f t="array" ref="N445">IFERROR(_xlfn.XLOOKUP(1,('env Parameter'!$A:$A=$A445)*('env Parameter'!$B:$B=$K445)*('env Parameter'!$C:$C=$L445),'env Parameter'!I:I,""),"")</f>
        <v>YR</v>
      </c>
    </row>
    <row r="446" spans="1:14">
      <c r="A446">
        <f>eDNA!A446</f>
        <v>20200717</v>
      </c>
      <c r="B446" s="10" t="str" cm="1">
        <f t="array" ref="B446">IFERROR(_xlfn.XLOOKUP(1,('env Parameter'!$A:$A=$A446)*('env Parameter'!$B:$B=$K446)*('env Parameter'!$C:$C=$L446),'env Parameter'!H:H,""),"")</f>
        <v>생물상 조사</v>
      </c>
      <c r="C446" s="10" cm="1">
        <f t="array" ref="C446">IFERROR(_xlfn.XLOOKUP(1,('env Parameter'!$A:$A=$A446)*('env Parameter'!$B:$B=$K446)*('env Parameter'!$C:$C=$L446),'env Parameter'!E:E,""),"")</f>
        <v>2.14</v>
      </c>
      <c r="D446" s="10" cm="1">
        <f t="array" ref="D446">IFERROR(_xlfn.XLOOKUP(1,('env Parameter'!$A:$A=$A446)*('env Parameter'!$B:$B=$K446)*('env Parameter'!$C:$C=$L446),'env Parameter'!F:F,""),"")</f>
        <v>478</v>
      </c>
      <c r="E446" s="10" cm="1">
        <f t="array" ref="E446">IFERROR(_xlfn.XLOOKUP(1,('env Parameter'!$A:$A=$A446)*('env Parameter'!$B:$B=$K446)*('env Parameter'!$C:$C=$L446),'env Parameter'!G:G,""),"")</f>
        <v>7.6</v>
      </c>
      <c r="F446" t="str">
        <f>eDNA!F446</f>
        <v>MiFish</v>
      </c>
      <c r="G446" t="str">
        <f>eDNA!D446</f>
        <v>Capra hircus</v>
      </c>
      <c r="H446" t="str">
        <f>_xlfn.XLOOKUP(G446,'Common name (master file)'!$B:$B,'Common name (master file)'!$A:$A,"-------------")</f>
        <v>염소</v>
      </c>
      <c r="I446">
        <f>eDNA!E446</f>
        <v>46</v>
      </c>
      <c r="J446" t="str">
        <f>_xlfn.XLOOKUP(G446,'Common name (master file)'!$B:$B,'Common name (master file)'!$C:$C,"")</f>
        <v>포유류</v>
      </c>
      <c r="K446">
        <f>eDNA!B446</f>
        <v>126.8499561</v>
      </c>
      <c r="L446">
        <f>eDNA!C446</f>
        <v>37.481606900000003</v>
      </c>
      <c r="M446" s="10" t="str" cm="1">
        <f t="array" ref="M446">IFERROR(_xlfn.XLOOKUP(1,('env Parameter'!$A:$A=$A446)*('env Parameter'!$B:$B=$K446)*('env Parameter'!$C:$C=$L446),'env Parameter'!D:D,""),"")</f>
        <v>목감천-5</v>
      </c>
      <c r="N446" s="10" t="str" cm="1">
        <f t="array" ref="N446">IFERROR(_xlfn.XLOOKUP(1,('env Parameter'!$A:$A=$A446)*('env Parameter'!$B:$B=$K446)*('env Parameter'!$C:$C=$L446),'env Parameter'!I:I,""),"")</f>
        <v>YR</v>
      </c>
    </row>
    <row r="447" spans="1:14">
      <c r="A447">
        <f>eDNA!A447</f>
        <v>20200717</v>
      </c>
      <c r="B447" s="10" t="str" cm="1">
        <f t="array" ref="B447">IFERROR(_xlfn.XLOOKUP(1,('env Parameter'!$A:$A=$A447)*('env Parameter'!$B:$B=$K447)*('env Parameter'!$C:$C=$L447),'env Parameter'!H:H,""),"")</f>
        <v>생물상 조사</v>
      </c>
      <c r="C447" s="10" cm="1">
        <f t="array" ref="C447">IFERROR(_xlfn.XLOOKUP(1,('env Parameter'!$A:$A=$A447)*('env Parameter'!$B:$B=$K447)*('env Parameter'!$C:$C=$L447),'env Parameter'!E:E,""),"")</f>
        <v>2.14</v>
      </c>
      <c r="D447" s="10" cm="1">
        <f t="array" ref="D447">IFERROR(_xlfn.XLOOKUP(1,('env Parameter'!$A:$A=$A447)*('env Parameter'!$B:$B=$K447)*('env Parameter'!$C:$C=$L447),'env Parameter'!F:F,""),"")</f>
        <v>478</v>
      </c>
      <c r="E447" s="10" cm="1">
        <f t="array" ref="E447">IFERROR(_xlfn.XLOOKUP(1,('env Parameter'!$A:$A=$A447)*('env Parameter'!$B:$B=$K447)*('env Parameter'!$C:$C=$L447),'env Parameter'!G:G,""),"")</f>
        <v>7.6</v>
      </c>
      <c r="F447" t="str">
        <f>eDNA!F447</f>
        <v>MiFish</v>
      </c>
      <c r="G447" t="str">
        <f>eDNA!D447</f>
        <v>Carassius auratus</v>
      </c>
      <c r="H447" t="str">
        <f>_xlfn.XLOOKUP(G447,'Common name (master file)'!$B:$B,'Common name (master file)'!$A:$A,"-------------")</f>
        <v>붕어</v>
      </c>
      <c r="I447">
        <f>eDNA!E447</f>
        <v>72</v>
      </c>
      <c r="J447" t="str">
        <f>_xlfn.XLOOKUP(G447,'Common name (master file)'!$B:$B,'Common name (master file)'!$C:$C,"")</f>
        <v>어류</v>
      </c>
      <c r="K447">
        <f>eDNA!B447</f>
        <v>126.8499561</v>
      </c>
      <c r="L447">
        <f>eDNA!C447</f>
        <v>37.481606900000003</v>
      </c>
      <c r="M447" s="10" t="str" cm="1">
        <f t="array" ref="M447">IFERROR(_xlfn.XLOOKUP(1,('env Parameter'!$A:$A=$A447)*('env Parameter'!$B:$B=$K447)*('env Parameter'!$C:$C=$L447),'env Parameter'!D:D,""),"")</f>
        <v>목감천-5</v>
      </c>
      <c r="N447" s="10" t="str" cm="1">
        <f t="array" ref="N447">IFERROR(_xlfn.XLOOKUP(1,('env Parameter'!$A:$A=$A447)*('env Parameter'!$B:$B=$K447)*('env Parameter'!$C:$C=$L447),'env Parameter'!I:I,""),"")</f>
        <v>YR</v>
      </c>
    </row>
    <row r="448" spans="1:14">
      <c r="A448">
        <f>eDNA!A448</f>
        <v>20200717</v>
      </c>
      <c r="B448" s="10" t="str" cm="1">
        <f t="array" ref="B448">IFERROR(_xlfn.XLOOKUP(1,('env Parameter'!$A:$A=$A448)*('env Parameter'!$B:$B=$K448)*('env Parameter'!$C:$C=$L448),'env Parameter'!H:H,""),"")</f>
        <v>생물상 조사</v>
      </c>
      <c r="C448" s="10" cm="1">
        <f t="array" ref="C448">IFERROR(_xlfn.XLOOKUP(1,('env Parameter'!$A:$A=$A448)*('env Parameter'!$B:$B=$K448)*('env Parameter'!$C:$C=$L448),'env Parameter'!E:E,""),"")</f>
        <v>2.14</v>
      </c>
      <c r="D448" s="10" cm="1">
        <f t="array" ref="D448">IFERROR(_xlfn.XLOOKUP(1,('env Parameter'!$A:$A=$A448)*('env Parameter'!$B:$B=$K448)*('env Parameter'!$C:$C=$L448),'env Parameter'!F:F,""),"")</f>
        <v>478</v>
      </c>
      <c r="E448" s="10" cm="1">
        <f t="array" ref="E448">IFERROR(_xlfn.XLOOKUP(1,('env Parameter'!$A:$A=$A448)*('env Parameter'!$B:$B=$K448)*('env Parameter'!$C:$C=$L448),'env Parameter'!G:G,""),"")</f>
        <v>7.6</v>
      </c>
      <c r="F448" t="str">
        <f>eDNA!F448</f>
        <v>MiFish</v>
      </c>
      <c r="G448" t="str">
        <f>eDNA!D448</f>
        <v>Sarcocheilichthys nigripinnis</v>
      </c>
      <c r="H448" t="str">
        <f>_xlfn.XLOOKUP(G448,'Common name (master file)'!$B:$B,'Common name (master file)'!$A:$A,"-------------")</f>
        <v>중고기</v>
      </c>
      <c r="I448">
        <f>eDNA!E448</f>
        <v>81</v>
      </c>
      <c r="J448" t="str">
        <f>_xlfn.XLOOKUP(G448,'Common name (master file)'!$B:$B,'Common name (master file)'!$C:$C,"")</f>
        <v>어류</v>
      </c>
      <c r="K448">
        <f>eDNA!B448</f>
        <v>126.8499561</v>
      </c>
      <c r="L448">
        <f>eDNA!C448</f>
        <v>37.481606900000003</v>
      </c>
      <c r="M448" s="10" t="str" cm="1">
        <f t="array" ref="M448">IFERROR(_xlfn.XLOOKUP(1,('env Parameter'!$A:$A=$A448)*('env Parameter'!$B:$B=$K448)*('env Parameter'!$C:$C=$L448),'env Parameter'!D:D,""),"")</f>
        <v>목감천-5</v>
      </c>
      <c r="N448" s="10" t="str" cm="1">
        <f t="array" ref="N448">IFERROR(_xlfn.XLOOKUP(1,('env Parameter'!$A:$A=$A448)*('env Parameter'!$B:$B=$K448)*('env Parameter'!$C:$C=$L448),'env Parameter'!I:I,""),"")</f>
        <v>YR</v>
      </c>
    </row>
    <row r="449" spans="1:14">
      <c r="A449">
        <f>eDNA!A449</f>
        <v>20200717</v>
      </c>
      <c r="B449" s="10" t="str" cm="1">
        <f t="array" ref="B449">IFERROR(_xlfn.XLOOKUP(1,('env Parameter'!$A:$A=$A449)*('env Parameter'!$B:$B=$K449)*('env Parameter'!$C:$C=$L449),'env Parameter'!H:H,""),"")</f>
        <v>생물상 조사</v>
      </c>
      <c r="C449" s="10" cm="1">
        <f t="array" ref="C449">IFERROR(_xlfn.XLOOKUP(1,('env Parameter'!$A:$A=$A449)*('env Parameter'!$B:$B=$K449)*('env Parameter'!$C:$C=$L449),'env Parameter'!E:E,""),"")</f>
        <v>2.14</v>
      </c>
      <c r="D449" s="10" cm="1">
        <f t="array" ref="D449">IFERROR(_xlfn.XLOOKUP(1,('env Parameter'!$A:$A=$A449)*('env Parameter'!$B:$B=$K449)*('env Parameter'!$C:$C=$L449),'env Parameter'!F:F,""),"")</f>
        <v>478</v>
      </c>
      <c r="E449" s="10" cm="1">
        <f t="array" ref="E449">IFERROR(_xlfn.XLOOKUP(1,('env Parameter'!$A:$A=$A449)*('env Parameter'!$B:$B=$K449)*('env Parameter'!$C:$C=$L449),'env Parameter'!G:G,""),"")</f>
        <v>7.6</v>
      </c>
      <c r="F449" t="str">
        <f>eDNA!F449</f>
        <v>MiFish</v>
      </c>
      <c r="G449" t="str">
        <f>eDNA!D449</f>
        <v>Lepomis macrochirus</v>
      </c>
      <c r="H449" t="str">
        <f>_xlfn.XLOOKUP(G449,'Common name (master file)'!$B:$B,'Common name (master file)'!$A:$A,"-------------")</f>
        <v>블루길</v>
      </c>
      <c r="I449">
        <f>eDNA!E449</f>
        <v>104</v>
      </c>
      <c r="J449" t="str">
        <f>_xlfn.XLOOKUP(G449,'Common name (master file)'!$B:$B,'Common name (master file)'!$C:$C,"")</f>
        <v>어류</v>
      </c>
      <c r="K449">
        <f>eDNA!B449</f>
        <v>126.8499561</v>
      </c>
      <c r="L449">
        <f>eDNA!C449</f>
        <v>37.481606900000003</v>
      </c>
      <c r="M449" s="10" t="str" cm="1">
        <f t="array" ref="M449">IFERROR(_xlfn.XLOOKUP(1,('env Parameter'!$A:$A=$A449)*('env Parameter'!$B:$B=$K449)*('env Parameter'!$C:$C=$L449),'env Parameter'!D:D,""),"")</f>
        <v>목감천-5</v>
      </c>
      <c r="N449" s="10" t="str" cm="1">
        <f t="array" ref="N449">IFERROR(_xlfn.XLOOKUP(1,('env Parameter'!$A:$A=$A449)*('env Parameter'!$B:$B=$K449)*('env Parameter'!$C:$C=$L449),'env Parameter'!I:I,""),"")</f>
        <v>YR</v>
      </c>
    </row>
    <row r="450" spans="1:14">
      <c r="A450">
        <f>eDNA!A450</f>
        <v>20200717</v>
      </c>
      <c r="B450" s="10" t="str" cm="1">
        <f t="array" ref="B450">IFERROR(_xlfn.XLOOKUP(1,('env Parameter'!$A:$A=$A450)*('env Parameter'!$B:$B=$K450)*('env Parameter'!$C:$C=$L450),'env Parameter'!H:H,""),"")</f>
        <v>생물상 조사</v>
      </c>
      <c r="C450" s="10" cm="1">
        <f t="array" ref="C450">IFERROR(_xlfn.XLOOKUP(1,('env Parameter'!$A:$A=$A450)*('env Parameter'!$B:$B=$K450)*('env Parameter'!$C:$C=$L450),'env Parameter'!E:E,""),"")</f>
        <v>2.14</v>
      </c>
      <c r="D450" s="10" cm="1">
        <f t="array" ref="D450">IFERROR(_xlfn.XLOOKUP(1,('env Parameter'!$A:$A=$A450)*('env Parameter'!$B:$B=$K450)*('env Parameter'!$C:$C=$L450),'env Parameter'!F:F,""),"")</f>
        <v>478</v>
      </c>
      <c r="E450" s="10" cm="1">
        <f t="array" ref="E450">IFERROR(_xlfn.XLOOKUP(1,('env Parameter'!$A:$A=$A450)*('env Parameter'!$B:$B=$K450)*('env Parameter'!$C:$C=$L450),'env Parameter'!G:G,""),"")</f>
        <v>7.6</v>
      </c>
      <c r="F450" t="str">
        <f>eDNA!F450</f>
        <v>MiFish</v>
      </c>
      <c r="G450" t="str">
        <f>eDNA!D450</f>
        <v>Bos taurus</v>
      </c>
      <c r="H450" t="str">
        <f>_xlfn.XLOOKUP(G450,'Common name (master file)'!$B:$B,'Common name (master file)'!$A:$A,"-------------")</f>
        <v>소</v>
      </c>
      <c r="I450">
        <f>eDNA!E450</f>
        <v>109</v>
      </c>
      <c r="J450" t="str">
        <f>_xlfn.XLOOKUP(G450,'Common name (master file)'!$B:$B,'Common name (master file)'!$C:$C,"")</f>
        <v>포유류</v>
      </c>
      <c r="K450">
        <f>eDNA!B450</f>
        <v>126.8499561</v>
      </c>
      <c r="L450">
        <f>eDNA!C450</f>
        <v>37.481606900000003</v>
      </c>
      <c r="M450" s="10" t="str" cm="1">
        <f t="array" ref="M450">IFERROR(_xlfn.XLOOKUP(1,('env Parameter'!$A:$A=$A450)*('env Parameter'!$B:$B=$K450)*('env Parameter'!$C:$C=$L450),'env Parameter'!D:D,""),"")</f>
        <v>목감천-5</v>
      </c>
      <c r="N450" s="10" t="str" cm="1">
        <f t="array" ref="N450">IFERROR(_xlfn.XLOOKUP(1,('env Parameter'!$A:$A=$A450)*('env Parameter'!$B:$B=$K450)*('env Parameter'!$C:$C=$L450),'env Parameter'!I:I,""),"")</f>
        <v>YR</v>
      </c>
    </row>
    <row r="451" spans="1:14">
      <c r="A451">
        <f>eDNA!A451</f>
        <v>20200717</v>
      </c>
      <c r="B451" s="10" t="str" cm="1">
        <f t="array" ref="B451">IFERROR(_xlfn.XLOOKUP(1,('env Parameter'!$A:$A=$A451)*('env Parameter'!$B:$B=$K451)*('env Parameter'!$C:$C=$L451),'env Parameter'!H:H,""),"")</f>
        <v>생물상 조사</v>
      </c>
      <c r="C451" s="10" cm="1">
        <f t="array" ref="C451">IFERROR(_xlfn.XLOOKUP(1,('env Parameter'!$A:$A=$A451)*('env Parameter'!$B:$B=$K451)*('env Parameter'!$C:$C=$L451),'env Parameter'!E:E,""),"")</f>
        <v>2.14</v>
      </c>
      <c r="D451" s="10" cm="1">
        <f t="array" ref="D451">IFERROR(_xlfn.XLOOKUP(1,('env Parameter'!$A:$A=$A451)*('env Parameter'!$B:$B=$K451)*('env Parameter'!$C:$C=$L451),'env Parameter'!F:F,""),"")</f>
        <v>478</v>
      </c>
      <c r="E451" s="10" cm="1">
        <f t="array" ref="E451">IFERROR(_xlfn.XLOOKUP(1,('env Parameter'!$A:$A=$A451)*('env Parameter'!$B:$B=$K451)*('env Parameter'!$C:$C=$L451),'env Parameter'!G:G,""),"")</f>
        <v>7.6</v>
      </c>
      <c r="F451" t="str">
        <f>eDNA!F451</f>
        <v>MiFish</v>
      </c>
      <c r="G451" t="str">
        <f>eDNA!D451</f>
        <v>Sus scrofa</v>
      </c>
      <c r="H451" t="str">
        <f>_xlfn.XLOOKUP(G451,'Common name (master file)'!$B:$B,'Common name (master file)'!$A:$A,"-------------")</f>
        <v>멧돼지</v>
      </c>
      <c r="I451">
        <f>eDNA!E451</f>
        <v>319</v>
      </c>
      <c r="J451" t="str">
        <f>_xlfn.XLOOKUP(G451,'Common name (master file)'!$B:$B,'Common name (master file)'!$C:$C,"")</f>
        <v>포유류</v>
      </c>
      <c r="K451">
        <f>eDNA!B451</f>
        <v>126.8499561</v>
      </c>
      <c r="L451">
        <f>eDNA!C451</f>
        <v>37.481606900000003</v>
      </c>
      <c r="M451" s="10" t="str" cm="1">
        <f t="array" ref="M451">IFERROR(_xlfn.XLOOKUP(1,('env Parameter'!$A:$A=$A451)*('env Parameter'!$B:$B=$K451)*('env Parameter'!$C:$C=$L451),'env Parameter'!D:D,""),"")</f>
        <v>목감천-5</v>
      </c>
      <c r="N451" s="10" t="str" cm="1">
        <f t="array" ref="N451">IFERROR(_xlfn.XLOOKUP(1,('env Parameter'!$A:$A=$A451)*('env Parameter'!$B:$B=$K451)*('env Parameter'!$C:$C=$L451),'env Parameter'!I:I,""),"")</f>
        <v>YR</v>
      </c>
    </row>
    <row r="452" spans="1:14">
      <c r="A452">
        <f>eDNA!A452</f>
        <v>20200717</v>
      </c>
      <c r="B452" s="10" t="str" cm="1">
        <f t="array" ref="B452">IFERROR(_xlfn.XLOOKUP(1,('env Parameter'!$A:$A=$A452)*('env Parameter'!$B:$B=$K452)*('env Parameter'!$C:$C=$L452),'env Parameter'!H:H,""),"")</f>
        <v>생물상 조사</v>
      </c>
      <c r="C452" s="10" cm="1">
        <f t="array" ref="C452">IFERROR(_xlfn.XLOOKUP(1,('env Parameter'!$A:$A=$A452)*('env Parameter'!$B:$B=$K452)*('env Parameter'!$C:$C=$L452),'env Parameter'!E:E,""),"")</f>
        <v>2.14</v>
      </c>
      <c r="D452" s="10" cm="1">
        <f t="array" ref="D452">IFERROR(_xlfn.XLOOKUP(1,('env Parameter'!$A:$A=$A452)*('env Parameter'!$B:$B=$K452)*('env Parameter'!$C:$C=$L452),'env Parameter'!F:F,""),"")</f>
        <v>478</v>
      </c>
      <c r="E452" s="10" cm="1">
        <f t="array" ref="E452">IFERROR(_xlfn.XLOOKUP(1,('env Parameter'!$A:$A=$A452)*('env Parameter'!$B:$B=$K452)*('env Parameter'!$C:$C=$L452),'env Parameter'!G:G,""),"")</f>
        <v>7.6</v>
      </c>
      <c r="F452" t="str">
        <f>eDNA!F452</f>
        <v>MiFish</v>
      </c>
      <c r="G452" t="str">
        <f>eDNA!D452</f>
        <v>Hemibarbus sp.</v>
      </c>
      <c r="H452" t="str">
        <f>_xlfn.XLOOKUP(G452,'Common name (master file)'!$B:$B,'Common name (master file)'!$A:$A,"-------------")</f>
        <v>누치 속</v>
      </c>
      <c r="I452">
        <f>eDNA!E452</f>
        <v>144</v>
      </c>
      <c r="J452" t="str">
        <f>_xlfn.XLOOKUP(G452,'Common name (master file)'!$B:$B,'Common name (master file)'!$C:$C,"")</f>
        <v>어류</v>
      </c>
      <c r="K452">
        <f>eDNA!B452</f>
        <v>126.8499561</v>
      </c>
      <c r="L452">
        <f>eDNA!C452</f>
        <v>37.481606900000003</v>
      </c>
      <c r="M452" s="10" t="str" cm="1">
        <f t="array" ref="M452">IFERROR(_xlfn.XLOOKUP(1,('env Parameter'!$A:$A=$A452)*('env Parameter'!$B:$B=$K452)*('env Parameter'!$C:$C=$L452),'env Parameter'!D:D,""),"")</f>
        <v>목감천-5</v>
      </c>
      <c r="N452" s="10" t="str" cm="1">
        <f t="array" ref="N452">IFERROR(_xlfn.XLOOKUP(1,('env Parameter'!$A:$A=$A452)*('env Parameter'!$B:$B=$K452)*('env Parameter'!$C:$C=$L452),'env Parameter'!I:I,""),"")</f>
        <v>YR</v>
      </c>
    </row>
    <row r="453" spans="1:14">
      <c r="A453">
        <f>eDNA!A453</f>
        <v>20200717</v>
      </c>
      <c r="B453" s="10" t="str" cm="1">
        <f t="array" ref="B453">IFERROR(_xlfn.XLOOKUP(1,('env Parameter'!$A:$A=$A453)*('env Parameter'!$B:$B=$K453)*('env Parameter'!$C:$C=$L453),'env Parameter'!H:H,""),"")</f>
        <v>생물상 조사</v>
      </c>
      <c r="C453" s="10" cm="1">
        <f t="array" ref="C453">IFERROR(_xlfn.XLOOKUP(1,('env Parameter'!$A:$A=$A453)*('env Parameter'!$B:$B=$K453)*('env Parameter'!$C:$C=$L453),'env Parameter'!E:E,""),"")</f>
        <v>2.14</v>
      </c>
      <c r="D453" s="10" cm="1">
        <f t="array" ref="D453">IFERROR(_xlfn.XLOOKUP(1,('env Parameter'!$A:$A=$A453)*('env Parameter'!$B:$B=$K453)*('env Parameter'!$C:$C=$L453),'env Parameter'!F:F,""),"")</f>
        <v>478</v>
      </c>
      <c r="E453" s="10" cm="1">
        <f t="array" ref="E453">IFERROR(_xlfn.XLOOKUP(1,('env Parameter'!$A:$A=$A453)*('env Parameter'!$B:$B=$K453)*('env Parameter'!$C:$C=$L453),'env Parameter'!G:G,""),"")</f>
        <v>7.6</v>
      </c>
      <c r="F453" t="str">
        <f>eDNA!F453</f>
        <v>MiFish</v>
      </c>
      <c r="G453" t="str">
        <f>eDNA!D453</f>
        <v>Pelodiscus sinensis</v>
      </c>
      <c r="H453" t="str">
        <f>_xlfn.XLOOKUP(G453,'Common name (master file)'!$B:$B,'Common name (master file)'!$A:$A,"-------------")</f>
        <v>중국자라</v>
      </c>
      <c r="I453">
        <f>eDNA!E453</f>
        <v>144</v>
      </c>
      <c r="J453" t="str">
        <f>_xlfn.XLOOKUP(G453,'Common name (master file)'!$B:$B,'Common name (master file)'!$C:$C,"")</f>
        <v>양서파충류</v>
      </c>
      <c r="K453">
        <f>eDNA!B453</f>
        <v>126.8499561</v>
      </c>
      <c r="L453">
        <f>eDNA!C453</f>
        <v>37.481606900000003</v>
      </c>
      <c r="M453" s="10" t="str" cm="1">
        <f t="array" ref="M453">IFERROR(_xlfn.XLOOKUP(1,('env Parameter'!$A:$A=$A453)*('env Parameter'!$B:$B=$K453)*('env Parameter'!$C:$C=$L453),'env Parameter'!D:D,""),"")</f>
        <v>목감천-5</v>
      </c>
      <c r="N453" s="10" t="str" cm="1">
        <f t="array" ref="N453">IFERROR(_xlfn.XLOOKUP(1,('env Parameter'!$A:$A=$A453)*('env Parameter'!$B:$B=$K453)*('env Parameter'!$C:$C=$L453),'env Parameter'!I:I,""),"")</f>
        <v>YR</v>
      </c>
    </row>
    <row r="454" spans="1:14">
      <c r="A454">
        <f>eDNA!A454</f>
        <v>20200717</v>
      </c>
      <c r="B454" s="10" t="str" cm="1">
        <f t="array" ref="B454">IFERROR(_xlfn.XLOOKUP(1,('env Parameter'!$A:$A=$A454)*('env Parameter'!$B:$B=$K454)*('env Parameter'!$C:$C=$L454),'env Parameter'!H:H,""),"")</f>
        <v>생물상 조사</v>
      </c>
      <c r="C454" s="10" cm="1">
        <f t="array" ref="C454">IFERROR(_xlfn.XLOOKUP(1,('env Parameter'!$A:$A=$A454)*('env Parameter'!$B:$B=$K454)*('env Parameter'!$C:$C=$L454),'env Parameter'!E:E,""),"")</f>
        <v>2.14</v>
      </c>
      <c r="D454" s="10" cm="1">
        <f t="array" ref="D454">IFERROR(_xlfn.XLOOKUP(1,('env Parameter'!$A:$A=$A454)*('env Parameter'!$B:$B=$K454)*('env Parameter'!$C:$C=$L454),'env Parameter'!F:F,""),"")</f>
        <v>478</v>
      </c>
      <c r="E454" s="10" cm="1">
        <f t="array" ref="E454">IFERROR(_xlfn.XLOOKUP(1,('env Parameter'!$A:$A=$A454)*('env Parameter'!$B:$B=$K454)*('env Parameter'!$C:$C=$L454),'env Parameter'!G:G,""),"")</f>
        <v>7.6</v>
      </c>
      <c r="F454" t="str">
        <f>eDNA!F454</f>
        <v>MiFish</v>
      </c>
      <c r="G454" t="str">
        <f>eDNA!D454</f>
        <v>Planiliza haematocheila</v>
      </c>
      <c r="H454" t="str">
        <f>_xlfn.XLOOKUP(G454,'Common name (master file)'!$B:$B,'Common name (master file)'!$A:$A,"-------------")</f>
        <v>가숭어</v>
      </c>
      <c r="I454">
        <f>eDNA!E454</f>
        <v>145</v>
      </c>
      <c r="J454" t="str">
        <f>_xlfn.XLOOKUP(G454,'Common name (master file)'!$B:$B,'Common name (master file)'!$C:$C,"")</f>
        <v>어류</v>
      </c>
      <c r="K454">
        <f>eDNA!B454</f>
        <v>126.8499561</v>
      </c>
      <c r="L454">
        <f>eDNA!C454</f>
        <v>37.481606900000003</v>
      </c>
      <c r="M454" s="10" t="str" cm="1">
        <f t="array" ref="M454">IFERROR(_xlfn.XLOOKUP(1,('env Parameter'!$A:$A=$A454)*('env Parameter'!$B:$B=$K454)*('env Parameter'!$C:$C=$L454),'env Parameter'!D:D,""),"")</f>
        <v>목감천-5</v>
      </c>
      <c r="N454" s="10" t="str" cm="1">
        <f t="array" ref="N454">IFERROR(_xlfn.XLOOKUP(1,('env Parameter'!$A:$A=$A454)*('env Parameter'!$B:$B=$K454)*('env Parameter'!$C:$C=$L454),'env Parameter'!I:I,""),"")</f>
        <v>YR</v>
      </c>
    </row>
    <row r="455" spans="1:14">
      <c r="A455">
        <f>eDNA!A455</f>
        <v>20200717</v>
      </c>
      <c r="B455" s="10" t="str" cm="1">
        <f t="array" ref="B455">IFERROR(_xlfn.XLOOKUP(1,('env Parameter'!$A:$A=$A455)*('env Parameter'!$B:$B=$K455)*('env Parameter'!$C:$C=$L455),'env Parameter'!H:H,""),"")</f>
        <v>생물상 조사</v>
      </c>
      <c r="C455" s="10" cm="1">
        <f t="array" ref="C455">IFERROR(_xlfn.XLOOKUP(1,('env Parameter'!$A:$A=$A455)*('env Parameter'!$B:$B=$K455)*('env Parameter'!$C:$C=$L455),'env Parameter'!E:E,""),"")</f>
        <v>2.14</v>
      </c>
      <c r="D455" s="10" cm="1">
        <f t="array" ref="D455">IFERROR(_xlfn.XLOOKUP(1,('env Parameter'!$A:$A=$A455)*('env Parameter'!$B:$B=$K455)*('env Parameter'!$C:$C=$L455),'env Parameter'!F:F,""),"")</f>
        <v>478</v>
      </c>
      <c r="E455" s="10" cm="1">
        <f t="array" ref="E455">IFERROR(_xlfn.XLOOKUP(1,('env Parameter'!$A:$A=$A455)*('env Parameter'!$B:$B=$K455)*('env Parameter'!$C:$C=$L455),'env Parameter'!G:G,""),"")</f>
        <v>7.6</v>
      </c>
      <c r="F455" t="str">
        <f>eDNA!F455</f>
        <v>MiFish</v>
      </c>
      <c r="G455" t="str">
        <f>eDNA!D455</f>
        <v>Zacco platypus</v>
      </c>
      <c r="H455" t="str">
        <f>_xlfn.XLOOKUP(G455,'Common name (master file)'!$B:$B,'Common name (master file)'!$A:$A,"-------------")</f>
        <v>피라미</v>
      </c>
      <c r="I455">
        <f>eDNA!E455</f>
        <v>466</v>
      </c>
      <c r="J455" t="str">
        <f>_xlfn.XLOOKUP(G455,'Common name (master file)'!$B:$B,'Common name (master file)'!$C:$C,"")</f>
        <v>어류</v>
      </c>
      <c r="K455">
        <f>eDNA!B455</f>
        <v>126.8499561</v>
      </c>
      <c r="L455">
        <f>eDNA!C455</f>
        <v>37.481606900000003</v>
      </c>
      <c r="M455" s="10" t="str" cm="1">
        <f t="array" ref="M455">IFERROR(_xlfn.XLOOKUP(1,('env Parameter'!$A:$A=$A455)*('env Parameter'!$B:$B=$K455)*('env Parameter'!$C:$C=$L455),'env Parameter'!D:D,""),"")</f>
        <v>목감천-5</v>
      </c>
      <c r="N455" s="10" t="str" cm="1">
        <f t="array" ref="N455">IFERROR(_xlfn.XLOOKUP(1,('env Parameter'!$A:$A=$A455)*('env Parameter'!$B:$B=$K455)*('env Parameter'!$C:$C=$L455),'env Parameter'!I:I,""),"")</f>
        <v>YR</v>
      </c>
    </row>
    <row r="456" spans="1:14">
      <c r="A456">
        <f>eDNA!A456</f>
        <v>20200717</v>
      </c>
      <c r="B456" s="10" t="str" cm="1">
        <f t="array" ref="B456">IFERROR(_xlfn.XLOOKUP(1,('env Parameter'!$A:$A=$A456)*('env Parameter'!$B:$B=$K456)*('env Parameter'!$C:$C=$L456),'env Parameter'!H:H,""),"")</f>
        <v>생물상 조사</v>
      </c>
      <c r="C456" s="10" cm="1">
        <f t="array" ref="C456">IFERROR(_xlfn.XLOOKUP(1,('env Parameter'!$A:$A=$A456)*('env Parameter'!$B:$B=$K456)*('env Parameter'!$C:$C=$L456),'env Parameter'!E:E,""),"")</f>
        <v>2.14</v>
      </c>
      <c r="D456" s="10" cm="1">
        <f t="array" ref="D456">IFERROR(_xlfn.XLOOKUP(1,('env Parameter'!$A:$A=$A456)*('env Parameter'!$B:$B=$K456)*('env Parameter'!$C:$C=$L456),'env Parameter'!F:F,""),"")</f>
        <v>478</v>
      </c>
      <c r="E456" s="10" cm="1">
        <f t="array" ref="E456">IFERROR(_xlfn.XLOOKUP(1,('env Parameter'!$A:$A=$A456)*('env Parameter'!$B:$B=$K456)*('env Parameter'!$C:$C=$L456),'env Parameter'!G:G,""),"")</f>
        <v>7.6</v>
      </c>
      <c r="F456" t="str">
        <f>eDNA!F456</f>
        <v>MiFish</v>
      </c>
      <c r="G456" t="str">
        <f>eDNA!D456</f>
        <v>Rhinogobius sp.</v>
      </c>
      <c r="H456" t="str">
        <f>_xlfn.XLOOKUP(G456,'Common name (master file)'!$B:$B,'Common name (master file)'!$A:$A,"-------------")</f>
        <v>밀어</v>
      </c>
      <c r="I456">
        <f>eDNA!E456</f>
        <v>615</v>
      </c>
      <c r="J456" t="str">
        <f>_xlfn.XLOOKUP(G456,'Common name (master file)'!$B:$B,'Common name (master file)'!$C:$C,"")</f>
        <v>어류</v>
      </c>
      <c r="K456">
        <f>eDNA!B456</f>
        <v>126.8499561</v>
      </c>
      <c r="L456">
        <f>eDNA!C456</f>
        <v>37.481606900000003</v>
      </c>
      <c r="M456" s="10" t="str" cm="1">
        <f t="array" ref="M456">IFERROR(_xlfn.XLOOKUP(1,('env Parameter'!$A:$A=$A456)*('env Parameter'!$B:$B=$K456)*('env Parameter'!$C:$C=$L456),'env Parameter'!D:D,""),"")</f>
        <v>목감천-5</v>
      </c>
      <c r="N456" s="10" t="str" cm="1">
        <f t="array" ref="N456">IFERROR(_xlfn.XLOOKUP(1,('env Parameter'!$A:$A=$A456)*('env Parameter'!$B:$B=$K456)*('env Parameter'!$C:$C=$L456),'env Parameter'!I:I,""),"")</f>
        <v>YR</v>
      </c>
    </row>
    <row r="457" spans="1:14">
      <c r="A457">
        <f>eDNA!A457</f>
        <v>20200717</v>
      </c>
      <c r="B457" s="10" t="str" cm="1">
        <f t="array" ref="B457">IFERROR(_xlfn.XLOOKUP(1,('env Parameter'!$A:$A=$A457)*('env Parameter'!$B:$B=$K457)*('env Parameter'!$C:$C=$L457),'env Parameter'!H:H,""),"")</f>
        <v>생물상 조사</v>
      </c>
      <c r="C457" s="10" cm="1">
        <f t="array" ref="C457">IFERROR(_xlfn.XLOOKUP(1,('env Parameter'!$A:$A=$A457)*('env Parameter'!$B:$B=$K457)*('env Parameter'!$C:$C=$L457),'env Parameter'!E:E,""),"")</f>
        <v>2.14</v>
      </c>
      <c r="D457" s="10" cm="1">
        <f t="array" ref="D457">IFERROR(_xlfn.XLOOKUP(1,('env Parameter'!$A:$A=$A457)*('env Parameter'!$B:$B=$K457)*('env Parameter'!$C:$C=$L457),'env Parameter'!F:F,""),"")</f>
        <v>478</v>
      </c>
      <c r="E457" s="10" cm="1">
        <f t="array" ref="E457">IFERROR(_xlfn.XLOOKUP(1,('env Parameter'!$A:$A=$A457)*('env Parameter'!$B:$B=$K457)*('env Parameter'!$C:$C=$L457),'env Parameter'!G:G,""),"")</f>
        <v>7.6</v>
      </c>
      <c r="F457" t="str">
        <f>eDNA!F457</f>
        <v>MiFish</v>
      </c>
      <c r="G457" t="str">
        <f>eDNA!D457</f>
        <v>Culter dabryi</v>
      </c>
      <c r="H457" t="str">
        <f>_xlfn.XLOOKUP(G457,'Common name (master file)'!$B:$B,'Common name (master file)'!$A:$A,"-------------")</f>
        <v>다브리날카로운입치</v>
      </c>
      <c r="I457">
        <f>eDNA!E457</f>
        <v>455</v>
      </c>
      <c r="J457" t="str">
        <f>_xlfn.XLOOKUP(G457,'Common name (master file)'!$B:$B,'Common name (master file)'!$C:$C,"")</f>
        <v>어류</v>
      </c>
      <c r="K457">
        <f>eDNA!B457</f>
        <v>126.8499561</v>
      </c>
      <c r="L457">
        <f>eDNA!C457</f>
        <v>37.481606900000003</v>
      </c>
      <c r="M457" s="10" t="str" cm="1">
        <f t="array" ref="M457">IFERROR(_xlfn.XLOOKUP(1,('env Parameter'!$A:$A=$A457)*('env Parameter'!$B:$B=$K457)*('env Parameter'!$C:$C=$L457),'env Parameter'!D:D,""),"")</f>
        <v>목감천-5</v>
      </c>
      <c r="N457" s="10" t="str" cm="1">
        <f t="array" ref="N457">IFERROR(_xlfn.XLOOKUP(1,('env Parameter'!$A:$A=$A457)*('env Parameter'!$B:$B=$K457)*('env Parameter'!$C:$C=$L457),'env Parameter'!I:I,""),"")</f>
        <v>YR</v>
      </c>
    </row>
    <row r="458" spans="1:14">
      <c r="A458">
        <f>eDNA!A458</f>
        <v>20200717</v>
      </c>
      <c r="B458" s="10" t="str" cm="1">
        <f t="array" ref="B458">IFERROR(_xlfn.XLOOKUP(1,('env Parameter'!$A:$A=$A458)*('env Parameter'!$B:$B=$K458)*('env Parameter'!$C:$C=$L458),'env Parameter'!H:H,""),"")</f>
        <v>생물상 조사</v>
      </c>
      <c r="C458" s="10" cm="1">
        <f t="array" ref="C458">IFERROR(_xlfn.XLOOKUP(1,('env Parameter'!$A:$A=$A458)*('env Parameter'!$B:$B=$K458)*('env Parameter'!$C:$C=$L458),'env Parameter'!E:E,""),"")</f>
        <v>2.14</v>
      </c>
      <c r="D458" s="10" cm="1">
        <f t="array" ref="D458">IFERROR(_xlfn.XLOOKUP(1,('env Parameter'!$A:$A=$A458)*('env Parameter'!$B:$B=$K458)*('env Parameter'!$C:$C=$L458),'env Parameter'!F:F,""),"")</f>
        <v>478</v>
      </c>
      <c r="E458" s="10" cm="1">
        <f t="array" ref="E458">IFERROR(_xlfn.XLOOKUP(1,('env Parameter'!$A:$A=$A458)*('env Parameter'!$B:$B=$K458)*('env Parameter'!$C:$C=$L458),'env Parameter'!G:G,""),"")</f>
        <v>7.6</v>
      </c>
      <c r="F458" t="str">
        <f>eDNA!F458</f>
        <v>MiFish</v>
      </c>
      <c r="G458" t="str">
        <f>eDNA!D458</f>
        <v>Cyprinus carpio</v>
      </c>
      <c r="H458" t="str">
        <f>_xlfn.XLOOKUP(G458,'Common name (master file)'!$B:$B,'Common name (master file)'!$A:$A,"-------------")</f>
        <v>잉어</v>
      </c>
      <c r="I458">
        <f>eDNA!E458</f>
        <v>423</v>
      </c>
      <c r="J458" t="str">
        <f>_xlfn.XLOOKUP(G458,'Common name (master file)'!$B:$B,'Common name (master file)'!$C:$C,"")</f>
        <v>어류</v>
      </c>
      <c r="K458">
        <f>eDNA!B458</f>
        <v>126.8499561</v>
      </c>
      <c r="L458">
        <f>eDNA!C458</f>
        <v>37.481606900000003</v>
      </c>
      <c r="M458" s="10" t="str" cm="1">
        <f t="array" ref="M458">IFERROR(_xlfn.XLOOKUP(1,('env Parameter'!$A:$A=$A458)*('env Parameter'!$B:$B=$K458)*('env Parameter'!$C:$C=$L458),'env Parameter'!D:D,""),"")</f>
        <v>목감천-5</v>
      </c>
      <c r="N458" s="10" t="str" cm="1">
        <f t="array" ref="N458">IFERROR(_xlfn.XLOOKUP(1,('env Parameter'!$A:$A=$A458)*('env Parameter'!$B:$B=$K458)*('env Parameter'!$C:$C=$L458),'env Parameter'!I:I,""),"")</f>
        <v>YR</v>
      </c>
    </row>
    <row r="459" spans="1:14">
      <c r="A459">
        <f>eDNA!A459</f>
        <v>20200717</v>
      </c>
      <c r="B459" s="10" t="str" cm="1">
        <f t="array" ref="B459">IFERROR(_xlfn.XLOOKUP(1,('env Parameter'!$A:$A=$A459)*('env Parameter'!$B:$B=$K459)*('env Parameter'!$C:$C=$L459),'env Parameter'!H:H,""),"")</f>
        <v>생물상 조사</v>
      </c>
      <c r="C459" s="10" cm="1">
        <f t="array" ref="C459">IFERROR(_xlfn.XLOOKUP(1,('env Parameter'!$A:$A=$A459)*('env Parameter'!$B:$B=$K459)*('env Parameter'!$C:$C=$L459),'env Parameter'!E:E,""),"")</f>
        <v>2.14</v>
      </c>
      <c r="D459" s="10" cm="1">
        <f t="array" ref="D459">IFERROR(_xlfn.XLOOKUP(1,('env Parameter'!$A:$A=$A459)*('env Parameter'!$B:$B=$K459)*('env Parameter'!$C:$C=$L459),'env Parameter'!F:F,""),"")</f>
        <v>478</v>
      </c>
      <c r="E459" s="10" cm="1">
        <f t="array" ref="E459">IFERROR(_xlfn.XLOOKUP(1,('env Parameter'!$A:$A=$A459)*('env Parameter'!$B:$B=$K459)*('env Parameter'!$C:$C=$L459),'env Parameter'!G:G,""),"")</f>
        <v>7.6</v>
      </c>
      <c r="F459" t="str">
        <f>eDNA!F459</f>
        <v>MiFish</v>
      </c>
      <c r="G459" t="str">
        <f>eDNA!D459</f>
        <v>Pseudogobio esocinus</v>
      </c>
      <c r="H459" t="str">
        <f>_xlfn.XLOOKUP(G459,'Common name (master file)'!$B:$B,'Common name (master file)'!$A:$A,"-------------")</f>
        <v>모래무지</v>
      </c>
      <c r="I459">
        <f>eDNA!E459</f>
        <v>1129</v>
      </c>
      <c r="J459" t="str">
        <f>_xlfn.XLOOKUP(G459,'Common name (master file)'!$B:$B,'Common name (master file)'!$C:$C,"")</f>
        <v>어류</v>
      </c>
      <c r="K459">
        <f>eDNA!B459</f>
        <v>126.8499561</v>
      </c>
      <c r="L459">
        <f>eDNA!C459</f>
        <v>37.481606900000003</v>
      </c>
      <c r="M459" s="10" t="str" cm="1">
        <f t="array" ref="M459">IFERROR(_xlfn.XLOOKUP(1,('env Parameter'!$A:$A=$A459)*('env Parameter'!$B:$B=$K459)*('env Parameter'!$C:$C=$L459),'env Parameter'!D:D,""),"")</f>
        <v>목감천-5</v>
      </c>
      <c r="N459" s="10" t="str" cm="1">
        <f t="array" ref="N459">IFERROR(_xlfn.XLOOKUP(1,('env Parameter'!$A:$A=$A459)*('env Parameter'!$B:$B=$K459)*('env Parameter'!$C:$C=$L459),'env Parameter'!I:I,""),"")</f>
        <v>YR</v>
      </c>
    </row>
    <row r="460" spans="1:14">
      <c r="A460">
        <f>eDNA!A460</f>
        <v>20200717</v>
      </c>
      <c r="B460" s="10" t="str" cm="1">
        <f t="array" ref="B460">IFERROR(_xlfn.XLOOKUP(1,('env Parameter'!$A:$A=$A460)*('env Parameter'!$B:$B=$K460)*('env Parameter'!$C:$C=$L460),'env Parameter'!H:H,""),"")</f>
        <v>생물상 조사</v>
      </c>
      <c r="C460" s="10" cm="1">
        <f t="array" ref="C460">IFERROR(_xlfn.XLOOKUP(1,('env Parameter'!$A:$A=$A460)*('env Parameter'!$B:$B=$K460)*('env Parameter'!$C:$C=$L460),'env Parameter'!E:E,""),"")</f>
        <v>2.14</v>
      </c>
      <c r="D460" s="10" cm="1">
        <f t="array" ref="D460">IFERROR(_xlfn.XLOOKUP(1,('env Parameter'!$A:$A=$A460)*('env Parameter'!$B:$B=$K460)*('env Parameter'!$C:$C=$L460),'env Parameter'!F:F,""),"")</f>
        <v>478</v>
      </c>
      <c r="E460" s="10" cm="1">
        <f t="array" ref="E460">IFERROR(_xlfn.XLOOKUP(1,('env Parameter'!$A:$A=$A460)*('env Parameter'!$B:$B=$K460)*('env Parameter'!$C:$C=$L460),'env Parameter'!G:G,""),"")</f>
        <v>7.6</v>
      </c>
      <c r="F460" t="str">
        <f>eDNA!F460</f>
        <v>MiFish</v>
      </c>
      <c r="G460" t="str">
        <f>eDNA!D460</f>
        <v>Carassius cuvieri</v>
      </c>
      <c r="H460" t="str">
        <f>_xlfn.XLOOKUP(G460,'Common name (master file)'!$B:$B,'Common name (master file)'!$A:$A,"-------------")</f>
        <v>떡붕어</v>
      </c>
      <c r="I460">
        <f>eDNA!E460</f>
        <v>628</v>
      </c>
      <c r="J460" t="str">
        <f>_xlfn.XLOOKUP(G460,'Common name (master file)'!$B:$B,'Common name (master file)'!$C:$C,"")</f>
        <v>어류</v>
      </c>
      <c r="K460">
        <f>eDNA!B460</f>
        <v>126.8499561</v>
      </c>
      <c r="L460">
        <f>eDNA!C460</f>
        <v>37.481606900000003</v>
      </c>
      <c r="M460" s="10" t="str" cm="1">
        <f t="array" ref="M460">IFERROR(_xlfn.XLOOKUP(1,('env Parameter'!$A:$A=$A460)*('env Parameter'!$B:$B=$K460)*('env Parameter'!$C:$C=$L460),'env Parameter'!D:D,""),"")</f>
        <v>목감천-5</v>
      </c>
      <c r="N460" s="10" t="str" cm="1">
        <f t="array" ref="N460">IFERROR(_xlfn.XLOOKUP(1,('env Parameter'!$A:$A=$A460)*('env Parameter'!$B:$B=$K460)*('env Parameter'!$C:$C=$L460),'env Parameter'!I:I,""),"")</f>
        <v>YR</v>
      </c>
    </row>
    <row r="461" spans="1:14">
      <c r="A461">
        <f>eDNA!A461</f>
        <v>20200717</v>
      </c>
      <c r="B461" s="10" t="str" cm="1">
        <f t="array" ref="B461">IFERROR(_xlfn.XLOOKUP(1,('env Parameter'!$A:$A=$A461)*('env Parameter'!$B:$B=$K461)*('env Parameter'!$C:$C=$L461),'env Parameter'!H:H,""),"")</f>
        <v>생물상 조사</v>
      </c>
      <c r="C461" s="10" cm="1">
        <f t="array" ref="C461">IFERROR(_xlfn.XLOOKUP(1,('env Parameter'!$A:$A=$A461)*('env Parameter'!$B:$B=$K461)*('env Parameter'!$C:$C=$L461),'env Parameter'!E:E,""),"")</f>
        <v>2.14</v>
      </c>
      <c r="D461" s="10" cm="1">
        <f t="array" ref="D461">IFERROR(_xlfn.XLOOKUP(1,('env Parameter'!$A:$A=$A461)*('env Parameter'!$B:$B=$K461)*('env Parameter'!$C:$C=$L461),'env Parameter'!F:F,""),"")</f>
        <v>478</v>
      </c>
      <c r="E461" s="10" cm="1">
        <f t="array" ref="E461">IFERROR(_xlfn.XLOOKUP(1,('env Parameter'!$A:$A=$A461)*('env Parameter'!$B:$B=$K461)*('env Parameter'!$C:$C=$L461),'env Parameter'!G:G,""),"")</f>
        <v>7.6</v>
      </c>
      <c r="F461" t="str">
        <f>eDNA!F461</f>
        <v>MiFish</v>
      </c>
      <c r="G461" t="str">
        <f>eDNA!D461</f>
        <v>Paramisgurnus dabryanus</v>
      </c>
      <c r="H461" t="str">
        <f>_xlfn.XLOOKUP(G461,'Common name (master file)'!$B:$B,'Common name (master file)'!$A:$A,"-------------")</f>
        <v>중국미꾸라지</v>
      </c>
      <c r="I461">
        <f>eDNA!E461</f>
        <v>1259</v>
      </c>
      <c r="J461" t="str">
        <f>_xlfn.XLOOKUP(G461,'Common name (master file)'!$B:$B,'Common name (master file)'!$C:$C,"")</f>
        <v>어류</v>
      </c>
      <c r="K461">
        <f>eDNA!B461</f>
        <v>126.8499561</v>
      </c>
      <c r="L461">
        <f>eDNA!C461</f>
        <v>37.481606900000003</v>
      </c>
      <c r="M461" s="10" t="str" cm="1">
        <f t="array" ref="M461">IFERROR(_xlfn.XLOOKUP(1,('env Parameter'!$A:$A=$A461)*('env Parameter'!$B:$B=$K461)*('env Parameter'!$C:$C=$L461),'env Parameter'!D:D,""),"")</f>
        <v>목감천-5</v>
      </c>
      <c r="N461" s="10" t="str" cm="1">
        <f t="array" ref="N461">IFERROR(_xlfn.XLOOKUP(1,('env Parameter'!$A:$A=$A461)*('env Parameter'!$B:$B=$K461)*('env Parameter'!$C:$C=$L461),'env Parameter'!I:I,""),"")</f>
        <v>YR</v>
      </c>
    </row>
    <row r="462" spans="1:14">
      <c r="A462">
        <f>eDNA!A462</f>
        <v>20200717</v>
      </c>
      <c r="B462" s="10" t="str" cm="1">
        <f t="array" ref="B462">IFERROR(_xlfn.XLOOKUP(1,('env Parameter'!$A:$A=$A462)*('env Parameter'!$B:$B=$K462)*('env Parameter'!$C:$C=$L462),'env Parameter'!H:H,""),"")</f>
        <v>생물상 조사</v>
      </c>
      <c r="C462" s="10" cm="1">
        <f t="array" ref="C462">IFERROR(_xlfn.XLOOKUP(1,('env Parameter'!$A:$A=$A462)*('env Parameter'!$B:$B=$K462)*('env Parameter'!$C:$C=$L462),'env Parameter'!E:E,""),"")</f>
        <v>2.14</v>
      </c>
      <c r="D462" s="10" cm="1">
        <f t="array" ref="D462">IFERROR(_xlfn.XLOOKUP(1,('env Parameter'!$A:$A=$A462)*('env Parameter'!$B:$B=$K462)*('env Parameter'!$C:$C=$L462),'env Parameter'!F:F,""),"")</f>
        <v>478</v>
      </c>
      <c r="E462" s="10" cm="1">
        <f t="array" ref="E462">IFERROR(_xlfn.XLOOKUP(1,('env Parameter'!$A:$A=$A462)*('env Parameter'!$B:$B=$K462)*('env Parameter'!$C:$C=$L462),'env Parameter'!G:G,""),"")</f>
        <v>7.6</v>
      </c>
      <c r="F462" t="str">
        <f>eDNA!F462</f>
        <v>MiFish</v>
      </c>
      <c r="G462" t="str">
        <f>eDNA!D462</f>
        <v>Gnathopogon strigatus</v>
      </c>
      <c r="H462" t="str">
        <f>_xlfn.XLOOKUP(G462,'Common name (master file)'!$B:$B,'Common name (master file)'!$A:$A,"-------------")</f>
        <v>줄몰개</v>
      </c>
      <c r="I462">
        <f>eDNA!E462</f>
        <v>756</v>
      </c>
      <c r="J462" t="str">
        <f>_xlfn.XLOOKUP(G462,'Common name (master file)'!$B:$B,'Common name (master file)'!$C:$C,"")</f>
        <v>어류</v>
      </c>
      <c r="K462">
        <f>eDNA!B462</f>
        <v>126.8499561</v>
      </c>
      <c r="L462">
        <f>eDNA!C462</f>
        <v>37.481606900000003</v>
      </c>
      <c r="M462" s="10" t="str" cm="1">
        <f t="array" ref="M462">IFERROR(_xlfn.XLOOKUP(1,('env Parameter'!$A:$A=$A462)*('env Parameter'!$B:$B=$K462)*('env Parameter'!$C:$C=$L462),'env Parameter'!D:D,""),"")</f>
        <v>목감천-5</v>
      </c>
      <c r="N462" s="10" t="str" cm="1">
        <f t="array" ref="N462">IFERROR(_xlfn.XLOOKUP(1,('env Parameter'!$A:$A=$A462)*('env Parameter'!$B:$B=$K462)*('env Parameter'!$C:$C=$L462),'env Parameter'!I:I,""),"")</f>
        <v>YR</v>
      </c>
    </row>
    <row r="463" spans="1:14">
      <c r="A463">
        <f>eDNA!A463</f>
        <v>20200717</v>
      </c>
      <c r="B463" s="10" t="str" cm="1">
        <f t="array" ref="B463">IFERROR(_xlfn.XLOOKUP(1,('env Parameter'!$A:$A=$A463)*('env Parameter'!$B:$B=$K463)*('env Parameter'!$C:$C=$L463),'env Parameter'!H:H,""),"")</f>
        <v>생물상 조사</v>
      </c>
      <c r="C463" s="10" cm="1">
        <f t="array" ref="C463">IFERROR(_xlfn.XLOOKUP(1,('env Parameter'!$A:$A=$A463)*('env Parameter'!$B:$B=$K463)*('env Parameter'!$C:$C=$L463),'env Parameter'!E:E,""),"")</f>
        <v>2.14</v>
      </c>
      <c r="D463" s="10" cm="1">
        <f t="array" ref="D463">IFERROR(_xlfn.XLOOKUP(1,('env Parameter'!$A:$A=$A463)*('env Parameter'!$B:$B=$K463)*('env Parameter'!$C:$C=$L463),'env Parameter'!F:F,""),"")</f>
        <v>478</v>
      </c>
      <c r="E463" s="10" cm="1">
        <f t="array" ref="E463">IFERROR(_xlfn.XLOOKUP(1,('env Parameter'!$A:$A=$A463)*('env Parameter'!$B:$B=$K463)*('env Parameter'!$C:$C=$L463),'env Parameter'!G:G,""),"")</f>
        <v>7.6</v>
      </c>
      <c r="F463" t="str">
        <f>eDNA!F463</f>
        <v>MiFish</v>
      </c>
      <c r="G463" t="str">
        <f>eDNA!D463</f>
        <v>Tridentiger obscurus</v>
      </c>
      <c r="H463" t="str">
        <f>_xlfn.XLOOKUP(G463,'Common name (master file)'!$B:$B,'Common name (master file)'!$A:$A,"-------------")</f>
        <v>검정망둑</v>
      </c>
      <c r="I463">
        <f>eDNA!E463</f>
        <v>692</v>
      </c>
      <c r="J463" t="str">
        <f>_xlfn.XLOOKUP(G463,'Common name (master file)'!$B:$B,'Common name (master file)'!$C:$C,"")</f>
        <v>어류</v>
      </c>
      <c r="K463">
        <f>eDNA!B463</f>
        <v>126.8499561</v>
      </c>
      <c r="L463">
        <f>eDNA!C463</f>
        <v>37.481606900000003</v>
      </c>
      <c r="M463" s="10" t="str" cm="1">
        <f t="array" ref="M463">IFERROR(_xlfn.XLOOKUP(1,('env Parameter'!$A:$A=$A463)*('env Parameter'!$B:$B=$K463)*('env Parameter'!$C:$C=$L463),'env Parameter'!D:D,""),"")</f>
        <v>목감천-5</v>
      </c>
      <c r="N463" s="10" t="str" cm="1">
        <f t="array" ref="N463">IFERROR(_xlfn.XLOOKUP(1,('env Parameter'!$A:$A=$A463)*('env Parameter'!$B:$B=$K463)*('env Parameter'!$C:$C=$L463),'env Parameter'!I:I,""),"")</f>
        <v>YR</v>
      </c>
    </row>
    <row r="464" spans="1:14">
      <c r="A464">
        <f>eDNA!A464</f>
        <v>20200717</v>
      </c>
      <c r="B464" s="10" t="str" cm="1">
        <f t="array" ref="B464">IFERROR(_xlfn.XLOOKUP(1,('env Parameter'!$A:$A=$A464)*('env Parameter'!$B:$B=$K464)*('env Parameter'!$C:$C=$L464),'env Parameter'!H:H,""),"")</f>
        <v>생물상 조사</v>
      </c>
      <c r="C464" s="10" cm="1">
        <f t="array" ref="C464">IFERROR(_xlfn.XLOOKUP(1,('env Parameter'!$A:$A=$A464)*('env Parameter'!$B:$B=$K464)*('env Parameter'!$C:$C=$L464),'env Parameter'!E:E,""),"")</f>
        <v>2.14</v>
      </c>
      <c r="D464" s="10" cm="1">
        <f t="array" ref="D464">IFERROR(_xlfn.XLOOKUP(1,('env Parameter'!$A:$A=$A464)*('env Parameter'!$B:$B=$K464)*('env Parameter'!$C:$C=$L464),'env Parameter'!F:F,""),"")</f>
        <v>478</v>
      </c>
      <c r="E464" s="10" cm="1">
        <f t="array" ref="E464">IFERROR(_xlfn.XLOOKUP(1,('env Parameter'!$A:$A=$A464)*('env Parameter'!$B:$B=$K464)*('env Parameter'!$C:$C=$L464),'env Parameter'!G:G,""),"")</f>
        <v>7.6</v>
      </c>
      <c r="F464" t="str">
        <f>eDNA!F464</f>
        <v>MiFish</v>
      </c>
      <c r="G464" t="str">
        <f>eDNA!D464</f>
        <v>Canis lupus familiaris</v>
      </c>
      <c r="H464" t="str">
        <f>_xlfn.XLOOKUP(G464,'Common name (master file)'!$B:$B,'Common name (master file)'!$A:$A,"-------------")</f>
        <v>개</v>
      </c>
      <c r="I464">
        <f>eDNA!E464</f>
        <v>1071</v>
      </c>
      <c r="J464" t="str">
        <f>_xlfn.XLOOKUP(G464,'Common name (master file)'!$B:$B,'Common name (master file)'!$C:$C,"")</f>
        <v>포유류</v>
      </c>
      <c r="K464">
        <f>eDNA!B464</f>
        <v>126.8499561</v>
      </c>
      <c r="L464">
        <f>eDNA!C464</f>
        <v>37.481606900000003</v>
      </c>
      <c r="M464" s="10" t="str" cm="1">
        <f t="array" ref="M464">IFERROR(_xlfn.XLOOKUP(1,('env Parameter'!$A:$A=$A464)*('env Parameter'!$B:$B=$K464)*('env Parameter'!$C:$C=$L464),'env Parameter'!D:D,""),"")</f>
        <v>목감천-5</v>
      </c>
      <c r="N464" s="10" t="str" cm="1">
        <f t="array" ref="N464">IFERROR(_xlfn.XLOOKUP(1,('env Parameter'!$A:$A=$A464)*('env Parameter'!$B:$B=$K464)*('env Parameter'!$C:$C=$L464),'env Parameter'!I:I,""),"")</f>
        <v>YR</v>
      </c>
    </row>
    <row r="465" spans="1:14">
      <c r="A465">
        <f>eDNA!A465</f>
        <v>20200717</v>
      </c>
      <c r="B465" s="10" t="str" cm="1">
        <f t="array" ref="B465">IFERROR(_xlfn.XLOOKUP(1,('env Parameter'!$A:$A=$A465)*('env Parameter'!$B:$B=$K465)*('env Parameter'!$C:$C=$L465),'env Parameter'!H:H,""),"")</f>
        <v>생물상 조사</v>
      </c>
      <c r="C465" s="10" cm="1">
        <f t="array" ref="C465">IFERROR(_xlfn.XLOOKUP(1,('env Parameter'!$A:$A=$A465)*('env Parameter'!$B:$B=$K465)*('env Parameter'!$C:$C=$L465),'env Parameter'!E:E,""),"")</f>
        <v>2.14</v>
      </c>
      <c r="D465" s="10" cm="1">
        <f t="array" ref="D465">IFERROR(_xlfn.XLOOKUP(1,('env Parameter'!$A:$A=$A465)*('env Parameter'!$B:$B=$K465)*('env Parameter'!$C:$C=$L465),'env Parameter'!F:F,""),"")</f>
        <v>478</v>
      </c>
      <c r="E465" s="10" cm="1">
        <f t="array" ref="E465">IFERROR(_xlfn.XLOOKUP(1,('env Parameter'!$A:$A=$A465)*('env Parameter'!$B:$B=$K465)*('env Parameter'!$C:$C=$L465),'env Parameter'!G:G,""),"")</f>
        <v>7.6</v>
      </c>
      <c r="F465" t="str">
        <f>eDNA!F465</f>
        <v>MiFish</v>
      </c>
      <c r="G465" t="str">
        <f>eDNA!D465</f>
        <v>Carassius sp.</v>
      </c>
      <c r="H465" t="str">
        <f>_xlfn.XLOOKUP(G465,'Common name (master file)'!$B:$B,'Common name (master file)'!$A:$A,"-------------")</f>
        <v>붕어 속</v>
      </c>
      <c r="I465">
        <f>eDNA!E465</f>
        <v>994</v>
      </c>
      <c r="J465" t="str">
        <f>_xlfn.XLOOKUP(G465,'Common name (master file)'!$B:$B,'Common name (master file)'!$C:$C,"")</f>
        <v>어류</v>
      </c>
      <c r="K465">
        <f>eDNA!B465</f>
        <v>126.8499561</v>
      </c>
      <c r="L465">
        <f>eDNA!C465</f>
        <v>37.481606900000003</v>
      </c>
      <c r="M465" s="10" t="str" cm="1">
        <f t="array" ref="M465">IFERROR(_xlfn.XLOOKUP(1,('env Parameter'!$A:$A=$A465)*('env Parameter'!$B:$B=$K465)*('env Parameter'!$C:$C=$L465),'env Parameter'!D:D,""),"")</f>
        <v>목감천-5</v>
      </c>
      <c r="N465" s="10" t="str" cm="1">
        <f t="array" ref="N465">IFERROR(_xlfn.XLOOKUP(1,('env Parameter'!$A:$A=$A465)*('env Parameter'!$B:$B=$K465)*('env Parameter'!$C:$C=$L465),'env Parameter'!I:I,""),"")</f>
        <v>YR</v>
      </c>
    </row>
    <row r="466" spans="1:14">
      <c r="A466">
        <f>eDNA!A466</f>
        <v>20200717</v>
      </c>
      <c r="B466" s="10" t="str" cm="1">
        <f t="array" ref="B466">IFERROR(_xlfn.XLOOKUP(1,('env Parameter'!$A:$A=$A466)*('env Parameter'!$B:$B=$K466)*('env Parameter'!$C:$C=$L466),'env Parameter'!H:H,""),"")</f>
        <v>생물상 조사</v>
      </c>
      <c r="C466" s="10" cm="1">
        <f t="array" ref="C466">IFERROR(_xlfn.XLOOKUP(1,('env Parameter'!$A:$A=$A466)*('env Parameter'!$B:$B=$K466)*('env Parameter'!$C:$C=$L466),'env Parameter'!E:E,""),"")</f>
        <v>2.14</v>
      </c>
      <c r="D466" s="10" cm="1">
        <f t="array" ref="D466">IFERROR(_xlfn.XLOOKUP(1,('env Parameter'!$A:$A=$A466)*('env Parameter'!$B:$B=$K466)*('env Parameter'!$C:$C=$L466),'env Parameter'!F:F,""),"")</f>
        <v>478</v>
      </c>
      <c r="E466" s="10" cm="1">
        <f t="array" ref="E466">IFERROR(_xlfn.XLOOKUP(1,('env Parameter'!$A:$A=$A466)*('env Parameter'!$B:$B=$K466)*('env Parameter'!$C:$C=$L466),'env Parameter'!G:G,""),"")</f>
        <v>7.6</v>
      </c>
      <c r="F466" t="str">
        <f>eDNA!F466</f>
        <v>MiFish</v>
      </c>
      <c r="G466" t="str">
        <f>eDNA!D466</f>
        <v>Misgurnus mizolepis</v>
      </c>
      <c r="H466" t="str">
        <f>_xlfn.XLOOKUP(G466,'Common name (master file)'!$B:$B,'Common name (master file)'!$A:$A,"-------------")</f>
        <v>미꾸라지</v>
      </c>
      <c r="I466">
        <f>eDNA!E466</f>
        <v>1004</v>
      </c>
      <c r="J466" t="str">
        <f>_xlfn.XLOOKUP(G466,'Common name (master file)'!$B:$B,'Common name (master file)'!$C:$C,"")</f>
        <v>어류</v>
      </c>
      <c r="K466">
        <f>eDNA!B466</f>
        <v>126.8499561</v>
      </c>
      <c r="L466">
        <f>eDNA!C466</f>
        <v>37.481606900000003</v>
      </c>
      <c r="M466" s="10" t="str" cm="1">
        <f t="array" ref="M466">IFERROR(_xlfn.XLOOKUP(1,('env Parameter'!$A:$A=$A466)*('env Parameter'!$B:$B=$K466)*('env Parameter'!$C:$C=$L466),'env Parameter'!D:D,""),"")</f>
        <v>목감천-5</v>
      </c>
      <c r="N466" s="10" t="str" cm="1">
        <f t="array" ref="N466">IFERROR(_xlfn.XLOOKUP(1,('env Parameter'!$A:$A=$A466)*('env Parameter'!$B:$B=$K466)*('env Parameter'!$C:$C=$L466),'env Parameter'!I:I,""),"")</f>
        <v>YR</v>
      </c>
    </row>
    <row r="467" spans="1:14">
      <c r="A467">
        <f>eDNA!A467</f>
        <v>20200717</v>
      </c>
      <c r="B467" s="10" t="str" cm="1">
        <f t="array" ref="B467">IFERROR(_xlfn.XLOOKUP(1,('env Parameter'!$A:$A=$A467)*('env Parameter'!$B:$B=$K467)*('env Parameter'!$C:$C=$L467),'env Parameter'!H:H,""),"")</f>
        <v>생물상 조사</v>
      </c>
      <c r="C467" s="10" cm="1">
        <f t="array" ref="C467">IFERROR(_xlfn.XLOOKUP(1,('env Parameter'!$A:$A=$A467)*('env Parameter'!$B:$B=$K467)*('env Parameter'!$C:$C=$L467),'env Parameter'!E:E,""),"")</f>
        <v>2.14</v>
      </c>
      <c r="D467" s="10" cm="1">
        <f t="array" ref="D467">IFERROR(_xlfn.XLOOKUP(1,('env Parameter'!$A:$A=$A467)*('env Parameter'!$B:$B=$K467)*('env Parameter'!$C:$C=$L467),'env Parameter'!F:F,""),"")</f>
        <v>478</v>
      </c>
      <c r="E467" s="10" cm="1">
        <f t="array" ref="E467">IFERROR(_xlfn.XLOOKUP(1,('env Parameter'!$A:$A=$A467)*('env Parameter'!$B:$B=$K467)*('env Parameter'!$C:$C=$L467),'env Parameter'!G:G,""),"")</f>
        <v>7.6</v>
      </c>
      <c r="F467" t="str">
        <f>eDNA!F467</f>
        <v>MiFish</v>
      </c>
      <c r="G467" t="str">
        <f>eDNA!D467</f>
        <v>Channa argus</v>
      </c>
      <c r="H467" t="str">
        <f>_xlfn.XLOOKUP(G467,'Common name (master file)'!$B:$B,'Common name (master file)'!$A:$A,"-------------")</f>
        <v>가물치</v>
      </c>
      <c r="I467">
        <f>eDNA!E467</f>
        <v>1443</v>
      </c>
      <c r="J467" t="str">
        <f>_xlfn.XLOOKUP(G467,'Common name (master file)'!$B:$B,'Common name (master file)'!$C:$C,"")</f>
        <v>어류</v>
      </c>
      <c r="K467">
        <f>eDNA!B467</f>
        <v>126.8499561</v>
      </c>
      <c r="L467">
        <f>eDNA!C467</f>
        <v>37.481606900000003</v>
      </c>
      <c r="M467" s="10" t="str" cm="1">
        <f t="array" ref="M467">IFERROR(_xlfn.XLOOKUP(1,('env Parameter'!$A:$A=$A467)*('env Parameter'!$B:$B=$K467)*('env Parameter'!$C:$C=$L467),'env Parameter'!D:D,""),"")</f>
        <v>목감천-5</v>
      </c>
      <c r="N467" s="10" t="str" cm="1">
        <f t="array" ref="N467">IFERROR(_xlfn.XLOOKUP(1,('env Parameter'!$A:$A=$A467)*('env Parameter'!$B:$B=$K467)*('env Parameter'!$C:$C=$L467),'env Parameter'!I:I,""),"")</f>
        <v>YR</v>
      </c>
    </row>
    <row r="468" spans="1:14">
      <c r="A468">
        <f>eDNA!A468</f>
        <v>20200717</v>
      </c>
      <c r="B468" s="10" t="str" cm="1">
        <f t="array" ref="B468">IFERROR(_xlfn.XLOOKUP(1,('env Parameter'!$A:$A=$A468)*('env Parameter'!$B:$B=$K468)*('env Parameter'!$C:$C=$L468),'env Parameter'!H:H,""),"")</f>
        <v>생물상 조사</v>
      </c>
      <c r="C468" s="10" cm="1">
        <f t="array" ref="C468">IFERROR(_xlfn.XLOOKUP(1,('env Parameter'!$A:$A=$A468)*('env Parameter'!$B:$B=$K468)*('env Parameter'!$C:$C=$L468),'env Parameter'!E:E,""),"")</f>
        <v>2.14</v>
      </c>
      <c r="D468" s="10" cm="1">
        <f t="array" ref="D468">IFERROR(_xlfn.XLOOKUP(1,('env Parameter'!$A:$A=$A468)*('env Parameter'!$B:$B=$K468)*('env Parameter'!$C:$C=$L468),'env Parameter'!F:F,""),"")</f>
        <v>478</v>
      </c>
      <c r="E468" s="10" cm="1">
        <f t="array" ref="E468">IFERROR(_xlfn.XLOOKUP(1,('env Parameter'!$A:$A=$A468)*('env Parameter'!$B:$B=$K468)*('env Parameter'!$C:$C=$L468),'env Parameter'!G:G,""),"")</f>
        <v>7.6</v>
      </c>
      <c r="F468" t="str">
        <f>eDNA!F468</f>
        <v>MiFish</v>
      </c>
      <c r="G468" t="str">
        <f>eDNA!D468</f>
        <v>Acheilognathus macropterus</v>
      </c>
      <c r="H468" t="str">
        <f>_xlfn.XLOOKUP(G468,'Common name (master file)'!$B:$B,'Common name (master file)'!$A:$A,"-------------")</f>
        <v>큰납지리</v>
      </c>
      <c r="I468">
        <f>eDNA!E468</f>
        <v>1936</v>
      </c>
      <c r="J468" t="str">
        <f>_xlfn.XLOOKUP(G468,'Common name (master file)'!$B:$B,'Common name (master file)'!$C:$C,"")</f>
        <v>어류</v>
      </c>
      <c r="K468">
        <f>eDNA!B468</f>
        <v>126.8499561</v>
      </c>
      <c r="L468">
        <f>eDNA!C468</f>
        <v>37.481606900000003</v>
      </c>
      <c r="M468" s="10" t="str" cm="1">
        <f t="array" ref="M468">IFERROR(_xlfn.XLOOKUP(1,('env Parameter'!$A:$A=$A468)*('env Parameter'!$B:$B=$K468)*('env Parameter'!$C:$C=$L468),'env Parameter'!D:D,""),"")</f>
        <v>목감천-5</v>
      </c>
      <c r="N468" s="10" t="str" cm="1">
        <f t="array" ref="N468">IFERROR(_xlfn.XLOOKUP(1,('env Parameter'!$A:$A=$A468)*('env Parameter'!$B:$B=$K468)*('env Parameter'!$C:$C=$L468),'env Parameter'!I:I,""),"")</f>
        <v>YR</v>
      </c>
    </row>
    <row r="469" spans="1:14">
      <c r="A469">
        <f>eDNA!A469</f>
        <v>20200717</v>
      </c>
      <c r="B469" s="10" t="str" cm="1">
        <f t="array" ref="B469">IFERROR(_xlfn.XLOOKUP(1,('env Parameter'!$A:$A=$A469)*('env Parameter'!$B:$B=$K469)*('env Parameter'!$C:$C=$L469),'env Parameter'!H:H,""),"")</f>
        <v>생물상 조사</v>
      </c>
      <c r="C469" s="10" cm="1">
        <f t="array" ref="C469">IFERROR(_xlfn.XLOOKUP(1,('env Parameter'!$A:$A=$A469)*('env Parameter'!$B:$B=$K469)*('env Parameter'!$C:$C=$L469),'env Parameter'!E:E,""),"")</f>
        <v>2.14</v>
      </c>
      <c r="D469" s="10" cm="1">
        <f t="array" ref="D469">IFERROR(_xlfn.XLOOKUP(1,('env Parameter'!$A:$A=$A469)*('env Parameter'!$B:$B=$K469)*('env Parameter'!$C:$C=$L469),'env Parameter'!F:F,""),"")</f>
        <v>478</v>
      </c>
      <c r="E469" s="10" cm="1">
        <f t="array" ref="E469">IFERROR(_xlfn.XLOOKUP(1,('env Parameter'!$A:$A=$A469)*('env Parameter'!$B:$B=$K469)*('env Parameter'!$C:$C=$L469),'env Parameter'!G:G,""),"")</f>
        <v>7.6</v>
      </c>
      <c r="F469" t="str">
        <f>eDNA!F469</f>
        <v>MiFish</v>
      </c>
      <c r="G469" t="str">
        <f>eDNA!D469</f>
        <v>Silurus soldatovi</v>
      </c>
      <c r="H469" t="str">
        <f>_xlfn.XLOOKUP(G469,'Common name (master file)'!$B:$B,'Common name (master file)'!$A:$A,"-------------")</f>
        <v>솔다토비 메기</v>
      </c>
      <c r="I469">
        <f>eDNA!E469</f>
        <v>3031</v>
      </c>
      <c r="J469" t="str">
        <f>_xlfn.XLOOKUP(G469,'Common name (master file)'!$B:$B,'Common name (master file)'!$C:$C,"")</f>
        <v>어류</v>
      </c>
      <c r="K469">
        <f>eDNA!B469</f>
        <v>126.8499561</v>
      </c>
      <c r="L469">
        <f>eDNA!C469</f>
        <v>37.481606900000003</v>
      </c>
      <c r="M469" s="10" t="str" cm="1">
        <f t="array" ref="M469">IFERROR(_xlfn.XLOOKUP(1,('env Parameter'!$A:$A=$A469)*('env Parameter'!$B:$B=$K469)*('env Parameter'!$C:$C=$L469),'env Parameter'!D:D,""),"")</f>
        <v>목감천-5</v>
      </c>
      <c r="N469" s="10" t="str" cm="1">
        <f t="array" ref="N469">IFERROR(_xlfn.XLOOKUP(1,('env Parameter'!$A:$A=$A469)*('env Parameter'!$B:$B=$K469)*('env Parameter'!$C:$C=$L469),'env Parameter'!I:I,""),"")</f>
        <v>YR</v>
      </c>
    </row>
    <row r="470" spans="1:14">
      <c r="A470">
        <f>eDNA!A470</f>
        <v>20200717</v>
      </c>
      <c r="B470" s="10" t="str" cm="1">
        <f t="array" ref="B470">IFERROR(_xlfn.XLOOKUP(1,('env Parameter'!$A:$A=$A470)*('env Parameter'!$B:$B=$K470)*('env Parameter'!$C:$C=$L470),'env Parameter'!H:H,""),"")</f>
        <v>생물상 조사</v>
      </c>
      <c r="C470" s="10" cm="1">
        <f t="array" ref="C470">IFERROR(_xlfn.XLOOKUP(1,('env Parameter'!$A:$A=$A470)*('env Parameter'!$B:$B=$K470)*('env Parameter'!$C:$C=$L470),'env Parameter'!E:E,""),"")</f>
        <v>2.14</v>
      </c>
      <c r="D470" s="10" cm="1">
        <f t="array" ref="D470">IFERROR(_xlfn.XLOOKUP(1,('env Parameter'!$A:$A=$A470)*('env Parameter'!$B:$B=$K470)*('env Parameter'!$C:$C=$L470),'env Parameter'!F:F,""),"")</f>
        <v>478</v>
      </c>
      <c r="E470" s="10" cm="1">
        <f t="array" ref="E470">IFERROR(_xlfn.XLOOKUP(1,('env Parameter'!$A:$A=$A470)*('env Parameter'!$B:$B=$K470)*('env Parameter'!$C:$C=$L470),'env Parameter'!G:G,""),"")</f>
        <v>7.6</v>
      </c>
      <c r="F470" t="str">
        <f>eDNA!F470</f>
        <v>MiFish</v>
      </c>
      <c r="G470" t="str">
        <f>eDNA!D470</f>
        <v>Micropterus salmoides</v>
      </c>
      <c r="H470" t="str">
        <f>_xlfn.XLOOKUP(G470,'Common name (master file)'!$B:$B,'Common name (master file)'!$A:$A,"-------------")</f>
        <v>큰입배스</v>
      </c>
      <c r="I470">
        <f>eDNA!E470</f>
        <v>4068</v>
      </c>
      <c r="J470" t="str">
        <f>_xlfn.XLOOKUP(G470,'Common name (master file)'!$B:$B,'Common name (master file)'!$C:$C,"")</f>
        <v>어류</v>
      </c>
      <c r="K470">
        <f>eDNA!B470</f>
        <v>126.8499561</v>
      </c>
      <c r="L470">
        <f>eDNA!C470</f>
        <v>37.481606900000003</v>
      </c>
      <c r="M470" s="10" t="str" cm="1">
        <f t="array" ref="M470">IFERROR(_xlfn.XLOOKUP(1,('env Parameter'!$A:$A=$A470)*('env Parameter'!$B:$B=$K470)*('env Parameter'!$C:$C=$L470),'env Parameter'!D:D,""),"")</f>
        <v>목감천-5</v>
      </c>
      <c r="N470" s="10" t="str" cm="1">
        <f t="array" ref="N470">IFERROR(_xlfn.XLOOKUP(1,('env Parameter'!$A:$A=$A470)*('env Parameter'!$B:$B=$K470)*('env Parameter'!$C:$C=$L470),'env Parameter'!I:I,""),"")</f>
        <v>YR</v>
      </c>
    </row>
    <row r="471" spans="1:14">
      <c r="A471">
        <f>eDNA!A471</f>
        <v>20200717</v>
      </c>
      <c r="B471" s="10" t="str" cm="1">
        <f t="array" ref="B471">IFERROR(_xlfn.XLOOKUP(1,('env Parameter'!$A:$A=$A471)*('env Parameter'!$B:$B=$K471)*('env Parameter'!$C:$C=$L471),'env Parameter'!H:H,""),"")</f>
        <v>생물상 조사</v>
      </c>
      <c r="C471" s="10" cm="1">
        <f t="array" ref="C471">IFERROR(_xlfn.XLOOKUP(1,('env Parameter'!$A:$A=$A471)*('env Parameter'!$B:$B=$K471)*('env Parameter'!$C:$C=$L471),'env Parameter'!E:E,""),"")</f>
        <v>2.14</v>
      </c>
      <c r="D471" s="10" cm="1">
        <f t="array" ref="D471">IFERROR(_xlfn.XLOOKUP(1,('env Parameter'!$A:$A=$A471)*('env Parameter'!$B:$B=$K471)*('env Parameter'!$C:$C=$L471),'env Parameter'!F:F,""),"")</f>
        <v>478</v>
      </c>
      <c r="E471" s="10" cm="1">
        <f t="array" ref="E471">IFERROR(_xlfn.XLOOKUP(1,('env Parameter'!$A:$A=$A471)*('env Parameter'!$B:$B=$K471)*('env Parameter'!$C:$C=$L471),'env Parameter'!G:G,""),"")</f>
        <v>7.6</v>
      </c>
      <c r="F471" t="str">
        <f>eDNA!F471</f>
        <v>MiFish</v>
      </c>
      <c r="G471" t="str">
        <f>eDNA!D471</f>
        <v>Odontobutis interrupta</v>
      </c>
      <c r="H471" t="str">
        <f>_xlfn.XLOOKUP(G471,'Common name (master file)'!$B:$B,'Common name (master file)'!$A:$A,"-------------")</f>
        <v>얼록동사리</v>
      </c>
      <c r="I471">
        <f>eDNA!E471</f>
        <v>6299</v>
      </c>
      <c r="J471" t="str">
        <f>_xlfn.XLOOKUP(G471,'Common name (master file)'!$B:$B,'Common name (master file)'!$C:$C,"")</f>
        <v>어류</v>
      </c>
      <c r="K471">
        <f>eDNA!B471</f>
        <v>126.8499561</v>
      </c>
      <c r="L471">
        <f>eDNA!C471</f>
        <v>37.481606900000003</v>
      </c>
      <c r="M471" s="10" t="str" cm="1">
        <f t="array" ref="M471">IFERROR(_xlfn.XLOOKUP(1,('env Parameter'!$A:$A=$A471)*('env Parameter'!$B:$B=$K471)*('env Parameter'!$C:$C=$L471),'env Parameter'!D:D,""),"")</f>
        <v>목감천-5</v>
      </c>
      <c r="N471" s="10" t="str" cm="1">
        <f t="array" ref="N471">IFERROR(_xlfn.XLOOKUP(1,('env Parameter'!$A:$A=$A471)*('env Parameter'!$B:$B=$K471)*('env Parameter'!$C:$C=$L471),'env Parameter'!I:I,""),"")</f>
        <v>YR</v>
      </c>
    </row>
    <row r="472" spans="1:14">
      <c r="A472">
        <f>eDNA!A472</f>
        <v>20200717</v>
      </c>
      <c r="B472" s="10" t="str" cm="1">
        <f t="array" ref="B472">IFERROR(_xlfn.XLOOKUP(1,('env Parameter'!$A:$A=$A472)*('env Parameter'!$B:$B=$K472)*('env Parameter'!$C:$C=$L472),'env Parameter'!H:H,""),"")</f>
        <v>생물상 조사</v>
      </c>
      <c r="C472" s="10" cm="1">
        <f t="array" ref="C472">IFERROR(_xlfn.XLOOKUP(1,('env Parameter'!$A:$A=$A472)*('env Parameter'!$B:$B=$K472)*('env Parameter'!$C:$C=$L472),'env Parameter'!E:E,""),"")</f>
        <v>2.14</v>
      </c>
      <c r="D472" s="10" cm="1">
        <f t="array" ref="D472">IFERROR(_xlfn.XLOOKUP(1,('env Parameter'!$A:$A=$A472)*('env Parameter'!$B:$B=$K472)*('env Parameter'!$C:$C=$L472),'env Parameter'!F:F,""),"")</f>
        <v>478</v>
      </c>
      <c r="E472" s="10" cm="1">
        <f t="array" ref="E472">IFERROR(_xlfn.XLOOKUP(1,('env Parameter'!$A:$A=$A472)*('env Parameter'!$B:$B=$K472)*('env Parameter'!$C:$C=$L472),'env Parameter'!G:G,""),"")</f>
        <v>7.6</v>
      </c>
      <c r="F472" t="str">
        <f>eDNA!F472</f>
        <v>MiFish</v>
      </c>
      <c r="G472" t="str">
        <f>eDNA!D472</f>
        <v>Carassius gibelio</v>
      </c>
      <c r="H472" t="str">
        <f>_xlfn.XLOOKUP(G472,'Common name (master file)'!$B:$B,'Common name (master file)'!$A:$A,"-------------")</f>
        <v>기벨리오 붕어</v>
      </c>
      <c r="I472">
        <f>eDNA!E472</f>
        <v>14091</v>
      </c>
      <c r="J472" t="str">
        <f>_xlfn.XLOOKUP(G472,'Common name (master file)'!$B:$B,'Common name (master file)'!$C:$C,"")</f>
        <v>어류</v>
      </c>
      <c r="K472">
        <f>eDNA!B472</f>
        <v>126.8499561</v>
      </c>
      <c r="L472">
        <f>eDNA!C472</f>
        <v>37.481606900000003</v>
      </c>
      <c r="M472" s="10" t="str" cm="1">
        <f t="array" ref="M472">IFERROR(_xlfn.XLOOKUP(1,('env Parameter'!$A:$A=$A472)*('env Parameter'!$B:$B=$K472)*('env Parameter'!$C:$C=$L472),'env Parameter'!D:D,""),"")</f>
        <v>목감천-5</v>
      </c>
      <c r="N472" s="10" t="str" cm="1">
        <f t="array" ref="N472">IFERROR(_xlfn.XLOOKUP(1,('env Parameter'!$A:$A=$A472)*('env Parameter'!$B:$B=$K472)*('env Parameter'!$C:$C=$L472),'env Parameter'!I:I,""),"")</f>
        <v>YR</v>
      </c>
    </row>
    <row r="473" spans="1:14">
      <c r="A473">
        <f>eDNA!A473</f>
        <v>20200717</v>
      </c>
      <c r="B473" s="10" t="str" cm="1">
        <f t="array" ref="B473">IFERROR(_xlfn.XLOOKUP(1,('env Parameter'!$A:$A=$A473)*('env Parameter'!$B:$B=$K473)*('env Parameter'!$C:$C=$L473),'env Parameter'!H:H,""),"")</f>
        <v>생물상 조사</v>
      </c>
      <c r="C473" s="10" cm="1">
        <f t="array" ref="C473">IFERROR(_xlfn.XLOOKUP(1,('env Parameter'!$A:$A=$A473)*('env Parameter'!$B:$B=$K473)*('env Parameter'!$C:$C=$L473),'env Parameter'!E:E,""),"")</f>
        <v>2.14</v>
      </c>
      <c r="D473" s="10" cm="1">
        <f t="array" ref="D473">IFERROR(_xlfn.XLOOKUP(1,('env Parameter'!$A:$A=$A473)*('env Parameter'!$B:$B=$K473)*('env Parameter'!$C:$C=$L473),'env Parameter'!F:F,""),"")</f>
        <v>478</v>
      </c>
      <c r="E473" s="10" cm="1">
        <f t="array" ref="E473">IFERROR(_xlfn.XLOOKUP(1,('env Parameter'!$A:$A=$A473)*('env Parameter'!$B:$B=$K473)*('env Parameter'!$C:$C=$L473),'env Parameter'!G:G,""),"")</f>
        <v>7.6</v>
      </c>
      <c r="F473" t="str">
        <f>eDNA!F473</f>
        <v>MiFish</v>
      </c>
      <c r="G473" t="str">
        <f>eDNA!D473</f>
        <v>Pseudorasbora parva</v>
      </c>
      <c r="H473" t="str">
        <f>_xlfn.XLOOKUP(G473,'Common name (master file)'!$B:$B,'Common name (master file)'!$A:$A,"-------------")</f>
        <v>참붕어</v>
      </c>
      <c r="I473">
        <f>eDNA!E473</f>
        <v>21433</v>
      </c>
      <c r="J473" t="str">
        <f>_xlfn.XLOOKUP(G473,'Common name (master file)'!$B:$B,'Common name (master file)'!$C:$C,"")</f>
        <v>어류</v>
      </c>
      <c r="K473">
        <f>eDNA!B473</f>
        <v>126.8499561</v>
      </c>
      <c r="L473">
        <f>eDNA!C473</f>
        <v>37.481606900000003</v>
      </c>
      <c r="M473" s="10" t="str" cm="1">
        <f t="array" ref="M473">IFERROR(_xlfn.XLOOKUP(1,('env Parameter'!$A:$A=$A473)*('env Parameter'!$B:$B=$K473)*('env Parameter'!$C:$C=$L473),'env Parameter'!D:D,""),"")</f>
        <v>목감천-5</v>
      </c>
      <c r="N473" s="10" t="str" cm="1">
        <f t="array" ref="N473">IFERROR(_xlfn.XLOOKUP(1,('env Parameter'!$A:$A=$A473)*('env Parameter'!$B:$B=$K473)*('env Parameter'!$C:$C=$L473),'env Parameter'!I:I,""),"")</f>
        <v>YR</v>
      </c>
    </row>
    <row r="474" spans="1:14">
      <c r="A474">
        <f>eDNA!A474</f>
        <v>20200717</v>
      </c>
      <c r="B474" s="10" t="str" cm="1">
        <f t="array" ref="B474">IFERROR(_xlfn.XLOOKUP(1,('env Parameter'!$A:$A=$A474)*('env Parameter'!$B:$B=$K474)*('env Parameter'!$C:$C=$L474),'env Parameter'!H:H,""),"")</f>
        <v>생물상 조사</v>
      </c>
      <c r="C474" s="10" cm="1">
        <f t="array" ref="C474">IFERROR(_xlfn.XLOOKUP(1,('env Parameter'!$A:$A=$A474)*('env Parameter'!$B:$B=$K474)*('env Parameter'!$C:$C=$L474),'env Parameter'!E:E,""),"")</f>
        <v>2.14</v>
      </c>
      <c r="D474" s="10" cm="1">
        <f t="array" ref="D474">IFERROR(_xlfn.XLOOKUP(1,('env Parameter'!$A:$A=$A474)*('env Parameter'!$B:$B=$K474)*('env Parameter'!$C:$C=$L474),'env Parameter'!F:F,""),"")</f>
        <v>478</v>
      </c>
      <c r="E474" s="10" cm="1">
        <f t="array" ref="E474">IFERROR(_xlfn.XLOOKUP(1,('env Parameter'!$A:$A=$A474)*('env Parameter'!$B:$B=$K474)*('env Parameter'!$C:$C=$L474),'env Parameter'!G:G,""),"")</f>
        <v>7.6</v>
      </c>
      <c r="F474" t="str">
        <f>eDNA!F474</f>
        <v>MiFish</v>
      </c>
      <c r="G474" t="str">
        <f>eDNA!D474</f>
        <v>Tadorna tadorna</v>
      </c>
      <c r="H474" t="str">
        <f>_xlfn.XLOOKUP(G474,'Common name (master file)'!$B:$B,'Common name (master file)'!$A:$A,"-------------")</f>
        <v>혹부리오리</v>
      </c>
      <c r="I474">
        <f>eDNA!E474</f>
        <v>14</v>
      </c>
      <c r="J474" t="str">
        <f>_xlfn.XLOOKUP(G474,'Common name (master file)'!$B:$B,'Common name (master file)'!$C:$C,"")</f>
        <v>조류</v>
      </c>
      <c r="K474">
        <f>eDNA!B474</f>
        <v>126.8428368</v>
      </c>
      <c r="L474">
        <f>eDNA!C474</f>
        <v>37.4677784</v>
      </c>
      <c r="M474" s="10" t="str" cm="1">
        <f t="array" ref="M474">IFERROR(_xlfn.XLOOKUP(1,('env Parameter'!$A:$A=$A474)*('env Parameter'!$B:$B=$K474)*('env Parameter'!$C:$C=$L474),'env Parameter'!D:D,""),"")</f>
        <v>목감천-1</v>
      </c>
      <c r="N474" s="10" t="str" cm="1">
        <f t="array" ref="N474">IFERROR(_xlfn.XLOOKUP(1,('env Parameter'!$A:$A=$A474)*('env Parameter'!$B:$B=$K474)*('env Parameter'!$C:$C=$L474),'env Parameter'!I:I,""),"")</f>
        <v>YR</v>
      </c>
    </row>
    <row r="475" spans="1:14">
      <c r="A475">
        <f>eDNA!A475</f>
        <v>20200718</v>
      </c>
      <c r="B475" s="10" t="str" cm="1">
        <f t="array" ref="B475">IFERROR(_xlfn.XLOOKUP(1,('env Parameter'!$A:$A=$A475)*('env Parameter'!$B:$B=$K475)*('env Parameter'!$C:$C=$L475),'env Parameter'!H:H,""),"")</f>
        <v>생물상 조사</v>
      </c>
      <c r="C475" s="10" cm="1">
        <f t="array" ref="C475">IFERROR(_xlfn.XLOOKUP(1,('env Parameter'!$A:$A=$A475)*('env Parameter'!$B:$B=$K475)*('env Parameter'!$C:$C=$L475),'env Parameter'!E:E,""),"")</f>
        <v>2.14</v>
      </c>
      <c r="D475" s="10" cm="1">
        <f t="array" ref="D475">IFERROR(_xlfn.XLOOKUP(1,('env Parameter'!$A:$A=$A475)*('env Parameter'!$B:$B=$K475)*('env Parameter'!$C:$C=$L475),'env Parameter'!F:F,""),"")</f>
        <v>478</v>
      </c>
      <c r="E475" s="10" cm="1">
        <f t="array" ref="E475">IFERROR(_xlfn.XLOOKUP(1,('env Parameter'!$A:$A=$A475)*('env Parameter'!$B:$B=$K475)*('env Parameter'!$C:$C=$L475),'env Parameter'!G:G,""),"")</f>
        <v>7.6</v>
      </c>
      <c r="F475" t="str">
        <f>eDNA!F475</f>
        <v>MiFish</v>
      </c>
      <c r="G475" t="str">
        <f>eDNA!D475</f>
        <v>Hemibarbus maculatus</v>
      </c>
      <c r="H475" t="str">
        <f>_xlfn.XLOOKUP(G475,'Common name (master file)'!$B:$B,'Common name (master file)'!$A:$A,"-------------")</f>
        <v>알락누치</v>
      </c>
      <c r="I475">
        <f>eDNA!E475</f>
        <v>16</v>
      </c>
      <c r="J475" t="str">
        <f>_xlfn.XLOOKUP(G475,'Common name (master file)'!$B:$B,'Common name (master file)'!$C:$C,"")</f>
        <v>어류</v>
      </c>
      <c r="K475">
        <f>eDNA!B475</f>
        <v>126.8428368</v>
      </c>
      <c r="L475">
        <f>eDNA!C475</f>
        <v>37.4677784</v>
      </c>
      <c r="M475" s="10" t="str" cm="1">
        <f t="array" ref="M475">IFERROR(_xlfn.XLOOKUP(1,('env Parameter'!$A:$A=$A475)*('env Parameter'!$B:$B=$K475)*('env Parameter'!$C:$C=$L475),'env Parameter'!D:D,""),"")</f>
        <v>목감천-1</v>
      </c>
      <c r="N475" s="10" t="str" cm="1">
        <f t="array" ref="N475">IFERROR(_xlfn.XLOOKUP(1,('env Parameter'!$A:$A=$A475)*('env Parameter'!$B:$B=$K475)*('env Parameter'!$C:$C=$L475),'env Parameter'!I:I,""),"")</f>
        <v>YR</v>
      </c>
    </row>
    <row r="476" spans="1:14">
      <c r="A476">
        <f>eDNA!A476</f>
        <v>20200718</v>
      </c>
      <c r="B476" s="10" t="str" cm="1">
        <f t="array" ref="B476">IFERROR(_xlfn.XLOOKUP(1,('env Parameter'!$A:$A=$A476)*('env Parameter'!$B:$B=$K476)*('env Parameter'!$C:$C=$L476),'env Parameter'!H:H,""),"")</f>
        <v>생물상 조사</v>
      </c>
      <c r="C476" s="10" cm="1">
        <f t="array" ref="C476">IFERROR(_xlfn.XLOOKUP(1,('env Parameter'!$A:$A=$A476)*('env Parameter'!$B:$B=$K476)*('env Parameter'!$C:$C=$L476),'env Parameter'!E:E,""),"")</f>
        <v>2.14</v>
      </c>
      <c r="D476" s="10" cm="1">
        <f t="array" ref="D476">IFERROR(_xlfn.XLOOKUP(1,('env Parameter'!$A:$A=$A476)*('env Parameter'!$B:$B=$K476)*('env Parameter'!$C:$C=$L476),'env Parameter'!F:F,""),"")</f>
        <v>478</v>
      </c>
      <c r="E476" s="10" cm="1">
        <f t="array" ref="E476">IFERROR(_xlfn.XLOOKUP(1,('env Parameter'!$A:$A=$A476)*('env Parameter'!$B:$B=$K476)*('env Parameter'!$C:$C=$L476),'env Parameter'!G:G,""),"")</f>
        <v>7.6</v>
      </c>
      <c r="F476" t="str">
        <f>eDNA!F476</f>
        <v>MiFish</v>
      </c>
      <c r="G476" t="str">
        <f>eDNA!D476</f>
        <v>Capra hircus</v>
      </c>
      <c r="H476" t="str">
        <f>_xlfn.XLOOKUP(G476,'Common name (master file)'!$B:$B,'Common name (master file)'!$A:$A,"-------------")</f>
        <v>염소</v>
      </c>
      <c r="I476">
        <f>eDNA!E476</f>
        <v>17</v>
      </c>
      <c r="J476" t="str">
        <f>_xlfn.XLOOKUP(G476,'Common name (master file)'!$B:$B,'Common name (master file)'!$C:$C,"")</f>
        <v>포유류</v>
      </c>
      <c r="K476">
        <f>eDNA!B476</f>
        <v>126.8428368</v>
      </c>
      <c r="L476">
        <f>eDNA!C476</f>
        <v>37.4677784</v>
      </c>
      <c r="M476" s="10" t="str" cm="1">
        <f t="array" ref="M476">IFERROR(_xlfn.XLOOKUP(1,('env Parameter'!$A:$A=$A476)*('env Parameter'!$B:$B=$K476)*('env Parameter'!$C:$C=$L476),'env Parameter'!D:D,""),"")</f>
        <v>목감천-1</v>
      </c>
      <c r="N476" s="10" t="str" cm="1">
        <f t="array" ref="N476">IFERROR(_xlfn.XLOOKUP(1,('env Parameter'!$A:$A=$A476)*('env Parameter'!$B:$B=$K476)*('env Parameter'!$C:$C=$L476),'env Parameter'!I:I,""),"")</f>
        <v>YR</v>
      </c>
    </row>
    <row r="477" spans="1:14">
      <c r="A477">
        <f>eDNA!A477</f>
        <v>20200718</v>
      </c>
      <c r="B477" s="10" t="str" cm="1">
        <f t="array" ref="B477">IFERROR(_xlfn.XLOOKUP(1,('env Parameter'!$A:$A=$A477)*('env Parameter'!$B:$B=$K477)*('env Parameter'!$C:$C=$L477),'env Parameter'!H:H,""),"")</f>
        <v>생물상 조사</v>
      </c>
      <c r="C477" s="10" cm="1">
        <f t="array" ref="C477">IFERROR(_xlfn.XLOOKUP(1,('env Parameter'!$A:$A=$A477)*('env Parameter'!$B:$B=$K477)*('env Parameter'!$C:$C=$L477),'env Parameter'!E:E,""),"")</f>
        <v>2.14</v>
      </c>
      <c r="D477" s="10" cm="1">
        <f t="array" ref="D477">IFERROR(_xlfn.XLOOKUP(1,('env Parameter'!$A:$A=$A477)*('env Parameter'!$B:$B=$K477)*('env Parameter'!$C:$C=$L477),'env Parameter'!F:F,""),"")</f>
        <v>478</v>
      </c>
      <c r="E477" s="10" cm="1">
        <f t="array" ref="E477">IFERROR(_xlfn.XLOOKUP(1,('env Parameter'!$A:$A=$A477)*('env Parameter'!$B:$B=$K477)*('env Parameter'!$C:$C=$L477),'env Parameter'!G:G,""),"")</f>
        <v>7.6</v>
      </c>
      <c r="F477" t="str">
        <f>eDNA!F477</f>
        <v>MiFish</v>
      </c>
      <c r="G477" t="str">
        <f>eDNA!D477</f>
        <v>Gadus macrocephalus</v>
      </c>
      <c r="H477" t="str">
        <f>_xlfn.XLOOKUP(G477,'Common name (master file)'!$B:$B,'Common name (master file)'!$A:$A,"-------------")</f>
        <v>대구</v>
      </c>
      <c r="I477">
        <f>eDNA!E477</f>
        <v>30</v>
      </c>
      <c r="J477" t="str">
        <f>_xlfn.XLOOKUP(G477,'Common name (master file)'!$B:$B,'Common name (master file)'!$C:$C,"")</f>
        <v>어류</v>
      </c>
      <c r="K477">
        <f>eDNA!B477</f>
        <v>126.8428368</v>
      </c>
      <c r="L477">
        <f>eDNA!C477</f>
        <v>37.4677784</v>
      </c>
      <c r="M477" s="10" t="str" cm="1">
        <f t="array" ref="M477">IFERROR(_xlfn.XLOOKUP(1,('env Parameter'!$A:$A=$A477)*('env Parameter'!$B:$B=$K477)*('env Parameter'!$C:$C=$L477),'env Parameter'!D:D,""),"")</f>
        <v>목감천-1</v>
      </c>
      <c r="N477" s="10" t="str" cm="1">
        <f t="array" ref="N477">IFERROR(_xlfn.XLOOKUP(1,('env Parameter'!$A:$A=$A477)*('env Parameter'!$B:$B=$K477)*('env Parameter'!$C:$C=$L477),'env Parameter'!I:I,""),"")</f>
        <v>YR</v>
      </c>
    </row>
    <row r="478" spans="1:14">
      <c r="A478">
        <f>eDNA!A478</f>
        <v>20200718</v>
      </c>
      <c r="B478" s="10" t="str" cm="1">
        <f t="array" ref="B478">IFERROR(_xlfn.XLOOKUP(1,('env Parameter'!$A:$A=$A478)*('env Parameter'!$B:$B=$K478)*('env Parameter'!$C:$C=$L478),'env Parameter'!H:H,""),"")</f>
        <v>생물상 조사</v>
      </c>
      <c r="C478" s="10" cm="1">
        <f t="array" ref="C478">IFERROR(_xlfn.XLOOKUP(1,('env Parameter'!$A:$A=$A478)*('env Parameter'!$B:$B=$K478)*('env Parameter'!$C:$C=$L478),'env Parameter'!E:E,""),"")</f>
        <v>2.14</v>
      </c>
      <c r="D478" s="10" cm="1">
        <f t="array" ref="D478">IFERROR(_xlfn.XLOOKUP(1,('env Parameter'!$A:$A=$A478)*('env Parameter'!$B:$B=$K478)*('env Parameter'!$C:$C=$L478),'env Parameter'!F:F,""),"")</f>
        <v>478</v>
      </c>
      <c r="E478" s="10" cm="1">
        <f t="array" ref="E478">IFERROR(_xlfn.XLOOKUP(1,('env Parameter'!$A:$A=$A478)*('env Parameter'!$B:$B=$K478)*('env Parameter'!$C:$C=$L478),'env Parameter'!G:G,""),"")</f>
        <v>7.6</v>
      </c>
      <c r="F478" t="str">
        <f>eDNA!F478</f>
        <v>MiFish</v>
      </c>
      <c r="G478" t="str">
        <f>eDNA!D478</f>
        <v>Homo sapiens</v>
      </c>
      <c r="H478" t="str">
        <f>_xlfn.XLOOKUP(G478,'Common name (master file)'!$B:$B,'Common name (master file)'!$A:$A,"-------------")</f>
        <v>사람</v>
      </c>
      <c r="I478">
        <f>eDNA!E478</f>
        <v>34</v>
      </c>
      <c r="J478" t="str">
        <f>_xlfn.XLOOKUP(G478,'Common name (master file)'!$B:$B,'Common name (master file)'!$C:$C,"")</f>
        <v>포유류</v>
      </c>
      <c r="K478">
        <f>eDNA!B478</f>
        <v>126.8428368</v>
      </c>
      <c r="L478">
        <f>eDNA!C478</f>
        <v>37.4677784</v>
      </c>
      <c r="M478" s="10" t="str" cm="1">
        <f t="array" ref="M478">IFERROR(_xlfn.XLOOKUP(1,('env Parameter'!$A:$A=$A478)*('env Parameter'!$B:$B=$K478)*('env Parameter'!$C:$C=$L478),'env Parameter'!D:D,""),"")</f>
        <v>목감천-1</v>
      </c>
      <c r="N478" s="10" t="str" cm="1">
        <f t="array" ref="N478">IFERROR(_xlfn.XLOOKUP(1,('env Parameter'!$A:$A=$A478)*('env Parameter'!$B:$B=$K478)*('env Parameter'!$C:$C=$L478),'env Parameter'!I:I,""),"")</f>
        <v>YR</v>
      </c>
    </row>
    <row r="479" spans="1:14">
      <c r="A479">
        <f>eDNA!A479</f>
        <v>20200718</v>
      </c>
      <c r="B479" s="10" t="str" cm="1">
        <f t="array" ref="B479">IFERROR(_xlfn.XLOOKUP(1,('env Parameter'!$A:$A=$A479)*('env Parameter'!$B:$B=$K479)*('env Parameter'!$C:$C=$L479),'env Parameter'!H:H,""),"")</f>
        <v>생물상 조사</v>
      </c>
      <c r="C479" s="10" cm="1">
        <f t="array" ref="C479">IFERROR(_xlfn.XLOOKUP(1,('env Parameter'!$A:$A=$A479)*('env Parameter'!$B:$B=$K479)*('env Parameter'!$C:$C=$L479),'env Parameter'!E:E,""),"")</f>
        <v>2.14</v>
      </c>
      <c r="D479" s="10" cm="1">
        <f t="array" ref="D479">IFERROR(_xlfn.XLOOKUP(1,('env Parameter'!$A:$A=$A479)*('env Parameter'!$B:$B=$K479)*('env Parameter'!$C:$C=$L479),'env Parameter'!F:F,""),"")</f>
        <v>478</v>
      </c>
      <c r="E479" s="10" cm="1">
        <f t="array" ref="E479">IFERROR(_xlfn.XLOOKUP(1,('env Parameter'!$A:$A=$A479)*('env Parameter'!$B:$B=$K479)*('env Parameter'!$C:$C=$L479),'env Parameter'!G:G,""),"")</f>
        <v>7.6</v>
      </c>
      <c r="F479" t="str">
        <f>eDNA!F479</f>
        <v>MiFish</v>
      </c>
      <c r="G479" t="str">
        <f>eDNA!D479</f>
        <v>Paramisgurnus dabryanus</v>
      </c>
      <c r="H479" t="str">
        <f>_xlfn.XLOOKUP(G479,'Common name (master file)'!$B:$B,'Common name (master file)'!$A:$A,"-------------")</f>
        <v>중국미꾸라지</v>
      </c>
      <c r="I479">
        <f>eDNA!E479</f>
        <v>46</v>
      </c>
      <c r="J479" t="str">
        <f>_xlfn.XLOOKUP(G479,'Common name (master file)'!$B:$B,'Common name (master file)'!$C:$C,"")</f>
        <v>어류</v>
      </c>
      <c r="K479">
        <f>eDNA!B479</f>
        <v>126.8428368</v>
      </c>
      <c r="L479">
        <f>eDNA!C479</f>
        <v>37.4677784</v>
      </c>
      <c r="M479" s="10" t="str" cm="1">
        <f t="array" ref="M479">IFERROR(_xlfn.XLOOKUP(1,('env Parameter'!$A:$A=$A479)*('env Parameter'!$B:$B=$K479)*('env Parameter'!$C:$C=$L479),'env Parameter'!D:D,""),"")</f>
        <v>목감천-1</v>
      </c>
      <c r="N479" s="10" t="str" cm="1">
        <f t="array" ref="N479">IFERROR(_xlfn.XLOOKUP(1,('env Parameter'!$A:$A=$A479)*('env Parameter'!$B:$B=$K479)*('env Parameter'!$C:$C=$L479),'env Parameter'!I:I,""),"")</f>
        <v>YR</v>
      </c>
    </row>
    <row r="480" spans="1:14">
      <c r="A480">
        <f>eDNA!A480</f>
        <v>20200718</v>
      </c>
      <c r="B480" s="10" t="str" cm="1">
        <f t="array" ref="B480">IFERROR(_xlfn.XLOOKUP(1,('env Parameter'!$A:$A=$A480)*('env Parameter'!$B:$B=$K480)*('env Parameter'!$C:$C=$L480),'env Parameter'!H:H,""),"")</f>
        <v>생물상 조사</v>
      </c>
      <c r="C480" s="10" cm="1">
        <f t="array" ref="C480">IFERROR(_xlfn.XLOOKUP(1,('env Parameter'!$A:$A=$A480)*('env Parameter'!$B:$B=$K480)*('env Parameter'!$C:$C=$L480),'env Parameter'!E:E,""),"")</f>
        <v>2.14</v>
      </c>
      <c r="D480" s="10" cm="1">
        <f t="array" ref="D480">IFERROR(_xlfn.XLOOKUP(1,('env Parameter'!$A:$A=$A480)*('env Parameter'!$B:$B=$K480)*('env Parameter'!$C:$C=$L480),'env Parameter'!F:F,""),"")</f>
        <v>478</v>
      </c>
      <c r="E480" s="10" cm="1">
        <f t="array" ref="E480">IFERROR(_xlfn.XLOOKUP(1,('env Parameter'!$A:$A=$A480)*('env Parameter'!$B:$B=$K480)*('env Parameter'!$C:$C=$L480),'env Parameter'!G:G,""),"")</f>
        <v>7.6</v>
      </c>
      <c r="F480" t="str">
        <f>eDNA!F480</f>
        <v>MiFish</v>
      </c>
      <c r="G480" t="str">
        <f>eDNA!D480</f>
        <v>Misgurnus anguillicaudatus</v>
      </c>
      <c r="H480" t="str">
        <f>_xlfn.XLOOKUP(G480,'Common name (master file)'!$B:$B,'Common name (master file)'!$A:$A,"-------------")</f>
        <v>미꾸리</v>
      </c>
      <c r="I480">
        <f>eDNA!E480</f>
        <v>101</v>
      </c>
      <c r="J480" t="str">
        <f>_xlfn.XLOOKUP(G480,'Common name (master file)'!$B:$B,'Common name (master file)'!$C:$C,"")</f>
        <v>어류</v>
      </c>
      <c r="K480">
        <f>eDNA!B480</f>
        <v>126.8428368</v>
      </c>
      <c r="L480">
        <f>eDNA!C480</f>
        <v>37.4677784</v>
      </c>
      <c r="M480" s="10" t="str" cm="1">
        <f t="array" ref="M480">IFERROR(_xlfn.XLOOKUP(1,('env Parameter'!$A:$A=$A480)*('env Parameter'!$B:$B=$K480)*('env Parameter'!$C:$C=$L480),'env Parameter'!D:D,""),"")</f>
        <v>목감천-1</v>
      </c>
      <c r="N480" s="10" t="str" cm="1">
        <f t="array" ref="N480">IFERROR(_xlfn.XLOOKUP(1,('env Parameter'!$A:$A=$A480)*('env Parameter'!$B:$B=$K480)*('env Parameter'!$C:$C=$L480),'env Parameter'!I:I,""),"")</f>
        <v>YR</v>
      </c>
    </row>
    <row r="481" spans="1:14">
      <c r="A481">
        <f>eDNA!A481</f>
        <v>20200718</v>
      </c>
      <c r="B481" s="10" t="str" cm="1">
        <f t="array" ref="B481">IFERROR(_xlfn.XLOOKUP(1,('env Parameter'!$A:$A=$A481)*('env Parameter'!$B:$B=$K481)*('env Parameter'!$C:$C=$L481),'env Parameter'!H:H,""),"")</f>
        <v>생물상 조사</v>
      </c>
      <c r="C481" s="10" cm="1">
        <f t="array" ref="C481">IFERROR(_xlfn.XLOOKUP(1,('env Parameter'!$A:$A=$A481)*('env Parameter'!$B:$B=$K481)*('env Parameter'!$C:$C=$L481),'env Parameter'!E:E,""),"")</f>
        <v>2.14</v>
      </c>
      <c r="D481" s="10" cm="1">
        <f t="array" ref="D481">IFERROR(_xlfn.XLOOKUP(1,('env Parameter'!$A:$A=$A481)*('env Parameter'!$B:$B=$K481)*('env Parameter'!$C:$C=$L481),'env Parameter'!F:F,""),"")</f>
        <v>478</v>
      </c>
      <c r="E481" s="10" cm="1">
        <f t="array" ref="E481">IFERROR(_xlfn.XLOOKUP(1,('env Parameter'!$A:$A=$A481)*('env Parameter'!$B:$B=$K481)*('env Parameter'!$C:$C=$L481),'env Parameter'!G:G,""),"")</f>
        <v>7.6</v>
      </c>
      <c r="F481" t="str">
        <f>eDNA!F481</f>
        <v>MiFish</v>
      </c>
      <c r="G481" t="str">
        <f>eDNA!D481</f>
        <v>Sebastes viviparus</v>
      </c>
      <c r="H481" t="str">
        <f>_xlfn.XLOOKUP(G481,'Common name (master file)'!$B:$B,'Common name (master file)'!$A:$A,"-------------")</f>
        <v>흑점뺨볼락</v>
      </c>
      <c r="I481">
        <f>eDNA!E481</f>
        <v>218</v>
      </c>
      <c r="J481" t="str">
        <f>_xlfn.XLOOKUP(G481,'Common name (master file)'!$B:$B,'Common name (master file)'!$C:$C,"")</f>
        <v>어류</v>
      </c>
      <c r="K481">
        <f>eDNA!B481</f>
        <v>126.8446659</v>
      </c>
      <c r="L481">
        <f>eDNA!C481</f>
        <v>37.420618699999999</v>
      </c>
      <c r="M481" s="10" t="str" cm="1">
        <f t="array" ref="M481">IFERROR(_xlfn.XLOOKUP(1,('env Parameter'!$A:$A=$A481)*('env Parameter'!$B:$B=$K481)*('env Parameter'!$C:$C=$L481),'env Parameter'!D:D,""),"")</f>
        <v>목감천-3</v>
      </c>
      <c r="N481" s="10" t="str" cm="1">
        <f t="array" ref="N481">IFERROR(_xlfn.XLOOKUP(1,('env Parameter'!$A:$A=$A481)*('env Parameter'!$B:$B=$K481)*('env Parameter'!$C:$C=$L481),'env Parameter'!I:I,""),"")</f>
        <v>YR</v>
      </c>
    </row>
    <row r="482" spans="1:14">
      <c r="A482">
        <f>eDNA!A482</f>
        <v>20200718</v>
      </c>
      <c r="B482" s="10" t="str" cm="1">
        <f t="array" ref="B482">IFERROR(_xlfn.XLOOKUP(1,('env Parameter'!$A:$A=$A482)*('env Parameter'!$B:$B=$K482)*('env Parameter'!$C:$C=$L482),'env Parameter'!H:H,""),"")</f>
        <v>생물상 조사</v>
      </c>
      <c r="C482" s="10" cm="1">
        <f t="array" ref="C482">IFERROR(_xlfn.XLOOKUP(1,('env Parameter'!$A:$A=$A482)*('env Parameter'!$B:$B=$K482)*('env Parameter'!$C:$C=$L482),'env Parameter'!E:E,""),"")</f>
        <v>2.14</v>
      </c>
      <c r="D482" s="10" cm="1">
        <f t="array" ref="D482">IFERROR(_xlfn.XLOOKUP(1,('env Parameter'!$A:$A=$A482)*('env Parameter'!$B:$B=$K482)*('env Parameter'!$C:$C=$L482),'env Parameter'!F:F,""),"")</f>
        <v>478</v>
      </c>
      <c r="E482" s="10" cm="1">
        <f t="array" ref="E482">IFERROR(_xlfn.XLOOKUP(1,('env Parameter'!$A:$A=$A482)*('env Parameter'!$B:$B=$K482)*('env Parameter'!$C:$C=$L482),'env Parameter'!G:G,""),"")</f>
        <v>7.6</v>
      </c>
      <c r="F482" t="str">
        <f>eDNA!F482</f>
        <v>MiFish</v>
      </c>
      <c r="G482" t="str">
        <f>eDNA!D482</f>
        <v>Planiliza haematocheila</v>
      </c>
      <c r="H482" t="str">
        <f>_xlfn.XLOOKUP(G482,'Common name (master file)'!$B:$B,'Common name (master file)'!$A:$A,"-------------")</f>
        <v>가숭어</v>
      </c>
      <c r="I482">
        <f>eDNA!E482</f>
        <v>54</v>
      </c>
      <c r="J482" t="str">
        <f>_xlfn.XLOOKUP(G482,'Common name (master file)'!$B:$B,'Common name (master file)'!$C:$C,"")</f>
        <v>어류</v>
      </c>
      <c r="K482">
        <f>eDNA!B482</f>
        <v>126.8428368</v>
      </c>
      <c r="L482">
        <f>eDNA!C482</f>
        <v>37.4677784</v>
      </c>
      <c r="M482" s="10" t="str" cm="1">
        <f t="array" ref="M482">IFERROR(_xlfn.XLOOKUP(1,('env Parameter'!$A:$A=$A482)*('env Parameter'!$B:$B=$K482)*('env Parameter'!$C:$C=$L482),'env Parameter'!D:D,""),"")</f>
        <v>목감천-1</v>
      </c>
      <c r="N482" s="10" t="str" cm="1">
        <f t="array" ref="N482">IFERROR(_xlfn.XLOOKUP(1,('env Parameter'!$A:$A=$A482)*('env Parameter'!$B:$B=$K482)*('env Parameter'!$C:$C=$L482),'env Parameter'!I:I,""),"")</f>
        <v>YR</v>
      </c>
    </row>
    <row r="483" spans="1:14">
      <c r="A483">
        <f>eDNA!A483</f>
        <v>20200718</v>
      </c>
      <c r="B483" s="10" t="str" cm="1">
        <f t="array" ref="B483">IFERROR(_xlfn.XLOOKUP(1,('env Parameter'!$A:$A=$A483)*('env Parameter'!$B:$B=$K483)*('env Parameter'!$C:$C=$L483),'env Parameter'!H:H,""),"")</f>
        <v>생물상 조사</v>
      </c>
      <c r="C483" s="10" cm="1">
        <f t="array" ref="C483">IFERROR(_xlfn.XLOOKUP(1,('env Parameter'!$A:$A=$A483)*('env Parameter'!$B:$B=$K483)*('env Parameter'!$C:$C=$L483),'env Parameter'!E:E,""),"")</f>
        <v>2.14</v>
      </c>
      <c r="D483" s="10" cm="1">
        <f t="array" ref="D483">IFERROR(_xlfn.XLOOKUP(1,('env Parameter'!$A:$A=$A483)*('env Parameter'!$B:$B=$K483)*('env Parameter'!$C:$C=$L483),'env Parameter'!F:F,""),"")</f>
        <v>478</v>
      </c>
      <c r="E483" s="10" cm="1">
        <f t="array" ref="E483">IFERROR(_xlfn.XLOOKUP(1,('env Parameter'!$A:$A=$A483)*('env Parameter'!$B:$B=$K483)*('env Parameter'!$C:$C=$L483),'env Parameter'!G:G,""),"")</f>
        <v>7.6</v>
      </c>
      <c r="F483" t="str">
        <f>eDNA!F483</f>
        <v>MiFish</v>
      </c>
      <c r="G483" t="str">
        <f>eDNA!D483</f>
        <v>Carassius auratus</v>
      </c>
      <c r="H483" t="str">
        <f>_xlfn.XLOOKUP(G483,'Common name (master file)'!$B:$B,'Common name (master file)'!$A:$A,"-------------")</f>
        <v>붕어</v>
      </c>
      <c r="I483">
        <f>eDNA!E483</f>
        <v>67</v>
      </c>
      <c r="J483" t="str">
        <f>_xlfn.XLOOKUP(G483,'Common name (master file)'!$B:$B,'Common name (master file)'!$C:$C,"")</f>
        <v>어류</v>
      </c>
      <c r="K483">
        <f>eDNA!B483</f>
        <v>126.8428368</v>
      </c>
      <c r="L483">
        <f>eDNA!C483</f>
        <v>37.4677784</v>
      </c>
      <c r="M483" s="10" t="str" cm="1">
        <f t="array" ref="M483">IFERROR(_xlfn.XLOOKUP(1,('env Parameter'!$A:$A=$A483)*('env Parameter'!$B:$B=$K483)*('env Parameter'!$C:$C=$L483),'env Parameter'!D:D,""),"")</f>
        <v>목감천-1</v>
      </c>
      <c r="N483" s="10" t="str" cm="1">
        <f t="array" ref="N483">IFERROR(_xlfn.XLOOKUP(1,('env Parameter'!$A:$A=$A483)*('env Parameter'!$B:$B=$K483)*('env Parameter'!$C:$C=$L483),'env Parameter'!I:I,""),"")</f>
        <v>YR</v>
      </c>
    </row>
    <row r="484" spans="1:14">
      <c r="A484">
        <f>eDNA!A484</f>
        <v>20200718</v>
      </c>
      <c r="B484" s="10" t="str" cm="1">
        <f t="array" ref="B484">IFERROR(_xlfn.XLOOKUP(1,('env Parameter'!$A:$A=$A484)*('env Parameter'!$B:$B=$K484)*('env Parameter'!$C:$C=$L484),'env Parameter'!H:H,""),"")</f>
        <v>생물상 조사</v>
      </c>
      <c r="C484" s="10" cm="1">
        <f t="array" ref="C484">IFERROR(_xlfn.XLOOKUP(1,('env Parameter'!$A:$A=$A484)*('env Parameter'!$B:$B=$K484)*('env Parameter'!$C:$C=$L484),'env Parameter'!E:E,""),"")</f>
        <v>2.14</v>
      </c>
      <c r="D484" s="10" cm="1">
        <f t="array" ref="D484">IFERROR(_xlfn.XLOOKUP(1,('env Parameter'!$A:$A=$A484)*('env Parameter'!$B:$B=$K484)*('env Parameter'!$C:$C=$L484),'env Parameter'!F:F,""),"")</f>
        <v>478</v>
      </c>
      <c r="E484" s="10" cm="1">
        <f t="array" ref="E484">IFERROR(_xlfn.XLOOKUP(1,('env Parameter'!$A:$A=$A484)*('env Parameter'!$B:$B=$K484)*('env Parameter'!$C:$C=$L484),'env Parameter'!G:G,""),"")</f>
        <v>7.6</v>
      </c>
      <c r="F484" t="str">
        <f>eDNA!F484</f>
        <v>MiFish</v>
      </c>
      <c r="G484" t="str">
        <f>eDNA!D484</f>
        <v>Platycephalus sp</v>
      </c>
      <c r="H484" t="str">
        <f>_xlfn.XLOOKUP(G484,'Common name (master file)'!$B:$B,'Common name (master file)'!$A:$A,"-------------")</f>
        <v>양태속</v>
      </c>
      <c r="I484">
        <f>eDNA!E484</f>
        <v>32</v>
      </c>
      <c r="J484" t="str">
        <f>_xlfn.XLOOKUP(G484,'Common name (master file)'!$B:$B,'Common name (master file)'!$C:$C,"")</f>
        <v>어류</v>
      </c>
      <c r="K484">
        <f>eDNA!B484</f>
        <v>126.8772417</v>
      </c>
      <c r="L484">
        <f>eDNA!C484</f>
        <v>37.474826299999997</v>
      </c>
      <c r="M484" s="10" t="str" cm="1">
        <f t="array" ref="M484">IFERROR(_xlfn.XLOOKUP(1,('env Parameter'!$A:$A=$A484)*('env Parameter'!$B:$B=$K484)*('env Parameter'!$C:$C=$L484),'env Parameter'!D:D,""),"")</f>
        <v>안양천-10</v>
      </c>
      <c r="N484" s="10" t="str" cm="1">
        <f t="array" ref="N484">IFERROR(_xlfn.XLOOKUP(1,('env Parameter'!$A:$A=$A484)*('env Parameter'!$B:$B=$K484)*('env Parameter'!$C:$C=$L484),'env Parameter'!I:I,""),"")</f>
        <v>YR</v>
      </c>
    </row>
    <row r="485" spans="1:14">
      <c r="A485">
        <f>eDNA!A485</f>
        <v>20200718</v>
      </c>
      <c r="B485" s="10" t="str" cm="1">
        <f t="array" ref="B485">IFERROR(_xlfn.XLOOKUP(1,('env Parameter'!$A:$A=$A485)*('env Parameter'!$B:$B=$K485)*('env Parameter'!$C:$C=$L485),'env Parameter'!H:H,""),"")</f>
        <v>생물상 조사</v>
      </c>
      <c r="C485" s="10" cm="1">
        <f t="array" ref="C485">IFERROR(_xlfn.XLOOKUP(1,('env Parameter'!$A:$A=$A485)*('env Parameter'!$B:$B=$K485)*('env Parameter'!$C:$C=$L485),'env Parameter'!E:E,""),"")</f>
        <v>2.14</v>
      </c>
      <c r="D485" s="10" cm="1">
        <f t="array" ref="D485">IFERROR(_xlfn.XLOOKUP(1,('env Parameter'!$A:$A=$A485)*('env Parameter'!$B:$B=$K485)*('env Parameter'!$C:$C=$L485),'env Parameter'!F:F,""),"")</f>
        <v>478</v>
      </c>
      <c r="E485" s="10" cm="1">
        <f t="array" ref="E485">IFERROR(_xlfn.XLOOKUP(1,('env Parameter'!$A:$A=$A485)*('env Parameter'!$B:$B=$K485)*('env Parameter'!$C:$C=$L485),'env Parameter'!G:G,""),"")</f>
        <v>7.6</v>
      </c>
      <c r="F485" t="str">
        <f>eDNA!F485</f>
        <v>MiFish</v>
      </c>
      <c r="G485" t="str">
        <f>eDNA!D485</f>
        <v>Bos taurus</v>
      </c>
      <c r="H485" t="str">
        <f>_xlfn.XLOOKUP(G485,'Common name (master file)'!$B:$B,'Common name (master file)'!$A:$A,"-------------")</f>
        <v>소</v>
      </c>
      <c r="I485">
        <f>eDNA!E485</f>
        <v>112</v>
      </c>
      <c r="J485" t="str">
        <f>_xlfn.XLOOKUP(G485,'Common name (master file)'!$B:$B,'Common name (master file)'!$C:$C,"")</f>
        <v>포유류</v>
      </c>
      <c r="K485">
        <f>eDNA!B485</f>
        <v>126.8428368</v>
      </c>
      <c r="L485">
        <f>eDNA!C485</f>
        <v>37.4677784</v>
      </c>
      <c r="M485" s="10" t="str" cm="1">
        <f t="array" ref="M485">IFERROR(_xlfn.XLOOKUP(1,('env Parameter'!$A:$A=$A485)*('env Parameter'!$B:$B=$K485)*('env Parameter'!$C:$C=$L485),'env Parameter'!D:D,""),"")</f>
        <v>목감천-1</v>
      </c>
      <c r="N485" s="10" t="str" cm="1">
        <f t="array" ref="N485">IFERROR(_xlfn.XLOOKUP(1,('env Parameter'!$A:$A=$A485)*('env Parameter'!$B:$B=$K485)*('env Parameter'!$C:$C=$L485),'env Parameter'!I:I,""),"")</f>
        <v>YR</v>
      </c>
    </row>
    <row r="486" spans="1:14">
      <c r="A486">
        <f>eDNA!A486</f>
        <v>20200718</v>
      </c>
      <c r="B486" s="10" t="str" cm="1">
        <f t="array" ref="B486">IFERROR(_xlfn.XLOOKUP(1,('env Parameter'!$A:$A=$A486)*('env Parameter'!$B:$B=$K486)*('env Parameter'!$C:$C=$L486),'env Parameter'!H:H,""),"")</f>
        <v>생물상 조사</v>
      </c>
      <c r="C486" s="10" cm="1">
        <f t="array" ref="C486">IFERROR(_xlfn.XLOOKUP(1,('env Parameter'!$A:$A=$A486)*('env Parameter'!$B:$B=$K486)*('env Parameter'!$C:$C=$L486),'env Parameter'!E:E,""),"")</f>
        <v>2.14</v>
      </c>
      <c r="D486" s="10" cm="1">
        <f t="array" ref="D486">IFERROR(_xlfn.XLOOKUP(1,('env Parameter'!$A:$A=$A486)*('env Parameter'!$B:$B=$K486)*('env Parameter'!$C:$C=$L486),'env Parameter'!F:F,""),"")</f>
        <v>478</v>
      </c>
      <c r="E486" s="10" cm="1">
        <f t="array" ref="E486">IFERROR(_xlfn.XLOOKUP(1,('env Parameter'!$A:$A=$A486)*('env Parameter'!$B:$B=$K486)*('env Parameter'!$C:$C=$L486),'env Parameter'!G:G,""),"")</f>
        <v>7.6</v>
      </c>
      <c r="F486" t="str">
        <f>eDNA!F486</f>
        <v>MiFish</v>
      </c>
      <c r="G486" t="str">
        <f>eDNA!D486</f>
        <v>Anguilla japonica</v>
      </c>
      <c r="H486" t="str">
        <f>_xlfn.XLOOKUP(G486,'Common name (master file)'!$B:$B,'Common name (master file)'!$A:$A,"-------------")</f>
        <v>뱀장어</v>
      </c>
      <c r="I486">
        <f>eDNA!E486</f>
        <v>80</v>
      </c>
      <c r="J486" t="str">
        <f>_xlfn.XLOOKUP(G486,'Common name (master file)'!$B:$B,'Common name (master file)'!$C:$C,"")</f>
        <v>어류</v>
      </c>
      <c r="K486">
        <f>eDNA!B486</f>
        <v>126.8428368</v>
      </c>
      <c r="L486">
        <f>eDNA!C486</f>
        <v>37.4677784</v>
      </c>
      <c r="M486" s="10" t="str" cm="1">
        <f t="array" ref="M486">IFERROR(_xlfn.XLOOKUP(1,('env Parameter'!$A:$A=$A486)*('env Parameter'!$B:$B=$K486)*('env Parameter'!$C:$C=$L486),'env Parameter'!D:D,""),"")</f>
        <v>목감천-1</v>
      </c>
      <c r="N486" s="10" t="str" cm="1">
        <f t="array" ref="N486">IFERROR(_xlfn.XLOOKUP(1,('env Parameter'!$A:$A=$A486)*('env Parameter'!$B:$B=$K486)*('env Parameter'!$C:$C=$L486),'env Parameter'!I:I,""),"")</f>
        <v>YR</v>
      </c>
    </row>
    <row r="487" spans="1:14">
      <c r="A487">
        <f>eDNA!A487</f>
        <v>20200718</v>
      </c>
      <c r="B487" s="10" t="str" cm="1">
        <f t="array" ref="B487">IFERROR(_xlfn.XLOOKUP(1,('env Parameter'!$A:$A=$A487)*('env Parameter'!$B:$B=$K487)*('env Parameter'!$C:$C=$L487),'env Parameter'!H:H,""),"")</f>
        <v>생물상 조사</v>
      </c>
      <c r="C487" s="10" cm="1">
        <f t="array" ref="C487">IFERROR(_xlfn.XLOOKUP(1,('env Parameter'!$A:$A=$A487)*('env Parameter'!$B:$B=$K487)*('env Parameter'!$C:$C=$L487),'env Parameter'!E:E,""),"")</f>
        <v>2.14</v>
      </c>
      <c r="D487" s="10" cm="1">
        <f t="array" ref="D487">IFERROR(_xlfn.XLOOKUP(1,('env Parameter'!$A:$A=$A487)*('env Parameter'!$B:$B=$K487)*('env Parameter'!$C:$C=$L487),'env Parameter'!F:F,""),"")</f>
        <v>478</v>
      </c>
      <c r="E487" s="10" cm="1">
        <f t="array" ref="E487">IFERROR(_xlfn.XLOOKUP(1,('env Parameter'!$A:$A=$A487)*('env Parameter'!$B:$B=$K487)*('env Parameter'!$C:$C=$L487),'env Parameter'!G:G,""),"")</f>
        <v>7.6</v>
      </c>
      <c r="F487" t="str">
        <f>eDNA!F487</f>
        <v>MiFish</v>
      </c>
      <c r="G487" t="str">
        <f>eDNA!D487</f>
        <v>Culter dabryi</v>
      </c>
      <c r="H487" t="str">
        <f>_xlfn.XLOOKUP(G487,'Common name (master file)'!$B:$B,'Common name (master file)'!$A:$A,"-------------")</f>
        <v>다브리날카로운입치</v>
      </c>
      <c r="I487">
        <f>eDNA!E487</f>
        <v>84</v>
      </c>
      <c r="J487" t="str">
        <f>_xlfn.XLOOKUP(G487,'Common name (master file)'!$B:$B,'Common name (master file)'!$C:$C,"")</f>
        <v>어류</v>
      </c>
      <c r="K487">
        <f>eDNA!B487</f>
        <v>126.8428368</v>
      </c>
      <c r="L487">
        <f>eDNA!C487</f>
        <v>37.4677784</v>
      </c>
      <c r="M487" s="10" t="str" cm="1">
        <f t="array" ref="M487">IFERROR(_xlfn.XLOOKUP(1,('env Parameter'!$A:$A=$A487)*('env Parameter'!$B:$B=$K487)*('env Parameter'!$C:$C=$L487),'env Parameter'!D:D,""),"")</f>
        <v>목감천-1</v>
      </c>
      <c r="N487" s="10" t="str" cm="1">
        <f t="array" ref="N487">IFERROR(_xlfn.XLOOKUP(1,('env Parameter'!$A:$A=$A487)*('env Parameter'!$B:$B=$K487)*('env Parameter'!$C:$C=$L487),'env Parameter'!I:I,""),"")</f>
        <v>YR</v>
      </c>
    </row>
    <row r="488" spans="1:14">
      <c r="A488">
        <f>eDNA!A488</f>
        <v>20200718</v>
      </c>
      <c r="B488" s="10" t="str" cm="1">
        <f t="array" ref="B488">IFERROR(_xlfn.XLOOKUP(1,('env Parameter'!$A:$A=$A488)*('env Parameter'!$B:$B=$K488)*('env Parameter'!$C:$C=$L488),'env Parameter'!H:H,""),"")</f>
        <v>생물상 조사</v>
      </c>
      <c r="C488" s="10" cm="1">
        <f t="array" ref="C488">IFERROR(_xlfn.XLOOKUP(1,('env Parameter'!$A:$A=$A488)*('env Parameter'!$B:$B=$K488)*('env Parameter'!$C:$C=$L488),'env Parameter'!E:E,""),"")</f>
        <v>2.14</v>
      </c>
      <c r="D488" s="10" cm="1">
        <f t="array" ref="D488">IFERROR(_xlfn.XLOOKUP(1,('env Parameter'!$A:$A=$A488)*('env Parameter'!$B:$B=$K488)*('env Parameter'!$C:$C=$L488),'env Parameter'!F:F,""),"")</f>
        <v>478</v>
      </c>
      <c r="E488" s="10" cm="1">
        <f t="array" ref="E488">IFERROR(_xlfn.XLOOKUP(1,('env Parameter'!$A:$A=$A488)*('env Parameter'!$B:$B=$K488)*('env Parameter'!$C:$C=$L488),'env Parameter'!G:G,""),"")</f>
        <v>7.6</v>
      </c>
      <c r="F488" t="str">
        <f>eDNA!F488</f>
        <v>MiFish</v>
      </c>
      <c r="G488" t="str">
        <f>eDNA!D488</f>
        <v>Lepomis macrochirus</v>
      </c>
      <c r="H488" t="str">
        <f>_xlfn.XLOOKUP(G488,'Common name (master file)'!$B:$B,'Common name (master file)'!$A:$A,"-------------")</f>
        <v>블루길</v>
      </c>
      <c r="I488">
        <f>eDNA!E488</f>
        <v>88</v>
      </c>
      <c r="J488" t="str">
        <f>_xlfn.XLOOKUP(G488,'Common name (master file)'!$B:$B,'Common name (master file)'!$C:$C,"")</f>
        <v>어류</v>
      </c>
      <c r="K488">
        <f>eDNA!B488</f>
        <v>126.8428368</v>
      </c>
      <c r="L488">
        <f>eDNA!C488</f>
        <v>37.4677784</v>
      </c>
      <c r="M488" s="10" t="str" cm="1">
        <f t="array" ref="M488">IFERROR(_xlfn.XLOOKUP(1,('env Parameter'!$A:$A=$A488)*('env Parameter'!$B:$B=$K488)*('env Parameter'!$C:$C=$L488),'env Parameter'!D:D,""),"")</f>
        <v>목감천-1</v>
      </c>
      <c r="N488" s="10" t="str" cm="1">
        <f t="array" ref="N488">IFERROR(_xlfn.XLOOKUP(1,('env Parameter'!$A:$A=$A488)*('env Parameter'!$B:$B=$K488)*('env Parameter'!$C:$C=$L488),'env Parameter'!I:I,""),"")</f>
        <v>YR</v>
      </c>
    </row>
    <row r="489" spans="1:14">
      <c r="A489">
        <f>eDNA!A489</f>
        <v>20200718</v>
      </c>
      <c r="B489" s="10" t="str" cm="1">
        <f t="array" ref="B489">IFERROR(_xlfn.XLOOKUP(1,('env Parameter'!$A:$A=$A489)*('env Parameter'!$B:$B=$K489)*('env Parameter'!$C:$C=$L489),'env Parameter'!H:H,""),"")</f>
        <v>생물상 조사</v>
      </c>
      <c r="C489" s="10" cm="1">
        <f t="array" ref="C489">IFERROR(_xlfn.XLOOKUP(1,('env Parameter'!$A:$A=$A489)*('env Parameter'!$B:$B=$K489)*('env Parameter'!$C:$C=$L489),'env Parameter'!E:E,""),"")</f>
        <v>2.14</v>
      </c>
      <c r="D489" s="10" cm="1">
        <f t="array" ref="D489">IFERROR(_xlfn.XLOOKUP(1,('env Parameter'!$A:$A=$A489)*('env Parameter'!$B:$B=$K489)*('env Parameter'!$C:$C=$L489),'env Parameter'!F:F,""),"")</f>
        <v>478</v>
      </c>
      <c r="E489" s="10" cm="1">
        <f t="array" ref="E489">IFERROR(_xlfn.XLOOKUP(1,('env Parameter'!$A:$A=$A489)*('env Parameter'!$B:$B=$K489)*('env Parameter'!$C:$C=$L489),'env Parameter'!G:G,""),"")</f>
        <v>7.6</v>
      </c>
      <c r="F489" t="str">
        <f>eDNA!F489</f>
        <v>MiFish</v>
      </c>
      <c r="G489" t="str">
        <f>eDNA!D489</f>
        <v>Tridentiger obscurus</v>
      </c>
      <c r="H489" t="str">
        <f>_xlfn.XLOOKUP(G489,'Common name (master file)'!$B:$B,'Common name (master file)'!$A:$A,"-------------")</f>
        <v>검정망둑</v>
      </c>
      <c r="I489">
        <f>eDNA!E489</f>
        <v>127</v>
      </c>
      <c r="J489" t="str">
        <f>_xlfn.XLOOKUP(G489,'Common name (master file)'!$B:$B,'Common name (master file)'!$C:$C,"")</f>
        <v>어류</v>
      </c>
      <c r="K489">
        <f>eDNA!B489</f>
        <v>126.8428368</v>
      </c>
      <c r="L489">
        <f>eDNA!C489</f>
        <v>37.4677784</v>
      </c>
      <c r="M489" s="10" t="str" cm="1">
        <f t="array" ref="M489">IFERROR(_xlfn.XLOOKUP(1,('env Parameter'!$A:$A=$A489)*('env Parameter'!$B:$B=$K489)*('env Parameter'!$C:$C=$L489),'env Parameter'!D:D,""),"")</f>
        <v>목감천-1</v>
      </c>
      <c r="N489" s="10" t="str" cm="1">
        <f t="array" ref="N489">IFERROR(_xlfn.XLOOKUP(1,('env Parameter'!$A:$A=$A489)*('env Parameter'!$B:$B=$K489)*('env Parameter'!$C:$C=$L489),'env Parameter'!I:I,""),"")</f>
        <v>YR</v>
      </c>
    </row>
    <row r="490" spans="1:14">
      <c r="A490">
        <f>eDNA!A490</f>
        <v>20200718</v>
      </c>
      <c r="B490" s="10" t="str" cm="1">
        <f t="array" ref="B490">IFERROR(_xlfn.XLOOKUP(1,('env Parameter'!$A:$A=$A490)*('env Parameter'!$B:$B=$K490)*('env Parameter'!$C:$C=$L490),'env Parameter'!H:H,""),"")</f>
        <v>생물상 조사</v>
      </c>
      <c r="C490" s="10" cm="1">
        <f t="array" ref="C490">IFERROR(_xlfn.XLOOKUP(1,('env Parameter'!$A:$A=$A490)*('env Parameter'!$B:$B=$K490)*('env Parameter'!$C:$C=$L490),'env Parameter'!E:E,""),"")</f>
        <v>2.14</v>
      </c>
      <c r="D490" s="10" cm="1">
        <f t="array" ref="D490">IFERROR(_xlfn.XLOOKUP(1,('env Parameter'!$A:$A=$A490)*('env Parameter'!$B:$B=$K490)*('env Parameter'!$C:$C=$L490),'env Parameter'!F:F,""),"")</f>
        <v>478</v>
      </c>
      <c r="E490" s="10" cm="1">
        <f t="array" ref="E490">IFERROR(_xlfn.XLOOKUP(1,('env Parameter'!$A:$A=$A490)*('env Parameter'!$B:$B=$K490)*('env Parameter'!$C:$C=$L490),'env Parameter'!G:G,""),"")</f>
        <v>7.6</v>
      </c>
      <c r="F490" t="str">
        <f>eDNA!F490</f>
        <v>MiFish</v>
      </c>
      <c r="G490" t="str">
        <f>eDNA!D490</f>
        <v>Hemibarbus sp.</v>
      </c>
      <c r="H490" t="str">
        <f>_xlfn.XLOOKUP(G490,'Common name (master file)'!$B:$B,'Common name (master file)'!$A:$A,"-------------")</f>
        <v>누치 속</v>
      </c>
      <c r="I490">
        <f>eDNA!E490</f>
        <v>302</v>
      </c>
      <c r="J490" t="str">
        <f>_xlfn.XLOOKUP(G490,'Common name (master file)'!$B:$B,'Common name (master file)'!$C:$C,"")</f>
        <v>어류</v>
      </c>
      <c r="K490">
        <f>eDNA!B490</f>
        <v>126.8428368</v>
      </c>
      <c r="L490">
        <f>eDNA!C490</f>
        <v>37.4677784</v>
      </c>
      <c r="M490" s="10" t="str" cm="1">
        <f t="array" ref="M490">IFERROR(_xlfn.XLOOKUP(1,('env Parameter'!$A:$A=$A490)*('env Parameter'!$B:$B=$K490)*('env Parameter'!$C:$C=$L490),'env Parameter'!D:D,""),"")</f>
        <v>목감천-1</v>
      </c>
      <c r="N490" s="10" t="str" cm="1">
        <f t="array" ref="N490">IFERROR(_xlfn.XLOOKUP(1,('env Parameter'!$A:$A=$A490)*('env Parameter'!$B:$B=$K490)*('env Parameter'!$C:$C=$L490),'env Parameter'!I:I,""),"")</f>
        <v>YR</v>
      </c>
    </row>
    <row r="491" spans="1:14">
      <c r="A491">
        <f>eDNA!A491</f>
        <v>20200718</v>
      </c>
      <c r="B491" s="10" t="str" cm="1">
        <f t="array" ref="B491">IFERROR(_xlfn.XLOOKUP(1,('env Parameter'!$A:$A=$A491)*('env Parameter'!$B:$B=$K491)*('env Parameter'!$C:$C=$L491),'env Parameter'!H:H,""),"")</f>
        <v>생물상 조사</v>
      </c>
      <c r="C491" s="10" cm="1">
        <f t="array" ref="C491">IFERROR(_xlfn.XLOOKUP(1,('env Parameter'!$A:$A=$A491)*('env Parameter'!$B:$B=$K491)*('env Parameter'!$C:$C=$L491),'env Parameter'!E:E,""),"")</f>
        <v>2.14</v>
      </c>
      <c r="D491" s="10" cm="1">
        <f t="array" ref="D491">IFERROR(_xlfn.XLOOKUP(1,('env Parameter'!$A:$A=$A491)*('env Parameter'!$B:$B=$K491)*('env Parameter'!$C:$C=$L491),'env Parameter'!F:F,""),"")</f>
        <v>478</v>
      </c>
      <c r="E491" s="10" cm="1">
        <f t="array" ref="E491">IFERROR(_xlfn.XLOOKUP(1,('env Parameter'!$A:$A=$A491)*('env Parameter'!$B:$B=$K491)*('env Parameter'!$C:$C=$L491),'env Parameter'!G:G,""),"")</f>
        <v>7.6</v>
      </c>
      <c r="F491" t="str">
        <f>eDNA!F491</f>
        <v>MiFish</v>
      </c>
      <c r="G491" t="str">
        <f>eDNA!D491</f>
        <v>Gnathopogon strigatus</v>
      </c>
      <c r="H491" t="str">
        <f>_xlfn.XLOOKUP(G491,'Common name (master file)'!$B:$B,'Common name (master file)'!$A:$A,"-------------")</f>
        <v>줄몰개</v>
      </c>
      <c r="I491">
        <f>eDNA!E491</f>
        <v>374</v>
      </c>
      <c r="J491" t="str">
        <f>_xlfn.XLOOKUP(G491,'Common name (master file)'!$B:$B,'Common name (master file)'!$C:$C,"")</f>
        <v>어류</v>
      </c>
      <c r="K491">
        <f>eDNA!B491</f>
        <v>126.8428368</v>
      </c>
      <c r="L491">
        <f>eDNA!C491</f>
        <v>37.4677784</v>
      </c>
      <c r="M491" s="10" t="str" cm="1">
        <f t="array" ref="M491">IFERROR(_xlfn.XLOOKUP(1,('env Parameter'!$A:$A=$A491)*('env Parameter'!$B:$B=$K491)*('env Parameter'!$C:$C=$L491),'env Parameter'!D:D,""),"")</f>
        <v>목감천-1</v>
      </c>
      <c r="N491" s="10" t="str" cm="1">
        <f t="array" ref="N491">IFERROR(_xlfn.XLOOKUP(1,('env Parameter'!$A:$A=$A491)*('env Parameter'!$B:$B=$K491)*('env Parameter'!$C:$C=$L491),'env Parameter'!I:I,""),"")</f>
        <v>YR</v>
      </c>
    </row>
    <row r="492" spans="1:14">
      <c r="A492">
        <f>eDNA!A492</f>
        <v>20200718</v>
      </c>
      <c r="B492" s="10" t="str" cm="1">
        <f t="array" ref="B492">IFERROR(_xlfn.XLOOKUP(1,('env Parameter'!$A:$A=$A492)*('env Parameter'!$B:$B=$K492)*('env Parameter'!$C:$C=$L492),'env Parameter'!H:H,""),"")</f>
        <v>생물상 조사</v>
      </c>
      <c r="C492" s="10" cm="1">
        <f t="array" ref="C492">IFERROR(_xlfn.XLOOKUP(1,('env Parameter'!$A:$A=$A492)*('env Parameter'!$B:$B=$K492)*('env Parameter'!$C:$C=$L492),'env Parameter'!E:E,""),"")</f>
        <v>2.14</v>
      </c>
      <c r="D492" s="10" cm="1">
        <f t="array" ref="D492">IFERROR(_xlfn.XLOOKUP(1,('env Parameter'!$A:$A=$A492)*('env Parameter'!$B:$B=$K492)*('env Parameter'!$C:$C=$L492),'env Parameter'!F:F,""),"")</f>
        <v>478</v>
      </c>
      <c r="E492" s="10" cm="1">
        <f t="array" ref="E492">IFERROR(_xlfn.XLOOKUP(1,('env Parameter'!$A:$A=$A492)*('env Parameter'!$B:$B=$K492)*('env Parameter'!$C:$C=$L492),'env Parameter'!G:G,""),"")</f>
        <v>7.6</v>
      </c>
      <c r="F492" t="str">
        <f>eDNA!F492</f>
        <v>MiFish</v>
      </c>
      <c r="G492" t="str">
        <f>eDNA!D492</f>
        <v>Cyprinus carpio</v>
      </c>
      <c r="H492" t="str">
        <f>_xlfn.XLOOKUP(G492,'Common name (master file)'!$B:$B,'Common name (master file)'!$A:$A,"-------------")</f>
        <v>잉어</v>
      </c>
      <c r="I492">
        <f>eDNA!E492</f>
        <v>391</v>
      </c>
      <c r="J492" t="str">
        <f>_xlfn.XLOOKUP(G492,'Common name (master file)'!$B:$B,'Common name (master file)'!$C:$C,"")</f>
        <v>어류</v>
      </c>
      <c r="K492">
        <f>eDNA!B492</f>
        <v>126.8428368</v>
      </c>
      <c r="L492">
        <f>eDNA!C492</f>
        <v>37.4677784</v>
      </c>
      <c r="M492" s="10" t="str" cm="1">
        <f t="array" ref="M492">IFERROR(_xlfn.XLOOKUP(1,('env Parameter'!$A:$A=$A492)*('env Parameter'!$B:$B=$K492)*('env Parameter'!$C:$C=$L492),'env Parameter'!D:D,""),"")</f>
        <v>목감천-1</v>
      </c>
      <c r="N492" s="10" t="str" cm="1">
        <f t="array" ref="N492">IFERROR(_xlfn.XLOOKUP(1,('env Parameter'!$A:$A=$A492)*('env Parameter'!$B:$B=$K492)*('env Parameter'!$C:$C=$L492),'env Parameter'!I:I,""),"")</f>
        <v>YR</v>
      </c>
    </row>
    <row r="493" spans="1:14">
      <c r="A493">
        <f>eDNA!A493</f>
        <v>20200718</v>
      </c>
      <c r="B493" s="10" t="str" cm="1">
        <f t="array" ref="B493">IFERROR(_xlfn.XLOOKUP(1,('env Parameter'!$A:$A=$A493)*('env Parameter'!$B:$B=$K493)*('env Parameter'!$C:$C=$L493),'env Parameter'!H:H,""),"")</f>
        <v>생물상 조사</v>
      </c>
      <c r="C493" s="10" cm="1">
        <f t="array" ref="C493">IFERROR(_xlfn.XLOOKUP(1,('env Parameter'!$A:$A=$A493)*('env Parameter'!$B:$B=$K493)*('env Parameter'!$C:$C=$L493),'env Parameter'!E:E,""),"")</f>
        <v>2.14</v>
      </c>
      <c r="D493" s="10" cm="1">
        <f t="array" ref="D493">IFERROR(_xlfn.XLOOKUP(1,('env Parameter'!$A:$A=$A493)*('env Parameter'!$B:$B=$K493)*('env Parameter'!$C:$C=$L493),'env Parameter'!F:F,""),"")</f>
        <v>478</v>
      </c>
      <c r="E493" s="10" cm="1">
        <f t="array" ref="E493">IFERROR(_xlfn.XLOOKUP(1,('env Parameter'!$A:$A=$A493)*('env Parameter'!$B:$B=$K493)*('env Parameter'!$C:$C=$L493),'env Parameter'!G:G,""),"")</f>
        <v>7.6</v>
      </c>
      <c r="F493" t="str">
        <f>eDNA!F493</f>
        <v>MiFish</v>
      </c>
      <c r="G493" t="str">
        <f>eDNA!D493</f>
        <v>Canis lupus familiaris</v>
      </c>
      <c r="H493" t="str">
        <f>_xlfn.XLOOKUP(G493,'Common name (master file)'!$B:$B,'Common name (master file)'!$A:$A,"-------------")</f>
        <v>개</v>
      </c>
      <c r="I493">
        <f>eDNA!E493</f>
        <v>423</v>
      </c>
      <c r="J493" t="str">
        <f>_xlfn.XLOOKUP(G493,'Common name (master file)'!$B:$B,'Common name (master file)'!$C:$C,"")</f>
        <v>포유류</v>
      </c>
      <c r="K493">
        <f>eDNA!B493</f>
        <v>126.8428368</v>
      </c>
      <c r="L493">
        <f>eDNA!C493</f>
        <v>37.4677784</v>
      </c>
      <c r="M493" s="10" t="str" cm="1">
        <f t="array" ref="M493">IFERROR(_xlfn.XLOOKUP(1,('env Parameter'!$A:$A=$A493)*('env Parameter'!$B:$B=$K493)*('env Parameter'!$C:$C=$L493),'env Parameter'!D:D,""),"")</f>
        <v>목감천-1</v>
      </c>
      <c r="N493" s="10" t="str" cm="1">
        <f t="array" ref="N493">IFERROR(_xlfn.XLOOKUP(1,('env Parameter'!$A:$A=$A493)*('env Parameter'!$B:$B=$K493)*('env Parameter'!$C:$C=$L493),'env Parameter'!I:I,""),"")</f>
        <v>YR</v>
      </c>
    </row>
    <row r="494" spans="1:14">
      <c r="A494">
        <f>eDNA!A494</f>
        <v>20200718</v>
      </c>
      <c r="B494" s="10" t="str" cm="1">
        <f t="array" ref="B494">IFERROR(_xlfn.XLOOKUP(1,('env Parameter'!$A:$A=$A494)*('env Parameter'!$B:$B=$K494)*('env Parameter'!$C:$C=$L494),'env Parameter'!H:H,""),"")</f>
        <v>생물상 조사</v>
      </c>
      <c r="C494" s="10" cm="1">
        <f t="array" ref="C494">IFERROR(_xlfn.XLOOKUP(1,('env Parameter'!$A:$A=$A494)*('env Parameter'!$B:$B=$K494)*('env Parameter'!$C:$C=$L494),'env Parameter'!E:E,""),"")</f>
        <v>2.14</v>
      </c>
      <c r="D494" s="10" cm="1">
        <f t="array" ref="D494">IFERROR(_xlfn.XLOOKUP(1,('env Parameter'!$A:$A=$A494)*('env Parameter'!$B:$B=$K494)*('env Parameter'!$C:$C=$L494),'env Parameter'!F:F,""),"")</f>
        <v>478</v>
      </c>
      <c r="E494" s="10" cm="1">
        <f t="array" ref="E494">IFERROR(_xlfn.XLOOKUP(1,('env Parameter'!$A:$A=$A494)*('env Parameter'!$B:$B=$K494)*('env Parameter'!$C:$C=$L494),'env Parameter'!G:G,""),"")</f>
        <v>7.6</v>
      </c>
      <c r="F494" t="str">
        <f>eDNA!F494</f>
        <v>MiFish</v>
      </c>
      <c r="G494" t="str">
        <f>eDNA!D494</f>
        <v>Carassius cuvieri</v>
      </c>
      <c r="H494" t="str">
        <f>_xlfn.XLOOKUP(G494,'Common name (master file)'!$B:$B,'Common name (master file)'!$A:$A,"-------------")</f>
        <v>떡붕어</v>
      </c>
      <c r="I494">
        <f>eDNA!E494</f>
        <v>625</v>
      </c>
      <c r="J494" t="str">
        <f>_xlfn.XLOOKUP(G494,'Common name (master file)'!$B:$B,'Common name (master file)'!$C:$C,"")</f>
        <v>어류</v>
      </c>
      <c r="K494">
        <f>eDNA!B494</f>
        <v>126.8428368</v>
      </c>
      <c r="L494">
        <f>eDNA!C494</f>
        <v>37.4677784</v>
      </c>
      <c r="M494" s="10" t="str" cm="1">
        <f t="array" ref="M494">IFERROR(_xlfn.XLOOKUP(1,('env Parameter'!$A:$A=$A494)*('env Parameter'!$B:$B=$K494)*('env Parameter'!$C:$C=$L494),'env Parameter'!D:D,""),"")</f>
        <v>목감천-1</v>
      </c>
      <c r="N494" s="10" t="str" cm="1">
        <f t="array" ref="N494">IFERROR(_xlfn.XLOOKUP(1,('env Parameter'!$A:$A=$A494)*('env Parameter'!$B:$B=$K494)*('env Parameter'!$C:$C=$L494),'env Parameter'!I:I,""),"")</f>
        <v>YR</v>
      </c>
    </row>
    <row r="495" spans="1:14">
      <c r="A495">
        <f>eDNA!A495</f>
        <v>20200718</v>
      </c>
      <c r="B495" s="10" t="str" cm="1">
        <f t="array" ref="B495">IFERROR(_xlfn.XLOOKUP(1,('env Parameter'!$A:$A=$A495)*('env Parameter'!$B:$B=$K495)*('env Parameter'!$C:$C=$L495),'env Parameter'!H:H,""),"")</f>
        <v>생물상 조사</v>
      </c>
      <c r="C495" s="10" cm="1">
        <f t="array" ref="C495">IFERROR(_xlfn.XLOOKUP(1,('env Parameter'!$A:$A=$A495)*('env Parameter'!$B:$B=$K495)*('env Parameter'!$C:$C=$L495),'env Parameter'!E:E,""),"")</f>
        <v>2.14</v>
      </c>
      <c r="D495" s="10" cm="1">
        <f t="array" ref="D495">IFERROR(_xlfn.XLOOKUP(1,('env Parameter'!$A:$A=$A495)*('env Parameter'!$B:$B=$K495)*('env Parameter'!$C:$C=$L495),'env Parameter'!F:F,""),"")</f>
        <v>478</v>
      </c>
      <c r="E495" s="10" cm="1">
        <f t="array" ref="E495">IFERROR(_xlfn.XLOOKUP(1,('env Parameter'!$A:$A=$A495)*('env Parameter'!$B:$B=$K495)*('env Parameter'!$C:$C=$L495),'env Parameter'!G:G,""),"")</f>
        <v>7.6</v>
      </c>
      <c r="F495" t="str">
        <f>eDNA!F495</f>
        <v>MiFish</v>
      </c>
      <c r="G495" t="str">
        <f>eDNA!D495</f>
        <v>Acheilognathus macropterus</v>
      </c>
      <c r="H495" t="str">
        <f>_xlfn.XLOOKUP(G495,'Common name (master file)'!$B:$B,'Common name (master file)'!$A:$A,"-------------")</f>
        <v>큰납지리</v>
      </c>
      <c r="I495">
        <f>eDNA!E495</f>
        <v>562</v>
      </c>
      <c r="J495" t="str">
        <f>_xlfn.XLOOKUP(G495,'Common name (master file)'!$B:$B,'Common name (master file)'!$C:$C,"")</f>
        <v>어류</v>
      </c>
      <c r="K495">
        <f>eDNA!B495</f>
        <v>126.8428368</v>
      </c>
      <c r="L495">
        <f>eDNA!C495</f>
        <v>37.4677784</v>
      </c>
      <c r="M495" s="10" t="str" cm="1">
        <f t="array" ref="M495">IFERROR(_xlfn.XLOOKUP(1,('env Parameter'!$A:$A=$A495)*('env Parameter'!$B:$B=$K495)*('env Parameter'!$C:$C=$L495),'env Parameter'!D:D,""),"")</f>
        <v>목감천-1</v>
      </c>
      <c r="N495" s="10" t="str" cm="1">
        <f t="array" ref="N495">IFERROR(_xlfn.XLOOKUP(1,('env Parameter'!$A:$A=$A495)*('env Parameter'!$B:$B=$K495)*('env Parameter'!$C:$C=$L495),'env Parameter'!I:I,""),"")</f>
        <v>YR</v>
      </c>
    </row>
    <row r="496" spans="1:14">
      <c r="A496">
        <f>eDNA!A496</f>
        <v>20200718</v>
      </c>
      <c r="B496" s="10" t="str" cm="1">
        <f t="array" ref="B496">IFERROR(_xlfn.XLOOKUP(1,('env Parameter'!$A:$A=$A496)*('env Parameter'!$B:$B=$K496)*('env Parameter'!$C:$C=$L496),'env Parameter'!H:H,""),"")</f>
        <v>생물상 조사</v>
      </c>
      <c r="C496" s="10" cm="1">
        <f t="array" ref="C496">IFERROR(_xlfn.XLOOKUP(1,('env Parameter'!$A:$A=$A496)*('env Parameter'!$B:$B=$K496)*('env Parameter'!$C:$C=$L496),'env Parameter'!E:E,""),"")</f>
        <v>2.14</v>
      </c>
      <c r="D496" s="10" cm="1">
        <f t="array" ref="D496">IFERROR(_xlfn.XLOOKUP(1,('env Parameter'!$A:$A=$A496)*('env Parameter'!$B:$B=$K496)*('env Parameter'!$C:$C=$L496),'env Parameter'!F:F,""),"")</f>
        <v>478</v>
      </c>
      <c r="E496" s="10" cm="1">
        <f t="array" ref="E496">IFERROR(_xlfn.XLOOKUP(1,('env Parameter'!$A:$A=$A496)*('env Parameter'!$B:$B=$K496)*('env Parameter'!$C:$C=$L496),'env Parameter'!G:G,""),"")</f>
        <v>7.6</v>
      </c>
      <c r="F496" t="str">
        <f>eDNA!F496</f>
        <v>MiFish</v>
      </c>
      <c r="G496" t="str">
        <f>eDNA!D496</f>
        <v>Sus scrofa</v>
      </c>
      <c r="H496" t="str">
        <f>_xlfn.XLOOKUP(G496,'Common name (master file)'!$B:$B,'Common name (master file)'!$A:$A,"-------------")</f>
        <v>멧돼지</v>
      </c>
      <c r="I496">
        <f>eDNA!E496</f>
        <v>1303</v>
      </c>
      <c r="J496" t="str">
        <f>_xlfn.XLOOKUP(G496,'Common name (master file)'!$B:$B,'Common name (master file)'!$C:$C,"")</f>
        <v>포유류</v>
      </c>
      <c r="K496">
        <f>eDNA!B496</f>
        <v>126.8428368</v>
      </c>
      <c r="L496">
        <f>eDNA!C496</f>
        <v>37.4677784</v>
      </c>
      <c r="M496" s="10" t="str" cm="1">
        <f t="array" ref="M496">IFERROR(_xlfn.XLOOKUP(1,('env Parameter'!$A:$A=$A496)*('env Parameter'!$B:$B=$K496)*('env Parameter'!$C:$C=$L496),'env Parameter'!D:D,""),"")</f>
        <v>목감천-1</v>
      </c>
      <c r="N496" s="10" t="str" cm="1">
        <f t="array" ref="N496">IFERROR(_xlfn.XLOOKUP(1,('env Parameter'!$A:$A=$A496)*('env Parameter'!$B:$B=$K496)*('env Parameter'!$C:$C=$L496),'env Parameter'!I:I,""),"")</f>
        <v>YR</v>
      </c>
    </row>
    <row r="497" spans="1:14">
      <c r="A497">
        <f>eDNA!A497</f>
        <v>20200718</v>
      </c>
      <c r="B497" s="10" t="str" cm="1">
        <f t="array" ref="B497">IFERROR(_xlfn.XLOOKUP(1,('env Parameter'!$A:$A=$A497)*('env Parameter'!$B:$B=$K497)*('env Parameter'!$C:$C=$L497),'env Parameter'!H:H,""),"")</f>
        <v>생물상 조사</v>
      </c>
      <c r="C497" s="10" cm="1">
        <f t="array" ref="C497">IFERROR(_xlfn.XLOOKUP(1,('env Parameter'!$A:$A=$A497)*('env Parameter'!$B:$B=$K497)*('env Parameter'!$C:$C=$L497),'env Parameter'!E:E,""),"")</f>
        <v>2.14</v>
      </c>
      <c r="D497" s="10" cm="1">
        <f t="array" ref="D497">IFERROR(_xlfn.XLOOKUP(1,('env Parameter'!$A:$A=$A497)*('env Parameter'!$B:$B=$K497)*('env Parameter'!$C:$C=$L497),'env Parameter'!F:F,""),"")</f>
        <v>478</v>
      </c>
      <c r="E497" s="10" cm="1">
        <f t="array" ref="E497">IFERROR(_xlfn.XLOOKUP(1,('env Parameter'!$A:$A=$A497)*('env Parameter'!$B:$B=$K497)*('env Parameter'!$C:$C=$L497),'env Parameter'!G:G,""),"")</f>
        <v>7.6</v>
      </c>
      <c r="F497" t="str">
        <f>eDNA!F497</f>
        <v>MiFish</v>
      </c>
      <c r="G497" t="str">
        <f>eDNA!D497</f>
        <v>Micropterus salmoides</v>
      </c>
      <c r="H497" t="str">
        <f>_xlfn.XLOOKUP(G497,'Common name (master file)'!$B:$B,'Common name (master file)'!$A:$A,"-------------")</f>
        <v>큰입배스</v>
      </c>
      <c r="I497">
        <f>eDNA!E497</f>
        <v>911</v>
      </c>
      <c r="J497" t="str">
        <f>_xlfn.XLOOKUP(G497,'Common name (master file)'!$B:$B,'Common name (master file)'!$C:$C,"")</f>
        <v>어류</v>
      </c>
      <c r="K497">
        <f>eDNA!B497</f>
        <v>126.8428368</v>
      </c>
      <c r="L497">
        <f>eDNA!C497</f>
        <v>37.4677784</v>
      </c>
      <c r="M497" s="10" t="str" cm="1">
        <f t="array" ref="M497">IFERROR(_xlfn.XLOOKUP(1,('env Parameter'!$A:$A=$A497)*('env Parameter'!$B:$B=$K497)*('env Parameter'!$C:$C=$L497),'env Parameter'!D:D,""),"")</f>
        <v>목감천-1</v>
      </c>
      <c r="N497" s="10" t="str" cm="1">
        <f t="array" ref="N497">IFERROR(_xlfn.XLOOKUP(1,('env Parameter'!$A:$A=$A497)*('env Parameter'!$B:$B=$K497)*('env Parameter'!$C:$C=$L497),'env Parameter'!I:I,""),"")</f>
        <v>YR</v>
      </c>
    </row>
    <row r="498" spans="1:14">
      <c r="A498">
        <f>eDNA!A498</f>
        <v>20200718</v>
      </c>
      <c r="B498" s="10" t="str" cm="1">
        <f t="array" ref="B498">IFERROR(_xlfn.XLOOKUP(1,('env Parameter'!$A:$A=$A498)*('env Parameter'!$B:$B=$K498)*('env Parameter'!$C:$C=$L498),'env Parameter'!H:H,""),"")</f>
        <v>생물상 조사</v>
      </c>
      <c r="C498" s="10" cm="1">
        <f t="array" ref="C498">IFERROR(_xlfn.XLOOKUP(1,('env Parameter'!$A:$A=$A498)*('env Parameter'!$B:$B=$K498)*('env Parameter'!$C:$C=$L498),'env Parameter'!E:E,""),"")</f>
        <v>2.14</v>
      </c>
      <c r="D498" s="10" cm="1">
        <f t="array" ref="D498">IFERROR(_xlfn.XLOOKUP(1,('env Parameter'!$A:$A=$A498)*('env Parameter'!$B:$B=$K498)*('env Parameter'!$C:$C=$L498),'env Parameter'!F:F,""),"")</f>
        <v>478</v>
      </c>
      <c r="E498" s="10" cm="1">
        <f t="array" ref="E498">IFERROR(_xlfn.XLOOKUP(1,('env Parameter'!$A:$A=$A498)*('env Parameter'!$B:$B=$K498)*('env Parameter'!$C:$C=$L498),'env Parameter'!G:G,""),"")</f>
        <v>7.6</v>
      </c>
      <c r="F498" t="str">
        <f>eDNA!F498</f>
        <v>MiFish</v>
      </c>
      <c r="G498" t="str">
        <f>eDNA!D498</f>
        <v>Pseudogobio esocinus</v>
      </c>
      <c r="H498" t="str">
        <f>_xlfn.XLOOKUP(G498,'Common name (master file)'!$B:$B,'Common name (master file)'!$A:$A,"-------------")</f>
        <v>모래무지</v>
      </c>
      <c r="I498">
        <f>eDNA!E498</f>
        <v>1218</v>
      </c>
      <c r="J498" t="str">
        <f>_xlfn.XLOOKUP(G498,'Common name (master file)'!$B:$B,'Common name (master file)'!$C:$C,"")</f>
        <v>어류</v>
      </c>
      <c r="K498">
        <f>eDNA!B498</f>
        <v>126.8428368</v>
      </c>
      <c r="L498">
        <f>eDNA!C498</f>
        <v>37.4677784</v>
      </c>
      <c r="M498" s="10" t="str" cm="1">
        <f t="array" ref="M498">IFERROR(_xlfn.XLOOKUP(1,('env Parameter'!$A:$A=$A498)*('env Parameter'!$B:$B=$K498)*('env Parameter'!$C:$C=$L498),'env Parameter'!D:D,""),"")</f>
        <v>목감천-1</v>
      </c>
      <c r="N498" s="10" t="str" cm="1">
        <f t="array" ref="N498">IFERROR(_xlfn.XLOOKUP(1,('env Parameter'!$A:$A=$A498)*('env Parameter'!$B:$B=$K498)*('env Parameter'!$C:$C=$L498),'env Parameter'!I:I,""),"")</f>
        <v>YR</v>
      </c>
    </row>
    <row r="499" spans="1:14">
      <c r="A499">
        <f>eDNA!A499</f>
        <v>20200718</v>
      </c>
      <c r="B499" s="10" t="str" cm="1">
        <f t="array" ref="B499">IFERROR(_xlfn.XLOOKUP(1,('env Parameter'!$A:$A=$A499)*('env Parameter'!$B:$B=$K499)*('env Parameter'!$C:$C=$L499),'env Parameter'!H:H,""),"")</f>
        <v>생물상 조사</v>
      </c>
      <c r="C499" s="10" cm="1">
        <f t="array" ref="C499">IFERROR(_xlfn.XLOOKUP(1,('env Parameter'!$A:$A=$A499)*('env Parameter'!$B:$B=$K499)*('env Parameter'!$C:$C=$L499),'env Parameter'!E:E,""),"")</f>
        <v>2.14</v>
      </c>
      <c r="D499" s="10" cm="1">
        <f t="array" ref="D499">IFERROR(_xlfn.XLOOKUP(1,('env Parameter'!$A:$A=$A499)*('env Parameter'!$B:$B=$K499)*('env Parameter'!$C:$C=$L499),'env Parameter'!F:F,""),"")</f>
        <v>478</v>
      </c>
      <c r="E499" s="10" cm="1">
        <f t="array" ref="E499">IFERROR(_xlfn.XLOOKUP(1,('env Parameter'!$A:$A=$A499)*('env Parameter'!$B:$B=$K499)*('env Parameter'!$C:$C=$L499),'env Parameter'!G:G,""),"")</f>
        <v>7.6</v>
      </c>
      <c r="F499" t="str">
        <f>eDNA!F499</f>
        <v>MiFish</v>
      </c>
      <c r="G499" t="str">
        <f>eDNA!D499</f>
        <v>Zacco platypus</v>
      </c>
      <c r="H499" t="str">
        <f>_xlfn.XLOOKUP(G499,'Common name (master file)'!$B:$B,'Common name (master file)'!$A:$A,"-------------")</f>
        <v>피라미</v>
      </c>
      <c r="I499">
        <f>eDNA!E499</f>
        <v>1415</v>
      </c>
      <c r="J499" t="str">
        <f>_xlfn.XLOOKUP(G499,'Common name (master file)'!$B:$B,'Common name (master file)'!$C:$C,"")</f>
        <v>어류</v>
      </c>
      <c r="K499">
        <f>eDNA!B499</f>
        <v>126.8428368</v>
      </c>
      <c r="L499">
        <f>eDNA!C499</f>
        <v>37.4677784</v>
      </c>
      <c r="M499" s="10" t="str" cm="1">
        <f t="array" ref="M499">IFERROR(_xlfn.XLOOKUP(1,('env Parameter'!$A:$A=$A499)*('env Parameter'!$B:$B=$K499)*('env Parameter'!$C:$C=$L499),'env Parameter'!D:D,""),"")</f>
        <v>목감천-1</v>
      </c>
      <c r="N499" s="10" t="str" cm="1">
        <f t="array" ref="N499">IFERROR(_xlfn.XLOOKUP(1,('env Parameter'!$A:$A=$A499)*('env Parameter'!$B:$B=$K499)*('env Parameter'!$C:$C=$L499),'env Parameter'!I:I,""),"")</f>
        <v>YR</v>
      </c>
    </row>
    <row r="500" spans="1:14">
      <c r="A500">
        <f>eDNA!A500</f>
        <v>20200718</v>
      </c>
      <c r="B500" s="10" t="str" cm="1">
        <f t="array" ref="B500">IFERROR(_xlfn.XLOOKUP(1,('env Parameter'!$A:$A=$A500)*('env Parameter'!$B:$B=$K500)*('env Parameter'!$C:$C=$L500),'env Parameter'!H:H,""),"")</f>
        <v>생물상 조사</v>
      </c>
      <c r="C500" s="10" cm="1">
        <f t="array" ref="C500">IFERROR(_xlfn.XLOOKUP(1,('env Parameter'!$A:$A=$A500)*('env Parameter'!$B:$B=$K500)*('env Parameter'!$C:$C=$L500),'env Parameter'!E:E,""),"")</f>
        <v>2.14</v>
      </c>
      <c r="D500" s="10" cm="1">
        <f t="array" ref="D500">IFERROR(_xlfn.XLOOKUP(1,('env Parameter'!$A:$A=$A500)*('env Parameter'!$B:$B=$K500)*('env Parameter'!$C:$C=$L500),'env Parameter'!F:F,""),"")</f>
        <v>478</v>
      </c>
      <c r="E500" s="10" cm="1">
        <f t="array" ref="E500">IFERROR(_xlfn.XLOOKUP(1,('env Parameter'!$A:$A=$A500)*('env Parameter'!$B:$B=$K500)*('env Parameter'!$C:$C=$L500),'env Parameter'!G:G,""),"")</f>
        <v>7.6</v>
      </c>
      <c r="F500" t="str">
        <f>eDNA!F500</f>
        <v>MiFish</v>
      </c>
      <c r="G500" t="str">
        <f>eDNA!D500</f>
        <v>Carassius sp.</v>
      </c>
      <c r="H500" t="str">
        <f>_xlfn.XLOOKUP(G500,'Common name (master file)'!$B:$B,'Common name (master file)'!$A:$A,"-------------")</f>
        <v>붕어 속</v>
      </c>
      <c r="I500">
        <f>eDNA!E500</f>
        <v>1213</v>
      </c>
      <c r="J500" t="str">
        <f>_xlfn.XLOOKUP(G500,'Common name (master file)'!$B:$B,'Common name (master file)'!$C:$C,"")</f>
        <v>어류</v>
      </c>
      <c r="K500">
        <f>eDNA!B500</f>
        <v>126.8428368</v>
      </c>
      <c r="L500">
        <f>eDNA!C500</f>
        <v>37.4677784</v>
      </c>
      <c r="M500" s="10" t="str" cm="1">
        <f t="array" ref="M500">IFERROR(_xlfn.XLOOKUP(1,('env Parameter'!$A:$A=$A500)*('env Parameter'!$B:$B=$K500)*('env Parameter'!$C:$C=$L500),'env Parameter'!D:D,""),"")</f>
        <v>목감천-1</v>
      </c>
      <c r="N500" s="10" t="str" cm="1">
        <f t="array" ref="N500">IFERROR(_xlfn.XLOOKUP(1,('env Parameter'!$A:$A=$A500)*('env Parameter'!$B:$B=$K500)*('env Parameter'!$C:$C=$L500),'env Parameter'!I:I,""),"")</f>
        <v>YR</v>
      </c>
    </row>
    <row r="501" spans="1:14">
      <c r="A501">
        <f>eDNA!A501</f>
        <v>20200718</v>
      </c>
      <c r="B501" s="10" t="str" cm="1">
        <f t="array" ref="B501">IFERROR(_xlfn.XLOOKUP(1,('env Parameter'!$A:$A=$A501)*('env Parameter'!$B:$B=$K501)*('env Parameter'!$C:$C=$L501),'env Parameter'!H:H,""),"")</f>
        <v>생물상 조사</v>
      </c>
      <c r="C501" s="10" cm="1">
        <f t="array" ref="C501">IFERROR(_xlfn.XLOOKUP(1,('env Parameter'!$A:$A=$A501)*('env Parameter'!$B:$B=$K501)*('env Parameter'!$C:$C=$L501),'env Parameter'!E:E,""),"")</f>
        <v>2.14</v>
      </c>
      <c r="D501" s="10" cm="1">
        <f t="array" ref="D501">IFERROR(_xlfn.XLOOKUP(1,('env Parameter'!$A:$A=$A501)*('env Parameter'!$B:$B=$K501)*('env Parameter'!$C:$C=$L501),'env Parameter'!F:F,""),"")</f>
        <v>478</v>
      </c>
      <c r="E501" s="10" cm="1">
        <f t="array" ref="E501">IFERROR(_xlfn.XLOOKUP(1,('env Parameter'!$A:$A=$A501)*('env Parameter'!$B:$B=$K501)*('env Parameter'!$C:$C=$L501),'env Parameter'!G:G,""),"")</f>
        <v>7.6</v>
      </c>
      <c r="F501" t="str">
        <f>eDNA!F501</f>
        <v>MiFish</v>
      </c>
      <c r="G501" t="str">
        <f>eDNA!D501</f>
        <v>Misgurnus mizolepis</v>
      </c>
      <c r="H501" t="str">
        <f>_xlfn.XLOOKUP(G501,'Common name (master file)'!$B:$B,'Common name (master file)'!$A:$A,"-------------")</f>
        <v>미꾸라지</v>
      </c>
      <c r="I501">
        <f>eDNA!E501</f>
        <v>1490</v>
      </c>
      <c r="J501" t="str">
        <f>_xlfn.XLOOKUP(G501,'Common name (master file)'!$B:$B,'Common name (master file)'!$C:$C,"")</f>
        <v>어류</v>
      </c>
      <c r="K501">
        <f>eDNA!B501</f>
        <v>126.8428368</v>
      </c>
      <c r="L501">
        <f>eDNA!C501</f>
        <v>37.4677784</v>
      </c>
      <c r="M501" s="10" t="str" cm="1">
        <f t="array" ref="M501">IFERROR(_xlfn.XLOOKUP(1,('env Parameter'!$A:$A=$A501)*('env Parameter'!$B:$B=$K501)*('env Parameter'!$C:$C=$L501),'env Parameter'!D:D,""),"")</f>
        <v>목감천-1</v>
      </c>
      <c r="N501" s="10" t="str" cm="1">
        <f t="array" ref="N501">IFERROR(_xlfn.XLOOKUP(1,('env Parameter'!$A:$A=$A501)*('env Parameter'!$B:$B=$K501)*('env Parameter'!$C:$C=$L501),'env Parameter'!I:I,""),"")</f>
        <v>YR</v>
      </c>
    </row>
    <row r="502" spans="1:14">
      <c r="A502">
        <f>eDNA!A502</f>
        <v>20200718</v>
      </c>
      <c r="B502" s="10" t="str" cm="1">
        <f t="array" ref="B502">IFERROR(_xlfn.XLOOKUP(1,('env Parameter'!$A:$A=$A502)*('env Parameter'!$B:$B=$K502)*('env Parameter'!$C:$C=$L502),'env Parameter'!H:H,""),"")</f>
        <v>생물상 조사</v>
      </c>
      <c r="C502" s="10" cm="1">
        <f t="array" ref="C502">IFERROR(_xlfn.XLOOKUP(1,('env Parameter'!$A:$A=$A502)*('env Parameter'!$B:$B=$K502)*('env Parameter'!$C:$C=$L502),'env Parameter'!E:E,""),"")</f>
        <v>2.14</v>
      </c>
      <c r="D502" s="10" cm="1">
        <f t="array" ref="D502">IFERROR(_xlfn.XLOOKUP(1,('env Parameter'!$A:$A=$A502)*('env Parameter'!$B:$B=$K502)*('env Parameter'!$C:$C=$L502),'env Parameter'!F:F,""),"")</f>
        <v>478</v>
      </c>
      <c r="E502" s="10" cm="1">
        <f t="array" ref="E502">IFERROR(_xlfn.XLOOKUP(1,('env Parameter'!$A:$A=$A502)*('env Parameter'!$B:$B=$K502)*('env Parameter'!$C:$C=$L502),'env Parameter'!G:G,""),"")</f>
        <v>7.6</v>
      </c>
      <c r="F502" t="str">
        <f>eDNA!F502</f>
        <v>MiFish</v>
      </c>
      <c r="G502" t="str">
        <f>eDNA!D502</f>
        <v>Silurus soldatovi</v>
      </c>
      <c r="H502" t="str">
        <f>_xlfn.XLOOKUP(G502,'Common name (master file)'!$B:$B,'Common name (master file)'!$A:$A,"-------------")</f>
        <v>솔다토비 메기</v>
      </c>
      <c r="I502">
        <f>eDNA!E502</f>
        <v>2475</v>
      </c>
      <c r="J502" t="str">
        <f>_xlfn.XLOOKUP(G502,'Common name (master file)'!$B:$B,'Common name (master file)'!$C:$C,"")</f>
        <v>어류</v>
      </c>
      <c r="K502">
        <f>eDNA!B502</f>
        <v>126.8428368</v>
      </c>
      <c r="L502">
        <f>eDNA!C502</f>
        <v>37.4677784</v>
      </c>
      <c r="M502" s="10" t="str" cm="1">
        <f t="array" ref="M502">IFERROR(_xlfn.XLOOKUP(1,('env Parameter'!$A:$A=$A502)*('env Parameter'!$B:$B=$K502)*('env Parameter'!$C:$C=$L502),'env Parameter'!D:D,""),"")</f>
        <v>목감천-1</v>
      </c>
      <c r="N502" s="10" t="str" cm="1">
        <f t="array" ref="N502">IFERROR(_xlfn.XLOOKUP(1,('env Parameter'!$A:$A=$A502)*('env Parameter'!$B:$B=$K502)*('env Parameter'!$C:$C=$L502),'env Parameter'!I:I,""),"")</f>
        <v>YR</v>
      </c>
    </row>
    <row r="503" spans="1:14">
      <c r="A503">
        <f>eDNA!A503</f>
        <v>20200718</v>
      </c>
      <c r="B503" s="10" t="str" cm="1">
        <f t="array" ref="B503">IFERROR(_xlfn.XLOOKUP(1,('env Parameter'!$A:$A=$A503)*('env Parameter'!$B:$B=$K503)*('env Parameter'!$C:$C=$L503),'env Parameter'!H:H,""),"")</f>
        <v>생물상 조사</v>
      </c>
      <c r="C503" s="10" cm="1">
        <f t="array" ref="C503">IFERROR(_xlfn.XLOOKUP(1,('env Parameter'!$A:$A=$A503)*('env Parameter'!$B:$B=$K503)*('env Parameter'!$C:$C=$L503),'env Parameter'!E:E,""),"")</f>
        <v>2.14</v>
      </c>
      <c r="D503" s="10" cm="1">
        <f t="array" ref="D503">IFERROR(_xlfn.XLOOKUP(1,('env Parameter'!$A:$A=$A503)*('env Parameter'!$B:$B=$K503)*('env Parameter'!$C:$C=$L503),'env Parameter'!F:F,""),"")</f>
        <v>478</v>
      </c>
      <c r="E503" s="10" cm="1">
        <f t="array" ref="E503">IFERROR(_xlfn.XLOOKUP(1,('env Parameter'!$A:$A=$A503)*('env Parameter'!$B:$B=$K503)*('env Parameter'!$C:$C=$L503),'env Parameter'!G:G,""),"")</f>
        <v>7.6</v>
      </c>
      <c r="F503" t="str">
        <f>eDNA!F503</f>
        <v>MiFish</v>
      </c>
      <c r="G503" t="str">
        <f>eDNA!D503</f>
        <v>Channa argus</v>
      </c>
      <c r="H503" t="str">
        <f>_xlfn.XLOOKUP(G503,'Common name (master file)'!$B:$B,'Common name (master file)'!$A:$A,"-------------")</f>
        <v>가물치</v>
      </c>
      <c r="I503">
        <f>eDNA!E503</f>
        <v>2637</v>
      </c>
      <c r="J503" t="str">
        <f>_xlfn.XLOOKUP(G503,'Common name (master file)'!$B:$B,'Common name (master file)'!$C:$C,"")</f>
        <v>어류</v>
      </c>
      <c r="K503">
        <f>eDNA!B503</f>
        <v>126.8428368</v>
      </c>
      <c r="L503">
        <f>eDNA!C503</f>
        <v>37.4677784</v>
      </c>
      <c r="M503" s="10" t="str" cm="1">
        <f t="array" ref="M503">IFERROR(_xlfn.XLOOKUP(1,('env Parameter'!$A:$A=$A503)*('env Parameter'!$B:$B=$K503)*('env Parameter'!$C:$C=$L503),'env Parameter'!D:D,""),"")</f>
        <v>목감천-1</v>
      </c>
      <c r="N503" s="10" t="str" cm="1">
        <f t="array" ref="N503">IFERROR(_xlfn.XLOOKUP(1,('env Parameter'!$A:$A=$A503)*('env Parameter'!$B:$B=$K503)*('env Parameter'!$C:$C=$L503),'env Parameter'!I:I,""),"")</f>
        <v>YR</v>
      </c>
    </row>
    <row r="504" spans="1:14">
      <c r="A504">
        <f>eDNA!A504</f>
        <v>20200718</v>
      </c>
      <c r="B504" s="10" t="str" cm="1">
        <f t="array" ref="B504">IFERROR(_xlfn.XLOOKUP(1,('env Parameter'!$A:$A=$A504)*('env Parameter'!$B:$B=$K504)*('env Parameter'!$C:$C=$L504),'env Parameter'!H:H,""),"")</f>
        <v>생물상 조사</v>
      </c>
      <c r="C504" s="10" cm="1">
        <f t="array" ref="C504">IFERROR(_xlfn.XLOOKUP(1,('env Parameter'!$A:$A=$A504)*('env Parameter'!$B:$B=$K504)*('env Parameter'!$C:$C=$L504),'env Parameter'!E:E,""),"")</f>
        <v>2.14</v>
      </c>
      <c r="D504" s="10" cm="1">
        <f t="array" ref="D504">IFERROR(_xlfn.XLOOKUP(1,('env Parameter'!$A:$A=$A504)*('env Parameter'!$B:$B=$K504)*('env Parameter'!$C:$C=$L504),'env Parameter'!F:F,""),"")</f>
        <v>478</v>
      </c>
      <c r="E504" s="10" cm="1">
        <f t="array" ref="E504">IFERROR(_xlfn.XLOOKUP(1,('env Parameter'!$A:$A=$A504)*('env Parameter'!$B:$B=$K504)*('env Parameter'!$C:$C=$L504),'env Parameter'!G:G,""),"")</f>
        <v>7.6</v>
      </c>
      <c r="F504" t="str">
        <f>eDNA!F504</f>
        <v>MiFish</v>
      </c>
      <c r="G504" t="str">
        <f>eDNA!D504</f>
        <v>Odontobutis interrupta</v>
      </c>
      <c r="H504" t="str">
        <f>_xlfn.XLOOKUP(G504,'Common name (master file)'!$B:$B,'Common name (master file)'!$A:$A,"-------------")</f>
        <v>얼록동사리</v>
      </c>
      <c r="I504">
        <f>eDNA!E504</f>
        <v>5816</v>
      </c>
      <c r="J504" t="str">
        <f>_xlfn.XLOOKUP(G504,'Common name (master file)'!$B:$B,'Common name (master file)'!$C:$C,"")</f>
        <v>어류</v>
      </c>
      <c r="K504">
        <f>eDNA!B504</f>
        <v>126.8428368</v>
      </c>
      <c r="L504">
        <f>eDNA!C504</f>
        <v>37.4677784</v>
      </c>
      <c r="M504" s="10" t="str" cm="1">
        <f t="array" ref="M504">IFERROR(_xlfn.XLOOKUP(1,('env Parameter'!$A:$A=$A504)*('env Parameter'!$B:$B=$K504)*('env Parameter'!$C:$C=$L504),'env Parameter'!D:D,""),"")</f>
        <v>목감천-1</v>
      </c>
      <c r="N504" s="10" t="str" cm="1">
        <f t="array" ref="N504">IFERROR(_xlfn.XLOOKUP(1,('env Parameter'!$A:$A=$A504)*('env Parameter'!$B:$B=$K504)*('env Parameter'!$C:$C=$L504),'env Parameter'!I:I,""),"")</f>
        <v>YR</v>
      </c>
    </row>
    <row r="505" spans="1:14">
      <c r="A505">
        <f>eDNA!A505</f>
        <v>20200718</v>
      </c>
      <c r="B505" s="10" t="str" cm="1">
        <f t="array" ref="B505">IFERROR(_xlfn.XLOOKUP(1,('env Parameter'!$A:$A=$A505)*('env Parameter'!$B:$B=$K505)*('env Parameter'!$C:$C=$L505),'env Parameter'!H:H,""),"")</f>
        <v>생물상 조사</v>
      </c>
      <c r="C505" s="10" cm="1">
        <f t="array" ref="C505">IFERROR(_xlfn.XLOOKUP(1,('env Parameter'!$A:$A=$A505)*('env Parameter'!$B:$B=$K505)*('env Parameter'!$C:$C=$L505),'env Parameter'!E:E,""),"")</f>
        <v>2.14</v>
      </c>
      <c r="D505" s="10" cm="1">
        <f t="array" ref="D505">IFERROR(_xlfn.XLOOKUP(1,('env Parameter'!$A:$A=$A505)*('env Parameter'!$B:$B=$K505)*('env Parameter'!$C:$C=$L505),'env Parameter'!F:F,""),"")</f>
        <v>478</v>
      </c>
      <c r="E505" s="10" cm="1">
        <f t="array" ref="E505">IFERROR(_xlfn.XLOOKUP(1,('env Parameter'!$A:$A=$A505)*('env Parameter'!$B:$B=$K505)*('env Parameter'!$C:$C=$L505),'env Parameter'!G:G,""),"")</f>
        <v>7.6</v>
      </c>
      <c r="F505" t="str">
        <f>eDNA!F505</f>
        <v>MiFish</v>
      </c>
      <c r="G505" t="str">
        <f>eDNA!D505</f>
        <v>Pseudorasbora parva</v>
      </c>
      <c r="H505" t="str">
        <f>_xlfn.XLOOKUP(G505,'Common name (master file)'!$B:$B,'Common name (master file)'!$A:$A,"-------------")</f>
        <v>참붕어</v>
      </c>
      <c r="I505">
        <f>eDNA!E505</f>
        <v>16989</v>
      </c>
      <c r="J505" t="str">
        <f>_xlfn.XLOOKUP(G505,'Common name (master file)'!$B:$B,'Common name (master file)'!$C:$C,"")</f>
        <v>어류</v>
      </c>
      <c r="K505">
        <f>eDNA!B505</f>
        <v>126.8428368</v>
      </c>
      <c r="L505">
        <f>eDNA!C505</f>
        <v>37.4677784</v>
      </c>
      <c r="M505" s="10" t="str" cm="1">
        <f t="array" ref="M505">IFERROR(_xlfn.XLOOKUP(1,('env Parameter'!$A:$A=$A505)*('env Parameter'!$B:$B=$K505)*('env Parameter'!$C:$C=$L505),'env Parameter'!D:D,""),"")</f>
        <v>목감천-1</v>
      </c>
      <c r="N505" s="10" t="str" cm="1">
        <f t="array" ref="N505">IFERROR(_xlfn.XLOOKUP(1,('env Parameter'!$A:$A=$A505)*('env Parameter'!$B:$B=$K505)*('env Parameter'!$C:$C=$L505),'env Parameter'!I:I,""),"")</f>
        <v>YR</v>
      </c>
    </row>
    <row r="506" spans="1:14">
      <c r="A506">
        <f>eDNA!A506</f>
        <v>20200718</v>
      </c>
      <c r="B506" s="10" t="str" cm="1">
        <f t="array" ref="B506">IFERROR(_xlfn.XLOOKUP(1,('env Parameter'!$A:$A=$A506)*('env Parameter'!$B:$B=$K506)*('env Parameter'!$C:$C=$L506),'env Parameter'!H:H,""),"")</f>
        <v>생물상 조사</v>
      </c>
      <c r="C506" s="10" cm="1">
        <f t="array" ref="C506">IFERROR(_xlfn.XLOOKUP(1,('env Parameter'!$A:$A=$A506)*('env Parameter'!$B:$B=$K506)*('env Parameter'!$C:$C=$L506),'env Parameter'!E:E,""),"")</f>
        <v>2.14</v>
      </c>
      <c r="D506" s="10" cm="1">
        <f t="array" ref="D506">IFERROR(_xlfn.XLOOKUP(1,('env Parameter'!$A:$A=$A506)*('env Parameter'!$B:$B=$K506)*('env Parameter'!$C:$C=$L506),'env Parameter'!F:F,""),"")</f>
        <v>478</v>
      </c>
      <c r="E506" s="10" cm="1">
        <f t="array" ref="E506">IFERROR(_xlfn.XLOOKUP(1,('env Parameter'!$A:$A=$A506)*('env Parameter'!$B:$B=$K506)*('env Parameter'!$C:$C=$L506),'env Parameter'!G:G,""),"")</f>
        <v>7.6</v>
      </c>
      <c r="F506" t="str">
        <f>eDNA!F506</f>
        <v>MiFish</v>
      </c>
      <c r="G506" t="str">
        <f>eDNA!D506</f>
        <v>Carassius gibelio</v>
      </c>
      <c r="H506" t="str">
        <f>_xlfn.XLOOKUP(G506,'Common name (master file)'!$B:$B,'Common name (master file)'!$A:$A,"-------------")</f>
        <v>기벨리오 붕어</v>
      </c>
      <c r="I506">
        <f>eDNA!E506</f>
        <v>19063</v>
      </c>
      <c r="J506" t="str">
        <f>_xlfn.XLOOKUP(G506,'Common name (master file)'!$B:$B,'Common name (master file)'!$C:$C,"")</f>
        <v>어류</v>
      </c>
      <c r="K506">
        <f>eDNA!B506</f>
        <v>126.8428368</v>
      </c>
      <c r="L506">
        <f>eDNA!C506</f>
        <v>37.4677784</v>
      </c>
      <c r="M506" s="10" t="str" cm="1">
        <f t="array" ref="M506">IFERROR(_xlfn.XLOOKUP(1,('env Parameter'!$A:$A=$A506)*('env Parameter'!$B:$B=$K506)*('env Parameter'!$C:$C=$L506),'env Parameter'!D:D,""),"")</f>
        <v>목감천-1</v>
      </c>
      <c r="N506" s="10" t="str" cm="1">
        <f t="array" ref="N506">IFERROR(_xlfn.XLOOKUP(1,('env Parameter'!$A:$A=$A506)*('env Parameter'!$B:$B=$K506)*('env Parameter'!$C:$C=$L506),'env Parameter'!I:I,""),"")</f>
        <v>YR</v>
      </c>
    </row>
    <row r="507" spans="1:14">
      <c r="A507">
        <f>eDNA!A507</f>
        <v>20200718</v>
      </c>
      <c r="B507" s="10" t="str" cm="1">
        <f t="array" ref="B507">IFERROR(_xlfn.XLOOKUP(1,('env Parameter'!$A:$A=$A507)*('env Parameter'!$B:$B=$K507)*('env Parameter'!$C:$C=$L507),'env Parameter'!H:H,""),"")</f>
        <v>생물상 조사</v>
      </c>
      <c r="C507" s="10" cm="1">
        <f t="array" ref="C507">IFERROR(_xlfn.XLOOKUP(1,('env Parameter'!$A:$A=$A507)*('env Parameter'!$B:$B=$K507)*('env Parameter'!$C:$C=$L507),'env Parameter'!E:E,""),"")</f>
        <v>2.14</v>
      </c>
      <c r="D507" s="10" cm="1">
        <f t="array" ref="D507">IFERROR(_xlfn.XLOOKUP(1,('env Parameter'!$A:$A=$A507)*('env Parameter'!$B:$B=$K507)*('env Parameter'!$C:$C=$L507),'env Parameter'!F:F,""),"")</f>
        <v>478</v>
      </c>
      <c r="E507" s="10" cm="1">
        <f t="array" ref="E507">IFERROR(_xlfn.XLOOKUP(1,('env Parameter'!$A:$A=$A507)*('env Parameter'!$B:$B=$K507)*('env Parameter'!$C:$C=$L507),'env Parameter'!G:G,""),"")</f>
        <v>7.6</v>
      </c>
      <c r="F507" t="str">
        <f>eDNA!F507</f>
        <v>MiFish</v>
      </c>
      <c r="G507" t="str">
        <f>eDNA!D507</f>
        <v>Gymnogobius opperiens</v>
      </c>
      <c r="H507" t="str">
        <f>_xlfn.XLOOKUP(G507,'Common name (master file)'!$B:$B,'Common name (master file)'!$A:$A,"-------------")</f>
        <v>무늬꾹저구</v>
      </c>
      <c r="I507">
        <f>eDNA!E507</f>
        <v>17</v>
      </c>
      <c r="J507" t="str">
        <f>_xlfn.XLOOKUP(G507,'Common name (master file)'!$B:$B,'Common name (master file)'!$C:$C,"")</f>
        <v>어류</v>
      </c>
      <c r="K507">
        <f>eDNA!B507</f>
        <v>126.8663749</v>
      </c>
      <c r="L507">
        <f>eDNA!C507</f>
        <v>37.492704799999998</v>
      </c>
      <c r="M507" s="10" t="str" cm="1">
        <f t="array" ref="M507">IFERROR(_xlfn.XLOOKUP(1,('env Parameter'!$A:$A=$A507)*('env Parameter'!$B:$B=$K507)*('env Parameter'!$C:$C=$L507),'env Parameter'!D:D,""),"")</f>
        <v>안양천-22</v>
      </c>
      <c r="N507" s="10" t="str" cm="1">
        <f t="array" ref="N507">IFERROR(_xlfn.XLOOKUP(1,('env Parameter'!$A:$A=$A507)*('env Parameter'!$B:$B=$K507)*('env Parameter'!$C:$C=$L507),'env Parameter'!I:I,""),"")</f>
        <v>YR</v>
      </c>
    </row>
    <row r="508" spans="1:14">
      <c r="A508">
        <f>eDNA!A508</f>
        <v>20200718</v>
      </c>
      <c r="B508" s="10" t="str" cm="1">
        <f t="array" ref="B508">IFERROR(_xlfn.XLOOKUP(1,('env Parameter'!$A:$A=$A508)*('env Parameter'!$B:$B=$K508)*('env Parameter'!$C:$C=$L508),'env Parameter'!H:H,""),"")</f>
        <v>생물상 조사</v>
      </c>
      <c r="C508" s="10" cm="1">
        <f t="array" ref="C508">IFERROR(_xlfn.XLOOKUP(1,('env Parameter'!$A:$A=$A508)*('env Parameter'!$B:$B=$K508)*('env Parameter'!$C:$C=$L508),'env Parameter'!E:E,""),"")</f>
        <v>2.14</v>
      </c>
      <c r="D508" s="10" cm="1">
        <f t="array" ref="D508">IFERROR(_xlfn.XLOOKUP(1,('env Parameter'!$A:$A=$A508)*('env Parameter'!$B:$B=$K508)*('env Parameter'!$C:$C=$L508),'env Parameter'!F:F,""),"")</f>
        <v>478</v>
      </c>
      <c r="E508" s="10" cm="1">
        <f t="array" ref="E508">IFERROR(_xlfn.XLOOKUP(1,('env Parameter'!$A:$A=$A508)*('env Parameter'!$B:$B=$K508)*('env Parameter'!$C:$C=$L508),'env Parameter'!G:G,""),"")</f>
        <v>7.6</v>
      </c>
      <c r="F508" t="str">
        <f>eDNA!F508</f>
        <v>MiFish</v>
      </c>
      <c r="G508" t="str">
        <f>eDNA!D508</f>
        <v>Homo sapiens</v>
      </c>
      <c r="H508" t="str">
        <f>_xlfn.XLOOKUP(G508,'Common name (master file)'!$B:$B,'Common name (master file)'!$A:$A,"-------------")</f>
        <v>사람</v>
      </c>
      <c r="I508">
        <f>eDNA!E508</f>
        <v>21</v>
      </c>
      <c r="J508" t="str">
        <f>_xlfn.XLOOKUP(G508,'Common name (master file)'!$B:$B,'Common name (master file)'!$C:$C,"")</f>
        <v>포유류</v>
      </c>
      <c r="K508">
        <f>eDNA!B508</f>
        <v>126.8663749</v>
      </c>
      <c r="L508">
        <f>eDNA!C508</f>
        <v>37.492704799999998</v>
      </c>
      <c r="M508" s="10" t="str" cm="1">
        <f t="array" ref="M508">IFERROR(_xlfn.XLOOKUP(1,('env Parameter'!$A:$A=$A508)*('env Parameter'!$B:$B=$K508)*('env Parameter'!$C:$C=$L508),'env Parameter'!D:D,""),"")</f>
        <v>안양천-22</v>
      </c>
      <c r="N508" s="10" t="str" cm="1">
        <f t="array" ref="N508">IFERROR(_xlfn.XLOOKUP(1,('env Parameter'!$A:$A=$A508)*('env Parameter'!$B:$B=$K508)*('env Parameter'!$C:$C=$L508),'env Parameter'!I:I,""),"")</f>
        <v>YR</v>
      </c>
    </row>
    <row r="509" spans="1:14">
      <c r="A509">
        <f>eDNA!A509</f>
        <v>20200718</v>
      </c>
      <c r="B509" s="10" t="str" cm="1">
        <f t="array" ref="B509">IFERROR(_xlfn.XLOOKUP(1,('env Parameter'!$A:$A=$A509)*('env Parameter'!$B:$B=$K509)*('env Parameter'!$C:$C=$L509),'env Parameter'!H:H,""),"")</f>
        <v>생물상 조사</v>
      </c>
      <c r="C509" s="10" cm="1">
        <f t="array" ref="C509">IFERROR(_xlfn.XLOOKUP(1,('env Parameter'!$A:$A=$A509)*('env Parameter'!$B:$B=$K509)*('env Parameter'!$C:$C=$L509),'env Parameter'!E:E,""),"")</f>
        <v>2.14</v>
      </c>
      <c r="D509" s="10" cm="1">
        <f t="array" ref="D509">IFERROR(_xlfn.XLOOKUP(1,('env Parameter'!$A:$A=$A509)*('env Parameter'!$B:$B=$K509)*('env Parameter'!$C:$C=$L509),'env Parameter'!F:F,""),"")</f>
        <v>478</v>
      </c>
      <c r="E509" s="10" cm="1">
        <f t="array" ref="E509">IFERROR(_xlfn.XLOOKUP(1,('env Parameter'!$A:$A=$A509)*('env Parameter'!$B:$B=$K509)*('env Parameter'!$C:$C=$L509),'env Parameter'!G:G,""),"")</f>
        <v>7.6</v>
      </c>
      <c r="F509" t="str">
        <f>eDNA!F509</f>
        <v>MiFish</v>
      </c>
      <c r="G509" t="str">
        <f>eDNA!D509</f>
        <v>Hemibarbus sp.</v>
      </c>
      <c r="H509" t="str">
        <f>_xlfn.XLOOKUP(G509,'Common name (master file)'!$B:$B,'Common name (master file)'!$A:$A,"-------------")</f>
        <v>누치 속</v>
      </c>
      <c r="I509">
        <f>eDNA!E509</f>
        <v>24</v>
      </c>
      <c r="J509" t="str">
        <f>_xlfn.XLOOKUP(G509,'Common name (master file)'!$B:$B,'Common name (master file)'!$C:$C,"")</f>
        <v>어류</v>
      </c>
      <c r="K509">
        <f>eDNA!B509</f>
        <v>126.8663749</v>
      </c>
      <c r="L509">
        <f>eDNA!C509</f>
        <v>37.492704799999998</v>
      </c>
      <c r="M509" s="10" t="str" cm="1">
        <f t="array" ref="M509">IFERROR(_xlfn.XLOOKUP(1,('env Parameter'!$A:$A=$A509)*('env Parameter'!$B:$B=$K509)*('env Parameter'!$C:$C=$L509),'env Parameter'!D:D,""),"")</f>
        <v>안양천-22</v>
      </c>
      <c r="N509" s="10" t="str" cm="1">
        <f t="array" ref="N509">IFERROR(_xlfn.XLOOKUP(1,('env Parameter'!$A:$A=$A509)*('env Parameter'!$B:$B=$K509)*('env Parameter'!$C:$C=$L509),'env Parameter'!I:I,""),"")</f>
        <v>YR</v>
      </c>
    </row>
    <row r="510" spans="1:14">
      <c r="A510">
        <f>eDNA!A510</f>
        <v>20200718</v>
      </c>
      <c r="B510" s="10" t="str" cm="1">
        <f t="array" ref="B510">IFERROR(_xlfn.XLOOKUP(1,('env Parameter'!$A:$A=$A510)*('env Parameter'!$B:$B=$K510)*('env Parameter'!$C:$C=$L510),'env Parameter'!H:H,""),"")</f>
        <v>생물상 조사</v>
      </c>
      <c r="C510" s="10" cm="1">
        <f t="array" ref="C510">IFERROR(_xlfn.XLOOKUP(1,('env Parameter'!$A:$A=$A510)*('env Parameter'!$B:$B=$K510)*('env Parameter'!$C:$C=$L510),'env Parameter'!E:E,""),"")</f>
        <v>2.14</v>
      </c>
      <c r="D510" s="10" cm="1">
        <f t="array" ref="D510">IFERROR(_xlfn.XLOOKUP(1,('env Parameter'!$A:$A=$A510)*('env Parameter'!$B:$B=$K510)*('env Parameter'!$C:$C=$L510),'env Parameter'!F:F,""),"")</f>
        <v>478</v>
      </c>
      <c r="E510" s="10" cm="1">
        <f t="array" ref="E510">IFERROR(_xlfn.XLOOKUP(1,('env Parameter'!$A:$A=$A510)*('env Parameter'!$B:$B=$K510)*('env Parameter'!$C:$C=$L510),'env Parameter'!G:G,""),"")</f>
        <v>7.6</v>
      </c>
      <c r="F510" t="str">
        <f>eDNA!F510</f>
        <v>MiFish</v>
      </c>
      <c r="G510" t="str">
        <f>eDNA!D510</f>
        <v>Pelodiscus sinensis</v>
      </c>
      <c r="H510" t="str">
        <f>_xlfn.XLOOKUP(G510,'Common name (master file)'!$B:$B,'Common name (master file)'!$A:$A,"-------------")</f>
        <v>중국자라</v>
      </c>
      <c r="I510">
        <f>eDNA!E510</f>
        <v>25</v>
      </c>
      <c r="J510" t="str">
        <f>_xlfn.XLOOKUP(G510,'Common name (master file)'!$B:$B,'Common name (master file)'!$C:$C,"")</f>
        <v>양서파충류</v>
      </c>
      <c r="K510">
        <f>eDNA!B510</f>
        <v>126.8663749</v>
      </c>
      <c r="L510">
        <f>eDNA!C510</f>
        <v>37.492704799999998</v>
      </c>
      <c r="M510" s="10" t="str" cm="1">
        <f t="array" ref="M510">IFERROR(_xlfn.XLOOKUP(1,('env Parameter'!$A:$A=$A510)*('env Parameter'!$B:$B=$K510)*('env Parameter'!$C:$C=$L510),'env Parameter'!D:D,""),"")</f>
        <v>안양천-22</v>
      </c>
      <c r="N510" s="10" t="str" cm="1">
        <f t="array" ref="N510">IFERROR(_xlfn.XLOOKUP(1,('env Parameter'!$A:$A=$A510)*('env Parameter'!$B:$B=$K510)*('env Parameter'!$C:$C=$L510),'env Parameter'!I:I,""),"")</f>
        <v>YR</v>
      </c>
    </row>
    <row r="511" spans="1:14">
      <c r="A511">
        <f>eDNA!A511</f>
        <v>20200718</v>
      </c>
      <c r="B511" s="10" t="str" cm="1">
        <f t="array" ref="B511">IFERROR(_xlfn.XLOOKUP(1,('env Parameter'!$A:$A=$A511)*('env Parameter'!$B:$B=$K511)*('env Parameter'!$C:$C=$L511),'env Parameter'!H:H,""),"")</f>
        <v>생물상 조사</v>
      </c>
      <c r="C511" s="10" cm="1">
        <f t="array" ref="C511">IFERROR(_xlfn.XLOOKUP(1,('env Parameter'!$A:$A=$A511)*('env Parameter'!$B:$B=$K511)*('env Parameter'!$C:$C=$L511),'env Parameter'!E:E,""),"")</f>
        <v>2.14</v>
      </c>
      <c r="D511" s="10" cm="1">
        <f t="array" ref="D511">IFERROR(_xlfn.XLOOKUP(1,('env Parameter'!$A:$A=$A511)*('env Parameter'!$B:$B=$K511)*('env Parameter'!$C:$C=$L511),'env Parameter'!F:F,""),"")</f>
        <v>478</v>
      </c>
      <c r="E511" s="10" cm="1">
        <f t="array" ref="E511">IFERROR(_xlfn.XLOOKUP(1,('env Parameter'!$A:$A=$A511)*('env Parameter'!$B:$B=$K511)*('env Parameter'!$C:$C=$L511),'env Parameter'!G:G,""),"")</f>
        <v>7.6</v>
      </c>
      <c r="F511" t="str">
        <f>eDNA!F511</f>
        <v>MiFish</v>
      </c>
      <c r="G511" t="str">
        <f>eDNA!D511</f>
        <v>Abbottina rivularis</v>
      </c>
      <c r="H511" t="str">
        <f>_xlfn.XLOOKUP(G511,'Common name (master file)'!$B:$B,'Common name (master file)'!$A:$A,"-------------")</f>
        <v>버들매치</v>
      </c>
      <c r="I511">
        <f>eDNA!E511</f>
        <v>28</v>
      </c>
      <c r="J511" t="str">
        <f>_xlfn.XLOOKUP(G511,'Common name (master file)'!$B:$B,'Common name (master file)'!$C:$C,"")</f>
        <v>어류</v>
      </c>
      <c r="K511">
        <f>eDNA!B511</f>
        <v>126.8663749</v>
      </c>
      <c r="L511">
        <f>eDNA!C511</f>
        <v>37.492704799999998</v>
      </c>
      <c r="M511" s="10" t="str" cm="1">
        <f t="array" ref="M511">IFERROR(_xlfn.XLOOKUP(1,('env Parameter'!$A:$A=$A511)*('env Parameter'!$B:$B=$K511)*('env Parameter'!$C:$C=$L511),'env Parameter'!D:D,""),"")</f>
        <v>안양천-22</v>
      </c>
      <c r="N511" s="10" t="str" cm="1">
        <f t="array" ref="N511">IFERROR(_xlfn.XLOOKUP(1,('env Parameter'!$A:$A=$A511)*('env Parameter'!$B:$B=$K511)*('env Parameter'!$C:$C=$L511),'env Parameter'!I:I,""),"")</f>
        <v>YR</v>
      </c>
    </row>
    <row r="512" spans="1:14">
      <c r="A512">
        <f>eDNA!A512</f>
        <v>20200718</v>
      </c>
      <c r="B512" s="10" t="str" cm="1">
        <f t="array" ref="B512">IFERROR(_xlfn.XLOOKUP(1,('env Parameter'!$A:$A=$A512)*('env Parameter'!$B:$B=$K512)*('env Parameter'!$C:$C=$L512),'env Parameter'!H:H,""),"")</f>
        <v>생물상 조사</v>
      </c>
      <c r="C512" s="10" cm="1">
        <f t="array" ref="C512">IFERROR(_xlfn.XLOOKUP(1,('env Parameter'!$A:$A=$A512)*('env Parameter'!$B:$B=$K512)*('env Parameter'!$C:$C=$L512),'env Parameter'!E:E,""),"")</f>
        <v>2.14</v>
      </c>
      <c r="D512" s="10" cm="1">
        <f t="array" ref="D512">IFERROR(_xlfn.XLOOKUP(1,('env Parameter'!$A:$A=$A512)*('env Parameter'!$B:$B=$K512)*('env Parameter'!$C:$C=$L512),'env Parameter'!F:F,""),"")</f>
        <v>478</v>
      </c>
      <c r="E512" s="10" cm="1">
        <f t="array" ref="E512">IFERROR(_xlfn.XLOOKUP(1,('env Parameter'!$A:$A=$A512)*('env Parameter'!$B:$B=$K512)*('env Parameter'!$C:$C=$L512),'env Parameter'!G:G,""),"")</f>
        <v>7.6</v>
      </c>
      <c r="F512" t="str">
        <f>eDNA!F512</f>
        <v>MiFish</v>
      </c>
      <c r="G512" t="str">
        <f>eDNA!D512</f>
        <v>Squalidus gracilis majimae</v>
      </c>
      <c r="H512" t="str">
        <f>_xlfn.XLOOKUP(G512,'Common name (master file)'!$B:$B,'Common name (master file)'!$A:$A,"-------------")</f>
        <v>긴몰개</v>
      </c>
      <c r="I512">
        <f>eDNA!E512</f>
        <v>34</v>
      </c>
      <c r="J512" t="str">
        <f>_xlfn.XLOOKUP(G512,'Common name (master file)'!$B:$B,'Common name (master file)'!$C:$C,"")</f>
        <v>어류</v>
      </c>
      <c r="K512">
        <f>eDNA!B512</f>
        <v>126.8663749</v>
      </c>
      <c r="L512">
        <f>eDNA!C512</f>
        <v>37.492704799999998</v>
      </c>
      <c r="M512" s="10" t="str" cm="1">
        <f t="array" ref="M512">IFERROR(_xlfn.XLOOKUP(1,('env Parameter'!$A:$A=$A512)*('env Parameter'!$B:$B=$K512)*('env Parameter'!$C:$C=$L512),'env Parameter'!D:D,""),"")</f>
        <v>안양천-22</v>
      </c>
      <c r="N512" s="10" t="str" cm="1">
        <f t="array" ref="N512">IFERROR(_xlfn.XLOOKUP(1,('env Parameter'!$A:$A=$A512)*('env Parameter'!$B:$B=$K512)*('env Parameter'!$C:$C=$L512),'env Parameter'!I:I,""),"")</f>
        <v>YR</v>
      </c>
    </row>
    <row r="513" spans="1:14">
      <c r="A513">
        <f>eDNA!A513</f>
        <v>20200718</v>
      </c>
      <c r="B513" s="10" t="str" cm="1">
        <f t="array" ref="B513">IFERROR(_xlfn.XLOOKUP(1,('env Parameter'!$A:$A=$A513)*('env Parameter'!$B:$B=$K513)*('env Parameter'!$C:$C=$L513),'env Parameter'!H:H,""),"")</f>
        <v>생물상 조사</v>
      </c>
      <c r="C513" s="10" cm="1">
        <f t="array" ref="C513">IFERROR(_xlfn.XLOOKUP(1,('env Parameter'!$A:$A=$A513)*('env Parameter'!$B:$B=$K513)*('env Parameter'!$C:$C=$L513),'env Parameter'!E:E,""),"")</f>
        <v>2.14</v>
      </c>
      <c r="D513" s="10" cm="1">
        <f t="array" ref="D513">IFERROR(_xlfn.XLOOKUP(1,('env Parameter'!$A:$A=$A513)*('env Parameter'!$B:$B=$K513)*('env Parameter'!$C:$C=$L513),'env Parameter'!F:F,""),"")</f>
        <v>478</v>
      </c>
      <c r="E513" s="10" cm="1">
        <f t="array" ref="E513">IFERROR(_xlfn.XLOOKUP(1,('env Parameter'!$A:$A=$A513)*('env Parameter'!$B:$B=$K513)*('env Parameter'!$C:$C=$L513),'env Parameter'!G:G,""),"")</f>
        <v>7.6</v>
      </c>
      <c r="F513" t="str">
        <f>eDNA!F513</f>
        <v>MiFish</v>
      </c>
      <c r="G513" t="str">
        <f>eDNA!D513</f>
        <v>Rhinogobius giurinus</v>
      </c>
      <c r="H513" t="str">
        <f>_xlfn.XLOOKUP(G513,'Common name (master file)'!$B:$B,'Common name (master file)'!$A:$A,"-------------")</f>
        <v>갈문망둑</v>
      </c>
      <c r="I513">
        <f>eDNA!E513</f>
        <v>34</v>
      </c>
      <c r="J513" t="str">
        <f>_xlfn.XLOOKUP(G513,'Common name (master file)'!$B:$B,'Common name (master file)'!$C:$C,"")</f>
        <v>어류</v>
      </c>
      <c r="K513">
        <f>eDNA!B513</f>
        <v>126.8663749</v>
      </c>
      <c r="L513">
        <f>eDNA!C513</f>
        <v>37.492704799999998</v>
      </c>
      <c r="M513" s="10" t="str" cm="1">
        <f t="array" ref="M513">IFERROR(_xlfn.XLOOKUP(1,('env Parameter'!$A:$A=$A513)*('env Parameter'!$B:$B=$K513)*('env Parameter'!$C:$C=$L513),'env Parameter'!D:D,""),"")</f>
        <v>안양천-22</v>
      </c>
      <c r="N513" s="10" t="str" cm="1">
        <f t="array" ref="N513">IFERROR(_xlfn.XLOOKUP(1,('env Parameter'!$A:$A=$A513)*('env Parameter'!$B:$B=$K513)*('env Parameter'!$C:$C=$L513),'env Parameter'!I:I,""),"")</f>
        <v>YR</v>
      </c>
    </row>
    <row r="514" spans="1:14">
      <c r="A514">
        <f>eDNA!A514</f>
        <v>20200718</v>
      </c>
      <c r="B514" s="10" t="str" cm="1">
        <f t="array" ref="B514">IFERROR(_xlfn.XLOOKUP(1,('env Parameter'!$A:$A=$A514)*('env Parameter'!$B:$B=$K514)*('env Parameter'!$C:$C=$L514),'env Parameter'!H:H,""),"")</f>
        <v>생물상 조사</v>
      </c>
      <c r="C514" s="10" cm="1">
        <f t="array" ref="C514">IFERROR(_xlfn.XLOOKUP(1,('env Parameter'!$A:$A=$A514)*('env Parameter'!$B:$B=$K514)*('env Parameter'!$C:$C=$L514),'env Parameter'!E:E,""),"")</f>
        <v>2.14</v>
      </c>
      <c r="D514" s="10" cm="1">
        <f t="array" ref="D514">IFERROR(_xlfn.XLOOKUP(1,('env Parameter'!$A:$A=$A514)*('env Parameter'!$B:$B=$K514)*('env Parameter'!$C:$C=$L514),'env Parameter'!F:F,""),"")</f>
        <v>478</v>
      </c>
      <c r="E514" s="10" cm="1">
        <f t="array" ref="E514">IFERROR(_xlfn.XLOOKUP(1,('env Parameter'!$A:$A=$A514)*('env Parameter'!$B:$B=$K514)*('env Parameter'!$C:$C=$L514),'env Parameter'!G:G,""),"")</f>
        <v>7.6</v>
      </c>
      <c r="F514" t="str">
        <f>eDNA!F514</f>
        <v>MiFish</v>
      </c>
      <c r="G514" t="str">
        <f>eDNA!D514</f>
        <v>Rhinogobius sp.</v>
      </c>
      <c r="H514" t="str">
        <f>_xlfn.XLOOKUP(G514,'Common name (master file)'!$B:$B,'Common name (master file)'!$A:$A,"-------------")</f>
        <v>밀어</v>
      </c>
      <c r="I514">
        <f>eDNA!E514</f>
        <v>46</v>
      </c>
      <c r="J514" t="str">
        <f>_xlfn.XLOOKUP(G514,'Common name (master file)'!$B:$B,'Common name (master file)'!$C:$C,"")</f>
        <v>어류</v>
      </c>
      <c r="K514">
        <f>eDNA!B514</f>
        <v>126.8663749</v>
      </c>
      <c r="L514">
        <f>eDNA!C514</f>
        <v>37.492704799999998</v>
      </c>
      <c r="M514" s="10" t="str" cm="1">
        <f t="array" ref="M514">IFERROR(_xlfn.XLOOKUP(1,('env Parameter'!$A:$A=$A514)*('env Parameter'!$B:$B=$K514)*('env Parameter'!$C:$C=$L514),'env Parameter'!D:D,""),"")</f>
        <v>안양천-22</v>
      </c>
      <c r="N514" s="10" t="str" cm="1">
        <f t="array" ref="N514">IFERROR(_xlfn.XLOOKUP(1,('env Parameter'!$A:$A=$A514)*('env Parameter'!$B:$B=$K514)*('env Parameter'!$C:$C=$L514),'env Parameter'!I:I,""),"")</f>
        <v>YR</v>
      </c>
    </row>
    <row r="515" spans="1:14">
      <c r="A515">
        <f>eDNA!A515</f>
        <v>20200718</v>
      </c>
      <c r="B515" s="10" t="str" cm="1">
        <f t="array" ref="B515">IFERROR(_xlfn.XLOOKUP(1,('env Parameter'!$A:$A=$A515)*('env Parameter'!$B:$B=$K515)*('env Parameter'!$C:$C=$L515),'env Parameter'!H:H,""),"")</f>
        <v>생물상 조사</v>
      </c>
      <c r="C515" s="10" cm="1">
        <f t="array" ref="C515">IFERROR(_xlfn.XLOOKUP(1,('env Parameter'!$A:$A=$A515)*('env Parameter'!$B:$B=$K515)*('env Parameter'!$C:$C=$L515),'env Parameter'!E:E,""),"")</f>
        <v>2.14</v>
      </c>
      <c r="D515" s="10" cm="1">
        <f t="array" ref="D515">IFERROR(_xlfn.XLOOKUP(1,('env Parameter'!$A:$A=$A515)*('env Parameter'!$B:$B=$K515)*('env Parameter'!$C:$C=$L515),'env Parameter'!F:F,""),"")</f>
        <v>478</v>
      </c>
      <c r="E515" s="10" cm="1">
        <f t="array" ref="E515">IFERROR(_xlfn.XLOOKUP(1,('env Parameter'!$A:$A=$A515)*('env Parameter'!$B:$B=$K515)*('env Parameter'!$C:$C=$L515),'env Parameter'!G:G,""),"")</f>
        <v>7.6</v>
      </c>
      <c r="F515" t="str">
        <f>eDNA!F515</f>
        <v>MiFish</v>
      </c>
      <c r="G515" t="str">
        <f>eDNA!D515</f>
        <v>Pseudogobius masago</v>
      </c>
      <c r="H515" t="str">
        <f>_xlfn.XLOOKUP(G515,'Common name (master file)'!$B:$B,'Common name (master file)'!$A:$A,"-------------")</f>
        <v>애기망둑</v>
      </c>
      <c r="I515">
        <f>eDNA!E515</f>
        <v>92</v>
      </c>
      <c r="J515" t="str">
        <f>_xlfn.XLOOKUP(G515,'Common name (master file)'!$B:$B,'Common name (master file)'!$C:$C,"")</f>
        <v>어류</v>
      </c>
      <c r="K515">
        <f>eDNA!B515</f>
        <v>126.8772417</v>
      </c>
      <c r="L515">
        <f>eDNA!C515</f>
        <v>37.474826299999997</v>
      </c>
      <c r="M515" s="10" t="str" cm="1">
        <f t="array" ref="M515">IFERROR(_xlfn.XLOOKUP(1,('env Parameter'!$A:$A=$A515)*('env Parameter'!$B:$B=$K515)*('env Parameter'!$C:$C=$L515),'env Parameter'!D:D,""),"")</f>
        <v>안양천-10</v>
      </c>
      <c r="N515" s="10" t="str" cm="1">
        <f t="array" ref="N515">IFERROR(_xlfn.XLOOKUP(1,('env Parameter'!$A:$A=$A515)*('env Parameter'!$B:$B=$K515)*('env Parameter'!$C:$C=$L515),'env Parameter'!I:I,""),"")</f>
        <v>YR</v>
      </c>
    </row>
    <row r="516" spans="1:14">
      <c r="A516">
        <f>eDNA!A516</f>
        <v>20200718</v>
      </c>
      <c r="B516" s="10" t="str" cm="1">
        <f t="array" ref="B516">IFERROR(_xlfn.XLOOKUP(1,('env Parameter'!$A:$A=$A516)*('env Parameter'!$B:$B=$K516)*('env Parameter'!$C:$C=$L516),'env Parameter'!H:H,""),"")</f>
        <v>생물상 조사</v>
      </c>
      <c r="C516" s="10" cm="1">
        <f t="array" ref="C516">IFERROR(_xlfn.XLOOKUP(1,('env Parameter'!$A:$A=$A516)*('env Parameter'!$B:$B=$K516)*('env Parameter'!$C:$C=$L516),'env Parameter'!E:E,""),"")</f>
        <v>2.14</v>
      </c>
      <c r="D516" s="10" cm="1">
        <f t="array" ref="D516">IFERROR(_xlfn.XLOOKUP(1,('env Parameter'!$A:$A=$A516)*('env Parameter'!$B:$B=$K516)*('env Parameter'!$C:$C=$L516),'env Parameter'!F:F,""),"")</f>
        <v>478</v>
      </c>
      <c r="E516" s="10" cm="1">
        <f t="array" ref="E516">IFERROR(_xlfn.XLOOKUP(1,('env Parameter'!$A:$A=$A516)*('env Parameter'!$B:$B=$K516)*('env Parameter'!$C:$C=$L516),'env Parameter'!G:G,""),"")</f>
        <v>7.6</v>
      </c>
      <c r="F516" t="str">
        <f>eDNA!F516</f>
        <v>MiFish</v>
      </c>
      <c r="G516" t="str">
        <f>eDNA!D516</f>
        <v>Bos taurus</v>
      </c>
      <c r="H516" t="str">
        <f>_xlfn.XLOOKUP(G516,'Common name (master file)'!$B:$B,'Common name (master file)'!$A:$A,"-------------")</f>
        <v>소</v>
      </c>
      <c r="I516">
        <f>eDNA!E516</f>
        <v>54</v>
      </c>
      <c r="J516" t="str">
        <f>_xlfn.XLOOKUP(G516,'Common name (master file)'!$B:$B,'Common name (master file)'!$C:$C,"")</f>
        <v>포유류</v>
      </c>
      <c r="K516">
        <f>eDNA!B516</f>
        <v>126.8663749</v>
      </c>
      <c r="L516">
        <f>eDNA!C516</f>
        <v>37.492704799999998</v>
      </c>
      <c r="M516" s="10" t="str" cm="1">
        <f t="array" ref="M516">IFERROR(_xlfn.XLOOKUP(1,('env Parameter'!$A:$A=$A516)*('env Parameter'!$B:$B=$K516)*('env Parameter'!$C:$C=$L516),'env Parameter'!D:D,""),"")</f>
        <v>안양천-22</v>
      </c>
      <c r="N516" s="10" t="str" cm="1">
        <f t="array" ref="N516">IFERROR(_xlfn.XLOOKUP(1,('env Parameter'!$A:$A=$A516)*('env Parameter'!$B:$B=$K516)*('env Parameter'!$C:$C=$L516),'env Parameter'!I:I,""),"")</f>
        <v>YR</v>
      </c>
    </row>
    <row r="517" spans="1:14">
      <c r="A517">
        <f>eDNA!A517</f>
        <v>20200718</v>
      </c>
      <c r="B517" s="10" t="str" cm="1">
        <f t="array" ref="B517">IFERROR(_xlfn.XLOOKUP(1,('env Parameter'!$A:$A=$A517)*('env Parameter'!$B:$B=$K517)*('env Parameter'!$C:$C=$L517),'env Parameter'!H:H,""),"")</f>
        <v>생물상 조사</v>
      </c>
      <c r="C517" s="10" cm="1">
        <f t="array" ref="C517">IFERROR(_xlfn.XLOOKUP(1,('env Parameter'!$A:$A=$A517)*('env Parameter'!$B:$B=$K517)*('env Parameter'!$C:$C=$L517),'env Parameter'!E:E,""),"")</f>
        <v>2.14</v>
      </c>
      <c r="D517" s="10" cm="1">
        <f t="array" ref="D517">IFERROR(_xlfn.XLOOKUP(1,('env Parameter'!$A:$A=$A517)*('env Parameter'!$B:$B=$K517)*('env Parameter'!$C:$C=$L517),'env Parameter'!F:F,""),"")</f>
        <v>478</v>
      </c>
      <c r="E517" s="10" cm="1">
        <f t="array" ref="E517">IFERROR(_xlfn.XLOOKUP(1,('env Parameter'!$A:$A=$A517)*('env Parameter'!$B:$B=$K517)*('env Parameter'!$C:$C=$L517),'env Parameter'!G:G,""),"")</f>
        <v>7.6</v>
      </c>
      <c r="F517" t="str">
        <f>eDNA!F517</f>
        <v>MiFish</v>
      </c>
      <c r="G517" t="str">
        <f>eDNA!D517</f>
        <v>Sarcocheilichthys nigripinnis</v>
      </c>
      <c r="H517" t="str">
        <f>_xlfn.XLOOKUP(G517,'Common name (master file)'!$B:$B,'Common name (master file)'!$A:$A,"-------------")</f>
        <v>중고기</v>
      </c>
      <c r="I517">
        <f>eDNA!E517</f>
        <v>58</v>
      </c>
      <c r="J517" t="str">
        <f>_xlfn.XLOOKUP(G517,'Common name (master file)'!$B:$B,'Common name (master file)'!$C:$C,"")</f>
        <v>어류</v>
      </c>
      <c r="K517">
        <f>eDNA!B517</f>
        <v>126.8663749</v>
      </c>
      <c r="L517">
        <f>eDNA!C517</f>
        <v>37.492704799999998</v>
      </c>
      <c r="M517" s="10" t="str" cm="1">
        <f t="array" ref="M517">IFERROR(_xlfn.XLOOKUP(1,('env Parameter'!$A:$A=$A517)*('env Parameter'!$B:$B=$K517)*('env Parameter'!$C:$C=$L517),'env Parameter'!D:D,""),"")</f>
        <v>안양천-22</v>
      </c>
      <c r="N517" s="10" t="str" cm="1">
        <f t="array" ref="N517">IFERROR(_xlfn.XLOOKUP(1,('env Parameter'!$A:$A=$A517)*('env Parameter'!$B:$B=$K517)*('env Parameter'!$C:$C=$L517),'env Parameter'!I:I,""),"")</f>
        <v>YR</v>
      </c>
    </row>
    <row r="518" spans="1:14">
      <c r="A518">
        <f>eDNA!A518</f>
        <v>20200718</v>
      </c>
      <c r="B518" s="10" t="str" cm="1">
        <f t="array" ref="B518">IFERROR(_xlfn.XLOOKUP(1,('env Parameter'!$A:$A=$A518)*('env Parameter'!$B:$B=$K518)*('env Parameter'!$C:$C=$L518),'env Parameter'!H:H,""),"")</f>
        <v>생물상 조사</v>
      </c>
      <c r="C518" s="10" cm="1">
        <f t="array" ref="C518">IFERROR(_xlfn.XLOOKUP(1,('env Parameter'!$A:$A=$A518)*('env Parameter'!$B:$B=$K518)*('env Parameter'!$C:$C=$L518),'env Parameter'!E:E,""),"")</f>
        <v>2.14</v>
      </c>
      <c r="D518" s="10" cm="1">
        <f t="array" ref="D518">IFERROR(_xlfn.XLOOKUP(1,('env Parameter'!$A:$A=$A518)*('env Parameter'!$B:$B=$K518)*('env Parameter'!$C:$C=$L518),'env Parameter'!F:F,""),"")</f>
        <v>478</v>
      </c>
      <c r="E518" s="10" cm="1">
        <f t="array" ref="E518">IFERROR(_xlfn.XLOOKUP(1,('env Parameter'!$A:$A=$A518)*('env Parameter'!$B:$B=$K518)*('env Parameter'!$C:$C=$L518),'env Parameter'!G:G,""),"")</f>
        <v>7.6</v>
      </c>
      <c r="F518" t="str">
        <f>eDNA!F518</f>
        <v>MiFish</v>
      </c>
      <c r="G518" t="str">
        <f>eDNA!D518</f>
        <v>Carassius auratus</v>
      </c>
      <c r="H518" t="str">
        <f>_xlfn.XLOOKUP(G518,'Common name (master file)'!$B:$B,'Common name (master file)'!$A:$A,"-------------")</f>
        <v>붕어</v>
      </c>
      <c r="I518">
        <f>eDNA!E518</f>
        <v>80</v>
      </c>
      <c r="J518" t="str">
        <f>_xlfn.XLOOKUP(G518,'Common name (master file)'!$B:$B,'Common name (master file)'!$C:$C,"")</f>
        <v>어류</v>
      </c>
      <c r="K518">
        <f>eDNA!B518</f>
        <v>126.8663749</v>
      </c>
      <c r="L518">
        <f>eDNA!C518</f>
        <v>37.492704799999998</v>
      </c>
      <c r="M518" s="10" t="str" cm="1">
        <f t="array" ref="M518">IFERROR(_xlfn.XLOOKUP(1,('env Parameter'!$A:$A=$A518)*('env Parameter'!$B:$B=$K518)*('env Parameter'!$C:$C=$L518),'env Parameter'!D:D,""),"")</f>
        <v>안양천-22</v>
      </c>
      <c r="N518" s="10" t="str" cm="1">
        <f t="array" ref="N518">IFERROR(_xlfn.XLOOKUP(1,('env Parameter'!$A:$A=$A518)*('env Parameter'!$B:$B=$K518)*('env Parameter'!$C:$C=$L518),'env Parameter'!I:I,""),"")</f>
        <v>YR</v>
      </c>
    </row>
    <row r="519" spans="1:14">
      <c r="A519">
        <f>eDNA!A519</f>
        <v>20200718</v>
      </c>
      <c r="B519" s="10" t="str" cm="1">
        <f t="array" ref="B519">IFERROR(_xlfn.XLOOKUP(1,('env Parameter'!$A:$A=$A519)*('env Parameter'!$B:$B=$K519)*('env Parameter'!$C:$C=$L519),'env Parameter'!H:H,""),"")</f>
        <v>생물상 조사</v>
      </c>
      <c r="C519" s="10" cm="1">
        <f t="array" ref="C519">IFERROR(_xlfn.XLOOKUP(1,('env Parameter'!$A:$A=$A519)*('env Parameter'!$B:$B=$K519)*('env Parameter'!$C:$C=$L519),'env Parameter'!E:E,""),"")</f>
        <v>2.14</v>
      </c>
      <c r="D519" s="10" cm="1">
        <f t="array" ref="D519">IFERROR(_xlfn.XLOOKUP(1,('env Parameter'!$A:$A=$A519)*('env Parameter'!$B:$B=$K519)*('env Parameter'!$C:$C=$L519),'env Parameter'!F:F,""),"")</f>
        <v>478</v>
      </c>
      <c r="E519" s="10" cm="1">
        <f t="array" ref="E519">IFERROR(_xlfn.XLOOKUP(1,('env Parameter'!$A:$A=$A519)*('env Parameter'!$B:$B=$K519)*('env Parameter'!$C:$C=$L519),'env Parameter'!G:G,""),"")</f>
        <v>7.6</v>
      </c>
      <c r="F519" t="str">
        <f>eDNA!F519</f>
        <v>MiFish</v>
      </c>
      <c r="G519" t="str">
        <f>eDNA!D519</f>
        <v>Zacco platypus</v>
      </c>
      <c r="H519" t="str">
        <f>_xlfn.XLOOKUP(G519,'Common name (master file)'!$B:$B,'Common name (master file)'!$A:$A,"-------------")</f>
        <v>피라미</v>
      </c>
      <c r="I519">
        <f>eDNA!E519</f>
        <v>86</v>
      </c>
      <c r="J519" t="str">
        <f>_xlfn.XLOOKUP(G519,'Common name (master file)'!$B:$B,'Common name (master file)'!$C:$C,"")</f>
        <v>어류</v>
      </c>
      <c r="K519">
        <f>eDNA!B519</f>
        <v>126.8663749</v>
      </c>
      <c r="L519">
        <f>eDNA!C519</f>
        <v>37.492704799999998</v>
      </c>
      <c r="M519" s="10" t="str" cm="1">
        <f t="array" ref="M519">IFERROR(_xlfn.XLOOKUP(1,('env Parameter'!$A:$A=$A519)*('env Parameter'!$B:$B=$K519)*('env Parameter'!$C:$C=$L519),'env Parameter'!D:D,""),"")</f>
        <v>안양천-22</v>
      </c>
      <c r="N519" s="10" t="str" cm="1">
        <f t="array" ref="N519">IFERROR(_xlfn.XLOOKUP(1,('env Parameter'!$A:$A=$A519)*('env Parameter'!$B:$B=$K519)*('env Parameter'!$C:$C=$L519),'env Parameter'!I:I,""),"")</f>
        <v>YR</v>
      </c>
    </row>
    <row r="520" spans="1:14">
      <c r="A520">
        <f>eDNA!A520</f>
        <v>20200718</v>
      </c>
      <c r="B520" s="10" t="str" cm="1">
        <f t="array" ref="B520">IFERROR(_xlfn.XLOOKUP(1,('env Parameter'!$A:$A=$A520)*('env Parameter'!$B:$B=$K520)*('env Parameter'!$C:$C=$L520),'env Parameter'!H:H,""),"")</f>
        <v>생물상 조사</v>
      </c>
      <c r="C520" s="10" cm="1">
        <f t="array" ref="C520">IFERROR(_xlfn.XLOOKUP(1,('env Parameter'!$A:$A=$A520)*('env Parameter'!$B:$B=$K520)*('env Parameter'!$C:$C=$L520),'env Parameter'!E:E,""),"")</f>
        <v>2.14</v>
      </c>
      <c r="D520" s="10" cm="1">
        <f t="array" ref="D520">IFERROR(_xlfn.XLOOKUP(1,('env Parameter'!$A:$A=$A520)*('env Parameter'!$B:$B=$K520)*('env Parameter'!$C:$C=$L520),'env Parameter'!F:F,""),"")</f>
        <v>478</v>
      </c>
      <c r="E520" s="10" cm="1">
        <f t="array" ref="E520">IFERROR(_xlfn.XLOOKUP(1,('env Parameter'!$A:$A=$A520)*('env Parameter'!$B:$B=$K520)*('env Parameter'!$C:$C=$L520),'env Parameter'!G:G,""),"")</f>
        <v>7.6</v>
      </c>
      <c r="F520" t="str">
        <f>eDNA!F520</f>
        <v>MiFish</v>
      </c>
      <c r="G520" t="str">
        <f>eDNA!D520</f>
        <v>Paralichthys olivaceus</v>
      </c>
      <c r="H520" t="str">
        <f>_xlfn.XLOOKUP(G520,'Common name (master file)'!$B:$B,'Common name (master file)'!$A:$A,"-------------")</f>
        <v>남해산 넙치</v>
      </c>
      <c r="I520">
        <f>eDNA!E520</f>
        <v>71</v>
      </c>
      <c r="J520" t="str">
        <f>_xlfn.XLOOKUP(G520,'Common name (master file)'!$B:$B,'Common name (master file)'!$C:$C,"")</f>
        <v>어류</v>
      </c>
      <c r="K520">
        <f>eDNA!B520</f>
        <v>126.8663749</v>
      </c>
      <c r="L520">
        <f>eDNA!C520</f>
        <v>37.492704799999998</v>
      </c>
      <c r="M520" s="10" t="str" cm="1">
        <f t="array" ref="M520">IFERROR(_xlfn.XLOOKUP(1,('env Parameter'!$A:$A=$A520)*('env Parameter'!$B:$B=$K520)*('env Parameter'!$C:$C=$L520),'env Parameter'!D:D,""),"")</f>
        <v>안양천-22</v>
      </c>
      <c r="N520" s="10" t="str" cm="1">
        <f t="array" ref="N520">IFERROR(_xlfn.XLOOKUP(1,('env Parameter'!$A:$A=$A520)*('env Parameter'!$B:$B=$K520)*('env Parameter'!$C:$C=$L520),'env Parameter'!I:I,""),"")</f>
        <v>YR</v>
      </c>
    </row>
    <row r="521" spans="1:14">
      <c r="A521">
        <f>eDNA!A521</f>
        <v>20200718</v>
      </c>
      <c r="B521" s="10" t="str" cm="1">
        <f t="array" ref="B521">IFERROR(_xlfn.XLOOKUP(1,('env Parameter'!$A:$A=$A521)*('env Parameter'!$B:$B=$K521)*('env Parameter'!$C:$C=$L521),'env Parameter'!H:H,""),"")</f>
        <v>생물상 조사</v>
      </c>
      <c r="C521" s="10" cm="1">
        <f t="array" ref="C521">IFERROR(_xlfn.XLOOKUP(1,('env Parameter'!$A:$A=$A521)*('env Parameter'!$B:$B=$K521)*('env Parameter'!$C:$C=$L521),'env Parameter'!E:E,""),"")</f>
        <v>2.14</v>
      </c>
      <c r="D521" s="10" cm="1">
        <f t="array" ref="D521">IFERROR(_xlfn.XLOOKUP(1,('env Parameter'!$A:$A=$A521)*('env Parameter'!$B:$B=$K521)*('env Parameter'!$C:$C=$L521),'env Parameter'!F:F,""),"")</f>
        <v>478</v>
      </c>
      <c r="E521" s="10" cm="1">
        <f t="array" ref="E521">IFERROR(_xlfn.XLOOKUP(1,('env Parameter'!$A:$A=$A521)*('env Parameter'!$B:$B=$K521)*('env Parameter'!$C:$C=$L521),'env Parameter'!G:G,""),"")</f>
        <v>7.6</v>
      </c>
      <c r="F521" t="str">
        <f>eDNA!F521</f>
        <v>MiFish</v>
      </c>
      <c r="G521" t="str">
        <f>eDNA!D521</f>
        <v>Paramisgurnus dabryanus</v>
      </c>
      <c r="H521" t="str">
        <f>_xlfn.XLOOKUP(G521,'Common name (master file)'!$B:$B,'Common name (master file)'!$A:$A,"-------------")</f>
        <v>중국미꾸라지</v>
      </c>
      <c r="I521">
        <f>eDNA!E521</f>
        <v>189</v>
      </c>
      <c r="J521" t="str">
        <f>_xlfn.XLOOKUP(G521,'Common name (master file)'!$B:$B,'Common name (master file)'!$C:$C,"")</f>
        <v>어류</v>
      </c>
      <c r="K521">
        <f>eDNA!B521</f>
        <v>126.8663749</v>
      </c>
      <c r="L521">
        <f>eDNA!C521</f>
        <v>37.492704799999998</v>
      </c>
      <c r="M521" s="10" t="str" cm="1">
        <f t="array" ref="M521">IFERROR(_xlfn.XLOOKUP(1,('env Parameter'!$A:$A=$A521)*('env Parameter'!$B:$B=$K521)*('env Parameter'!$C:$C=$L521),'env Parameter'!D:D,""),"")</f>
        <v>안양천-22</v>
      </c>
      <c r="N521" s="10" t="str" cm="1">
        <f t="array" ref="N521">IFERROR(_xlfn.XLOOKUP(1,('env Parameter'!$A:$A=$A521)*('env Parameter'!$B:$B=$K521)*('env Parameter'!$C:$C=$L521),'env Parameter'!I:I,""),"")</f>
        <v>YR</v>
      </c>
    </row>
    <row r="522" spans="1:14">
      <c r="A522">
        <f>eDNA!A522</f>
        <v>20200718</v>
      </c>
      <c r="B522" s="10" t="str" cm="1">
        <f t="array" ref="B522">IFERROR(_xlfn.XLOOKUP(1,('env Parameter'!$A:$A=$A522)*('env Parameter'!$B:$B=$K522)*('env Parameter'!$C:$C=$L522),'env Parameter'!H:H,""),"")</f>
        <v>생물상 조사</v>
      </c>
      <c r="C522" s="10" cm="1">
        <f t="array" ref="C522">IFERROR(_xlfn.XLOOKUP(1,('env Parameter'!$A:$A=$A522)*('env Parameter'!$B:$B=$K522)*('env Parameter'!$C:$C=$L522),'env Parameter'!E:E,""),"")</f>
        <v>2.14</v>
      </c>
      <c r="D522" s="10" cm="1">
        <f t="array" ref="D522">IFERROR(_xlfn.XLOOKUP(1,('env Parameter'!$A:$A=$A522)*('env Parameter'!$B:$B=$K522)*('env Parameter'!$C:$C=$L522),'env Parameter'!F:F,""),"")</f>
        <v>478</v>
      </c>
      <c r="E522" s="10" cm="1">
        <f t="array" ref="E522">IFERROR(_xlfn.XLOOKUP(1,('env Parameter'!$A:$A=$A522)*('env Parameter'!$B:$B=$K522)*('env Parameter'!$C:$C=$L522),'env Parameter'!G:G,""),"")</f>
        <v>7.6</v>
      </c>
      <c r="F522" t="str">
        <f>eDNA!F522</f>
        <v>MiFish</v>
      </c>
      <c r="G522" t="str">
        <f>eDNA!D522</f>
        <v>Lateolabrax maculatus</v>
      </c>
      <c r="H522" t="str">
        <f>_xlfn.XLOOKUP(G522,'Common name (master file)'!$B:$B,'Common name (master file)'!$A:$A,"-------------")</f>
        <v>점농어</v>
      </c>
      <c r="I522">
        <f>eDNA!E522</f>
        <v>91</v>
      </c>
      <c r="J522" t="str">
        <f>_xlfn.XLOOKUP(G522,'Common name (master file)'!$B:$B,'Common name (master file)'!$C:$C,"")</f>
        <v>어류</v>
      </c>
      <c r="K522">
        <f>eDNA!B522</f>
        <v>126.8663749</v>
      </c>
      <c r="L522">
        <f>eDNA!C522</f>
        <v>37.492704799999998</v>
      </c>
      <c r="M522" s="10" t="str" cm="1">
        <f t="array" ref="M522">IFERROR(_xlfn.XLOOKUP(1,('env Parameter'!$A:$A=$A522)*('env Parameter'!$B:$B=$K522)*('env Parameter'!$C:$C=$L522),'env Parameter'!D:D,""),"")</f>
        <v>안양천-22</v>
      </c>
      <c r="N522" s="10" t="str" cm="1">
        <f t="array" ref="N522">IFERROR(_xlfn.XLOOKUP(1,('env Parameter'!$A:$A=$A522)*('env Parameter'!$B:$B=$K522)*('env Parameter'!$C:$C=$L522),'env Parameter'!I:I,""),"")</f>
        <v>YR</v>
      </c>
    </row>
    <row r="523" spans="1:14">
      <c r="A523">
        <f>eDNA!A523</f>
        <v>20200718</v>
      </c>
      <c r="B523" s="10" t="str" cm="1">
        <f t="array" ref="B523">IFERROR(_xlfn.XLOOKUP(1,('env Parameter'!$A:$A=$A523)*('env Parameter'!$B:$B=$K523)*('env Parameter'!$C:$C=$L523),'env Parameter'!H:H,""),"")</f>
        <v>생물상 조사</v>
      </c>
      <c r="C523" s="10" cm="1">
        <f t="array" ref="C523">IFERROR(_xlfn.XLOOKUP(1,('env Parameter'!$A:$A=$A523)*('env Parameter'!$B:$B=$K523)*('env Parameter'!$C:$C=$L523),'env Parameter'!E:E,""),"")</f>
        <v>2.14</v>
      </c>
      <c r="D523" s="10" cm="1">
        <f t="array" ref="D523">IFERROR(_xlfn.XLOOKUP(1,('env Parameter'!$A:$A=$A523)*('env Parameter'!$B:$B=$K523)*('env Parameter'!$C:$C=$L523),'env Parameter'!F:F,""),"")</f>
        <v>478</v>
      </c>
      <c r="E523" s="10" cm="1">
        <f t="array" ref="E523">IFERROR(_xlfn.XLOOKUP(1,('env Parameter'!$A:$A=$A523)*('env Parameter'!$B:$B=$K523)*('env Parameter'!$C:$C=$L523),'env Parameter'!G:G,""),"")</f>
        <v>7.6</v>
      </c>
      <c r="F523" t="str">
        <f>eDNA!F523</f>
        <v>MiFish</v>
      </c>
      <c r="G523" t="str">
        <f>eDNA!D523</f>
        <v>Acanthorhodeus chankaensis</v>
      </c>
      <c r="H523" t="str">
        <f>_xlfn.XLOOKUP(G523,'Common name (master file)'!$B:$B,'Common name (master file)'!$A:$A,"-------------")</f>
        <v>가시납지리</v>
      </c>
      <c r="I523">
        <f>eDNA!E523</f>
        <v>125</v>
      </c>
      <c r="J523" t="str">
        <f>_xlfn.XLOOKUP(G523,'Common name (master file)'!$B:$B,'Common name (master file)'!$C:$C,"")</f>
        <v>어류</v>
      </c>
      <c r="K523">
        <f>eDNA!B523</f>
        <v>126.8663749</v>
      </c>
      <c r="L523">
        <f>eDNA!C523</f>
        <v>37.492704799999998</v>
      </c>
      <c r="M523" s="10" t="str" cm="1">
        <f t="array" ref="M523">IFERROR(_xlfn.XLOOKUP(1,('env Parameter'!$A:$A=$A523)*('env Parameter'!$B:$B=$K523)*('env Parameter'!$C:$C=$L523),'env Parameter'!D:D,""),"")</f>
        <v>안양천-22</v>
      </c>
      <c r="N523" s="10" t="str" cm="1">
        <f t="array" ref="N523">IFERROR(_xlfn.XLOOKUP(1,('env Parameter'!$A:$A=$A523)*('env Parameter'!$B:$B=$K523)*('env Parameter'!$C:$C=$L523),'env Parameter'!I:I,""),"")</f>
        <v>YR</v>
      </c>
    </row>
    <row r="524" spans="1:14">
      <c r="A524">
        <f>eDNA!A524</f>
        <v>20200718</v>
      </c>
      <c r="B524" s="10" t="str" cm="1">
        <f t="array" ref="B524">IFERROR(_xlfn.XLOOKUP(1,('env Parameter'!$A:$A=$A524)*('env Parameter'!$B:$B=$K524)*('env Parameter'!$C:$C=$L524),'env Parameter'!H:H,""),"")</f>
        <v>생물상 조사</v>
      </c>
      <c r="C524" s="10" cm="1">
        <f t="array" ref="C524">IFERROR(_xlfn.XLOOKUP(1,('env Parameter'!$A:$A=$A524)*('env Parameter'!$B:$B=$K524)*('env Parameter'!$C:$C=$L524),'env Parameter'!E:E,""),"")</f>
        <v>2.14</v>
      </c>
      <c r="D524" s="10" cm="1">
        <f t="array" ref="D524">IFERROR(_xlfn.XLOOKUP(1,('env Parameter'!$A:$A=$A524)*('env Parameter'!$B:$B=$K524)*('env Parameter'!$C:$C=$L524),'env Parameter'!F:F,""),"")</f>
        <v>478</v>
      </c>
      <c r="E524" s="10" cm="1">
        <f t="array" ref="E524">IFERROR(_xlfn.XLOOKUP(1,('env Parameter'!$A:$A=$A524)*('env Parameter'!$B:$B=$K524)*('env Parameter'!$C:$C=$L524),'env Parameter'!G:G,""),"")</f>
        <v>7.6</v>
      </c>
      <c r="F524" t="str">
        <f>eDNA!F524</f>
        <v>MiFish</v>
      </c>
      <c r="G524" t="str">
        <f>eDNA!D524</f>
        <v>Cyprinus carpio</v>
      </c>
      <c r="H524" t="str">
        <f>_xlfn.XLOOKUP(G524,'Common name (master file)'!$B:$B,'Common name (master file)'!$A:$A,"-------------")</f>
        <v>잉어</v>
      </c>
      <c r="I524">
        <f>eDNA!E524</f>
        <v>103</v>
      </c>
      <c r="J524" t="str">
        <f>_xlfn.XLOOKUP(G524,'Common name (master file)'!$B:$B,'Common name (master file)'!$C:$C,"")</f>
        <v>어류</v>
      </c>
      <c r="K524">
        <f>eDNA!B524</f>
        <v>126.8663749</v>
      </c>
      <c r="L524">
        <f>eDNA!C524</f>
        <v>37.492704799999998</v>
      </c>
      <c r="M524" s="10" t="str" cm="1">
        <f t="array" ref="M524">IFERROR(_xlfn.XLOOKUP(1,('env Parameter'!$A:$A=$A524)*('env Parameter'!$B:$B=$K524)*('env Parameter'!$C:$C=$L524),'env Parameter'!D:D,""),"")</f>
        <v>안양천-22</v>
      </c>
      <c r="N524" s="10" t="str" cm="1">
        <f t="array" ref="N524">IFERROR(_xlfn.XLOOKUP(1,('env Parameter'!$A:$A=$A524)*('env Parameter'!$B:$B=$K524)*('env Parameter'!$C:$C=$L524),'env Parameter'!I:I,""),"")</f>
        <v>YR</v>
      </c>
    </row>
    <row r="525" spans="1:14">
      <c r="A525">
        <f>eDNA!A525</f>
        <v>20200718</v>
      </c>
      <c r="B525" s="10" t="str" cm="1">
        <f t="array" ref="B525">IFERROR(_xlfn.XLOOKUP(1,('env Parameter'!$A:$A=$A525)*('env Parameter'!$B:$B=$K525)*('env Parameter'!$C:$C=$L525),'env Parameter'!H:H,""),"")</f>
        <v>생물상 조사</v>
      </c>
      <c r="C525" s="10" cm="1">
        <f t="array" ref="C525">IFERROR(_xlfn.XLOOKUP(1,('env Parameter'!$A:$A=$A525)*('env Parameter'!$B:$B=$K525)*('env Parameter'!$C:$C=$L525),'env Parameter'!E:E,""),"")</f>
        <v>2.14</v>
      </c>
      <c r="D525" s="10" cm="1">
        <f t="array" ref="D525">IFERROR(_xlfn.XLOOKUP(1,('env Parameter'!$A:$A=$A525)*('env Parameter'!$B:$B=$K525)*('env Parameter'!$C:$C=$L525),'env Parameter'!F:F,""),"")</f>
        <v>478</v>
      </c>
      <c r="E525" s="10" cm="1">
        <f t="array" ref="E525">IFERROR(_xlfn.XLOOKUP(1,('env Parameter'!$A:$A=$A525)*('env Parameter'!$B:$B=$K525)*('env Parameter'!$C:$C=$L525),'env Parameter'!G:G,""),"")</f>
        <v>7.6</v>
      </c>
      <c r="F525" t="str">
        <f>eDNA!F525</f>
        <v>MiFish</v>
      </c>
      <c r="G525" t="str">
        <f>eDNA!D525</f>
        <v>Misgurnus mizolepis</v>
      </c>
      <c r="H525" t="str">
        <f>_xlfn.XLOOKUP(G525,'Common name (master file)'!$B:$B,'Common name (master file)'!$A:$A,"-------------")</f>
        <v>미꾸라지</v>
      </c>
      <c r="I525">
        <f>eDNA!E525</f>
        <v>144</v>
      </c>
      <c r="J525" t="str">
        <f>_xlfn.XLOOKUP(G525,'Common name (master file)'!$B:$B,'Common name (master file)'!$C:$C,"")</f>
        <v>어류</v>
      </c>
      <c r="K525">
        <f>eDNA!B525</f>
        <v>126.8663749</v>
      </c>
      <c r="L525">
        <f>eDNA!C525</f>
        <v>37.492704799999998</v>
      </c>
      <c r="M525" s="10" t="str" cm="1">
        <f t="array" ref="M525">IFERROR(_xlfn.XLOOKUP(1,('env Parameter'!$A:$A=$A525)*('env Parameter'!$B:$B=$K525)*('env Parameter'!$C:$C=$L525),'env Parameter'!D:D,""),"")</f>
        <v>안양천-22</v>
      </c>
      <c r="N525" s="10" t="str" cm="1">
        <f t="array" ref="N525">IFERROR(_xlfn.XLOOKUP(1,('env Parameter'!$A:$A=$A525)*('env Parameter'!$B:$B=$K525)*('env Parameter'!$C:$C=$L525),'env Parameter'!I:I,""),"")</f>
        <v>YR</v>
      </c>
    </row>
    <row r="526" spans="1:14">
      <c r="A526">
        <f>eDNA!A526</f>
        <v>20200718</v>
      </c>
      <c r="B526" s="10" t="str" cm="1">
        <f t="array" ref="B526">IFERROR(_xlfn.XLOOKUP(1,('env Parameter'!$A:$A=$A526)*('env Parameter'!$B:$B=$K526)*('env Parameter'!$C:$C=$L526),'env Parameter'!H:H,""),"")</f>
        <v>생물상 조사</v>
      </c>
      <c r="C526" s="10" cm="1">
        <f t="array" ref="C526">IFERROR(_xlfn.XLOOKUP(1,('env Parameter'!$A:$A=$A526)*('env Parameter'!$B:$B=$K526)*('env Parameter'!$C:$C=$L526),'env Parameter'!E:E,""),"")</f>
        <v>2.14</v>
      </c>
      <c r="D526" s="10" cm="1">
        <f t="array" ref="D526">IFERROR(_xlfn.XLOOKUP(1,('env Parameter'!$A:$A=$A526)*('env Parameter'!$B:$B=$K526)*('env Parameter'!$C:$C=$L526),'env Parameter'!F:F,""),"")</f>
        <v>478</v>
      </c>
      <c r="E526" s="10" cm="1">
        <f t="array" ref="E526">IFERROR(_xlfn.XLOOKUP(1,('env Parameter'!$A:$A=$A526)*('env Parameter'!$B:$B=$K526)*('env Parameter'!$C:$C=$L526),'env Parameter'!G:G,""),"")</f>
        <v>7.6</v>
      </c>
      <c r="F526" t="str">
        <f>eDNA!F526</f>
        <v>MiFish</v>
      </c>
      <c r="G526" t="str">
        <f>eDNA!D526</f>
        <v>Sus scrofa</v>
      </c>
      <c r="H526" t="str">
        <f>_xlfn.XLOOKUP(G526,'Common name (master file)'!$B:$B,'Common name (master file)'!$A:$A,"-------------")</f>
        <v>멧돼지</v>
      </c>
      <c r="I526">
        <f>eDNA!E526</f>
        <v>273</v>
      </c>
      <c r="J526" t="str">
        <f>_xlfn.XLOOKUP(G526,'Common name (master file)'!$B:$B,'Common name (master file)'!$C:$C,"")</f>
        <v>포유류</v>
      </c>
      <c r="K526">
        <f>eDNA!B526</f>
        <v>126.8663749</v>
      </c>
      <c r="L526">
        <f>eDNA!C526</f>
        <v>37.492704799999998</v>
      </c>
      <c r="M526" s="10" t="str" cm="1">
        <f t="array" ref="M526">IFERROR(_xlfn.XLOOKUP(1,('env Parameter'!$A:$A=$A526)*('env Parameter'!$B:$B=$K526)*('env Parameter'!$C:$C=$L526),'env Parameter'!D:D,""),"")</f>
        <v>안양천-22</v>
      </c>
      <c r="N526" s="10" t="str" cm="1">
        <f t="array" ref="N526">IFERROR(_xlfn.XLOOKUP(1,('env Parameter'!$A:$A=$A526)*('env Parameter'!$B:$B=$K526)*('env Parameter'!$C:$C=$L526),'env Parameter'!I:I,""),"")</f>
        <v>YR</v>
      </c>
    </row>
    <row r="527" spans="1:14">
      <c r="A527">
        <f>eDNA!A527</f>
        <v>20200718</v>
      </c>
      <c r="B527" s="10" t="str" cm="1">
        <f t="array" ref="B527">IFERROR(_xlfn.XLOOKUP(1,('env Parameter'!$A:$A=$A527)*('env Parameter'!$B:$B=$K527)*('env Parameter'!$C:$C=$L527),'env Parameter'!H:H,""),"")</f>
        <v>생물상 조사</v>
      </c>
      <c r="C527" s="10" cm="1">
        <f t="array" ref="C527">IFERROR(_xlfn.XLOOKUP(1,('env Parameter'!$A:$A=$A527)*('env Parameter'!$B:$B=$K527)*('env Parameter'!$C:$C=$L527),'env Parameter'!E:E,""),"")</f>
        <v>2.14</v>
      </c>
      <c r="D527" s="10" cm="1">
        <f t="array" ref="D527">IFERROR(_xlfn.XLOOKUP(1,('env Parameter'!$A:$A=$A527)*('env Parameter'!$B:$B=$K527)*('env Parameter'!$C:$C=$L527),'env Parameter'!F:F,""),"")</f>
        <v>478</v>
      </c>
      <c r="E527" s="10" cm="1">
        <f t="array" ref="E527">IFERROR(_xlfn.XLOOKUP(1,('env Parameter'!$A:$A=$A527)*('env Parameter'!$B:$B=$K527)*('env Parameter'!$C:$C=$L527),'env Parameter'!G:G,""),"")</f>
        <v>7.6</v>
      </c>
      <c r="F527" t="str">
        <f>eDNA!F527</f>
        <v>MiFish</v>
      </c>
      <c r="G527" t="str">
        <f>eDNA!D527</f>
        <v>Carassius cuvieri</v>
      </c>
      <c r="H527" t="str">
        <f>_xlfn.XLOOKUP(G527,'Common name (master file)'!$B:$B,'Common name (master file)'!$A:$A,"-------------")</f>
        <v>떡붕어</v>
      </c>
      <c r="I527">
        <f>eDNA!E527</f>
        <v>266</v>
      </c>
      <c r="J527" t="str">
        <f>_xlfn.XLOOKUP(G527,'Common name (master file)'!$B:$B,'Common name (master file)'!$C:$C,"")</f>
        <v>어류</v>
      </c>
      <c r="K527">
        <f>eDNA!B527</f>
        <v>126.8663749</v>
      </c>
      <c r="L527">
        <f>eDNA!C527</f>
        <v>37.492704799999998</v>
      </c>
      <c r="M527" s="10" t="str" cm="1">
        <f t="array" ref="M527">IFERROR(_xlfn.XLOOKUP(1,('env Parameter'!$A:$A=$A527)*('env Parameter'!$B:$B=$K527)*('env Parameter'!$C:$C=$L527),'env Parameter'!D:D,""),"")</f>
        <v>안양천-22</v>
      </c>
      <c r="N527" s="10" t="str" cm="1">
        <f t="array" ref="N527">IFERROR(_xlfn.XLOOKUP(1,('env Parameter'!$A:$A=$A527)*('env Parameter'!$B:$B=$K527)*('env Parameter'!$C:$C=$L527),'env Parameter'!I:I,""),"")</f>
        <v>YR</v>
      </c>
    </row>
    <row r="528" spans="1:14">
      <c r="A528">
        <f>eDNA!A528</f>
        <v>20200718</v>
      </c>
      <c r="B528" s="10" t="str" cm="1">
        <f t="array" ref="B528">IFERROR(_xlfn.XLOOKUP(1,('env Parameter'!$A:$A=$A528)*('env Parameter'!$B:$B=$K528)*('env Parameter'!$C:$C=$L528),'env Parameter'!H:H,""),"")</f>
        <v>생물상 조사</v>
      </c>
      <c r="C528" s="10" cm="1">
        <f t="array" ref="C528">IFERROR(_xlfn.XLOOKUP(1,('env Parameter'!$A:$A=$A528)*('env Parameter'!$B:$B=$K528)*('env Parameter'!$C:$C=$L528),'env Parameter'!E:E,""),"")</f>
        <v>2.14</v>
      </c>
      <c r="D528" s="10" cm="1">
        <f t="array" ref="D528">IFERROR(_xlfn.XLOOKUP(1,('env Parameter'!$A:$A=$A528)*('env Parameter'!$B:$B=$K528)*('env Parameter'!$C:$C=$L528),'env Parameter'!F:F,""),"")</f>
        <v>478</v>
      </c>
      <c r="E528" s="10" cm="1">
        <f t="array" ref="E528">IFERROR(_xlfn.XLOOKUP(1,('env Parameter'!$A:$A=$A528)*('env Parameter'!$B:$B=$K528)*('env Parameter'!$C:$C=$L528),'env Parameter'!G:G,""),"")</f>
        <v>7.6</v>
      </c>
      <c r="F528" t="str">
        <f>eDNA!F528</f>
        <v>MiFish</v>
      </c>
      <c r="G528" t="str">
        <f>eDNA!D528</f>
        <v>Canis lupus familiaris</v>
      </c>
      <c r="H528" t="str">
        <f>_xlfn.XLOOKUP(G528,'Common name (master file)'!$B:$B,'Common name (master file)'!$A:$A,"-------------")</f>
        <v>개</v>
      </c>
      <c r="I528">
        <f>eDNA!E528</f>
        <v>368</v>
      </c>
      <c r="J528" t="str">
        <f>_xlfn.XLOOKUP(G528,'Common name (master file)'!$B:$B,'Common name (master file)'!$C:$C,"")</f>
        <v>포유류</v>
      </c>
      <c r="K528">
        <f>eDNA!B528</f>
        <v>126.8663749</v>
      </c>
      <c r="L528">
        <f>eDNA!C528</f>
        <v>37.492704799999998</v>
      </c>
      <c r="M528" s="10" t="str" cm="1">
        <f t="array" ref="M528">IFERROR(_xlfn.XLOOKUP(1,('env Parameter'!$A:$A=$A528)*('env Parameter'!$B:$B=$K528)*('env Parameter'!$C:$C=$L528),'env Parameter'!D:D,""),"")</f>
        <v>안양천-22</v>
      </c>
      <c r="N528" s="10" t="str" cm="1">
        <f t="array" ref="N528">IFERROR(_xlfn.XLOOKUP(1,('env Parameter'!$A:$A=$A528)*('env Parameter'!$B:$B=$K528)*('env Parameter'!$C:$C=$L528),'env Parameter'!I:I,""),"")</f>
        <v>YR</v>
      </c>
    </row>
    <row r="529" spans="1:14">
      <c r="A529">
        <f>eDNA!A529</f>
        <v>20200718</v>
      </c>
      <c r="B529" s="10" t="str" cm="1">
        <f t="array" ref="B529">IFERROR(_xlfn.XLOOKUP(1,('env Parameter'!$A:$A=$A529)*('env Parameter'!$B:$B=$K529)*('env Parameter'!$C:$C=$L529),'env Parameter'!H:H,""),"")</f>
        <v>생물상 조사</v>
      </c>
      <c r="C529" s="10" cm="1">
        <f t="array" ref="C529">IFERROR(_xlfn.XLOOKUP(1,('env Parameter'!$A:$A=$A529)*('env Parameter'!$B:$B=$K529)*('env Parameter'!$C:$C=$L529),'env Parameter'!E:E,""),"")</f>
        <v>2.14</v>
      </c>
      <c r="D529" s="10" cm="1">
        <f t="array" ref="D529">IFERROR(_xlfn.XLOOKUP(1,('env Parameter'!$A:$A=$A529)*('env Parameter'!$B:$B=$K529)*('env Parameter'!$C:$C=$L529),'env Parameter'!F:F,""),"")</f>
        <v>478</v>
      </c>
      <c r="E529" s="10" cm="1">
        <f t="array" ref="E529">IFERROR(_xlfn.XLOOKUP(1,('env Parameter'!$A:$A=$A529)*('env Parameter'!$B:$B=$K529)*('env Parameter'!$C:$C=$L529),'env Parameter'!G:G,""),"")</f>
        <v>7.6</v>
      </c>
      <c r="F529" t="str">
        <f>eDNA!F529</f>
        <v>MiFish</v>
      </c>
      <c r="G529" t="str">
        <f>eDNA!D529</f>
        <v>Pseudogobio esocinus</v>
      </c>
      <c r="H529" t="str">
        <f>_xlfn.XLOOKUP(G529,'Common name (master file)'!$B:$B,'Common name (master file)'!$A:$A,"-------------")</f>
        <v>모래무지</v>
      </c>
      <c r="I529">
        <f>eDNA!E529</f>
        <v>1075</v>
      </c>
      <c r="J529" t="str">
        <f>_xlfn.XLOOKUP(G529,'Common name (master file)'!$B:$B,'Common name (master file)'!$C:$C,"")</f>
        <v>어류</v>
      </c>
      <c r="K529">
        <f>eDNA!B529</f>
        <v>126.8663749</v>
      </c>
      <c r="L529">
        <f>eDNA!C529</f>
        <v>37.492704799999998</v>
      </c>
      <c r="M529" s="10" t="str" cm="1">
        <f t="array" ref="M529">IFERROR(_xlfn.XLOOKUP(1,('env Parameter'!$A:$A=$A529)*('env Parameter'!$B:$B=$K529)*('env Parameter'!$C:$C=$L529),'env Parameter'!D:D,""),"")</f>
        <v>안양천-22</v>
      </c>
      <c r="N529" s="10" t="str" cm="1">
        <f t="array" ref="N529">IFERROR(_xlfn.XLOOKUP(1,('env Parameter'!$A:$A=$A529)*('env Parameter'!$B:$B=$K529)*('env Parameter'!$C:$C=$L529),'env Parameter'!I:I,""),"")</f>
        <v>YR</v>
      </c>
    </row>
    <row r="530" spans="1:14">
      <c r="A530">
        <f>eDNA!A530</f>
        <v>20200718</v>
      </c>
      <c r="B530" s="10" t="str" cm="1">
        <f t="array" ref="B530">IFERROR(_xlfn.XLOOKUP(1,('env Parameter'!$A:$A=$A530)*('env Parameter'!$B:$B=$K530)*('env Parameter'!$C:$C=$L530),'env Parameter'!H:H,""),"")</f>
        <v>생물상 조사</v>
      </c>
      <c r="C530" s="10" cm="1">
        <f t="array" ref="C530">IFERROR(_xlfn.XLOOKUP(1,('env Parameter'!$A:$A=$A530)*('env Parameter'!$B:$B=$K530)*('env Parameter'!$C:$C=$L530),'env Parameter'!E:E,""),"")</f>
        <v>2.14</v>
      </c>
      <c r="D530" s="10" cm="1">
        <f t="array" ref="D530">IFERROR(_xlfn.XLOOKUP(1,('env Parameter'!$A:$A=$A530)*('env Parameter'!$B:$B=$K530)*('env Parameter'!$C:$C=$L530),'env Parameter'!F:F,""),"")</f>
        <v>478</v>
      </c>
      <c r="E530" s="10" cm="1">
        <f t="array" ref="E530">IFERROR(_xlfn.XLOOKUP(1,('env Parameter'!$A:$A=$A530)*('env Parameter'!$B:$B=$K530)*('env Parameter'!$C:$C=$L530),'env Parameter'!G:G,""),"")</f>
        <v>7.6</v>
      </c>
      <c r="F530" t="str">
        <f>eDNA!F530</f>
        <v>MiFish</v>
      </c>
      <c r="G530" t="str">
        <f>eDNA!D530</f>
        <v>Tridentiger obscurus</v>
      </c>
      <c r="H530" t="str">
        <f>_xlfn.XLOOKUP(G530,'Common name (master file)'!$B:$B,'Common name (master file)'!$A:$A,"-------------")</f>
        <v>검정망둑</v>
      </c>
      <c r="I530">
        <f>eDNA!E530</f>
        <v>712</v>
      </c>
      <c r="J530" t="str">
        <f>_xlfn.XLOOKUP(G530,'Common name (master file)'!$B:$B,'Common name (master file)'!$C:$C,"")</f>
        <v>어류</v>
      </c>
      <c r="K530">
        <f>eDNA!B530</f>
        <v>126.8663749</v>
      </c>
      <c r="L530">
        <f>eDNA!C530</f>
        <v>37.492704799999998</v>
      </c>
      <c r="M530" s="10" t="str" cm="1">
        <f t="array" ref="M530">IFERROR(_xlfn.XLOOKUP(1,('env Parameter'!$A:$A=$A530)*('env Parameter'!$B:$B=$K530)*('env Parameter'!$C:$C=$L530),'env Parameter'!D:D,""),"")</f>
        <v>안양천-22</v>
      </c>
      <c r="N530" s="10" t="str" cm="1">
        <f t="array" ref="N530">IFERROR(_xlfn.XLOOKUP(1,('env Parameter'!$A:$A=$A530)*('env Parameter'!$B:$B=$K530)*('env Parameter'!$C:$C=$L530),'env Parameter'!I:I,""),"")</f>
        <v>YR</v>
      </c>
    </row>
    <row r="531" spans="1:14">
      <c r="A531">
        <f>eDNA!A531</f>
        <v>20200718</v>
      </c>
      <c r="B531" s="10" t="str" cm="1">
        <f t="array" ref="B531">IFERROR(_xlfn.XLOOKUP(1,('env Parameter'!$A:$A=$A531)*('env Parameter'!$B:$B=$K531)*('env Parameter'!$C:$C=$L531),'env Parameter'!H:H,""),"")</f>
        <v>생물상 조사</v>
      </c>
      <c r="C531" s="10" cm="1">
        <f t="array" ref="C531">IFERROR(_xlfn.XLOOKUP(1,('env Parameter'!$A:$A=$A531)*('env Parameter'!$B:$B=$K531)*('env Parameter'!$C:$C=$L531),'env Parameter'!E:E,""),"")</f>
        <v>2.14</v>
      </c>
      <c r="D531" s="10" cm="1">
        <f t="array" ref="D531">IFERROR(_xlfn.XLOOKUP(1,('env Parameter'!$A:$A=$A531)*('env Parameter'!$B:$B=$K531)*('env Parameter'!$C:$C=$L531),'env Parameter'!F:F,""),"")</f>
        <v>478</v>
      </c>
      <c r="E531" s="10" cm="1">
        <f t="array" ref="E531">IFERROR(_xlfn.XLOOKUP(1,('env Parameter'!$A:$A=$A531)*('env Parameter'!$B:$B=$K531)*('env Parameter'!$C:$C=$L531),'env Parameter'!G:G,""),"")</f>
        <v>7.6</v>
      </c>
      <c r="F531" t="str">
        <f>eDNA!F531</f>
        <v>MiFish</v>
      </c>
      <c r="G531" t="str">
        <f>eDNA!D531</f>
        <v>Channa argus</v>
      </c>
      <c r="H531" t="str">
        <f>_xlfn.XLOOKUP(G531,'Common name (master file)'!$B:$B,'Common name (master file)'!$A:$A,"-------------")</f>
        <v>가물치</v>
      </c>
      <c r="I531">
        <f>eDNA!E531</f>
        <v>1147</v>
      </c>
      <c r="J531" t="str">
        <f>_xlfn.XLOOKUP(G531,'Common name (master file)'!$B:$B,'Common name (master file)'!$C:$C,"")</f>
        <v>어류</v>
      </c>
      <c r="K531">
        <f>eDNA!B531</f>
        <v>126.8663749</v>
      </c>
      <c r="L531">
        <f>eDNA!C531</f>
        <v>37.492704799999998</v>
      </c>
      <c r="M531" s="10" t="str" cm="1">
        <f t="array" ref="M531">IFERROR(_xlfn.XLOOKUP(1,('env Parameter'!$A:$A=$A531)*('env Parameter'!$B:$B=$K531)*('env Parameter'!$C:$C=$L531),'env Parameter'!D:D,""),"")</f>
        <v>안양천-22</v>
      </c>
      <c r="N531" s="10" t="str" cm="1">
        <f t="array" ref="N531">IFERROR(_xlfn.XLOOKUP(1,('env Parameter'!$A:$A=$A531)*('env Parameter'!$B:$B=$K531)*('env Parameter'!$C:$C=$L531),'env Parameter'!I:I,""),"")</f>
        <v>YR</v>
      </c>
    </row>
    <row r="532" spans="1:14">
      <c r="A532">
        <f>eDNA!A532</f>
        <v>20200718</v>
      </c>
      <c r="B532" s="10" t="str" cm="1">
        <f t="array" ref="B532">IFERROR(_xlfn.XLOOKUP(1,('env Parameter'!$A:$A=$A532)*('env Parameter'!$B:$B=$K532)*('env Parameter'!$C:$C=$L532),'env Parameter'!H:H,""),"")</f>
        <v>생물상 조사</v>
      </c>
      <c r="C532" s="10" cm="1">
        <f t="array" ref="C532">IFERROR(_xlfn.XLOOKUP(1,('env Parameter'!$A:$A=$A532)*('env Parameter'!$B:$B=$K532)*('env Parameter'!$C:$C=$L532),'env Parameter'!E:E,""),"")</f>
        <v>2.14</v>
      </c>
      <c r="D532" s="10" cm="1">
        <f t="array" ref="D532">IFERROR(_xlfn.XLOOKUP(1,('env Parameter'!$A:$A=$A532)*('env Parameter'!$B:$B=$K532)*('env Parameter'!$C:$C=$L532),'env Parameter'!F:F,""),"")</f>
        <v>478</v>
      </c>
      <c r="E532" s="10" cm="1">
        <f t="array" ref="E532">IFERROR(_xlfn.XLOOKUP(1,('env Parameter'!$A:$A=$A532)*('env Parameter'!$B:$B=$K532)*('env Parameter'!$C:$C=$L532),'env Parameter'!G:G,""),"")</f>
        <v>7.6</v>
      </c>
      <c r="F532" t="str">
        <f>eDNA!F532</f>
        <v>MiFish</v>
      </c>
      <c r="G532" t="str">
        <f>eDNA!D532</f>
        <v>Micropterus salmoides</v>
      </c>
      <c r="H532" t="str">
        <f>_xlfn.XLOOKUP(G532,'Common name (master file)'!$B:$B,'Common name (master file)'!$A:$A,"-------------")</f>
        <v>큰입배스</v>
      </c>
      <c r="I532">
        <f>eDNA!E532</f>
        <v>1238</v>
      </c>
      <c r="J532" t="str">
        <f>_xlfn.XLOOKUP(G532,'Common name (master file)'!$B:$B,'Common name (master file)'!$C:$C,"")</f>
        <v>어류</v>
      </c>
      <c r="K532">
        <f>eDNA!B532</f>
        <v>126.8663749</v>
      </c>
      <c r="L532">
        <f>eDNA!C532</f>
        <v>37.492704799999998</v>
      </c>
      <c r="M532" s="10" t="str" cm="1">
        <f t="array" ref="M532">IFERROR(_xlfn.XLOOKUP(1,('env Parameter'!$A:$A=$A532)*('env Parameter'!$B:$B=$K532)*('env Parameter'!$C:$C=$L532),'env Parameter'!D:D,""),"")</f>
        <v>안양천-22</v>
      </c>
      <c r="N532" s="10" t="str" cm="1">
        <f t="array" ref="N532">IFERROR(_xlfn.XLOOKUP(1,('env Parameter'!$A:$A=$A532)*('env Parameter'!$B:$B=$K532)*('env Parameter'!$C:$C=$L532),'env Parameter'!I:I,""),"")</f>
        <v>YR</v>
      </c>
    </row>
    <row r="533" spans="1:14">
      <c r="A533">
        <f>eDNA!A533</f>
        <v>20200718</v>
      </c>
      <c r="B533" s="10" t="str" cm="1">
        <f t="array" ref="B533">IFERROR(_xlfn.XLOOKUP(1,('env Parameter'!$A:$A=$A533)*('env Parameter'!$B:$B=$K533)*('env Parameter'!$C:$C=$L533),'env Parameter'!H:H,""),"")</f>
        <v>생물상 조사</v>
      </c>
      <c r="C533" s="10" cm="1">
        <f t="array" ref="C533">IFERROR(_xlfn.XLOOKUP(1,('env Parameter'!$A:$A=$A533)*('env Parameter'!$B:$B=$K533)*('env Parameter'!$C:$C=$L533),'env Parameter'!E:E,""),"")</f>
        <v>2.14</v>
      </c>
      <c r="D533" s="10" cm="1">
        <f t="array" ref="D533">IFERROR(_xlfn.XLOOKUP(1,('env Parameter'!$A:$A=$A533)*('env Parameter'!$B:$B=$K533)*('env Parameter'!$C:$C=$L533),'env Parameter'!F:F,""),"")</f>
        <v>478</v>
      </c>
      <c r="E533" s="10" cm="1">
        <f t="array" ref="E533">IFERROR(_xlfn.XLOOKUP(1,('env Parameter'!$A:$A=$A533)*('env Parameter'!$B:$B=$K533)*('env Parameter'!$C:$C=$L533),'env Parameter'!G:G,""),"")</f>
        <v>7.6</v>
      </c>
      <c r="F533" t="str">
        <f>eDNA!F533</f>
        <v>MiFish</v>
      </c>
      <c r="G533" t="str">
        <f>eDNA!D533</f>
        <v>Carassius sp.</v>
      </c>
      <c r="H533" t="str">
        <f>_xlfn.XLOOKUP(G533,'Common name (master file)'!$B:$B,'Common name (master file)'!$A:$A,"-------------")</f>
        <v>붕어 속</v>
      </c>
      <c r="I533">
        <f>eDNA!E533</f>
        <v>1081</v>
      </c>
      <c r="J533" t="str">
        <f>_xlfn.XLOOKUP(G533,'Common name (master file)'!$B:$B,'Common name (master file)'!$C:$C,"")</f>
        <v>어류</v>
      </c>
      <c r="K533">
        <f>eDNA!B533</f>
        <v>126.8663749</v>
      </c>
      <c r="L533">
        <f>eDNA!C533</f>
        <v>37.492704799999998</v>
      </c>
      <c r="M533" s="10" t="str" cm="1">
        <f t="array" ref="M533">IFERROR(_xlfn.XLOOKUP(1,('env Parameter'!$A:$A=$A533)*('env Parameter'!$B:$B=$K533)*('env Parameter'!$C:$C=$L533),'env Parameter'!D:D,""),"")</f>
        <v>안양천-22</v>
      </c>
      <c r="N533" s="10" t="str" cm="1">
        <f t="array" ref="N533">IFERROR(_xlfn.XLOOKUP(1,('env Parameter'!$A:$A=$A533)*('env Parameter'!$B:$B=$K533)*('env Parameter'!$C:$C=$L533),'env Parameter'!I:I,""),"")</f>
        <v>YR</v>
      </c>
    </row>
    <row r="534" spans="1:14">
      <c r="A534">
        <f>eDNA!A534</f>
        <v>20200718</v>
      </c>
      <c r="B534" s="10" t="str" cm="1">
        <f t="array" ref="B534">IFERROR(_xlfn.XLOOKUP(1,('env Parameter'!$A:$A=$A534)*('env Parameter'!$B:$B=$K534)*('env Parameter'!$C:$C=$L534),'env Parameter'!H:H,""),"")</f>
        <v>생물상 조사</v>
      </c>
      <c r="C534" s="10" cm="1">
        <f t="array" ref="C534">IFERROR(_xlfn.XLOOKUP(1,('env Parameter'!$A:$A=$A534)*('env Parameter'!$B:$B=$K534)*('env Parameter'!$C:$C=$L534),'env Parameter'!E:E,""),"")</f>
        <v>2.14</v>
      </c>
      <c r="D534" s="10" cm="1">
        <f t="array" ref="D534">IFERROR(_xlfn.XLOOKUP(1,('env Parameter'!$A:$A=$A534)*('env Parameter'!$B:$B=$K534)*('env Parameter'!$C:$C=$L534),'env Parameter'!F:F,""),"")</f>
        <v>478</v>
      </c>
      <c r="E534" s="10" cm="1">
        <f t="array" ref="E534">IFERROR(_xlfn.XLOOKUP(1,('env Parameter'!$A:$A=$A534)*('env Parameter'!$B:$B=$K534)*('env Parameter'!$C:$C=$L534),'env Parameter'!G:G,""),"")</f>
        <v>7.6</v>
      </c>
      <c r="F534" t="str">
        <f>eDNA!F534</f>
        <v>MiFish</v>
      </c>
      <c r="G534" t="str">
        <f>eDNA!D534</f>
        <v>Gnathopogon strigatus</v>
      </c>
      <c r="H534" t="str">
        <f>_xlfn.XLOOKUP(G534,'Common name (master file)'!$B:$B,'Common name (master file)'!$A:$A,"-------------")</f>
        <v>줄몰개</v>
      </c>
      <c r="I534">
        <f>eDNA!E534</f>
        <v>1215</v>
      </c>
      <c r="J534" t="str">
        <f>_xlfn.XLOOKUP(G534,'Common name (master file)'!$B:$B,'Common name (master file)'!$C:$C,"")</f>
        <v>어류</v>
      </c>
      <c r="K534">
        <f>eDNA!B534</f>
        <v>126.8663749</v>
      </c>
      <c r="L534">
        <f>eDNA!C534</f>
        <v>37.492704799999998</v>
      </c>
      <c r="M534" s="10" t="str" cm="1">
        <f t="array" ref="M534">IFERROR(_xlfn.XLOOKUP(1,('env Parameter'!$A:$A=$A534)*('env Parameter'!$B:$B=$K534)*('env Parameter'!$C:$C=$L534),'env Parameter'!D:D,""),"")</f>
        <v>안양천-22</v>
      </c>
      <c r="N534" s="10" t="str" cm="1">
        <f t="array" ref="N534">IFERROR(_xlfn.XLOOKUP(1,('env Parameter'!$A:$A=$A534)*('env Parameter'!$B:$B=$K534)*('env Parameter'!$C:$C=$L534),'env Parameter'!I:I,""),"")</f>
        <v>YR</v>
      </c>
    </row>
    <row r="535" spans="1:14">
      <c r="A535">
        <f>eDNA!A535</f>
        <v>20200718</v>
      </c>
      <c r="B535" s="10" t="str" cm="1">
        <f t="array" ref="B535">IFERROR(_xlfn.XLOOKUP(1,('env Parameter'!$A:$A=$A535)*('env Parameter'!$B:$B=$K535)*('env Parameter'!$C:$C=$L535),'env Parameter'!H:H,""),"")</f>
        <v>생물상 조사</v>
      </c>
      <c r="C535" s="10" cm="1">
        <f t="array" ref="C535">IFERROR(_xlfn.XLOOKUP(1,('env Parameter'!$A:$A=$A535)*('env Parameter'!$B:$B=$K535)*('env Parameter'!$C:$C=$L535),'env Parameter'!E:E,""),"")</f>
        <v>2.14</v>
      </c>
      <c r="D535" s="10" cm="1">
        <f t="array" ref="D535">IFERROR(_xlfn.XLOOKUP(1,('env Parameter'!$A:$A=$A535)*('env Parameter'!$B:$B=$K535)*('env Parameter'!$C:$C=$L535),'env Parameter'!F:F,""),"")</f>
        <v>478</v>
      </c>
      <c r="E535" s="10" cm="1">
        <f t="array" ref="E535">IFERROR(_xlfn.XLOOKUP(1,('env Parameter'!$A:$A=$A535)*('env Parameter'!$B:$B=$K535)*('env Parameter'!$C:$C=$L535),'env Parameter'!G:G,""),"")</f>
        <v>7.6</v>
      </c>
      <c r="F535" t="str">
        <f>eDNA!F535</f>
        <v>MiFish</v>
      </c>
      <c r="G535" t="str">
        <f>eDNA!D535</f>
        <v>Culter dabryi</v>
      </c>
      <c r="H535" t="str">
        <f>_xlfn.XLOOKUP(G535,'Common name (master file)'!$B:$B,'Common name (master file)'!$A:$A,"-------------")</f>
        <v>다브리날카로운입치</v>
      </c>
      <c r="I535">
        <f>eDNA!E535</f>
        <v>1330</v>
      </c>
      <c r="J535" t="str">
        <f>_xlfn.XLOOKUP(G535,'Common name (master file)'!$B:$B,'Common name (master file)'!$C:$C,"")</f>
        <v>어류</v>
      </c>
      <c r="K535">
        <f>eDNA!B535</f>
        <v>126.8663749</v>
      </c>
      <c r="L535">
        <f>eDNA!C535</f>
        <v>37.492704799999998</v>
      </c>
      <c r="M535" s="10" t="str" cm="1">
        <f t="array" ref="M535">IFERROR(_xlfn.XLOOKUP(1,('env Parameter'!$A:$A=$A535)*('env Parameter'!$B:$B=$K535)*('env Parameter'!$C:$C=$L535),'env Parameter'!D:D,""),"")</f>
        <v>안양천-22</v>
      </c>
      <c r="N535" s="10" t="str" cm="1">
        <f t="array" ref="N535">IFERROR(_xlfn.XLOOKUP(1,('env Parameter'!$A:$A=$A535)*('env Parameter'!$B:$B=$K535)*('env Parameter'!$C:$C=$L535),'env Parameter'!I:I,""),"")</f>
        <v>YR</v>
      </c>
    </row>
    <row r="536" spans="1:14">
      <c r="A536">
        <f>eDNA!A536</f>
        <v>20200718</v>
      </c>
      <c r="B536" s="10" t="str" cm="1">
        <f t="array" ref="B536">IFERROR(_xlfn.XLOOKUP(1,('env Parameter'!$A:$A=$A536)*('env Parameter'!$B:$B=$K536)*('env Parameter'!$C:$C=$L536),'env Parameter'!H:H,""),"")</f>
        <v>생물상 조사</v>
      </c>
      <c r="C536" s="10" cm="1">
        <f t="array" ref="C536">IFERROR(_xlfn.XLOOKUP(1,('env Parameter'!$A:$A=$A536)*('env Parameter'!$B:$B=$K536)*('env Parameter'!$C:$C=$L536),'env Parameter'!E:E,""),"")</f>
        <v>2.14</v>
      </c>
      <c r="D536" s="10" cm="1">
        <f t="array" ref="D536">IFERROR(_xlfn.XLOOKUP(1,('env Parameter'!$A:$A=$A536)*('env Parameter'!$B:$B=$K536)*('env Parameter'!$C:$C=$L536),'env Parameter'!F:F,""),"")</f>
        <v>478</v>
      </c>
      <c r="E536" s="10" cm="1">
        <f t="array" ref="E536">IFERROR(_xlfn.XLOOKUP(1,('env Parameter'!$A:$A=$A536)*('env Parameter'!$B:$B=$K536)*('env Parameter'!$C:$C=$L536),'env Parameter'!G:G,""),"")</f>
        <v>7.6</v>
      </c>
      <c r="F536" t="str">
        <f>eDNA!F536</f>
        <v>MiFish</v>
      </c>
      <c r="G536" t="str">
        <f>eDNA!D536</f>
        <v>Silurus soldatovi</v>
      </c>
      <c r="H536" t="str">
        <f>_xlfn.XLOOKUP(G536,'Common name (master file)'!$B:$B,'Common name (master file)'!$A:$A,"-------------")</f>
        <v>솔다토비 메기</v>
      </c>
      <c r="I536">
        <f>eDNA!E536</f>
        <v>1435</v>
      </c>
      <c r="J536" t="str">
        <f>_xlfn.XLOOKUP(G536,'Common name (master file)'!$B:$B,'Common name (master file)'!$C:$C,"")</f>
        <v>어류</v>
      </c>
      <c r="K536">
        <f>eDNA!B536</f>
        <v>126.8663749</v>
      </c>
      <c r="L536">
        <f>eDNA!C536</f>
        <v>37.492704799999998</v>
      </c>
      <c r="M536" s="10" t="str" cm="1">
        <f t="array" ref="M536">IFERROR(_xlfn.XLOOKUP(1,('env Parameter'!$A:$A=$A536)*('env Parameter'!$B:$B=$K536)*('env Parameter'!$C:$C=$L536),'env Parameter'!D:D,""),"")</f>
        <v>안양천-22</v>
      </c>
      <c r="N536" s="10" t="str" cm="1">
        <f t="array" ref="N536">IFERROR(_xlfn.XLOOKUP(1,('env Parameter'!$A:$A=$A536)*('env Parameter'!$B:$B=$K536)*('env Parameter'!$C:$C=$L536),'env Parameter'!I:I,""),"")</f>
        <v>YR</v>
      </c>
    </row>
    <row r="537" spans="1:14">
      <c r="A537">
        <f>eDNA!A537</f>
        <v>20200718</v>
      </c>
      <c r="B537" s="10" t="str" cm="1">
        <f t="array" ref="B537">IFERROR(_xlfn.XLOOKUP(1,('env Parameter'!$A:$A=$A537)*('env Parameter'!$B:$B=$K537)*('env Parameter'!$C:$C=$L537),'env Parameter'!H:H,""),"")</f>
        <v>생물상 조사</v>
      </c>
      <c r="C537" s="10" cm="1">
        <f t="array" ref="C537">IFERROR(_xlfn.XLOOKUP(1,('env Parameter'!$A:$A=$A537)*('env Parameter'!$B:$B=$K537)*('env Parameter'!$C:$C=$L537),'env Parameter'!E:E,""),"")</f>
        <v>2.14</v>
      </c>
      <c r="D537" s="10" cm="1">
        <f t="array" ref="D537">IFERROR(_xlfn.XLOOKUP(1,('env Parameter'!$A:$A=$A537)*('env Parameter'!$B:$B=$K537)*('env Parameter'!$C:$C=$L537),'env Parameter'!F:F,""),"")</f>
        <v>478</v>
      </c>
      <c r="E537" s="10" cm="1">
        <f t="array" ref="E537">IFERROR(_xlfn.XLOOKUP(1,('env Parameter'!$A:$A=$A537)*('env Parameter'!$B:$B=$K537)*('env Parameter'!$C:$C=$L537),'env Parameter'!G:G,""),"")</f>
        <v>7.6</v>
      </c>
      <c r="F537" t="str">
        <f>eDNA!F537</f>
        <v>MiFish</v>
      </c>
      <c r="G537" t="str">
        <f>eDNA!D537</f>
        <v>Acheilognathus macropterus</v>
      </c>
      <c r="H537" t="str">
        <f>_xlfn.XLOOKUP(G537,'Common name (master file)'!$B:$B,'Common name (master file)'!$A:$A,"-------------")</f>
        <v>큰납지리</v>
      </c>
      <c r="I537">
        <f>eDNA!E537</f>
        <v>6389</v>
      </c>
      <c r="J537" t="str">
        <f>_xlfn.XLOOKUP(G537,'Common name (master file)'!$B:$B,'Common name (master file)'!$C:$C,"")</f>
        <v>어류</v>
      </c>
      <c r="K537">
        <f>eDNA!B537</f>
        <v>126.8663749</v>
      </c>
      <c r="L537">
        <f>eDNA!C537</f>
        <v>37.492704799999998</v>
      </c>
      <c r="M537" s="10" t="str" cm="1">
        <f t="array" ref="M537">IFERROR(_xlfn.XLOOKUP(1,('env Parameter'!$A:$A=$A537)*('env Parameter'!$B:$B=$K537)*('env Parameter'!$C:$C=$L537),'env Parameter'!D:D,""),"")</f>
        <v>안양천-22</v>
      </c>
      <c r="N537" s="10" t="str" cm="1">
        <f t="array" ref="N537">IFERROR(_xlfn.XLOOKUP(1,('env Parameter'!$A:$A=$A537)*('env Parameter'!$B:$B=$K537)*('env Parameter'!$C:$C=$L537),'env Parameter'!I:I,""),"")</f>
        <v>YR</v>
      </c>
    </row>
    <row r="538" spans="1:14">
      <c r="A538">
        <f>eDNA!A538</f>
        <v>20200718</v>
      </c>
      <c r="B538" s="10" t="str" cm="1">
        <f t="array" ref="B538">IFERROR(_xlfn.XLOOKUP(1,('env Parameter'!$A:$A=$A538)*('env Parameter'!$B:$B=$K538)*('env Parameter'!$C:$C=$L538),'env Parameter'!H:H,""),"")</f>
        <v>생물상 조사</v>
      </c>
      <c r="C538" s="10" cm="1">
        <f t="array" ref="C538">IFERROR(_xlfn.XLOOKUP(1,('env Parameter'!$A:$A=$A538)*('env Parameter'!$B:$B=$K538)*('env Parameter'!$C:$C=$L538),'env Parameter'!E:E,""),"")</f>
        <v>2.14</v>
      </c>
      <c r="D538" s="10" cm="1">
        <f t="array" ref="D538">IFERROR(_xlfn.XLOOKUP(1,('env Parameter'!$A:$A=$A538)*('env Parameter'!$B:$B=$K538)*('env Parameter'!$C:$C=$L538),'env Parameter'!F:F,""),"")</f>
        <v>478</v>
      </c>
      <c r="E538" s="10" cm="1">
        <f t="array" ref="E538">IFERROR(_xlfn.XLOOKUP(1,('env Parameter'!$A:$A=$A538)*('env Parameter'!$B:$B=$K538)*('env Parameter'!$C:$C=$L538),'env Parameter'!G:G,""),"")</f>
        <v>7.6</v>
      </c>
      <c r="F538" t="str">
        <f>eDNA!F538</f>
        <v>MiFish</v>
      </c>
      <c r="G538" t="str">
        <f>eDNA!D538</f>
        <v>Odontobutis interrupta</v>
      </c>
      <c r="H538" t="str">
        <f>_xlfn.XLOOKUP(G538,'Common name (master file)'!$B:$B,'Common name (master file)'!$A:$A,"-------------")</f>
        <v>얼록동사리</v>
      </c>
      <c r="I538">
        <f>eDNA!E538</f>
        <v>7843</v>
      </c>
      <c r="J538" t="str">
        <f>_xlfn.XLOOKUP(G538,'Common name (master file)'!$B:$B,'Common name (master file)'!$C:$C,"")</f>
        <v>어류</v>
      </c>
      <c r="K538">
        <f>eDNA!B538</f>
        <v>126.8663749</v>
      </c>
      <c r="L538">
        <f>eDNA!C538</f>
        <v>37.492704799999998</v>
      </c>
      <c r="M538" s="10" t="str" cm="1">
        <f t="array" ref="M538">IFERROR(_xlfn.XLOOKUP(1,('env Parameter'!$A:$A=$A538)*('env Parameter'!$B:$B=$K538)*('env Parameter'!$C:$C=$L538),'env Parameter'!D:D,""),"")</f>
        <v>안양천-22</v>
      </c>
      <c r="N538" s="10" t="str" cm="1">
        <f t="array" ref="N538">IFERROR(_xlfn.XLOOKUP(1,('env Parameter'!$A:$A=$A538)*('env Parameter'!$B:$B=$K538)*('env Parameter'!$C:$C=$L538),'env Parameter'!I:I,""),"")</f>
        <v>YR</v>
      </c>
    </row>
    <row r="539" spans="1:14">
      <c r="A539">
        <f>eDNA!A539</f>
        <v>20200718</v>
      </c>
      <c r="B539" s="10" t="str" cm="1">
        <f t="array" ref="B539">IFERROR(_xlfn.XLOOKUP(1,('env Parameter'!$A:$A=$A539)*('env Parameter'!$B:$B=$K539)*('env Parameter'!$C:$C=$L539),'env Parameter'!H:H,""),"")</f>
        <v>생물상 조사</v>
      </c>
      <c r="C539" s="10" cm="1">
        <f t="array" ref="C539">IFERROR(_xlfn.XLOOKUP(1,('env Parameter'!$A:$A=$A539)*('env Parameter'!$B:$B=$K539)*('env Parameter'!$C:$C=$L539),'env Parameter'!E:E,""),"")</f>
        <v>2.14</v>
      </c>
      <c r="D539" s="10" cm="1">
        <f t="array" ref="D539">IFERROR(_xlfn.XLOOKUP(1,('env Parameter'!$A:$A=$A539)*('env Parameter'!$B:$B=$K539)*('env Parameter'!$C:$C=$L539),'env Parameter'!F:F,""),"")</f>
        <v>478</v>
      </c>
      <c r="E539" s="10" cm="1">
        <f t="array" ref="E539">IFERROR(_xlfn.XLOOKUP(1,('env Parameter'!$A:$A=$A539)*('env Parameter'!$B:$B=$K539)*('env Parameter'!$C:$C=$L539),'env Parameter'!G:G,""),"")</f>
        <v>7.6</v>
      </c>
      <c r="F539" t="str">
        <f>eDNA!F539</f>
        <v>MiFish</v>
      </c>
      <c r="G539" t="str">
        <f>eDNA!D539</f>
        <v>Pseudorasbora parva</v>
      </c>
      <c r="H539" t="str">
        <f>_xlfn.XLOOKUP(G539,'Common name (master file)'!$B:$B,'Common name (master file)'!$A:$A,"-------------")</f>
        <v>참붕어</v>
      </c>
      <c r="I539">
        <f>eDNA!E539</f>
        <v>14128</v>
      </c>
      <c r="J539" t="str">
        <f>_xlfn.XLOOKUP(G539,'Common name (master file)'!$B:$B,'Common name (master file)'!$C:$C,"")</f>
        <v>어류</v>
      </c>
      <c r="K539">
        <f>eDNA!B539</f>
        <v>126.8663749</v>
      </c>
      <c r="L539">
        <f>eDNA!C539</f>
        <v>37.492704799999998</v>
      </c>
      <c r="M539" s="10" t="str" cm="1">
        <f t="array" ref="M539">IFERROR(_xlfn.XLOOKUP(1,('env Parameter'!$A:$A=$A539)*('env Parameter'!$B:$B=$K539)*('env Parameter'!$C:$C=$L539),'env Parameter'!D:D,""),"")</f>
        <v>안양천-22</v>
      </c>
      <c r="N539" s="10" t="str" cm="1">
        <f t="array" ref="N539">IFERROR(_xlfn.XLOOKUP(1,('env Parameter'!$A:$A=$A539)*('env Parameter'!$B:$B=$K539)*('env Parameter'!$C:$C=$L539),'env Parameter'!I:I,""),"")</f>
        <v>YR</v>
      </c>
    </row>
    <row r="540" spans="1:14">
      <c r="A540">
        <f>eDNA!A540</f>
        <v>20200718</v>
      </c>
      <c r="B540" s="10" t="str" cm="1">
        <f t="array" ref="B540">IFERROR(_xlfn.XLOOKUP(1,('env Parameter'!$A:$A=$A540)*('env Parameter'!$B:$B=$K540)*('env Parameter'!$C:$C=$L540),'env Parameter'!H:H,""),"")</f>
        <v>생물상 조사</v>
      </c>
      <c r="C540" s="10" cm="1">
        <f t="array" ref="C540">IFERROR(_xlfn.XLOOKUP(1,('env Parameter'!$A:$A=$A540)*('env Parameter'!$B:$B=$K540)*('env Parameter'!$C:$C=$L540),'env Parameter'!E:E,""),"")</f>
        <v>2.14</v>
      </c>
      <c r="D540" s="10" cm="1">
        <f t="array" ref="D540">IFERROR(_xlfn.XLOOKUP(1,('env Parameter'!$A:$A=$A540)*('env Parameter'!$B:$B=$K540)*('env Parameter'!$C:$C=$L540),'env Parameter'!F:F,""),"")</f>
        <v>478</v>
      </c>
      <c r="E540" s="10" cm="1">
        <f t="array" ref="E540">IFERROR(_xlfn.XLOOKUP(1,('env Parameter'!$A:$A=$A540)*('env Parameter'!$B:$B=$K540)*('env Parameter'!$C:$C=$L540),'env Parameter'!G:G,""),"")</f>
        <v>7.6</v>
      </c>
      <c r="F540" t="str">
        <f>eDNA!F540</f>
        <v>MiFish</v>
      </c>
      <c r="G540" t="str">
        <f>eDNA!D540</f>
        <v>Carassius gibelio</v>
      </c>
      <c r="H540" t="str">
        <f>_xlfn.XLOOKUP(G540,'Common name (master file)'!$B:$B,'Common name (master file)'!$A:$A,"-------------")</f>
        <v>기벨리오 붕어</v>
      </c>
      <c r="I540">
        <f>eDNA!E540</f>
        <v>16280</v>
      </c>
      <c r="J540" t="str">
        <f>_xlfn.XLOOKUP(G540,'Common name (master file)'!$B:$B,'Common name (master file)'!$C:$C,"")</f>
        <v>어류</v>
      </c>
      <c r="K540">
        <f>eDNA!B540</f>
        <v>126.8663749</v>
      </c>
      <c r="L540">
        <f>eDNA!C540</f>
        <v>37.492704799999998</v>
      </c>
      <c r="M540" s="10" t="str" cm="1">
        <f t="array" ref="M540">IFERROR(_xlfn.XLOOKUP(1,('env Parameter'!$A:$A=$A540)*('env Parameter'!$B:$B=$K540)*('env Parameter'!$C:$C=$L540),'env Parameter'!D:D,""),"")</f>
        <v>안양천-22</v>
      </c>
      <c r="N540" s="10" t="str" cm="1">
        <f t="array" ref="N540">IFERROR(_xlfn.XLOOKUP(1,('env Parameter'!$A:$A=$A540)*('env Parameter'!$B:$B=$K540)*('env Parameter'!$C:$C=$L540),'env Parameter'!I:I,""),"")</f>
        <v>YR</v>
      </c>
    </row>
    <row r="541" spans="1:14">
      <c r="A541">
        <f>eDNA!A541</f>
        <v>20200718</v>
      </c>
      <c r="B541" s="10" t="str" cm="1">
        <f t="array" ref="B541">IFERROR(_xlfn.XLOOKUP(1,('env Parameter'!$A:$A=$A541)*('env Parameter'!$B:$B=$K541)*('env Parameter'!$C:$C=$L541),'env Parameter'!H:H,""),"")</f>
        <v>생물상 조사</v>
      </c>
      <c r="C541" s="10" cm="1">
        <f t="array" ref="C541">IFERROR(_xlfn.XLOOKUP(1,('env Parameter'!$A:$A=$A541)*('env Parameter'!$B:$B=$K541)*('env Parameter'!$C:$C=$L541),'env Parameter'!E:E,""),"")</f>
        <v>2.14</v>
      </c>
      <c r="D541" s="10" cm="1">
        <f t="array" ref="D541">IFERROR(_xlfn.XLOOKUP(1,('env Parameter'!$A:$A=$A541)*('env Parameter'!$B:$B=$K541)*('env Parameter'!$C:$C=$L541),'env Parameter'!F:F,""),"")</f>
        <v>478</v>
      </c>
      <c r="E541" s="10" cm="1">
        <f t="array" ref="E541">IFERROR(_xlfn.XLOOKUP(1,('env Parameter'!$A:$A=$A541)*('env Parameter'!$B:$B=$K541)*('env Parameter'!$C:$C=$L541),'env Parameter'!G:G,""),"")</f>
        <v>7.6</v>
      </c>
      <c r="F541" t="str">
        <f>eDNA!F541</f>
        <v>MiFish</v>
      </c>
      <c r="G541" t="str">
        <f>eDNA!D541</f>
        <v>Sciaenops ocellatus</v>
      </c>
      <c r="H541" t="str">
        <f>_xlfn.XLOOKUP(G541,'Common name (master file)'!$B:$B,'Common name (master file)'!$A:$A,"-------------")</f>
        <v>점성어</v>
      </c>
      <c r="I541">
        <f>eDNA!E541</f>
        <v>81</v>
      </c>
      <c r="J541" t="str">
        <f>_xlfn.XLOOKUP(G541,'Common name (master file)'!$B:$B,'Common name (master file)'!$C:$C,"")</f>
        <v>어류</v>
      </c>
      <c r="K541">
        <f>eDNA!B541</f>
        <v>126.8446659</v>
      </c>
      <c r="L541">
        <f>eDNA!C541</f>
        <v>37.420618699999999</v>
      </c>
      <c r="M541" s="10" t="str" cm="1">
        <f t="array" ref="M541">IFERROR(_xlfn.XLOOKUP(1,('env Parameter'!$A:$A=$A541)*('env Parameter'!$B:$B=$K541)*('env Parameter'!$C:$C=$L541),'env Parameter'!D:D,""),"")</f>
        <v>목감천-3</v>
      </c>
      <c r="N541" s="10" t="str" cm="1">
        <f t="array" ref="N541">IFERROR(_xlfn.XLOOKUP(1,('env Parameter'!$A:$A=$A541)*('env Parameter'!$B:$B=$K541)*('env Parameter'!$C:$C=$L541),'env Parameter'!I:I,""),"")</f>
        <v>YR</v>
      </c>
    </row>
    <row r="542" spans="1:14">
      <c r="A542">
        <f>eDNA!A542</f>
        <v>20200718</v>
      </c>
      <c r="B542" s="10" t="str" cm="1">
        <f t="array" ref="B542">IFERROR(_xlfn.XLOOKUP(1,('env Parameter'!$A:$A=$A542)*('env Parameter'!$B:$B=$K542)*('env Parameter'!$C:$C=$L542),'env Parameter'!H:H,""),"")</f>
        <v>생물상 조사</v>
      </c>
      <c r="C542" s="10" cm="1">
        <f t="array" ref="C542">IFERROR(_xlfn.XLOOKUP(1,('env Parameter'!$A:$A=$A542)*('env Parameter'!$B:$B=$K542)*('env Parameter'!$C:$C=$L542),'env Parameter'!E:E,""),"")</f>
        <v>2.14</v>
      </c>
      <c r="D542" s="10" cm="1">
        <f t="array" ref="D542">IFERROR(_xlfn.XLOOKUP(1,('env Parameter'!$A:$A=$A542)*('env Parameter'!$B:$B=$K542)*('env Parameter'!$C:$C=$L542),'env Parameter'!F:F,""),"")</f>
        <v>478</v>
      </c>
      <c r="E542" s="10" cm="1">
        <f t="array" ref="E542">IFERROR(_xlfn.XLOOKUP(1,('env Parameter'!$A:$A=$A542)*('env Parameter'!$B:$B=$K542)*('env Parameter'!$C:$C=$L542),'env Parameter'!G:G,""),"")</f>
        <v>7.6</v>
      </c>
      <c r="F542" t="str">
        <f>eDNA!F542</f>
        <v>MiFish</v>
      </c>
      <c r="G542" t="str">
        <f>eDNA!D542</f>
        <v>Bos taurus</v>
      </c>
      <c r="H542" t="str">
        <f>_xlfn.XLOOKUP(G542,'Common name (master file)'!$B:$B,'Common name (master file)'!$A:$A,"-------------")</f>
        <v>소</v>
      </c>
      <c r="I542">
        <f>eDNA!E542</f>
        <v>20</v>
      </c>
      <c r="J542" t="str">
        <f>_xlfn.XLOOKUP(G542,'Common name (master file)'!$B:$B,'Common name (master file)'!$C:$C,"")</f>
        <v>포유류</v>
      </c>
      <c r="K542">
        <f>eDNA!B542</f>
        <v>126.82462289999999</v>
      </c>
      <c r="L542">
        <f>eDNA!C542</f>
        <v>37.470256399999997</v>
      </c>
      <c r="M542" s="10" t="str" cm="1">
        <f t="array" ref="M542">IFERROR(_xlfn.XLOOKUP(1,('env Parameter'!$A:$A=$A542)*('env Parameter'!$B:$B=$K542)*('env Parameter'!$C:$C=$L542),'env Parameter'!D:D,""),"")</f>
        <v>옥길천</v>
      </c>
      <c r="N542" s="10" t="str" cm="1">
        <f t="array" ref="N542">IFERROR(_xlfn.XLOOKUP(1,('env Parameter'!$A:$A=$A542)*('env Parameter'!$B:$B=$K542)*('env Parameter'!$C:$C=$L542),'env Parameter'!I:I,""),"")</f>
        <v>YR</v>
      </c>
    </row>
    <row r="543" spans="1:14">
      <c r="A543">
        <f>eDNA!A543</f>
        <v>20200718</v>
      </c>
      <c r="B543" s="10" t="str" cm="1">
        <f t="array" ref="B543">IFERROR(_xlfn.XLOOKUP(1,('env Parameter'!$A:$A=$A543)*('env Parameter'!$B:$B=$K543)*('env Parameter'!$C:$C=$L543),'env Parameter'!H:H,""),"")</f>
        <v>생물상 조사</v>
      </c>
      <c r="C543" s="10" cm="1">
        <f t="array" ref="C543">IFERROR(_xlfn.XLOOKUP(1,('env Parameter'!$A:$A=$A543)*('env Parameter'!$B:$B=$K543)*('env Parameter'!$C:$C=$L543),'env Parameter'!E:E,""),"")</f>
        <v>2.14</v>
      </c>
      <c r="D543" s="10" cm="1">
        <f t="array" ref="D543">IFERROR(_xlfn.XLOOKUP(1,('env Parameter'!$A:$A=$A543)*('env Parameter'!$B:$B=$K543)*('env Parameter'!$C:$C=$L543),'env Parameter'!F:F,""),"")</f>
        <v>478</v>
      </c>
      <c r="E543" s="10" cm="1">
        <f t="array" ref="E543">IFERROR(_xlfn.XLOOKUP(1,('env Parameter'!$A:$A=$A543)*('env Parameter'!$B:$B=$K543)*('env Parameter'!$C:$C=$L543),'env Parameter'!G:G,""),"")</f>
        <v>7.6</v>
      </c>
      <c r="F543" t="str">
        <f>eDNA!F543</f>
        <v>MiFish</v>
      </c>
      <c r="G543" t="str">
        <f>eDNA!D543</f>
        <v>Tadorna tadorna</v>
      </c>
      <c r="H543" t="str">
        <f>_xlfn.XLOOKUP(G543,'Common name (master file)'!$B:$B,'Common name (master file)'!$A:$A,"-------------")</f>
        <v>혹부리오리</v>
      </c>
      <c r="I543">
        <f>eDNA!E543</f>
        <v>23</v>
      </c>
      <c r="J543" t="str">
        <f>_xlfn.XLOOKUP(G543,'Common name (master file)'!$B:$B,'Common name (master file)'!$C:$C,"")</f>
        <v>조류</v>
      </c>
      <c r="K543">
        <f>eDNA!B543</f>
        <v>126.82462289999999</v>
      </c>
      <c r="L543">
        <f>eDNA!C543</f>
        <v>37.470256399999997</v>
      </c>
      <c r="M543" s="10" t="str" cm="1">
        <f t="array" ref="M543">IFERROR(_xlfn.XLOOKUP(1,('env Parameter'!$A:$A=$A543)*('env Parameter'!$B:$B=$K543)*('env Parameter'!$C:$C=$L543),'env Parameter'!D:D,""),"")</f>
        <v>옥길천</v>
      </c>
      <c r="N543" s="10" t="str" cm="1">
        <f t="array" ref="N543">IFERROR(_xlfn.XLOOKUP(1,('env Parameter'!$A:$A=$A543)*('env Parameter'!$B:$B=$K543)*('env Parameter'!$C:$C=$L543),'env Parameter'!I:I,""),"")</f>
        <v>YR</v>
      </c>
    </row>
    <row r="544" spans="1:14">
      <c r="A544">
        <f>eDNA!A544</f>
        <v>20200718</v>
      </c>
      <c r="B544" s="10" t="str" cm="1">
        <f t="array" ref="B544">IFERROR(_xlfn.XLOOKUP(1,('env Parameter'!$A:$A=$A544)*('env Parameter'!$B:$B=$K544)*('env Parameter'!$C:$C=$L544),'env Parameter'!H:H,""),"")</f>
        <v>생물상 조사</v>
      </c>
      <c r="C544" s="10" cm="1">
        <f t="array" ref="C544">IFERROR(_xlfn.XLOOKUP(1,('env Parameter'!$A:$A=$A544)*('env Parameter'!$B:$B=$K544)*('env Parameter'!$C:$C=$L544),'env Parameter'!E:E,""),"")</f>
        <v>2.14</v>
      </c>
      <c r="D544" s="10" cm="1">
        <f t="array" ref="D544">IFERROR(_xlfn.XLOOKUP(1,('env Parameter'!$A:$A=$A544)*('env Parameter'!$B:$B=$K544)*('env Parameter'!$C:$C=$L544),'env Parameter'!F:F,""),"")</f>
        <v>478</v>
      </c>
      <c r="E544" s="10" cm="1">
        <f t="array" ref="E544">IFERROR(_xlfn.XLOOKUP(1,('env Parameter'!$A:$A=$A544)*('env Parameter'!$B:$B=$K544)*('env Parameter'!$C:$C=$L544),'env Parameter'!G:G,""),"")</f>
        <v>7.6</v>
      </c>
      <c r="F544" t="str">
        <f>eDNA!F544</f>
        <v>MiFish</v>
      </c>
      <c r="G544" t="str">
        <f>eDNA!D544</f>
        <v>Bos taurus</v>
      </c>
      <c r="H544" t="str">
        <f>_xlfn.XLOOKUP(G544,'Common name (master file)'!$B:$B,'Common name (master file)'!$A:$A,"-------------")</f>
        <v>소</v>
      </c>
      <c r="I544">
        <f>eDNA!E544</f>
        <v>30</v>
      </c>
      <c r="J544" t="str">
        <f>_xlfn.XLOOKUP(G544,'Common name (master file)'!$B:$B,'Common name (master file)'!$C:$C,"")</f>
        <v>포유류</v>
      </c>
      <c r="K544">
        <f>eDNA!B544</f>
        <v>126.82462289999999</v>
      </c>
      <c r="L544">
        <f>eDNA!C544</f>
        <v>37.470256399999997</v>
      </c>
      <c r="M544" s="10" t="str" cm="1">
        <f t="array" ref="M544">IFERROR(_xlfn.XLOOKUP(1,('env Parameter'!$A:$A=$A544)*('env Parameter'!$B:$B=$K544)*('env Parameter'!$C:$C=$L544),'env Parameter'!D:D,""),"")</f>
        <v>옥길천</v>
      </c>
      <c r="N544" s="10" t="str" cm="1">
        <f t="array" ref="N544">IFERROR(_xlfn.XLOOKUP(1,('env Parameter'!$A:$A=$A544)*('env Parameter'!$B:$B=$K544)*('env Parameter'!$C:$C=$L544),'env Parameter'!I:I,""),"")</f>
        <v>YR</v>
      </c>
    </row>
    <row r="545" spans="1:14">
      <c r="A545">
        <f>eDNA!A545</f>
        <v>20200718</v>
      </c>
      <c r="B545" s="10" t="str" cm="1">
        <f t="array" ref="B545">IFERROR(_xlfn.XLOOKUP(1,('env Parameter'!$A:$A=$A545)*('env Parameter'!$B:$B=$K545)*('env Parameter'!$C:$C=$L545),'env Parameter'!H:H,""),"")</f>
        <v>생물상 조사</v>
      </c>
      <c r="C545" s="10" cm="1">
        <f t="array" ref="C545">IFERROR(_xlfn.XLOOKUP(1,('env Parameter'!$A:$A=$A545)*('env Parameter'!$B:$B=$K545)*('env Parameter'!$C:$C=$L545),'env Parameter'!E:E,""),"")</f>
        <v>2.14</v>
      </c>
      <c r="D545" s="10" cm="1">
        <f t="array" ref="D545">IFERROR(_xlfn.XLOOKUP(1,('env Parameter'!$A:$A=$A545)*('env Parameter'!$B:$B=$K545)*('env Parameter'!$C:$C=$L545),'env Parameter'!F:F,""),"")</f>
        <v>478</v>
      </c>
      <c r="E545" s="10" cm="1">
        <f t="array" ref="E545">IFERROR(_xlfn.XLOOKUP(1,('env Parameter'!$A:$A=$A545)*('env Parameter'!$B:$B=$K545)*('env Parameter'!$C:$C=$L545),'env Parameter'!G:G,""),"")</f>
        <v>7.6</v>
      </c>
      <c r="F545" t="str">
        <f>eDNA!F545</f>
        <v>MiFish</v>
      </c>
      <c r="G545" t="str">
        <f>eDNA!D545</f>
        <v>Misgurnus bipartitus</v>
      </c>
      <c r="H545" t="str">
        <f>_xlfn.XLOOKUP(G545,'Common name (master file)'!$B:$B,'Common name (master file)'!$A:$A,"-------------")</f>
        <v>쌍무늬미꾸리</v>
      </c>
      <c r="I545">
        <f>eDNA!E545</f>
        <v>41</v>
      </c>
      <c r="J545" t="str">
        <f>_xlfn.XLOOKUP(G545,'Common name (master file)'!$B:$B,'Common name (master file)'!$C:$C,"")</f>
        <v>어류</v>
      </c>
      <c r="K545">
        <f>eDNA!B545</f>
        <v>126.82462289999999</v>
      </c>
      <c r="L545">
        <f>eDNA!C545</f>
        <v>37.470256399999997</v>
      </c>
      <c r="M545" s="10" t="str" cm="1">
        <f t="array" ref="M545">IFERROR(_xlfn.XLOOKUP(1,('env Parameter'!$A:$A=$A545)*('env Parameter'!$B:$B=$K545)*('env Parameter'!$C:$C=$L545),'env Parameter'!D:D,""),"")</f>
        <v>옥길천</v>
      </c>
      <c r="N545" s="10" t="str" cm="1">
        <f t="array" ref="N545">IFERROR(_xlfn.XLOOKUP(1,('env Parameter'!$A:$A=$A545)*('env Parameter'!$B:$B=$K545)*('env Parameter'!$C:$C=$L545),'env Parameter'!I:I,""),"")</f>
        <v>YR</v>
      </c>
    </row>
    <row r="546" spans="1:14">
      <c r="A546">
        <f>eDNA!A546</f>
        <v>20200718</v>
      </c>
      <c r="B546" s="10" t="str" cm="1">
        <f t="array" ref="B546">IFERROR(_xlfn.XLOOKUP(1,('env Parameter'!$A:$A=$A546)*('env Parameter'!$B:$B=$K546)*('env Parameter'!$C:$C=$L546),'env Parameter'!H:H,""),"")</f>
        <v>생물상 조사</v>
      </c>
      <c r="C546" s="10" cm="1">
        <f t="array" ref="C546">IFERROR(_xlfn.XLOOKUP(1,('env Parameter'!$A:$A=$A546)*('env Parameter'!$B:$B=$K546)*('env Parameter'!$C:$C=$L546),'env Parameter'!E:E,""),"")</f>
        <v>2.14</v>
      </c>
      <c r="D546" s="10" cm="1">
        <f t="array" ref="D546">IFERROR(_xlfn.XLOOKUP(1,('env Parameter'!$A:$A=$A546)*('env Parameter'!$B:$B=$K546)*('env Parameter'!$C:$C=$L546),'env Parameter'!F:F,""),"")</f>
        <v>478</v>
      </c>
      <c r="E546" s="10" cm="1">
        <f t="array" ref="E546">IFERROR(_xlfn.XLOOKUP(1,('env Parameter'!$A:$A=$A546)*('env Parameter'!$B:$B=$K546)*('env Parameter'!$C:$C=$L546),'env Parameter'!G:G,""),"")</f>
        <v>7.6</v>
      </c>
      <c r="F546" t="str">
        <f>eDNA!F546</f>
        <v>MiFish</v>
      </c>
      <c r="G546" t="str">
        <f>eDNA!D546</f>
        <v>Rhynchocypris oxycephalus</v>
      </c>
      <c r="H546" t="str">
        <f>_xlfn.XLOOKUP(G546,'Common name (master file)'!$B:$B,'Common name (master file)'!$A:$A,"-------------")</f>
        <v>버들치</v>
      </c>
      <c r="I546">
        <f>eDNA!E546</f>
        <v>48</v>
      </c>
      <c r="J546" t="str">
        <f>_xlfn.XLOOKUP(G546,'Common name (master file)'!$B:$B,'Common name (master file)'!$C:$C,"")</f>
        <v>어류</v>
      </c>
      <c r="K546">
        <f>eDNA!B546</f>
        <v>126.82462289999999</v>
      </c>
      <c r="L546">
        <f>eDNA!C546</f>
        <v>37.470256399999997</v>
      </c>
      <c r="M546" s="10" t="str" cm="1">
        <f t="array" ref="M546">IFERROR(_xlfn.XLOOKUP(1,('env Parameter'!$A:$A=$A546)*('env Parameter'!$B:$B=$K546)*('env Parameter'!$C:$C=$L546),'env Parameter'!D:D,""),"")</f>
        <v>옥길천</v>
      </c>
      <c r="N546" s="10" t="str" cm="1">
        <f t="array" ref="N546">IFERROR(_xlfn.XLOOKUP(1,('env Parameter'!$A:$A=$A546)*('env Parameter'!$B:$B=$K546)*('env Parameter'!$C:$C=$L546),'env Parameter'!I:I,""),"")</f>
        <v>YR</v>
      </c>
    </row>
    <row r="547" spans="1:14">
      <c r="A547">
        <f>eDNA!A547</f>
        <v>20200718</v>
      </c>
      <c r="B547" s="10" t="str" cm="1">
        <f t="array" ref="B547">IFERROR(_xlfn.XLOOKUP(1,('env Parameter'!$A:$A=$A547)*('env Parameter'!$B:$B=$K547)*('env Parameter'!$C:$C=$L547),'env Parameter'!H:H,""),"")</f>
        <v>생물상 조사</v>
      </c>
      <c r="C547" s="10" cm="1">
        <f t="array" ref="C547">IFERROR(_xlfn.XLOOKUP(1,('env Parameter'!$A:$A=$A547)*('env Parameter'!$B:$B=$K547)*('env Parameter'!$C:$C=$L547),'env Parameter'!E:E,""),"")</f>
        <v>2.14</v>
      </c>
      <c r="D547" s="10" cm="1">
        <f t="array" ref="D547">IFERROR(_xlfn.XLOOKUP(1,('env Parameter'!$A:$A=$A547)*('env Parameter'!$B:$B=$K547)*('env Parameter'!$C:$C=$L547),'env Parameter'!F:F,""),"")</f>
        <v>478</v>
      </c>
      <c r="E547" s="10" cm="1">
        <f t="array" ref="E547">IFERROR(_xlfn.XLOOKUP(1,('env Parameter'!$A:$A=$A547)*('env Parameter'!$B:$B=$K547)*('env Parameter'!$C:$C=$L547),'env Parameter'!G:G,""),"")</f>
        <v>7.6</v>
      </c>
      <c r="F547" t="str">
        <f>eDNA!F547</f>
        <v>MiFish</v>
      </c>
      <c r="G547" t="str">
        <f>eDNA!D547</f>
        <v>Lophius litulon</v>
      </c>
      <c r="H547" t="str">
        <f>_xlfn.XLOOKUP(G547,'Common name (master file)'!$B:$B,'Common name (master file)'!$A:$A,"-------------")</f>
        <v>황아귀</v>
      </c>
      <c r="I547">
        <f>eDNA!E547</f>
        <v>49</v>
      </c>
      <c r="J547" t="str">
        <f>_xlfn.XLOOKUP(G547,'Common name (master file)'!$B:$B,'Common name (master file)'!$C:$C,"")</f>
        <v>어류</v>
      </c>
      <c r="K547">
        <f>eDNA!B547</f>
        <v>126.82462289999999</v>
      </c>
      <c r="L547">
        <f>eDNA!C547</f>
        <v>37.470256399999997</v>
      </c>
      <c r="M547" s="10" t="str" cm="1">
        <f t="array" ref="M547">IFERROR(_xlfn.XLOOKUP(1,('env Parameter'!$A:$A=$A547)*('env Parameter'!$B:$B=$K547)*('env Parameter'!$C:$C=$L547),'env Parameter'!D:D,""),"")</f>
        <v>옥길천</v>
      </c>
      <c r="N547" s="10" t="str" cm="1">
        <f t="array" ref="N547">IFERROR(_xlfn.XLOOKUP(1,('env Parameter'!$A:$A=$A547)*('env Parameter'!$B:$B=$K547)*('env Parameter'!$C:$C=$L547),'env Parameter'!I:I,""),"")</f>
        <v>YR</v>
      </c>
    </row>
    <row r="548" spans="1:14">
      <c r="A548">
        <f>eDNA!A548</f>
        <v>20200718</v>
      </c>
      <c r="B548" s="10" t="str" cm="1">
        <f t="array" ref="B548">IFERROR(_xlfn.XLOOKUP(1,('env Parameter'!$A:$A=$A548)*('env Parameter'!$B:$B=$K548)*('env Parameter'!$C:$C=$L548),'env Parameter'!H:H,""),"")</f>
        <v>생물상 조사</v>
      </c>
      <c r="C548" s="10" cm="1">
        <f t="array" ref="C548">IFERROR(_xlfn.XLOOKUP(1,('env Parameter'!$A:$A=$A548)*('env Parameter'!$B:$B=$K548)*('env Parameter'!$C:$C=$L548),'env Parameter'!E:E,""),"")</f>
        <v>2.14</v>
      </c>
      <c r="D548" s="10" cm="1">
        <f t="array" ref="D548">IFERROR(_xlfn.XLOOKUP(1,('env Parameter'!$A:$A=$A548)*('env Parameter'!$B:$B=$K548)*('env Parameter'!$C:$C=$L548),'env Parameter'!F:F,""),"")</f>
        <v>478</v>
      </c>
      <c r="E548" s="10" cm="1">
        <f t="array" ref="E548">IFERROR(_xlfn.XLOOKUP(1,('env Parameter'!$A:$A=$A548)*('env Parameter'!$B:$B=$K548)*('env Parameter'!$C:$C=$L548),'env Parameter'!G:G,""),"")</f>
        <v>7.6</v>
      </c>
      <c r="F548" t="str">
        <f>eDNA!F548</f>
        <v>MiFish</v>
      </c>
      <c r="G548" t="str">
        <f>eDNA!D548</f>
        <v>Theragra chalcogramma</v>
      </c>
      <c r="H548" t="str">
        <f>_xlfn.XLOOKUP(G548,'Common name (master file)'!$B:$B,'Common name (master file)'!$A:$A,"-------------")</f>
        <v>명태</v>
      </c>
      <c r="I548">
        <f>eDNA!E548</f>
        <v>52</v>
      </c>
      <c r="J548" t="str">
        <f>_xlfn.XLOOKUP(G548,'Common name (master file)'!$B:$B,'Common name (master file)'!$C:$C,"")</f>
        <v>어류</v>
      </c>
      <c r="K548">
        <f>eDNA!B548</f>
        <v>126.82462289999999</v>
      </c>
      <c r="L548">
        <f>eDNA!C548</f>
        <v>37.470256399999997</v>
      </c>
      <c r="M548" s="10" t="str" cm="1">
        <f t="array" ref="M548">IFERROR(_xlfn.XLOOKUP(1,('env Parameter'!$A:$A=$A548)*('env Parameter'!$B:$B=$K548)*('env Parameter'!$C:$C=$L548),'env Parameter'!D:D,""),"")</f>
        <v>옥길천</v>
      </c>
      <c r="N548" s="10" t="str" cm="1">
        <f t="array" ref="N548">IFERROR(_xlfn.XLOOKUP(1,('env Parameter'!$A:$A=$A548)*('env Parameter'!$B:$B=$K548)*('env Parameter'!$C:$C=$L548),'env Parameter'!I:I,""),"")</f>
        <v>YR</v>
      </c>
    </row>
    <row r="549" spans="1:14">
      <c r="A549">
        <f>eDNA!A549</f>
        <v>20200718</v>
      </c>
      <c r="B549" s="10" t="str" cm="1">
        <f t="array" ref="B549">IFERROR(_xlfn.XLOOKUP(1,('env Parameter'!$A:$A=$A549)*('env Parameter'!$B:$B=$K549)*('env Parameter'!$C:$C=$L549),'env Parameter'!H:H,""),"")</f>
        <v>생물상 조사</v>
      </c>
      <c r="C549" s="10" cm="1">
        <f t="array" ref="C549">IFERROR(_xlfn.XLOOKUP(1,('env Parameter'!$A:$A=$A549)*('env Parameter'!$B:$B=$K549)*('env Parameter'!$C:$C=$L549),'env Parameter'!E:E,""),"")</f>
        <v>2.14</v>
      </c>
      <c r="D549" s="10" cm="1">
        <f t="array" ref="D549">IFERROR(_xlfn.XLOOKUP(1,('env Parameter'!$A:$A=$A549)*('env Parameter'!$B:$B=$K549)*('env Parameter'!$C:$C=$L549),'env Parameter'!F:F,""),"")</f>
        <v>478</v>
      </c>
      <c r="E549" s="10" cm="1">
        <f t="array" ref="E549">IFERROR(_xlfn.XLOOKUP(1,('env Parameter'!$A:$A=$A549)*('env Parameter'!$B:$B=$K549)*('env Parameter'!$C:$C=$L549),'env Parameter'!G:G,""),"")</f>
        <v>7.6</v>
      </c>
      <c r="F549" t="str">
        <f>eDNA!F549</f>
        <v>MiFish</v>
      </c>
      <c r="G549" t="str">
        <f>eDNA!D549</f>
        <v>Hemibarbus sp.</v>
      </c>
      <c r="H549" t="str">
        <f>_xlfn.XLOOKUP(G549,'Common name (master file)'!$B:$B,'Common name (master file)'!$A:$A,"-------------")</f>
        <v>누치 속</v>
      </c>
      <c r="I549">
        <f>eDNA!E549</f>
        <v>52</v>
      </c>
      <c r="J549" t="str">
        <f>_xlfn.XLOOKUP(G549,'Common name (master file)'!$B:$B,'Common name (master file)'!$C:$C,"")</f>
        <v>어류</v>
      </c>
      <c r="K549">
        <f>eDNA!B549</f>
        <v>126.82462289999999</v>
      </c>
      <c r="L549">
        <f>eDNA!C549</f>
        <v>37.470256399999997</v>
      </c>
      <c r="M549" s="10" t="str" cm="1">
        <f t="array" ref="M549">IFERROR(_xlfn.XLOOKUP(1,('env Parameter'!$A:$A=$A549)*('env Parameter'!$B:$B=$K549)*('env Parameter'!$C:$C=$L549),'env Parameter'!D:D,""),"")</f>
        <v>옥길천</v>
      </c>
      <c r="N549" s="10" t="str" cm="1">
        <f t="array" ref="N549">IFERROR(_xlfn.XLOOKUP(1,('env Parameter'!$A:$A=$A549)*('env Parameter'!$B:$B=$K549)*('env Parameter'!$C:$C=$L549),'env Parameter'!I:I,""),"")</f>
        <v>YR</v>
      </c>
    </row>
    <row r="550" spans="1:14">
      <c r="A550">
        <f>eDNA!A550</f>
        <v>20200718</v>
      </c>
      <c r="B550" s="10" t="str" cm="1">
        <f t="array" ref="B550">IFERROR(_xlfn.XLOOKUP(1,('env Parameter'!$A:$A=$A550)*('env Parameter'!$B:$B=$K550)*('env Parameter'!$C:$C=$L550),'env Parameter'!H:H,""),"")</f>
        <v>생물상 조사</v>
      </c>
      <c r="C550" s="10" cm="1">
        <f t="array" ref="C550">IFERROR(_xlfn.XLOOKUP(1,('env Parameter'!$A:$A=$A550)*('env Parameter'!$B:$B=$K550)*('env Parameter'!$C:$C=$L550),'env Parameter'!E:E,""),"")</f>
        <v>2.14</v>
      </c>
      <c r="D550" s="10" cm="1">
        <f t="array" ref="D550">IFERROR(_xlfn.XLOOKUP(1,('env Parameter'!$A:$A=$A550)*('env Parameter'!$B:$B=$K550)*('env Parameter'!$C:$C=$L550),'env Parameter'!F:F,""),"")</f>
        <v>478</v>
      </c>
      <c r="E550" s="10" cm="1">
        <f t="array" ref="E550">IFERROR(_xlfn.XLOOKUP(1,('env Parameter'!$A:$A=$A550)*('env Parameter'!$B:$B=$K550)*('env Parameter'!$C:$C=$L550),'env Parameter'!G:G,""),"")</f>
        <v>7.6</v>
      </c>
      <c r="F550" t="str">
        <f>eDNA!F550</f>
        <v>MiFish</v>
      </c>
      <c r="G550" t="str">
        <f>eDNA!D550</f>
        <v>Capra hircus</v>
      </c>
      <c r="H550" t="str">
        <f>_xlfn.XLOOKUP(G550,'Common name (master file)'!$B:$B,'Common name (master file)'!$A:$A,"-------------")</f>
        <v>염소</v>
      </c>
      <c r="I550">
        <f>eDNA!E550</f>
        <v>53</v>
      </c>
      <c r="J550" t="str">
        <f>_xlfn.XLOOKUP(G550,'Common name (master file)'!$B:$B,'Common name (master file)'!$C:$C,"")</f>
        <v>포유류</v>
      </c>
      <c r="K550">
        <f>eDNA!B550</f>
        <v>126.82462289999999</v>
      </c>
      <c r="L550">
        <f>eDNA!C550</f>
        <v>37.470256399999997</v>
      </c>
      <c r="M550" s="10" t="str" cm="1">
        <f t="array" ref="M550">IFERROR(_xlfn.XLOOKUP(1,('env Parameter'!$A:$A=$A550)*('env Parameter'!$B:$B=$K550)*('env Parameter'!$C:$C=$L550),'env Parameter'!D:D,""),"")</f>
        <v>옥길천</v>
      </c>
      <c r="N550" s="10" t="str" cm="1">
        <f t="array" ref="N550">IFERROR(_xlfn.XLOOKUP(1,('env Parameter'!$A:$A=$A550)*('env Parameter'!$B:$B=$K550)*('env Parameter'!$C:$C=$L550),'env Parameter'!I:I,""),"")</f>
        <v>YR</v>
      </c>
    </row>
    <row r="551" spans="1:14">
      <c r="A551">
        <f>eDNA!A551</f>
        <v>20200718</v>
      </c>
      <c r="B551" s="10" t="str" cm="1">
        <f t="array" ref="B551">IFERROR(_xlfn.XLOOKUP(1,('env Parameter'!$A:$A=$A551)*('env Parameter'!$B:$B=$K551)*('env Parameter'!$C:$C=$L551),'env Parameter'!H:H,""),"")</f>
        <v>생물상 조사</v>
      </c>
      <c r="C551" s="10" cm="1">
        <f t="array" ref="C551">IFERROR(_xlfn.XLOOKUP(1,('env Parameter'!$A:$A=$A551)*('env Parameter'!$B:$B=$K551)*('env Parameter'!$C:$C=$L551),'env Parameter'!E:E,""),"")</f>
        <v>2.14</v>
      </c>
      <c r="D551" s="10" cm="1">
        <f t="array" ref="D551">IFERROR(_xlfn.XLOOKUP(1,('env Parameter'!$A:$A=$A551)*('env Parameter'!$B:$B=$K551)*('env Parameter'!$C:$C=$L551),'env Parameter'!F:F,""),"")</f>
        <v>478</v>
      </c>
      <c r="E551" s="10" cm="1">
        <f t="array" ref="E551">IFERROR(_xlfn.XLOOKUP(1,('env Parameter'!$A:$A=$A551)*('env Parameter'!$B:$B=$K551)*('env Parameter'!$C:$C=$L551),'env Parameter'!G:G,""),"")</f>
        <v>7.6</v>
      </c>
      <c r="F551" t="str">
        <f>eDNA!F551</f>
        <v>MiFish</v>
      </c>
      <c r="G551" t="str">
        <f>eDNA!D551</f>
        <v>Homo sapiens</v>
      </c>
      <c r="H551" t="str">
        <f>_xlfn.XLOOKUP(G551,'Common name (master file)'!$B:$B,'Common name (master file)'!$A:$A,"-------------")</f>
        <v>사람</v>
      </c>
      <c r="I551">
        <f>eDNA!E551</f>
        <v>71</v>
      </c>
      <c r="J551" t="str">
        <f>_xlfn.XLOOKUP(G551,'Common name (master file)'!$B:$B,'Common name (master file)'!$C:$C,"")</f>
        <v>포유류</v>
      </c>
      <c r="K551">
        <f>eDNA!B551</f>
        <v>126.82462289999999</v>
      </c>
      <c r="L551">
        <f>eDNA!C551</f>
        <v>37.470256399999997</v>
      </c>
      <c r="M551" s="10" t="str" cm="1">
        <f t="array" ref="M551">IFERROR(_xlfn.XLOOKUP(1,('env Parameter'!$A:$A=$A551)*('env Parameter'!$B:$B=$K551)*('env Parameter'!$C:$C=$L551),'env Parameter'!D:D,""),"")</f>
        <v>옥길천</v>
      </c>
      <c r="N551" s="10" t="str" cm="1">
        <f t="array" ref="N551">IFERROR(_xlfn.XLOOKUP(1,('env Parameter'!$A:$A=$A551)*('env Parameter'!$B:$B=$K551)*('env Parameter'!$C:$C=$L551),'env Parameter'!I:I,""),"")</f>
        <v>YR</v>
      </c>
    </row>
    <row r="552" spans="1:14">
      <c r="A552">
        <f>eDNA!A552</f>
        <v>20200718</v>
      </c>
      <c r="B552" s="10" t="str" cm="1">
        <f t="array" ref="B552">IFERROR(_xlfn.XLOOKUP(1,('env Parameter'!$A:$A=$A552)*('env Parameter'!$B:$B=$K552)*('env Parameter'!$C:$C=$L552),'env Parameter'!H:H,""),"")</f>
        <v>생물상 조사</v>
      </c>
      <c r="C552" s="10" cm="1">
        <f t="array" ref="C552">IFERROR(_xlfn.XLOOKUP(1,('env Parameter'!$A:$A=$A552)*('env Parameter'!$B:$B=$K552)*('env Parameter'!$C:$C=$L552),'env Parameter'!E:E,""),"")</f>
        <v>2.14</v>
      </c>
      <c r="D552" s="10" cm="1">
        <f t="array" ref="D552">IFERROR(_xlfn.XLOOKUP(1,('env Parameter'!$A:$A=$A552)*('env Parameter'!$B:$B=$K552)*('env Parameter'!$C:$C=$L552),'env Parameter'!F:F,""),"")</f>
        <v>478</v>
      </c>
      <c r="E552" s="10" cm="1">
        <f t="array" ref="E552">IFERROR(_xlfn.XLOOKUP(1,('env Parameter'!$A:$A=$A552)*('env Parameter'!$B:$B=$K552)*('env Parameter'!$C:$C=$L552),'env Parameter'!G:G,""),"")</f>
        <v>7.6</v>
      </c>
      <c r="F552" t="str">
        <f>eDNA!F552</f>
        <v>MiFish</v>
      </c>
      <c r="G552" t="str">
        <f>eDNA!D552</f>
        <v>Carassius auratus</v>
      </c>
      <c r="H552" t="str">
        <f>_xlfn.XLOOKUP(G552,'Common name (master file)'!$B:$B,'Common name (master file)'!$A:$A,"-------------")</f>
        <v>붕어</v>
      </c>
      <c r="I552">
        <f>eDNA!E552</f>
        <v>73</v>
      </c>
      <c r="J552" t="str">
        <f>_xlfn.XLOOKUP(G552,'Common name (master file)'!$B:$B,'Common name (master file)'!$C:$C,"")</f>
        <v>어류</v>
      </c>
      <c r="K552">
        <f>eDNA!B552</f>
        <v>126.82462289999999</v>
      </c>
      <c r="L552">
        <f>eDNA!C552</f>
        <v>37.470256399999997</v>
      </c>
      <c r="M552" s="10" t="str" cm="1">
        <f t="array" ref="M552">IFERROR(_xlfn.XLOOKUP(1,('env Parameter'!$A:$A=$A552)*('env Parameter'!$B:$B=$K552)*('env Parameter'!$C:$C=$L552),'env Parameter'!D:D,""),"")</f>
        <v>옥길천</v>
      </c>
      <c r="N552" s="10" t="str" cm="1">
        <f t="array" ref="N552">IFERROR(_xlfn.XLOOKUP(1,('env Parameter'!$A:$A=$A552)*('env Parameter'!$B:$B=$K552)*('env Parameter'!$C:$C=$L552),'env Parameter'!I:I,""),"")</f>
        <v>YR</v>
      </c>
    </row>
    <row r="553" spans="1:14">
      <c r="A553">
        <f>eDNA!A553</f>
        <v>20200718</v>
      </c>
      <c r="B553" s="10" t="str" cm="1">
        <f t="array" ref="B553">IFERROR(_xlfn.XLOOKUP(1,('env Parameter'!$A:$A=$A553)*('env Parameter'!$B:$B=$K553)*('env Parameter'!$C:$C=$L553),'env Parameter'!H:H,""),"")</f>
        <v>생물상 조사</v>
      </c>
      <c r="C553" s="10" cm="1">
        <f t="array" ref="C553">IFERROR(_xlfn.XLOOKUP(1,('env Parameter'!$A:$A=$A553)*('env Parameter'!$B:$B=$K553)*('env Parameter'!$C:$C=$L553),'env Parameter'!E:E,""),"")</f>
        <v>2.14</v>
      </c>
      <c r="D553" s="10" cm="1">
        <f t="array" ref="D553">IFERROR(_xlfn.XLOOKUP(1,('env Parameter'!$A:$A=$A553)*('env Parameter'!$B:$B=$K553)*('env Parameter'!$C:$C=$L553),'env Parameter'!F:F,""),"")</f>
        <v>478</v>
      </c>
      <c r="E553" s="10" cm="1">
        <f t="array" ref="E553">IFERROR(_xlfn.XLOOKUP(1,('env Parameter'!$A:$A=$A553)*('env Parameter'!$B:$B=$K553)*('env Parameter'!$C:$C=$L553),'env Parameter'!G:G,""),"")</f>
        <v>7.6</v>
      </c>
      <c r="F553" t="str">
        <f>eDNA!F553</f>
        <v>MiFish</v>
      </c>
      <c r="G553" t="str">
        <f>eDNA!D553</f>
        <v>Acheilognathus macropterus</v>
      </c>
      <c r="H553" t="str">
        <f>_xlfn.XLOOKUP(G553,'Common name (master file)'!$B:$B,'Common name (master file)'!$A:$A,"-------------")</f>
        <v>큰납지리</v>
      </c>
      <c r="I553">
        <f>eDNA!E553</f>
        <v>77</v>
      </c>
      <c r="J553" t="str">
        <f>_xlfn.XLOOKUP(G553,'Common name (master file)'!$B:$B,'Common name (master file)'!$C:$C,"")</f>
        <v>어류</v>
      </c>
      <c r="K553">
        <f>eDNA!B553</f>
        <v>126.82462289999999</v>
      </c>
      <c r="L553">
        <f>eDNA!C553</f>
        <v>37.470256399999997</v>
      </c>
      <c r="M553" s="10" t="str" cm="1">
        <f t="array" ref="M553">IFERROR(_xlfn.XLOOKUP(1,('env Parameter'!$A:$A=$A553)*('env Parameter'!$B:$B=$K553)*('env Parameter'!$C:$C=$L553),'env Parameter'!D:D,""),"")</f>
        <v>옥길천</v>
      </c>
      <c r="N553" s="10" t="str" cm="1">
        <f t="array" ref="N553">IFERROR(_xlfn.XLOOKUP(1,('env Parameter'!$A:$A=$A553)*('env Parameter'!$B:$B=$K553)*('env Parameter'!$C:$C=$L553),'env Parameter'!I:I,""),"")</f>
        <v>YR</v>
      </c>
    </row>
    <row r="554" spans="1:14">
      <c r="A554">
        <f>eDNA!A554</f>
        <v>20200718</v>
      </c>
      <c r="B554" s="10" t="str" cm="1">
        <f t="array" ref="B554">IFERROR(_xlfn.XLOOKUP(1,('env Parameter'!$A:$A=$A554)*('env Parameter'!$B:$B=$K554)*('env Parameter'!$C:$C=$L554),'env Parameter'!H:H,""),"")</f>
        <v>생물상 조사</v>
      </c>
      <c r="C554" s="10" cm="1">
        <f t="array" ref="C554">IFERROR(_xlfn.XLOOKUP(1,('env Parameter'!$A:$A=$A554)*('env Parameter'!$B:$B=$K554)*('env Parameter'!$C:$C=$L554),'env Parameter'!E:E,""),"")</f>
        <v>2.14</v>
      </c>
      <c r="D554" s="10" cm="1">
        <f t="array" ref="D554">IFERROR(_xlfn.XLOOKUP(1,('env Parameter'!$A:$A=$A554)*('env Parameter'!$B:$B=$K554)*('env Parameter'!$C:$C=$L554),'env Parameter'!F:F,""),"")</f>
        <v>478</v>
      </c>
      <c r="E554" s="10" cm="1">
        <f t="array" ref="E554">IFERROR(_xlfn.XLOOKUP(1,('env Parameter'!$A:$A=$A554)*('env Parameter'!$B:$B=$K554)*('env Parameter'!$C:$C=$L554),'env Parameter'!G:G,""),"")</f>
        <v>7.6</v>
      </c>
      <c r="F554" t="str">
        <f>eDNA!F554</f>
        <v>MiFish</v>
      </c>
      <c r="G554" t="str">
        <f>eDNA!D554</f>
        <v>Pelodiscus sinensis</v>
      </c>
      <c r="H554" t="str">
        <f>_xlfn.XLOOKUP(G554,'Common name (master file)'!$B:$B,'Common name (master file)'!$A:$A,"-------------")</f>
        <v>중국자라</v>
      </c>
      <c r="I554">
        <f>eDNA!E554</f>
        <v>95</v>
      </c>
      <c r="J554" t="str">
        <f>_xlfn.XLOOKUP(G554,'Common name (master file)'!$B:$B,'Common name (master file)'!$C:$C,"")</f>
        <v>양서파충류</v>
      </c>
      <c r="K554">
        <f>eDNA!B554</f>
        <v>126.82462289999999</v>
      </c>
      <c r="L554">
        <f>eDNA!C554</f>
        <v>37.470256399999997</v>
      </c>
      <c r="M554" s="10" t="str" cm="1">
        <f t="array" ref="M554">IFERROR(_xlfn.XLOOKUP(1,('env Parameter'!$A:$A=$A554)*('env Parameter'!$B:$B=$K554)*('env Parameter'!$C:$C=$L554),'env Parameter'!D:D,""),"")</f>
        <v>옥길천</v>
      </c>
      <c r="N554" s="10" t="str" cm="1">
        <f t="array" ref="N554">IFERROR(_xlfn.XLOOKUP(1,('env Parameter'!$A:$A=$A554)*('env Parameter'!$B:$B=$K554)*('env Parameter'!$C:$C=$L554),'env Parameter'!I:I,""),"")</f>
        <v>YR</v>
      </c>
    </row>
    <row r="555" spans="1:14">
      <c r="A555">
        <f>eDNA!A555</f>
        <v>20200718</v>
      </c>
      <c r="B555" s="10" t="str" cm="1">
        <f t="array" ref="B555">IFERROR(_xlfn.XLOOKUP(1,('env Parameter'!$A:$A=$A555)*('env Parameter'!$B:$B=$K555)*('env Parameter'!$C:$C=$L555),'env Parameter'!H:H,""),"")</f>
        <v>생물상 조사</v>
      </c>
      <c r="C555" s="10" cm="1">
        <f t="array" ref="C555">IFERROR(_xlfn.XLOOKUP(1,('env Parameter'!$A:$A=$A555)*('env Parameter'!$B:$B=$K555)*('env Parameter'!$C:$C=$L555),'env Parameter'!E:E,""),"")</f>
        <v>2.14</v>
      </c>
      <c r="D555" s="10" cm="1">
        <f t="array" ref="D555">IFERROR(_xlfn.XLOOKUP(1,('env Parameter'!$A:$A=$A555)*('env Parameter'!$B:$B=$K555)*('env Parameter'!$C:$C=$L555),'env Parameter'!F:F,""),"")</f>
        <v>478</v>
      </c>
      <c r="E555" s="10" cm="1">
        <f t="array" ref="E555">IFERROR(_xlfn.XLOOKUP(1,('env Parameter'!$A:$A=$A555)*('env Parameter'!$B:$B=$K555)*('env Parameter'!$C:$C=$L555),'env Parameter'!G:G,""),"")</f>
        <v>7.6</v>
      </c>
      <c r="F555" t="str">
        <f>eDNA!F555</f>
        <v>MiFish</v>
      </c>
      <c r="G555" t="str">
        <f>eDNA!D555</f>
        <v>Mugil cephalus</v>
      </c>
      <c r="H555" t="str">
        <f>_xlfn.XLOOKUP(G555,'Common name (master file)'!$B:$B,'Common name (master file)'!$A:$A,"-------------")</f>
        <v>숭어</v>
      </c>
      <c r="I555">
        <f>eDNA!E555</f>
        <v>96</v>
      </c>
      <c r="J555" t="str">
        <f>_xlfn.XLOOKUP(G555,'Common name (master file)'!$B:$B,'Common name (master file)'!$C:$C,"")</f>
        <v>어류</v>
      </c>
      <c r="K555">
        <f>eDNA!B555</f>
        <v>126.82462289999999</v>
      </c>
      <c r="L555">
        <f>eDNA!C555</f>
        <v>37.470256399999997</v>
      </c>
      <c r="M555" s="10" t="str" cm="1">
        <f t="array" ref="M555">IFERROR(_xlfn.XLOOKUP(1,('env Parameter'!$A:$A=$A555)*('env Parameter'!$B:$B=$K555)*('env Parameter'!$C:$C=$L555),'env Parameter'!D:D,""),"")</f>
        <v>옥길천</v>
      </c>
      <c r="N555" s="10" t="str" cm="1">
        <f t="array" ref="N555">IFERROR(_xlfn.XLOOKUP(1,('env Parameter'!$A:$A=$A555)*('env Parameter'!$B:$B=$K555)*('env Parameter'!$C:$C=$L555),'env Parameter'!I:I,""),"")</f>
        <v>YR</v>
      </c>
    </row>
    <row r="556" spans="1:14">
      <c r="A556">
        <f>eDNA!A556</f>
        <v>20200718</v>
      </c>
      <c r="B556" s="10" t="str" cm="1">
        <f t="array" ref="B556">IFERROR(_xlfn.XLOOKUP(1,('env Parameter'!$A:$A=$A556)*('env Parameter'!$B:$B=$K556)*('env Parameter'!$C:$C=$L556),'env Parameter'!H:H,""),"")</f>
        <v>생물상 조사</v>
      </c>
      <c r="C556" s="10" cm="1">
        <f t="array" ref="C556">IFERROR(_xlfn.XLOOKUP(1,('env Parameter'!$A:$A=$A556)*('env Parameter'!$B:$B=$K556)*('env Parameter'!$C:$C=$L556),'env Parameter'!E:E,""),"")</f>
        <v>2.14</v>
      </c>
      <c r="D556" s="10" cm="1">
        <f t="array" ref="D556">IFERROR(_xlfn.XLOOKUP(1,('env Parameter'!$A:$A=$A556)*('env Parameter'!$B:$B=$K556)*('env Parameter'!$C:$C=$L556),'env Parameter'!F:F,""),"")</f>
        <v>478</v>
      </c>
      <c r="E556" s="10" cm="1">
        <f t="array" ref="E556">IFERROR(_xlfn.XLOOKUP(1,('env Parameter'!$A:$A=$A556)*('env Parameter'!$B:$B=$K556)*('env Parameter'!$C:$C=$L556),'env Parameter'!G:G,""),"")</f>
        <v>7.6</v>
      </c>
      <c r="F556" t="str">
        <f>eDNA!F556</f>
        <v>MiFish</v>
      </c>
      <c r="G556" t="str">
        <f>eDNA!D556</f>
        <v>Macropodus ocellatus</v>
      </c>
      <c r="H556" t="str">
        <f>_xlfn.XLOOKUP(G556,'Common name (master file)'!$B:$B,'Common name (master file)'!$A:$A,"-------------")</f>
        <v>버들붕어</v>
      </c>
      <c r="I556">
        <f>eDNA!E556</f>
        <v>13</v>
      </c>
      <c r="J556" t="str">
        <f>_xlfn.XLOOKUP(G556,'Common name (master file)'!$B:$B,'Common name (master file)'!$C:$C,"")</f>
        <v>어류</v>
      </c>
      <c r="K556">
        <f>eDNA!B556</f>
        <v>126.8772417</v>
      </c>
      <c r="L556">
        <f>eDNA!C556</f>
        <v>37.474826299999997</v>
      </c>
      <c r="M556" s="10" t="str" cm="1">
        <f t="array" ref="M556">IFERROR(_xlfn.XLOOKUP(1,('env Parameter'!$A:$A=$A556)*('env Parameter'!$B:$B=$K556)*('env Parameter'!$C:$C=$L556),'env Parameter'!D:D,""),"")</f>
        <v>안양천-10</v>
      </c>
      <c r="N556" s="10" t="str" cm="1">
        <f t="array" ref="N556">IFERROR(_xlfn.XLOOKUP(1,('env Parameter'!$A:$A=$A556)*('env Parameter'!$B:$B=$K556)*('env Parameter'!$C:$C=$L556),'env Parameter'!I:I,""),"")</f>
        <v>YR</v>
      </c>
    </row>
    <row r="557" spans="1:14">
      <c r="A557">
        <f>eDNA!A557</f>
        <v>20200718</v>
      </c>
      <c r="B557" s="10" t="str" cm="1">
        <f t="array" ref="B557">IFERROR(_xlfn.XLOOKUP(1,('env Parameter'!$A:$A=$A557)*('env Parameter'!$B:$B=$K557)*('env Parameter'!$C:$C=$L557),'env Parameter'!H:H,""),"")</f>
        <v>생물상 조사</v>
      </c>
      <c r="C557" s="10" cm="1">
        <f t="array" ref="C557">IFERROR(_xlfn.XLOOKUP(1,('env Parameter'!$A:$A=$A557)*('env Parameter'!$B:$B=$K557)*('env Parameter'!$C:$C=$L557),'env Parameter'!E:E,""),"")</f>
        <v>2.14</v>
      </c>
      <c r="D557" s="10" cm="1">
        <f t="array" ref="D557">IFERROR(_xlfn.XLOOKUP(1,('env Parameter'!$A:$A=$A557)*('env Parameter'!$B:$B=$K557)*('env Parameter'!$C:$C=$L557),'env Parameter'!F:F,""),"")</f>
        <v>478</v>
      </c>
      <c r="E557" s="10" cm="1">
        <f t="array" ref="E557">IFERROR(_xlfn.XLOOKUP(1,('env Parameter'!$A:$A=$A557)*('env Parameter'!$B:$B=$K557)*('env Parameter'!$C:$C=$L557),'env Parameter'!G:G,""),"")</f>
        <v>7.6</v>
      </c>
      <c r="F557" t="str">
        <f>eDNA!F557</f>
        <v>MiFish</v>
      </c>
      <c r="G557" t="str">
        <f>eDNA!D557</f>
        <v>Oryzias sinensis</v>
      </c>
      <c r="H557" t="str">
        <f>_xlfn.XLOOKUP(G557,'Common name (master file)'!$B:$B,'Common name (master file)'!$A:$A,"-------------")</f>
        <v>대륙송사리</v>
      </c>
      <c r="I557">
        <f>eDNA!E557</f>
        <v>147</v>
      </c>
      <c r="J557" t="str">
        <f>_xlfn.XLOOKUP(G557,'Common name (master file)'!$B:$B,'Common name (master file)'!$C:$C,"")</f>
        <v>어류</v>
      </c>
      <c r="K557">
        <f>eDNA!B557</f>
        <v>126.82462289999999</v>
      </c>
      <c r="L557">
        <f>eDNA!C557</f>
        <v>37.470256399999997</v>
      </c>
      <c r="M557" s="10" t="str" cm="1">
        <f t="array" ref="M557">IFERROR(_xlfn.XLOOKUP(1,('env Parameter'!$A:$A=$A557)*('env Parameter'!$B:$B=$K557)*('env Parameter'!$C:$C=$L557),'env Parameter'!D:D,""),"")</f>
        <v>옥길천</v>
      </c>
      <c r="N557" s="10" t="str" cm="1">
        <f t="array" ref="N557">IFERROR(_xlfn.XLOOKUP(1,('env Parameter'!$A:$A=$A557)*('env Parameter'!$B:$B=$K557)*('env Parameter'!$C:$C=$L557),'env Parameter'!I:I,""),"")</f>
        <v>YR</v>
      </c>
    </row>
    <row r="558" spans="1:14">
      <c r="A558">
        <f>eDNA!A558</f>
        <v>20200718</v>
      </c>
      <c r="B558" s="10" t="str" cm="1">
        <f t="array" ref="B558">IFERROR(_xlfn.XLOOKUP(1,('env Parameter'!$A:$A=$A558)*('env Parameter'!$B:$B=$K558)*('env Parameter'!$C:$C=$L558),'env Parameter'!H:H,""),"")</f>
        <v>생물상 조사</v>
      </c>
      <c r="C558" s="10" cm="1">
        <f t="array" ref="C558">IFERROR(_xlfn.XLOOKUP(1,('env Parameter'!$A:$A=$A558)*('env Parameter'!$B:$B=$K558)*('env Parameter'!$C:$C=$L558),'env Parameter'!E:E,""),"")</f>
        <v>2.14</v>
      </c>
      <c r="D558" s="10" cm="1">
        <f t="array" ref="D558">IFERROR(_xlfn.XLOOKUP(1,('env Parameter'!$A:$A=$A558)*('env Parameter'!$B:$B=$K558)*('env Parameter'!$C:$C=$L558),'env Parameter'!F:F,""),"")</f>
        <v>478</v>
      </c>
      <c r="E558" s="10" cm="1">
        <f t="array" ref="E558">IFERROR(_xlfn.XLOOKUP(1,('env Parameter'!$A:$A=$A558)*('env Parameter'!$B:$B=$K558)*('env Parameter'!$C:$C=$L558),'env Parameter'!G:G,""),"")</f>
        <v>7.6</v>
      </c>
      <c r="F558" t="str">
        <f>eDNA!F558</f>
        <v>MiFish</v>
      </c>
      <c r="G558" t="str">
        <f>eDNA!D558</f>
        <v>Cyprinus carpio</v>
      </c>
      <c r="H558" t="str">
        <f>_xlfn.XLOOKUP(G558,'Common name (master file)'!$B:$B,'Common name (master file)'!$A:$A,"-------------")</f>
        <v>잉어</v>
      </c>
      <c r="I558">
        <f>eDNA!E558</f>
        <v>195</v>
      </c>
      <c r="J558" t="str">
        <f>_xlfn.XLOOKUP(G558,'Common name (master file)'!$B:$B,'Common name (master file)'!$C:$C,"")</f>
        <v>어류</v>
      </c>
      <c r="K558">
        <f>eDNA!B558</f>
        <v>126.82462289999999</v>
      </c>
      <c r="L558">
        <f>eDNA!C558</f>
        <v>37.470256399999997</v>
      </c>
      <c r="M558" s="10" t="str" cm="1">
        <f t="array" ref="M558">IFERROR(_xlfn.XLOOKUP(1,('env Parameter'!$A:$A=$A558)*('env Parameter'!$B:$B=$K558)*('env Parameter'!$C:$C=$L558),'env Parameter'!D:D,""),"")</f>
        <v>옥길천</v>
      </c>
      <c r="N558" s="10" t="str" cm="1">
        <f t="array" ref="N558">IFERROR(_xlfn.XLOOKUP(1,('env Parameter'!$A:$A=$A558)*('env Parameter'!$B:$B=$K558)*('env Parameter'!$C:$C=$L558),'env Parameter'!I:I,""),"")</f>
        <v>YR</v>
      </c>
    </row>
    <row r="559" spans="1:14">
      <c r="A559">
        <f>eDNA!A559</f>
        <v>20200718</v>
      </c>
      <c r="B559" s="10" t="str" cm="1">
        <f t="array" ref="B559">IFERROR(_xlfn.XLOOKUP(1,('env Parameter'!$A:$A=$A559)*('env Parameter'!$B:$B=$K559)*('env Parameter'!$C:$C=$L559),'env Parameter'!H:H,""),"")</f>
        <v>생물상 조사</v>
      </c>
      <c r="C559" s="10" cm="1">
        <f t="array" ref="C559">IFERROR(_xlfn.XLOOKUP(1,('env Parameter'!$A:$A=$A559)*('env Parameter'!$B:$B=$K559)*('env Parameter'!$C:$C=$L559),'env Parameter'!E:E,""),"")</f>
        <v>2.14</v>
      </c>
      <c r="D559" s="10" cm="1">
        <f t="array" ref="D559">IFERROR(_xlfn.XLOOKUP(1,('env Parameter'!$A:$A=$A559)*('env Parameter'!$B:$B=$K559)*('env Parameter'!$C:$C=$L559),'env Parameter'!F:F,""),"")</f>
        <v>478</v>
      </c>
      <c r="E559" s="10" cm="1">
        <f t="array" ref="E559">IFERROR(_xlfn.XLOOKUP(1,('env Parameter'!$A:$A=$A559)*('env Parameter'!$B:$B=$K559)*('env Parameter'!$C:$C=$L559),'env Parameter'!G:G,""),"")</f>
        <v>7.6</v>
      </c>
      <c r="F559" t="str">
        <f>eDNA!F559</f>
        <v>MiFish</v>
      </c>
      <c r="G559" t="str">
        <f>eDNA!D559</f>
        <v>Misgurnus anguillicaudatus</v>
      </c>
      <c r="H559" t="str">
        <f>_xlfn.XLOOKUP(G559,'Common name (master file)'!$B:$B,'Common name (master file)'!$A:$A,"-------------")</f>
        <v>미꾸리</v>
      </c>
      <c r="I559">
        <f>eDNA!E559</f>
        <v>476</v>
      </c>
      <c r="J559" t="str">
        <f>_xlfn.XLOOKUP(G559,'Common name (master file)'!$B:$B,'Common name (master file)'!$C:$C,"")</f>
        <v>어류</v>
      </c>
      <c r="K559">
        <f>eDNA!B559</f>
        <v>126.82462289999999</v>
      </c>
      <c r="L559">
        <f>eDNA!C559</f>
        <v>37.470256399999997</v>
      </c>
      <c r="M559" s="10" t="str" cm="1">
        <f t="array" ref="M559">IFERROR(_xlfn.XLOOKUP(1,('env Parameter'!$A:$A=$A559)*('env Parameter'!$B:$B=$K559)*('env Parameter'!$C:$C=$L559),'env Parameter'!D:D,""),"")</f>
        <v>옥길천</v>
      </c>
      <c r="N559" s="10" t="str" cm="1">
        <f t="array" ref="N559">IFERROR(_xlfn.XLOOKUP(1,('env Parameter'!$A:$A=$A559)*('env Parameter'!$B:$B=$K559)*('env Parameter'!$C:$C=$L559),'env Parameter'!I:I,""),"")</f>
        <v>YR</v>
      </c>
    </row>
    <row r="560" spans="1:14">
      <c r="A560">
        <f>eDNA!A560</f>
        <v>20200718</v>
      </c>
      <c r="B560" s="10" t="str" cm="1">
        <f t="array" ref="B560">IFERROR(_xlfn.XLOOKUP(1,('env Parameter'!$A:$A=$A560)*('env Parameter'!$B:$B=$K560)*('env Parameter'!$C:$C=$L560),'env Parameter'!H:H,""),"")</f>
        <v>생물상 조사</v>
      </c>
      <c r="C560" s="10" cm="1">
        <f t="array" ref="C560">IFERROR(_xlfn.XLOOKUP(1,('env Parameter'!$A:$A=$A560)*('env Parameter'!$B:$B=$K560)*('env Parameter'!$C:$C=$L560),'env Parameter'!E:E,""),"")</f>
        <v>2.14</v>
      </c>
      <c r="D560" s="10" cm="1">
        <f t="array" ref="D560">IFERROR(_xlfn.XLOOKUP(1,('env Parameter'!$A:$A=$A560)*('env Parameter'!$B:$B=$K560)*('env Parameter'!$C:$C=$L560),'env Parameter'!F:F,""),"")</f>
        <v>478</v>
      </c>
      <c r="E560" s="10" cm="1">
        <f t="array" ref="E560">IFERROR(_xlfn.XLOOKUP(1,('env Parameter'!$A:$A=$A560)*('env Parameter'!$B:$B=$K560)*('env Parameter'!$C:$C=$L560),'env Parameter'!G:G,""),"")</f>
        <v>7.6</v>
      </c>
      <c r="F560" t="str">
        <f>eDNA!F560</f>
        <v>MiFish</v>
      </c>
      <c r="G560" t="str">
        <f>eDNA!D560</f>
        <v>Gnathopogon strigatus</v>
      </c>
      <c r="H560" t="str">
        <f>_xlfn.XLOOKUP(G560,'Common name (master file)'!$B:$B,'Common name (master file)'!$A:$A,"-------------")</f>
        <v>줄몰개</v>
      </c>
      <c r="I560">
        <f>eDNA!E560</f>
        <v>286</v>
      </c>
      <c r="J560" t="str">
        <f>_xlfn.XLOOKUP(G560,'Common name (master file)'!$B:$B,'Common name (master file)'!$C:$C,"")</f>
        <v>어류</v>
      </c>
      <c r="K560">
        <f>eDNA!B560</f>
        <v>126.82462289999999</v>
      </c>
      <c r="L560">
        <f>eDNA!C560</f>
        <v>37.470256399999997</v>
      </c>
      <c r="M560" s="10" t="str" cm="1">
        <f t="array" ref="M560">IFERROR(_xlfn.XLOOKUP(1,('env Parameter'!$A:$A=$A560)*('env Parameter'!$B:$B=$K560)*('env Parameter'!$C:$C=$L560),'env Parameter'!D:D,""),"")</f>
        <v>옥길천</v>
      </c>
      <c r="N560" s="10" t="str" cm="1">
        <f t="array" ref="N560">IFERROR(_xlfn.XLOOKUP(1,('env Parameter'!$A:$A=$A560)*('env Parameter'!$B:$B=$K560)*('env Parameter'!$C:$C=$L560),'env Parameter'!I:I,""),"")</f>
        <v>YR</v>
      </c>
    </row>
    <row r="561" spans="1:14">
      <c r="A561">
        <f>eDNA!A561</f>
        <v>20200718</v>
      </c>
      <c r="B561" s="10" t="str" cm="1">
        <f t="array" ref="B561">IFERROR(_xlfn.XLOOKUP(1,('env Parameter'!$A:$A=$A561)*('env Parameter'!$B:$B=$K561)*('env Parameter'!$C:$C=$L561),'env Parameter'!H:H,""),"")</f>
        <v>생물상 조사</v>
      </c>
      <c r="C561" s="10" cm="1">
        <f t="array" ref="C561">IFERROR(_xlfn.XLOOKUP(1,('env Parameter'!$A:$A=$A561)*('env Parameter'!$B:$B=$K561)*('env Parameter'!$C:$C=$L561),'env Parameter'!E:E,""),"")</f>
        <v>2.14</v>
      </c>
      <c r="D561" s="10" cm="1">
        <f t="array" ref="D561">IFERROR(_xlfn.XLOOKUP(1,('env Parameter'!$A:$A=$A561)*('env Parameter'!$B:$B=$K561)*('env Parameter'!$C:$C=$L561),'env Parameter'!F:F,""),"")</f>
        <v>478</v>
      </c>
      <c r="E561" s="10" cm="1">
        <f t="array" ref="E561">IFERROR(_xlfn.XLOOKUP(1,('env Parameter'!$A:$A=$A561)*('env Parameter'!$B:$B=$K561)*('env Parameter'!$C:$C=$L561),'env Parameter'!G:G,""),"")</f>
        <v>7.6</v>
      </c>
      <c r="F561" t="str">
        <f>eDNA!F561</f>
        <v>MiFish</v>
      </c>
      <c r="G561" t="str">
        <f>eDNA!D561</f>
        <v>Sus scrofa</v>
      </c>
      <c r="H561" t="str">
        <f>_xlfn.XLOOKUP(G561,'Common name (master file)'!$B:$B,'Common name (master file)'!$A:$A,"-------------")</f>
        <v>멧돼지</v>
      </c>
      <c r="I561">
        <f>eDNA!E561</f>
        <v>493</v>
      </c>
      <c r="J561" t="str">
        <f>_xlfn.XLOOKUP(G561,'Common name (master file)'!$B:$B,'Common name (master file)'!$C:$C,"")</f>
        <v>포유류</v>
      </c>
      <c r="K561">
        <f>eDNA!B561</f>
        <v>126.82462289999999</v>
      </c>
      <c r="L561">
        <f>eDNA!C561</f>
        <v>37.470256399999997</v>
      </c>
      <c r="M561" s="10" t="str" cm="1">
        <f t="array" ref="M561">IFERROR(_xlfn.XLOOKUP(1,('env Parameter'!$A:$A=$A561)*('env Parameter'!$B:$B=$K561)*('env Parameter'!$C:$C=$L561),'env Parameter'!D:D,""),"")</f>
        <v>옥길천</v>
      </c>
      <c r="N561" s="10" t="str" cm="1">
        <f t="array" ref="N561">IFERROR(_xlfn.XLOOKUP(1,('env Parameter'!$A:$A=$A561)*('env Parameter'!$B:$B=$K561)*('env Parameter'!$C:$C=$L561),'env Parameter'!I:I,""),"")</f>
        <v>YR</v>
      </c>
    </row>
    <row r="562" spans="1:14">
      <c r="A562">
        <f>eDNA!A562</f>
        <v>20200718</v>
      </c>
      <c r="B562" s="10" t="str" cm="1">
        <f t="array" ref="B562">IFERROR(_xlfn.XLOOKUP(1,('env Parameter'!$A:$A=$A562)*('env Parameter'!$B:$B=$K562)*('env Parameter'!$C:$C=$L562),'env Parameter'!H:H,""),"")</f>
        <v>생물상 조사</v>
      </c>
      <c r="C562" s="10" cm="1">
        <f t="array" ref="C562">IFERROR(_xlfn.XLOOKUP(1,('env Parameter'!$A:$A=$A562)*('env Parameter'!$B:$B=$K562)*('env Parameter'!$C:$C=$L562),'env Parameter'!E:E,""),"")</f>
        <v>2.14</v>
      </c>
      <c r="D562" s="10" cm="1">
        <f t="array" ref="D562">IFERROR(_xlfn.XLOOKUP(1,('env Parameter'!$A:$A=$A562)*('env Parameter'!$B:$B=$K562)*('env Parameter'!$C:$C=$L562),'env Parameter'!F:F,""),"")</f>
        <v>478</v>
      </c>
      <c r="E562" s="10" cm="1">
        <f t="array" ref="E562">IFERROR(_xlfn.XLOOKUP(1,('env Parameter'!$A:$A=$A562)*('env Parameter'!$B:$B=$K562)*('env Parameter'!$C:$C=$L562),'env Parameter'!G:G,""),"")</f>
        <v>7.6</v>
      </c>
      <c r="F562" t="str">
        <f>eDNA!F562</f>
        <v>MiFish</v>
      </c>
      <c r="G562" t="str">
        <f>eDNA!D562</f>
        <v>Channa argus</v>
      </c>
      <c r="H562" t="str">
        <f>_xlfn.XLOOKUP(G562,'Common name (master file)'!$B:$B,'Common name (master file)'!$A:$A,"-------------")</f>
        <v>가물치</v>
      </c>
      <c r="I562">
        <f>eDNA!E562</f>
        <v>701</v>
      </c>
      <c r="J562" t="str">
        <f>_xlfn.XLOOKUP(G562,'Common name (master file)'!$B:$B,'Common name (master file)'!$C:$C,"")</f>
        <v>어류</v>
      </c>
      <c r="K562">
        <f>eDNA!B562</f>
        <v>126.82462289999999</v>
      </c>
      <c r="L562">
        <f>eDNA!C562</f>
        <v>37.470256399999997</v>
      </c>
      <c r="M562" s="10" t="str" cm="1">
        <f t="array" ref="M562">IFERROR(_xlfn.XLOOKUP(1,('env Parameter'!$A:$A=$A562)*('env Parameter'!$B:$B=$K562)*('env Parameter'!$C:$C=$L562),'env Parameter'!D:D,""),"")</f>
        <v>옥길천</v>
      </c>
      <c r="N562" s="10" t="str" cm="1">
        <f t="array" ref="N562">IFERROR(_xlfn.XLOOKUP(1,('env Parameter'!$A:$A=$A562)*('env Parameter'!$B:$B=$K562)*('env Parameter'!$C:$C=$L562),'env Parameter'!I:I,""),"")</f>
        <v>YR</v>
      </c>
    </row>
    <row r="563" spans="1:14">
      <c r="A563">
        <f>eDNA!A563</f>
        <v>20200718</v>
      </c>
      <c r="B563" s="10" t="str" cm="1">
        <f t="array" ref="B563">IFERROR(_xlfn.XLOOKUP(1,('env Parameter'!$A:$A=$A563)*('env Parameter'!$B:$B=$K563)*('env Parameter'!$C:$C=$L563),'env Parameter'!H:H,""),"")</f>
        <v>생물상 조사</v>
      </c>
      <c r="C563" s="10" cm="1">
        <f t="array" ref="C563">IFERROR(_xlfn.XLOOKUP(1,('env Parameter'!$A:$A=$A563)*('env Parameter'!$B:$B=$K563)*('env Parameter'!$C:$C=$L563),'env Parameter'!E:E,""),"")</f>
        <v>2.14</v>
      </c>
      <c r="D563" s="10" cm="1">
        <f t="array" ref="D563">IFERROR(_xlfn.XLOOKUP(1,('env Parameter'!$A:$A=$A563)*('env Parameter'!$B:$B=$K563)*('env Parameter'!$C:$C=$L563),'env Parameter'!F:F,""),"")</f>
        <v>478</v>
      </c>
      <c r="E563" s="10" cm="1">
        <f t="array" ref="E563">IFERROR(_xlfn.XLOOKUP(1,('env Parameter'!$A:$A=$A563)*('env Parameter'!$B:$B=$K563)*('env Parameter'!$C:$C=$L563),'env Parameter'!G:G,""),"")</f>
        <v>7.6</v>
      </c>
      <c r="F563" t="str">
        <f>eDNA!F563</f>
        <v>MiFish</v>
      </c>
      <c r="G563" t="str">
        <f>eDNA!D563</f>
        <v>Pseudogobio esocinus</v>
      </c>
      <c r="H563" t="str">
        <f>_xlfn.XLOOKUP(G563,'Common name (master file)'!$B:$B,'Common name (master file)'!$A:$A,"-------------")</f>
        <v>모래무지</v>
      </c>
      <c r="I563">
        <f>eDNA!E563</f>
        <v>1680</v>
      </c>
      <c r="J563" t="str">
        <f>_xlfn.XLOOKUP(G563,'Common name (master file)'!$B:$B,'Common name (master file)'!$C:$C,"")</f>
        <v>어류</v>
      </c>
      <c r="K563">
        <f>eDNA!B563</f>
        <v>126.82462289999999</v>
      </c>
      <c r="L563">
        <f>eDNA!C563</f>
        <v>37.470256399999997</v>
      </c>
      <c r="M563" s="10" t="str" cm="1">
        <f t="array" ref="M563">IFERROR(_xlfn.XLOOKUP(1,('env Parameter'!$A:$A=$A563)*('env Parameter'!$B:$B=$K563)*('env Parameter'!$C:$C=$L563),'env Parameter'!D:D,""),"")</f>
        <v>옥길천</v>
      </c>
      <c r="N563" s="10" t="str" cm="1">
        <f t="array" ref="N563">IFERROR(_xlfn.XLOOKUP(1,('env Parameter'!$A:$A=$A563)*('env Parameter'!$B:$B=$K563)*('env Parameter'!$C:$C=$L563),'env Parameter'!I:I,""),"")</f>
        <v>YR</v>
      </c>
    </row>
    <row r="564" spans="1:14">
      <c r="A564">
        <f>eDNA!A564</f>
        <v>20200718</v>
      </c>
      <c r="B564" s="10" t="str" cm="1">
        <f t="array" ref="B564">IFERROR(_xlfn.XLOOKUP(1,('env Parameter'!$A:$A=$A564)*('env Parameter'!$B:$B=$K564)*('env Parameter'!$C:$C=$L564),'env Parameter'!H:H,""),"")</f>
        <v>생물상 조사</v>
      </c>
      <c r="C564" s="10" cm="1">
        <f t="array" ref="C564">IFERROR(_xlfn.XLOOKUP(1,('env Parameter'!$A:$A=$A564)*('env Parameter'!$B:$B=$K564)*('env Parameter'!$C:$C=$L564),'env Parameter'!E:E,""),"")</f>
        <v>2.14</v>
      </c>
      <c r="D564" s="10" cm="1">
        <f t="array" ref="D564">IFERROR(_xlfn.XLOOKUP(1,('env Parameter'!$A:$A=$A564)*('env Parameter'!$B:$B=$K564)*('env Parameter'!$C:$C=$L564),'env Parameter'!F:F,""),"")</f>
        <v>478</v>
      </c>
      <c r="E564" s="10" cm="1">
        <f t="array" ref="E564">IFERROR(_xlfn.XLOOKUP(1,('env Parameter'!$A:$A=$A564)*('env Parameter'!$B:$B=$K564)*('env Parameter'!$C:$C=$L564),'env Parameter'!G:G,""),"")</f>
        <v>7.6</v>
      </c>
      <c r="F564" t="str">
        <f>eDNA!F564</f>
        <v>MiFish</v>
      </c>
      <c r="G564" t="str">
        <f>eDNA!D564</f>
        <v>Carassius sp.</v>
      </c>
      <c r="H564" t="str">
        <f>_xlfn.XLOOKUP(G564,'Common name (master file)'!$B:$B,'Common name (master file)'!$A:$A,"-------------")</f>
        <v>붕어 속</v>
      </c>
      <c r="I564">
        <f>eDNA!E564</f>
        <v>959</v>
      </c>
      <c r="J564" t="str">
        <f>_xlfn.XLOOKUP(G564,'Common name (master file)'!$B:$B,'Common name (master file)'!$C:$C,"")</f>
        <v>어류</v>
      </c>
      <c r="K564">
        <f>eDNA!B564</f>
        <v>126.82462289999999</v>
      </c>
      <c r="L564">
        <f>eDNA!C564</f>
        <v>37.470256399999997</v>
      </c>
      <c r="M564" s="10" t="str" cm="1">
        <f t="array" ref="M564">IFERROR(_xlfn.XLOOKUP(1,('env Parameter'!$A:$A=$A564)*('env Parameter'!$B:$B=$K564)*('env Parameter'!$C:$C=$L564),'env Parameter'!D:D,""),"")</f>
        <v>옥길천</v>
      </c>
      <c r="N564" s="10" t="str" cm="1">
        <f t="array" ref="N564">IFERROR(_xlfn.XLOOKUP(1,('env Parameter'!$A:$A=$A564)*('env Parameter'!$B:$B=$K564)*('env Parameter'!$C:$C=$L564),'env Parameter'!I:I,""),"")</f>
        <v>YR</v>
      </c>
    </row>
    <row r="565" spans="1:14">
      <c r="A565">
        <f>eDNA!A565</f>
        <v>20200718</v>
      </c>
      <c r="B565" s="10" t="str" cm="1">
        <f t="array" ref="B565">IFERROR(_xlfn.XLOOKUP(1,('env Parameter'!$A:$A=$A565)*('env Parameter'!$B:$B=$K565)*('env Parameter'!$C:$C=$L565),'env Parameter'!H:H,""),"")</f>
        <v>생물상 조사</v>
      </c>
      <c r="C565" s="10" cm="1">
        <f t="array" ref="C565">IFERROR(_xlfn.XLOOKUP(1,('env Parameter'!$A:$A=$A565)*('env Parameter'!$B:$B=$K565)*('env Parameter'!$C:$C=$L565),'env Parameter'!E:E,""),"")</f>
        <v>2.14</v>
      </c>
      <c r="D565" s="10" cm="1">
        <f t="array" ref="D565">IFERROR(_xlfn.XLOOKUP(1,('env Parameter'!$A:$A=$A565)*('env Parameter'!$B:$B=$K565)*('env Parameter'!$C:$C=$L565),'env Parameter'!F:F,""),"")</f>
        <v>478</v>
      </c>
      <c r="E565" s="10" cm="1">
        <f t="array" ref="E565">IFERROR(_xlfn.XLOOKUP(1,('env Parameter'!$A:$A=$A565)*('env Parameter'!$B:$B=$K565)*('env Parameter'!$C:$C=$L565),'env Parameter'!G:G,""),"")</f>
        <v>7.6</v>
      </c>
      <c r="F565" t="str">
        <f>eDNA!F565</f>
        <v>MiFish</v>
      </c>
      <c r="G565" t="str">
        <f>eDNA!D565</f>
        <v>Silurus soldatovi</v>
      </c>
      <c r="H565" t="str">
        <f>_xlfn.XLOOKUP(G565,'Common name (master file)'!$B:$B,'Common name (master file)'!$A:$A,"-------------")</f>
        <v>솔다토비 메기</v>
      </c>
      <c r="I565">
        <f>eDNA!E565</f>
        <v>1131</v>
      </c>
      <c r="J565" t="str">
        <f>_xlfn.XLOOKUP(G565,'Common name (master file)'!$B:$B,'Common name (master file)'!$C:$C,"")</f>
        <v>어류</v>
      </c>
      <c r="K565">
        <f>eDNA!B565</f>
        <v>126.82462289999999</v>
      </c>
      <c r="L565">
        <f>eDNA!C565</f>
        <v>37.470256399999997</v>
      </c>
      <c r="M565" s="10" t="str" cm="1">
        <f t="array" ref="M565">IFERROR(_xlfn.XLOOKUP(1,('env Parameter'!$A:$A=$A565)*('env Parameter'!$B:$B=$K565)*('env Parameter'!$C:$C=$L565),'env Parameter'!D:D,""),"")</f>
        <v>옥길천</v>
      </c>
      <c r="N565" s="10" t="str" cm="1">
        <f t="array" ref="N565">IFERROR(_xlfn.XLOOKUP(1,('env Parameter'!$A:$A=$A565)*('env Parameter'!$B:$B=$K565)*('env Parameter'!$C:$C=$L565),'env Parameter'!I:I,""),"")</f>
        <v>YR</v>
      </c>
    </row>
    <row r="566" spans="1:14">
      <c r="A566">
        <f>eDNA!A566</f>
        <v>20200718</v>
      </c>
      <c r="B566" s="10" t="str" cm="1">
        <f t="array" ref="B566">IFERROR(_xlfn.XLOOKUP(1,('env Parameter'!$A:$A=$A566)*('env Parameter'!$B:$B=$K566)*('env Parameter'!$C:$C=$L566),'env Parameter'!H:H,""),"")</f>
        <v>생물상 조사</v>
      </c>
      <c r="C566" s="10" cm="1">
        <f t="array" ref="C566">IFERROR(_xlfn.XLOOKUP(1,('env Parameter'!$A:$A=$A566)*('env Parameter'!$B:$B=$K566)*('env Parameter'!$C:$C=$L566),'env Parameter'!E:E,""),"")</f>
        <v>2.14</v>
      </c>
      <c r="D566" s="10" cm="1">
        <f t="array" ref="D566">IFERROR(_xlfn.XLOOKUP(1,('env Parameter'!$A:$A=$A566)*('env Parameter'!$B:$B=$K566)*('env Parameter'!$C:$C=$L566),'env Parameter'!F:F,""),"")</f>
        <v>478</v>
      </c>
      <c r="E566" s="10" cm="1">
        <f t="array" ref="E566">IFERROR(_xlfn.XLOOKUP(1,('env Parameter'!$A:$A=$A566)*('env Parameter'!$B:$B=$K566)*('env Parameter'!$C:$C=$L566),'env Parameter'!G:G,""),"")</f>
        <v>7.6</v>
      </c>
      <c r="F566" t="str">
        <f>eDNA!F566</f>
        <v>MiFish</v>
      </c>
      <c r="G566" t="str">
        <f>eDNA!D566</f>
        <v>Misgurnus mizolepis</v>
      </c>
      <c r="H566" t="str">
        <f>_xlfn.XLOOKUP(G566,'Common name (master file)'!$B:$B,'Common name (master file)'!$A:$A,"-------------")</f>
        <v>미꾸라지</v>
      </c>
      <c r="I566">
        <f>eDNA!E566</f>
        <v>1111</v>
      </c>
      <c r="J566" t="str">
        <f>_xlfn.XLOOKUP(G566,'Common name (master file)'!$B:$B,'Common name (master file)'!$C:$C,"")</f>
        <v>어류</v>
      </c>
      <c r="K566">
        <f>eDNA!B566</f>
        <v>126.82462289999999</v>
      </c>
      <c r="L566">
        <f>eDNA!C566</f>
        <v>37.470256399999997</v>
      </c>
      <c r="M566" s="10" t="str" cm="1">
        <f t="array" ref="M566">IFERROR(_xlfn.XLOOKUP(1,('env Parameter'!$A:$A=$A566)*('env Parameter'!$B:$B=$K566)*('env Parameter'!$C:$C=$L566),'env Parameter'!D:D,""),"")</f>
        <v>옥길천</v>
      </c>
      <c r="N566" s="10" t="str" cm="1">
        <f t="array" ref="N566">IFERROR(_xlfn.XLOOKUP(1,('env Parameter'!$A:$A=$A566)*('env Parameter'!$B:$B=$K566)*('env Parameter'!$C:$C=$L566),'env Parameter'!I:I,""),"")</f>
        <v>YR</v>
      </c>
    </row>
    <row r="567" spans="1:14">
      <c r="A567">
        <f>eDNA!A567</f>
        <v>20200718</v>
      </c>
      <c r="B567" s="10" t="str" cm="1">
        <f t="array" ref="B567">IFERROR(_xlfn.XLOOKUP(1,('env Parameter'!$A:$A=$A567)*('env Parameter'!$B:$B=$K567)*('env Parameter'!$C:$C=$L567),'env Parameter'!H:H,""),"")</f>
        <v>생물상 조사</v>
      </c>
      <c r="C567" s="10" cm="1">
        <f t="array" ref="C567">IFERROR(_xlfn.XLOOKUP(1,('env Parameter'!$A:$A=$A567)*('env Parameter'!$B:$B=$K567)*('env Parameter'!$C:$C=$L567),'env Parameter'!E:E,""),"")</f>
        <v>2.14</v>
      </c>
      <c r="D567" s="10" cm="1">
        <f t="array" ref="D567">IFERROR(_xlfn.XLOOKUP(1,('env Parameter'!$A:$A=$A567)*('env Parameter'!$B:$B=$K567)*('env Parameter'!$C:$C=$L567),'env Parameter'!F:F,""),"")</f>
        <v>478</v>
      </c>
      <c r="E567" s="10" cm="1">
        <f t="array" ref="E567">IFERROR(_xlfn.XLOOKUP(1,('env Parameter'!$A:$A=$A567)*('env Parameter'!$B:$B=$K567)*('env Parameter'!$C:$C=$L567),'env Parameter'!G:G,""),"")</f>
        <v>7.6</v>
      </c>
      <c r="F567" t="str">
        <f>eDNA!F567</f>
        <v>MiFish</v>
      </c>
      <c r="G567" t="str">
        <f>eDNA!D567</f>
        <v>Odontobutis interrupta</v>
      </c>
      <c r="H567" t="str">
        <f>_xlfn.XLOOKUP(G567,'Common name (master file)'!$B:$B,'Common name (master file)'!$A:$A,"-------------")</f>
        <v>얼록동사리</v>
      </c>
      <c r="I567">
        <f>eDNA!E567</f>
        <v>4636</v>
      </c>
      <c r="J567" t="str">
        <f>_xlfn.XLOOKUP(G567,'Common name (master file)'!$B:$B,'Common name (master file)'!$C:$C,"")</f>
        <v>어류</v>
      </c>
      <c r="K567">
        <f>eDNA!B567</f>
        <v>126.82462289999999</v>
      </c>
      <c r="L567">
        <f>eDNA!C567</f>
        <v>37.470256399999997</v>
      </c>
      <c r="M567" s="10" t="str" cm="1">
        <f t="array" ref="M567">IFERROR(_xlfn.XLOOKUP(1,('env Parameter'!$A:$A=$A567)*('env Parameter'!$B:$B=$K567)*('env Parameter'!$C:$C=$L567),'env Parameter'!D:D,""),"")</f>
        <v>옥길천</v>
      </c>
      <c r="N567" s="10" t="str" cm="1">
        <f t="array" ref="N567">IFERROR(_xlfn.XLOOKUP(1,('env Parameter'!$A:$A=$A567)*('env Parameter'!$B:$B=$K567)*('env Parameter'!$C:$C=$L567),'env Parameter'!I:I,""),"")</f>
        <v>YR</v>
      </c>
    </row>
    <row r="568" spans="1:14">
      <c r="A568">
        <f>eDNA!A568</f>
        <v>20200718</v>
      </c>
      <c r="B568" s="10" t="str" cm="1">
        <f t="array" ref="B568">IFERROR(_xlfn.XLOOKUP(1,('env Parameter'!$A:$A=$A568)*('env Parameter'!$B:$B=$K568)*('env Parameter'!$C:$C=$L568),'env Parameter'!H:H,""),"")</f>
        <v>생물상 조사</v>
      </c>
      <c r="C568" s="10" cm="1">
        <f t="array" ref="C568">IFERROR(_xlfn.XLOOKUP(1,('env Parameter'!$A:$A=$A568)*('env Parameter'!$B:$B=$K568)*('env Parameter'!$C:$C=$L568),'env Parameter'!E:E,""),"")</f>
        <v>2.14</v>
      </c>
      <c r="D568" s="10" cm="1">
        <f t="array" ref="D568">IFERROR(_xlfn.XLOOKUP(1,('env Parameter'!$A:$A=$A568)*('env Parameter'!$B:$B=$K568)*('env Parameter'!$C:$C=$L568),'env Parameter'!F:F,""),"")</f>
        <v>478</v>
      </c>
      <c r="E568" s="10" cm="1">
        <f t="array" ref="E568">IFERROR(_xlfn.XLOOKUP(1,('env Parameter'!$A:$A=$A568)*('env Parameter'!$B:$B=$K568)*('env Parameter'!$C:$C=$L568),'env Parameter'!G:G,""),"")</f>
        <v>7.6</v>
      </c>
      <c r="F568" t="str">
        <f>eDNA!F568</f>
        <v>MiFish</v>
      </c>
      <c r="G568" t="str">
        <f>eDNA!D568</f>
        <v>Zacco platypus</v>
      </c>
      <c r="H568" t="str">
        <f>_xlfn.XLOOKUP(G568,'Common name (master file)'!$B:$B,'Common name (master file)'!$A:$A,"-------------")</f>
        <v>피라미</v>
      </c>
      <c r="I568">
        <f>eDNA!E568</f>
        <v>5951</v>
      </c>
      <c r="J568" t="str">
        <f>_xlfn.XLOOKUP(G568,'Common name (master file)'!$B:$B,'Common name (master file)'!$C:$C,"")</f>
        <v>어류</v>
      </c>
      <c r="K568">
        <f>eDNA!B568</f>
        <v>126.82462289999999</v>
      </c>
      <c r="L568">
        <f>eDNA!C568</f>
        <v>37.470256399999997</v>
      </c>
      <c r="M568" s="10" t="str" cm="1">
        <f t="array" ref="M568">IFERROR(_xlfn.XLOOKUP(1,('env Parameter'!$A:$A=$A568)*('env Parameter'!$B:$B=$K568)*('env Parameter'!$C:$C=$L568),'env Parameter'!D:D,""),"")</f>
        <v>옥길천</v>
      </c>
      <c r="N568" s="10" t="str" cm="1">
        <f t="array" ref="N568">IFERROR(_xlfn.XLOOKUP(1,('env Parameter'!$A:$A=$A568)*('env Parameter'!$B:$B=$K568)*('env Parameter'!$C:$C=$L568),'env Parameter'!I:I,""),"")</f>
        <v>YR</v>
      </c>
    </row>
    <row r="569" spans="1:14">
      <c r="A569">
        <f>eDNA!A569</f>
        <v>20200718</v>
      </c>
      <c r="B569" s="10" t="str" cm="1">
        <f t="array" ref="B569">IFERROR(_xlfn.XLOOKUP(1,('env Parameter'!$A:$A=$A569)*('env Parameter'!$B:$B=$K569)*('env Parameter'!$C:$C=$L569),'env Parameter'!H:H,""),"")</f>
        <v>생물상 조사</v>
      </c>
      <c r="C569" s="10" cm="1">
        <f t="array" ref="C569">IFERROR(_xlfn.XLOOKUP(1,('env Parameter'!$A:$A=$A569)*('env Parameter'!$B:$B=$K569)*('env Parameter'!$C:$C=$L569),'env Parameter'!E:E,""),"")</f>
        <v>2.14</v>
      </c>
      <c r="D569" s="10" cm="1">
        <f t="array" ref="D569">IFERROR(_xlfn.XLOOKUP(1,('env Parameter'!$A:$A=$A569)*('env Parameter'!$B:$B=$K569)*('env Parameter'!$C:$C=$L569),'env Parameter'!F:F,""),"")</f>
        <v>478</v>
      </c>
      <c r="E569" s="10" cm="1">
        <f t="array" ref="E569">IFERROR(_xlfn.XLOOKUP(1,('env Parameter'!$A:$A=$A569)*('env Parameter'!$B:$B=$K569)*('env Parameter'!$C:$C=$L569),'env Parameter'!G:G,""),"")</f>
        <v>7.6</v>
      </c>
      <c r="F569" t="str">
        <f>eDNA!F569</f>
        <v>MiFish</v>
      </c>
      <c r="G569" t="str">
        <f>eDNA!D569</f>
        <v>Carassius gibelio</v>
      </c>
      <c r="H569" t="str">
        <f>_xlfn.XLOOKUP(G569,'Common name (master file)'!$B:$B,'Common name (master file)'!$A:$A,"-------------")</f>
        <v>기벨리오 붕어</v>
      </c>
      <c r="I569">
        <f>eDNA!E569</f>
        <v>14001</v>
      </c>
      <c r="J569" t="str">
        <f>_xlfn.XLOOKUP(G569,'Common name (master file)'!$B:$B,'Common name (master file)'!$C:$C,"")</f>
        <v>어류</v>
      </c>
      <c r="K569">
        <f>eDNA!B569</f>
        <v>126.82462289999999</v>
      </c>
      <c r="L569">
        <f>eDNA!C569</f>
        <v>37.470256399999997</v>
      </c>
      <c r="M569" s="10" t="str" cm="1">
        <f t="array" ref="M569">IFERROR(_xlfn.XLOOKUP(1,('env Parameter'!$A:$A=$A569)*('env Parameter'!$B:$B=$K569)*('env Parameter'!$C:$C=$L569),'env Parameter'!D:D,""),"")</f>
        <v>옥길천</v>
      </c>
      <c r="N569" s="10" t="str" cm="1">
        <f t="array" ref="N569">IFERROR(_xlfn.XLOOKUP(1,('env Parameter'!$A:$A=$A569)*('env Parameter'!$B:$B=$K569)*('env Parameter'!$C:$C=$L569),'env Parameter'!I:I,""),"")</f>
        <v>YR</v>
      </c>
    </row>
    <row r="570" spans="1:14">
      <c r="A570">
        <f>eDNA!A570</f>
        <v>20200718</v>
      </c>
      <c r="B570" s="10" t="str" cm="1">
        <f t="array" ref="B570">IFERROR(_xlfn.XLOOKUP(1,('env Parameter'!$A:$A=$A570)*('env Parameter'!$B:$B=$K570)*('env Parameter'!$C:$C=$L570),'env Parameter'!H:H,""),"")</f>
        <v>생물상 조사</v>
      </c>
      <c r="C570" s="10" cm="1">
        <f t="array" ref="C570">IFERROR(_xlfn.XLOOKUP(1,('env Parameter'!$A:$A=$A570)*('env Parameter'!$B:$B=$K570)*('env Parameter'!$C:$C=$L570),'env Parameter'!E:E,""),"")</f>
        <v>2.14</v>
      </c>
      <c r="D570" s="10" cm="1">
        <f t="array" ref="D570">IFERROR(_xlfn.XLOOKUP(1,('env Parameter'!$A:$A=$A570)*('env Parameter'!$B:$B=$K570)*('env Parameter'!$C:$C=$L570),'env Parameter'!F:F,""),"")</f>
        <v>478</v>
      </c>
      <c r="E570" s="10" cm="1">
        <f t="array" ref="E570">IFERROR(_xlfn.XLOOKUP(1,('env Parameter'!$A:$A=$A570)*('env Parameter'!$B:$B=$K570)*('env Parameter'!$C:$C=$L570),'env Parameter'!G:G,""),"")</f>
        <v>7.6</v>
      </c>
      <c r="F570" t="str">
        <f>eDNA!F570</f>
        <v>MiFish</v>
      </c>
      <c r="G570" t="str">
        <f>eDNA!D570</f>
        <v>Pseudorasbora parva</v>
      </c>
      <c r="H570" t="str">
        <f>_xlfn.XLOOKUP(G570,'Common name (master file)'!$B:$B,'Common name (master file)'!$A:$A,"-------------")</f>
        <v>참붕어</v>
      </c>
      <c r="I570">
        <f>eDNA!E570</f>
        <v>30803</v>
      </c>
      <c r="J570" t="str">
        <f>_xlfn.XLOOKUP(G570,'Common name (master file)'!$B:$B,'Common name (master file)'!$C:$C,"")</f>
        <v>어류</v>
      </c>
      <c r="K570">
        <f>eDNA!B570</f>
        <v>126.82462289999999</v>
      </c>
      <c r="L570">
        <f>eDNA!C570</f>
        <v>37.470256399999997</v>
      </c>
      <c r="M570" s="10" t="str" cm="1">
        <f t="array" ref="M570">IFERROR(_xlfn.XLOOKUP(1,('env Parameter'!$A:$A=$A570)*('env Parameter'!$B:$B=$K570)*('env Parameter'!$C:$C=$L570),'env Parameter'!D:D,""),"")</f>
        <v>옥길천</v>
      </c>
      <c r="N570" s="10" t="str" cm="1">
        <f t="array" ref="N570">IFERROR(_xlfn.XLOOKUP(1,('env Parameter'!$A:$A=$A570)*('env Parameter'!$B:$B=$K570)*('env Parameter'!$C:$C=$L570),'env Parameter'!I:I,""),"")</f>
        <v>YR</v>
      </c>
    </row>
    <row r="571" spans="1:14">
      <c r="A571">
        <f>eDNA!A571</f>
        <v>20200718</v>
      </c>
      <c r="B571" s="10" t="str" cm="1">
        <f t="array" ref="B571">IFERROR(_xlfn.XLOOKUP(1,('env Parameter'!$A:$A=$A571)*('env Parameter'!$B:$B=$K571)*('env Parameter'!$C:$C=$L571),'env Parameter'!H:H,""),"")</f>
        <v>생물상 조사</v>
      </c>
      <c r="C571" s="10" cm="1">
        <f t="array" ref="C571">IFERROR(_xlfn.XLOOKUP(1,('env Parameter'!$A:$A=$A571)*('env Parameter'!$B:$B=$K571)*('env Parameter'!$C:$C=$L571),'env Parameter'!E:E,""),"")</f>
        <v>2.14</v>
      </c>
      <c r="D571" s="10" cm="1">
        <f t="array" ref="D571">IFERROR(_xlfn.XLOOKUP(1,('env Parameter'!$A:$A=$A571)*('env Parameter'!$B:$B=$K571)*('env Parameter'!$C:$C=$L571),'env Parameter'!F:F,""),"")</f>
        <v>478</v>
      </c>
      <c r="E571" s="10" cm="1">
        <f t="array" ref="E571">IFERROR(_xlfn.XLOOKUP(1,('env Parameter'!$A:$A=$A571)*('env Parameter'!$B:$B=$K571)*('env Parameter'!$C:$C=$L571),'env Parameter'!G:G,""),"")</f>
        <v>7.6</v>
      </c>
      <c r="F571" t="str">
        <f>eDNA!F571</f>
        <v>MiFish</v>
      </c>
      <c r="G571" t="str">
        <f>eDNA!D571</f>
        <v>Gallus gallus domesticus</v>
      </c>
      <c r="H571" t="str">
        <f>_xlfn.XLOOKUP(G571,'Common name (master file)'!$B:$B,'Common name (master file)'!$A:$A,"-------------")</f>
        <v>닭</v>
      </c>
      <c r="I571">
        <f>eDNA!E571</f>
        <v>12</v>
      </c>
      <c r="J571" t="str">
        <f>_xlfn.XLOOKUP(G571,'Common name (master file)'!$B:$B,'Common name (master file)'!$C:$C,"")</f>
        <v>조류</v>
      </c>
      <c r="K571">
        <f>eDNA!B571</f>
        <v>126.8343934</v>
      </c>
      <c r="L571">
        <f>eDNA!C571</f>
        <v>37.4648574</v>
      </c>
      <c r="M571" s="10" t="str" cm="1">
        <f t="array" ref="M571">IFERROR(_xlfn.XLOOKUP(1,('env Parameter'!$A:$A=$A571)*('env Parameter'!$B:$B=$K571)*('env Parameter'!$C:$C=$L571),'env Parameter'!D:D,""),"")</f>
        <v>옥길천-2</v>
      </c>
      <c r="N571" s="10" t="str" cm="1">
        <f t="array" ref="N571">IFERROR(_xlfn.XLOOKUP(1,('env Parameter'!$A:$A=$A571)*('env Parameter'!$B:$B=$K571)*('env Parameter'!$C:$C=$L571),'env Parameter'!I:I,""),"")</f>
        <v>YR</v>
      </c>
    </row>
    <row r="572" spans="1:14">
      <c r="A572">
        <f>eDNA!A572</f>
        <v>20200718</v>
      </c>
      <c r="B572" s="10" t="str" cm="1">
        <f t="array" ref="B572">IFERROR(_xlfn.XLOOKUP(1,('env Parameter'!$A:$A=$A572)*('env Parameter'!$B:$B=$K572)*('env Parameter'!$C:$C=$L572),'env Parameter'!H:H,""),"")</f>
        <v>생물상 조사</v>
      </c>
      <c r="C572" s="10" cm="1">
        <f t="array" ref="C572">IFERROR(_xlfn.XLOOKUP(1,('env Parameter'!$A:$A=$A572)*('env Parameter'!$B:$B=$K572)*('env Parameter'!$C:$C=$L572),'env Parameter'!E:E,""),"")</f>
        <v>2.14</v>
      </c>
      <c r="D572" s="10" cm="1">
        <f t="array" ref="D572">IFERROR(_xlfn.XLOOKUP(1,('env Parameter'!$A:$A=$A572)*('env Parameter'!$B:$B=$K572)*('env Parameter'!$C:$C=$L572),'env Parameter'!F:F,""),"")</f>
        <v>478</v>
      </c>
      <c r="E572" s="10" cm="1">
        <f t="array" ref="E572">IFERROR(_xlfn.XLOOKUP(1,('env Parameter'!$A:$A=$A572)*('env Parameter'!$B:$B=$K572)*('env Parameter'!$C:$C=$L572),'env Parameter'!G:G,""),"")</f>
        <v>7.6</v>
      </c>
      <c r="F572" t="str">
        <f>eDNA!F572</f>
        <v>MiFish</v>
      </c>
      <c r="G572" t="str">
        <f>eDNA!D572</f>
        <v>Oncorhynchus keta</v>
      </c>
      <c r="H572" t="str">
        <f>_xlfn.XLOOKUP(G572,'Common name (master file)'!$B:$B,'Common name (master file)'!$A:$A,"-------------")</f>
        <v>연어</v>
      </c>
      <c r="I572">
        <f>eDNA!E572</f>
        <v>16</v>
      </c>
      <c r="J572" t="str">
        <f>_xlfn.XLOOKUP(G572,'Common name (master file)'!$B:$B,'Common name (master file)'!$C:$C,"")</f>
        <v>어류</v>
      </c>
      <c r="K572">
        <f>eDNA!B572</f>
        <v>126.8343934</v>
      </c>
      <c r="L572">
        <f>eDNA!C572</f>
        <v>37.4648574</v>
      </c>
      <c r="M572" s="10" t="str" cm="1">
        <f t="array" ref="M572">IFERROR(_xlfn.XLOOKUP(1,('env Parameter'!$A:$A=$A572)*('env Parameter'!$B:$B=$K572)*('env Parameter'!$C:$C=$L572),'env Parameter'!D:D,""),"")</f>
        <v>옥길천-2</v>
      </c>
      <c r="N572" s="10" t="str" cm="1">
        <f t="array" ref="N572">IFERROR(_xlfn.XLOOKUP(1,('env Parameter'!$A:$A=$A572)*('env Parameter'!$B:$B=$K572)*('env Parameter'!$C:$C=$L572),'env Parameter'!I:I,""),"")</f>
        <v>YR</v>
      </c>
    </row>
    <row r="573" spans="1:14">
      <c r="A573">
        <f>eDNA!A573</f>
        <v>20200718</v>
      </c>
      <c r="B573" s="10" t="str" cm="1">
        <f t="array" ref="B573">IFERROR(_xlfn.XLOOKUP(1,('env Parameter'!$A:$A=$A573)*('env Parameter'!$B:$B=$K573)*('env Parameter'!$C:$C=$L573),'env Parameter'!H:H,""),"")</f>
        <v>생물상 조사</v>
      </c>
      <c r="C573" s="10" cm="1">
        <f t="array" ref="C573">IFERROR(_xlfn.XLOOKUP(1,('env Parameter'!$A:$A=$A573)*('env Parameter'!$B:$B=$K573)*('env Parameter'!$C:$C=$L573),'env Parameter'!E:E,""),"")</f>
        <v>2.14</v>
      </c>
      <c r="D573" s="10" cm="1">
        <f t="array" ref="D573">IFERROR(_xlfn.XLOOKUP(1,('env Parameter'!$A:$A=$A573)*('env Parameter'!$B:$B=$K573)*('env Parameter'!$C:$C=$L573),'env Parameter'!F:F,""),"")</f>
        <v>478</v>
      </c>
      <c r="E573" s="10" cm="1">
        <f t="array" ref="E573">IFERROR(_xlfn.XLOOKUP(1,('env Parameter'!$A:$A=$A573)*('env Parameter'!$B:$B=$K573)*('env Parameter'!$C:$C=$L573),'env Parameter'!G:G,""),"")</f>
        <v>7.6</v>
      </c>
      <c r="F573" t="str">
        <f>eDNA!F573</f>
        <v>MiFish</v>
      </c>
      <c r="G573" t="str">
        <f>eDNA!D573</f>
        <v>Silurus meridionalis</v>
      </c>
      <c r="H573" t="str">
        <f>_xlfn.XLOOKUP(G573,'Common name (master file)'!$B:$B,'Common name (master file)'!$A:$A,"-------------")</f>
        <v>남방메기</v>
      </c>
      <c r="I573">
        <f>eDNA!E573</f>
        <v>51</v>
      </c>
      <c r="J573" t="str">
        <f>_xlfn.XLOOKUP(G573,'Common name (master file)'!$B:$B,'Common name (master file)'!$C:$C,"")</f>
        <v>어류</v>
      </c>
      <c r="K573">
        <f>eDNA!B573</f>
        <v>126.8663749</v>
      </c>
      <c r="L573">
        <f>eDNA!C573</f>
        <v>37.492704799999998</v>
      </c>
      <c r="M573" s="10" t="str" cm="1">
        <f t="array" ref="M573">IFERROR(_xlfn.XLOOKUP(1,('env Parameter'!$A:$A=$A573)*('env Parameter'!$B:$B=$K573)*('env Parameter'!$C:$C=$L573),'env Parameter'!D:D,""),"")</f>
        <v>안양천-22</v>
      </c>
      <c r="N573" s="10" t="str" cm="1">
        <f t="array" ref="N573">IFERROR(_xlfn.XLOOKUP(1,('env Parameter'!$A:$A=$A573)*('env Parameter'!$B:$B=$K573)*('env Parameter'!$C:$C=$L573),'env Parameter'!I:I,""),"")</f>
        <v>YR</v>
      </c>
    </row>
    <row r="574" spans="1:14">
      <c r="A574">
        <f>eDNA!A574</f>
        <v>20200718</v>
      </c>
      <c r="B574" s="10" t="str" cm="1">
        <f t="array" ref="B574">IFERROR(_xlfn.XLOOKUP(1,('env Parameter'!$A:$A=$A574)*('env Parameter'!$B:$B=$K574)*('env Parameter'!$C:$C=$L574),'env Parameter'!H:H,""),"")</f>
        <v>생물상 조사</v>
      </c>
      <c r="C574" s="10" cm="1">
        <f t="array" ref="C574">IFERROR(_xlfn.XLOOKUP(1,('env Parameter'!$A:$A=$A574)*('env Parameter'!$B:$B=$K574)*('env Parameter'!$C:$C=$L574),'env Parameter'!E:E,""),"")</f>
        <v>2.14</v>
      </c>
      <c r="D574" s="10" cm="1">
        <f t="array" ref="D574">IFERROR(_xlfn.XLOOKUP(1,('env Parameter'!$A:$A=$A574)*('env Parameter'!$B:$B=$K574)*('env Parameter'!$C:$C=$L574),'env Parameter'!F:F,""),"")</f>
        <v>478</v>
      </c>
      <c r="E574" s="10" cm="1">
        <f t="array" ref="E574">IFERROR(_xlfn.XLOOKUP(1,('env Parameter'!$A:$A=$A574)*('env Parameter'!$B:$B=$K574)*('env Parameter'!$C:$C=$L574),'env Parameter'!G:G,""),"")</f>
        <v>7.6</v>
      </c>
      <c r="F574" t="str">
        <f>eDNA!F574</f>
        <v>MiFish</v>
      </c>
      <c r="G574" t="str">
        <f>eDNA!D574</f>
        <v>Capra hircus</v>
      </c>
      <c r="H574" t="str">
        <f>_xlfn.XLOOKUP(G574,'Common name (master file)'!$B:$B,'Common name (master file)'!$A:$A,"-------------")</f>
        <v>염소</v>
      </c>
      <c r="I574">
        <f>eDNA!E574</f>
        <v>18</v>
      </c>
      <c r="J574" t="str">
        <f>_xlfn.XLOOKUP(G574,'Common name (master file)'!$B:$B,'Common name (master file)'!$C:$C,"")</f>
        <v>포유류</v>
      </c>
      <c r="K574">
        <f>eDNA!B574</f>
        <v>126.8343934</v>
      </c>
      <c r="L574">
        <f>eDNA!C574</f>
        <v>37.4648574</v>
      </c>
      <c r="M574" s="10" t="str" cm="1">
        <f t="array" ref="M574">IFERROR(_xlfn.XLOOKUP(1,('env Parameter'!$A:$A=$A574)*('env Parameter'!$B:$B=$K574)*('env Parameter'!$C:$C=$L574),'env Parameter'!D:D,""),"")</f>
        <v>옥길천-2</v>
      </c>
      <c r="N574" s="10" t="str" cm="1">
        <f t="array" ref="N574">IFERROR(_xlfn.XLOOKUP(1,('env Parameter'!$A:$A=$A574)*('env Parameter'!$B:$B=$K574)*('env Parameter'!$C:$C=$L574),'env Parameter'!I:I,""),"")</f>
        <v>YR</v>
      </c>
    </row>
    <row r="575" spans="1:14">
      <c r="A575">
        <f>eDNA!A575</f>
        <v>20200718</v>
      </c>
      <c r="B575" s="10" t="str" cm="1">
        <f t="array" ref="B575">IFERROR(_xlfn.XLOOKUP(1,('env Parameter'!$A:$A=$A575)*('env Parameter'!$B:$B=$K575)*('env Parameter'!$C:$C=$L575),'env Parameter'!H:H,""),"")</f>
        <v>생물상 조사</v>
      </c>
      <c r="C575" s="10" cm="1">
        <f t="array" ref="C575">IFERROR(_xlfn.XLOOKUP(1,('env Parameter'!$A:$A=$A575)*('env Parameter'!$B:$B=$K575)*('env Parameter'!$C:$C=$L575),'env Parameter'!E:E,""),"")</f>
        <v>2.14</v>
      </c>
      <c r="D575" s="10" cm="1">
        <f t="array" ref="D575">IFERROR(_xlfn.XLOOKUP(1,('env Parameter'!$A:$A=$A575)*('env Parameter'!$B:$B=$K575)*('env Parameter'!$C:$C=$L575),'env Parameter'!F:F,""),"")</f>
        <v>478</v>
      </c>
      <c r="E575" s="10" cm="1">
        <f t="array" ref="E575">IFERROR(_xlfn.XLOOKUP(1,('env Parameter'!$A:$A=$A575)*('env Parameter'!$B:$B=$K575)*('env Parameter'!$C:$C=$L575),'env Parameter'!G:G,""),"")</f>
        <v>7.6</v>
      </c>
      <c r="F575" t="str">
        <f>eDNA!F575</f>
        <v>MiFish</v>
      </c>
      <c r="G575" t="str">
        <f>eDNA!D575</f>
        <v>Perciformes sp.</v>
      </c>
      <c r="H575" t="str">
        <f>_xlfn.XLOOKUP(G575,'Common name (master file)'!$B:$B,'Common name (master file)'!$A:$A,"-------------")</f>
        <v>농어목 바닷물고기</v>
      </c>
      <c r="I575">
        <f>eDNA!E575</f>
        <v>20</v>
      </c>
      <c r="J575" t="str">
        <f>_xlfn.XLOOKUP(G575,'Common name (master file)'!$B:$B,'Common name (master file)'!$C:$C,"")</f>
        <v>어류</v>
      </c>
      <c r="K575">
        <f>eDNA!B575</f>
        <v>126.8343934</v>
      </c>
      <c r="L575">
        <f>eDNA!C575</f>
        <v>37.4648574</v>
      </c>
      <c r="M575" s="10" t="str" cm="1">
        <f t="array" ref="M575">IFERROR(_xlfn.XLOOKUP(1,('env Parameter'!$A:$A=$A575)*('env Parameter'!$B:$B=$K575)*('env Parameter'!$C:$C=$L575),'env Parameter'!D:D,""),"")</f>
        <v>옥길천-2</v>
      </c>
      <c r="N575" s="10" t="str" cm="1">
        <f t="array" ref="N575">IFERROR(_xlfn.XLOOKUP(1,('env Parameter'!$A:$A=$A575)*('env Parameter'!$B:$B=$K575)*('env Parameter'!$C:$C=$L575),'env Parameter'!I:I,""),"")</f>
        <v>YR</v>
      </c>
    </row>
    <row r="576" spans="1:14">
      <c r="A576">
        <f>eDNA!A576</f>
        <v>20200718</v>
      </c>
      <c r="B576" s="10" t="str" cm="1">
        <f t="array" ref="B576">IFERROR(_xlfn.XLOOKUP(1,('env Parameter'!$A:$A=$A576)*('env Parameter'!$B:$B=$K576)*('env Parameter'!$C:$C=$L576),'env Parameter'!H:H,""),"")</f>
        <v>생물상 조사</v>
      </c>
      <c r="C576" s="10" cm="1">
        <f t="array" ref="C576">IFERROR(_xlfn.XLOOKUP(1,('env Parameter'!$A:$A=$A576)*('env Parameter'!$B:$B=$K576)*('env Parameter'!$C:$C=$L576),'env Parameter'!E:E,""),"")</f>
        <v>2.14</v>
      </c>
      <c r="D576" s="10" cm="1">
        <f t="array" ref="D576">IFERROR(_xlfn.XLOOKUP(1,('env Parameter'!$A:$A=$A576)*('env Parameter'!$B:$B=$K576)*('env Parameter'!$C:$C=$L576),'env Parameter'!F:F,""),"")</f>
        <v>478</v>
      </c>
      <c r="E576" s="10" cm="1">
        <f t="array" ref="E576">IFERROR(_xlfn.XLOOKUP(1,('env Parameter'!$A:$A=$A576)*('env Parameter'!$B:$B=$K576)*('env Parameter'!$C:$C=$L576),'env Parameter'!G:G,""),"")</f>
        <v>7.6</v>
      </c>
      <c r="F576" t="str">
        <f>eDNA!F576</f>
        <v>MiFish</v>
      </c>
      <c r="G576" t="str">
        <f>eDNA!D576</f>
        <v>Misgurnus anguillicaudatus</v>
      </c>
      <c r="H576" t="str">
        <f>_xlfn.XLOOKUP(G576,'Common name (master file)'!$B:$B,'Common name (master file)'!$A:$A,"-------------")</f>
        <v>미꾸리</v>
      </c>
      <c r="I576">
        <f>eDNA!E576</f>
        <v>23</v>
      </c>
      <c r="J576" t="str">
        <f>_xlfn.XLOOKUP(G576,'Common name (master file)'!$B:$B,'Common name (master file)'!$C:$C,"")</f>
        <v>어류</v>
      </c>
      <c r="K576">
        <f>eDNA!B576</f>
        <v>126.8343934</v>
      </c>
      <c r="L576">
        <f>eDNA!C576</f>
        <v>37.4648574</v>
      </c>
      <c r="M576" s="10" t="str" cm="1">
        <f t="array" ref="M576">IFERROR(_xlfn.XLOOKUP(1,('env Parameter'!$A:$A=$A576)*('env Parameter'!$B:$B=$K576)*('env Parameter'!$C:$C=$L576),'env Parameter'!D:D,""),"")</f>
        <v>옥길천-2</v>
      </c>
      <c r="N576" s="10" t="str" cm="1">
        <f t="array" ref="N576">IFERROR(_xlfn.XLOOKUP(1,('env Parameter'!$A:$A=$A576)*('env Parameter'!$B:$B=$K576)*('env Parameter'!$C:$C=$L576),'env Parameter'!I:I,""),"")</f>
        <v>YR</v>
      </c>
    </row>
    <row r="577" spans="1:14">
      <c r="A577">
        <f>eDNA!A577</f>
        <v>20200718</v>
      </c>
      <c r="B577" s="10" t="str" cm="1">
        <f t="array" ref="B577">IFERROR(_xlfn.XLOOKUP(1,('env Parameter'!$A:$A=$A577)*('env Parameter'!$B:$B=$K577)*('env Parameter'!$C:$C=$L577),'env Parameter'!H:H,""),"")</f>
        <v>생물상 조사</v>
      </c>
      <c r="C577" s="10" cm="1">
        <f t="array" ref="C577">IFERROR(_xlfn.XLOOKUP(1,('env Parameter'!$A:$A=$A577)*('env Parameter'!$B:$B=$K577)*('env Parameter'!$C:$C=$L577),'env Parameter'!E:E,""),"")</f>
        <v>2.14</v>
      </c>
      <c r="D577" s="10" cm="1">
        <f t="array" ref="D577">IFERROR(_xlfn.XLOOKUP(1,('env Parameter'!$A:$A=$A577)*('env Parameter'!$B:$B=$K577)*('env Parameter'!$C:$C=$L577),'env Parameter'!F:F,""),"")</f>
        <v>478</v>
      </c>
      <c r="E577" s="10" cm="1">
        <f t="array" ref="E577">IFERROR(_xlfn.XLOOKUP(1,('env Parameter'!$A:$A=$A577)*('env Parameter'!$B:$B=$K577)*('env Parameter'!$C:$C=$L577),'env Parameter'!G:G,""),"")</f>
        <v>7.6</v>
      </c>
      <c r="F577" t="str">
        <f>eDNA!F577</f>
        <v>MiFish</v>
      </c>
      <c r="G577" t="str">
        <f>eDNA!D577</f>
        <v>Gadus macrocephalus</v>
      </c>
      <c r="H577" t="str">
        <f>_xlfn.XLOOKUP(G577,'Common name (master file)'!$B:$B,'Common name (master file)'!$A:$A,"-------------")</f>
        <v>대구</v>
      </c>
      <c r="I577">
        <f>eDNA!E577</f>
        <v>25</v>
      </c>
      <c r="J577" t="str">
        <f>_xlfn.XLOOKUP(G577,'Common name (master file)'!$B:$B,'Common name (master file)'!$C:$C,"")</f>
        <v>어류</v>
      </c>
      <c r="K577">
        <f>eDNA!B577</f>
        <v>126.8343934</v>
      </c>
      <c r="L577">
        <f>eDNA!C577</f>
        <v>37.4648574</v>
      </c>
      <c r="M577" s="10" t="str" cm="1">
        <f t="array" ref="M577">IFERROR(_xlfn.XLOOKUP(1,('env Parameter'!$A:$A=$A577)*('env Parameter'!$B:$B=$K577)*('env Parameter'!$C:$C=$L577),'env Parameter'!D:D,""),"")</f>
        <v>옥길천-2</v>
      </c>
      <c r="N577" s="10" t="str" cm="1">
        <f t="array" ref="N577">IFERROR(_xlfn.XLOOKUP(1,('env Parameter'!$A:$A=$A577)*('env Parameter'!$B:$B=$K577)*('env Parameter'!$C:$C=$L577),'env Parameter'!I:I,""),"")</f>
        <v>YR</v>
      </c>
    </row>
    <row r="578" spans="1:14">
      <c r="A578">
        <f>eDNA!A578</f>
        <v>20200718</v>
      </c>
      <c r="B578" s="10" t="str" cm="1">
        <f t="array" ref="B578">IFERROR(_xlfn.XLOOKUP(1,('env Parameter'!$A:$A=$A578)*('env Parameter'!$B:$B=$K578)*('env Parameter'!$C:$C=$L578),'env Parameter'!H:H,""),"")</f>
        <v>생물상 조사</v>
      </c>
      <c r="C578" s="10" cm="1">
        <f t="array" ref="C578">IFERROR(_xlfn.XLOOKUP(1,('env Parameter'!$A:$A=$A578)*('env Parameter'!$B:$B=$K578)*('env Parameter'!$C:$C=$L578),'env Parameter'!E:E,""),"")</f>
        <v>2.14</v>
      </c>
      <c r="D578" s="10" cm="1">
        <f t="array" ref="D578">IFERROR(_xlfn.XLOOKUP(1,('env Parameter'!$A:$A=$A578)*('env Parameter'!$B:$B=$K578)*('env Parameter'!$C:$C=$L578),'env Parameter'!F:F,""),"")</f>
        <v>478</v>
      </c>
      <c r="E578" s="10" cm="1">
        <f t="array" ref="E578">IFERROR(_xlfn.XLOOKUP(1,('env Parameter'!$A:$A=$A578)*('env Parameter'!$B:$B=$K578)*('env Parameter'!$C:$C=$L578),'env Parameter'!G:G,""),"")</f>
        <v>7.6</v>
      </c>
      <c r="F578" t="str">
        <f>eDNA!F578</f>
        <v>MiFish</v>
      </c>
      <c r="G578" t="str">
        <f>eDNA!D578</f>
        <v>Lepidopus caudatus</v>
      </c>
      <c r="H578" t="str">
        <f>_xlfn.XLOOKUP(G578,'Common name (master file)'!$B:$B,'Common name (master file)'!$A:$A,"-------------")</f>
        <v>은빛갈치꼬치</v>
      </c>
      <c r="I578">
        <f>eDNA!E578</f>
        <v>53</v>
      </c>
      <c r="J578" t="str">
        <f>_xlfn.XLOOKUP(G578,'Common name (master file)'!$B:$B,'Common name (master file)'!$C:$C,"")</f>
        <v>어류</v>
      </c>
      <c r="K578">
        <f>eDNA!B578</f>
        <v>126.8428368</v>
      </c>
      <c r="L578">
        <f>eDNA!C578</f>
        <v>37.4677784</v>
      </c>
      <c r="M578" s="10" t="str" cm="1">
        <f t="array" ref="M578">IFERROR(_xlfn.XLOOKUP(1,('env Parameter'!$A:$A=$A578)*('env Parameter'!$B:$B=$K578)*('env Parameter'!$C:$C=$L578),'env Parameter'!D:D,""),"")</f>
        <v>목감천-1</v>
      </c>
      <c r="N578" s="10" t="str" cm="1">
        <f t="array" ref="N578">IFERROR(_xlfn.XLOOKUP(1,('env Parameter'!$A:$A=$A578)*('env Parameter'!$B:$B=$K578)*('env Parameter'!$C:$C=$L578),'env Parameter'!I:I,""),"")</f>
        <v>YR</v>
      </c>
    </row>
    <row r="579" spans="1:14">
      <c r="A579">
        <f>eDNA!A579</f>
        <v>20200718</v>
      </c>
      <c r="B579" s="10" t="str" cm="1">
        <f t="array" ref="B579">IFERROR(_xlfn.XLOOKUP(1,('env Parameter'!$A:$A=$A579)*('env Parameter'!$B:$B=$K579)*('env Parameter'!$C:$C=$L579),'env Parameter'!H:H,""),"")</f>
        <v>생물상 조사</v>
      </c>
      <c r="C579" s="10" cm="1">
        <f t="array" ref="C579">IFERROR(_xlfn.XLOOKUP(1,('env Parameter'!$A:$A=$A579)*('env Parameter'!$B:$B=$K579)*('env Parameter'!$C:$C=$L579),'env Parameter'!E:E,""),"")</f>
        <v>2.14</v>
      </c>
      <c r="D579" s="10" cm="1">
        <f t="array" ref="D579">IFERROR(_xlfn.XLOOKUP(1,('env Parameter'!$A:$A=$A579)*('env Parameter'!$B:$B=$K579)*('env Parameter'!$C:$C=$L579),'env Parameter'!F:F,""),"")</f>
        <v>478</v>
      </c>
      <c r="E579" s="10" cm="1">
        <f t="array" ref="E579">IFERROR(_xlfn.XLOOKUP(1,('env Parameter'!$A:$A=$A579)*('env Parameter'!$B:$B=$K579)*('env Parameter'!$C:$C=$L579),'env Parameter'!G:G,""),"")</f>
        <v>7.6</v>
      </c>
      <c r="F579" t="str">
        <f>eDNA!F579</f>
        <v>MiFish</v>
      </c>
      <c r="G579" t="str">
        <f>eDNA!D579</f>
        <v>Paralichthys olivaceus</v>
      </c>
      <c r="H579" t="str">
        <f>_xlfn.XLOOKUP(G579,'Common name (master file)'!$B:$B,'Common name (master file)'!$A:$A,"-------------")</f>
        <v>남해산 넙치</v>
      </c>
      <c r="I579">
        <f>eDNA!E579</f>
        <v>41</v>
      </c>
      <c r="J579" t="str">
        <f>_xlfn.XLOOKUP(G579,'Common name (master file)'!$B:$B,'Common name (master file)'!$C:$C,"")</f>
        <v>어류</v>
      </c>
      <c r="K579">
        <f>eDNA!B579</f>
        <v>126.8343934</v>
      </c>
      <c r="L579">
        <f>eDNA!C579</f>
        <v>37.4648574</v>
      </c>
      <c r="M579" s="10" t="str" cm="1">
        <f t="array" ref="M579">IFERROR(_xlfn.XLOOKUP(1,('env Parameter'!$A:$A=$A579)*('env Parameter'!$B:$B=$K579)*('env Parameter'!$C:$C=$L579),'env Parameter'!D:D,""),"")</f>
        <v>옥길천-2</v>
      </c>
      <c r="N579" s="10" t="str" cm="1">
        <f t="array" ref="N579">IFERROR(_xlfn.XLOOKUP(1,('env Parameter'!$A:$A=$A579)*('env Parameter'!$B:$B=$K579)*('env Parameter'!$C:$C=$L579),'env Parameter'!I:I,""),"")</f>
        <v>YR</v>
      </c>
    </row>
    <row r="580" spans="1:14">
      <c r="A580">
        <f>eDNA!A580</f>
        <v>20200718</v>
      </c>
      <c r="B580" s="10" t="str" cm="1">
        <f t="array" ref="B580">IFERROR(_xlfn.XLOOKUP(1,('env Parameter'!$A:$A=$A580)*('env Parameter'!$B:$B=$K580)*('env Parameter'!$C:$C=$L580),'env Parameter'!H:H,""),"")</f>
        <v>생물상 조사</v>
      </c>
      <c r="C580" s="10" cm="1">
        <f t="array" ref="C580">IFERROR(_xlfn.XLOOKUP(1,('env Parameter'!$A:$A=$A580)*('env Parameter'!$B:$B=$K580)*('env Parameter'!$C:$C=$L580),'env Parameter'!E:E,""),"")</f>
        <v>2.14</v>
      </c>
      <c r="D580" s="10" cm="1">
        <f t="array" ref="D580">IFERROR(_xlfn.XLOOKUP(1,('env Parameter'!$A:$A=$A580)*('env Parameter'!$B:$B=$K580)*('env Parameter'!$C:$C=$L580),'env Parameter'!F:F,""),"")</f>
        <v>478</v>
      </c>
      <c r="E580" s="10" cm="1">
        <f t="array" ref="E580">IFERROR(_xlfn.XLOOKUP(1,('env Parameter'!$A:$A=$A580)*('env Parameter'!$B:$B=$K580)*('env Parameter'!$C:$C=$L580),'env Parameter'!G:G,""),"")</f>
        <v>7.6</v>
      </c>
      <c r="F580" t="str">
        <f>eDNA!F580</f>
        <v>MiFish</v>
      </c>
      <c r="G580" t="str">
        <f>eDNA!D580</f>
        <v>Carassius auratus</v>
      </c>
      <c r="H580" t="str">
        <f>_xlfn.XLOOKUP(G580,'Common name (master file)'!$B:$B,'Common name (master file)'!$A:$A,"-------------")</f>
        <v>붕어</v>
      </c>
      <c r="I580">
        <f>eDNA!E580</f>
        <v>50</v>
      </c>
      <c r="J580" t="str">
        <f>_xlfn.XLOOKUP(G580,'Common name (master file)'!$B:$B,'Common name (master file)'!$C:$C,"")</f>
        <v>어류</v>
      </c>
      <c r="K580">
        <f>eDNA!B580</f>
        <v>126.8343934</v>
      </c>
      <c r="L580">
        <f>eDNA!C580</f>
        <v>37.4648574</v>
      </c>
      <c r="M580" s="10" t="str" cm="1">
        <f t="array" ref="M580">IFERROR(_xlfn.XLOOKUP(1,('env Parameter'!$A:$A=$A580)*('env Parameter'!$B:$B=$K580)*('env Parameter'!$C:$C=$L580),'env Parameter'!D:D,""),"")</f>
        <v>옥길천-2</v>
      </c>
      <c r="N580" s="10" t="str" cm="1">
        <f t="array" ref="N580">IFERROR(_xlfn.XLOOKUP(1,('env Parameter'!$A:$A=$A580)*('env Parameter'!$B:$B=$K580)*('env Parameter'!$C:$C=$L580),'env Parameter'!I:I,""),"")</f>
        <v>YR</v>
      </c>
    </row>
    <row r="581" spans="1:14">
      <c r="A581">
        <f>eDNA!A581</f>
        <v>20200718</v>
      </c>
      <c r="B581" s="10" t="str" cm="1">
        <f t="array" ref="B581">IFERROR(_xlfn.XLOOKUP(1,('env Parameter'!$A:$A=$A581)*('env Parameter'!$B:$B=$K581)*('env Parameter'!$C:$C=$L581),'env Parameter'!H:H,""),"")</f>
        <v>생물상 조사</v>
      </c>
      <c r="C581" s="10" cm="1">
        <f t="array" ref="C581">IFERROR(_xlfn.XLOOKUP(1,('env Parameter'!$A:$A=$A581)*('env Parameter'!$B:$B=$K581)*('env Parameter'!$C:$C=$L581),'env Parameter'!E:E,""),"")</f>
        <v>2.14</v>
      </c>
      <c r="D581" s="10" cm="1">
        <f t="array" ref="D581">IFERROR(_xlfn.XLOOKUP(1,('env Parameter'!$A:$A=$A581)*('env Parameter'!$B:$B=$K581)*('env Parameter'!$C:$C=$L581),'env Parameter'!F:F,""),"")</f>
        <v>478</v>
      </c>
      <c r="E581" s="10" cm="1">
        <f t="array" ref="E581">IFERROR(_xlfn.XLOOKUP(1,('env Parameter'!$A:$A=$A581)*('env Parameter'!$B:$B=$K581)*('env Parameter'!$C:$C=$L581),'env Parameter'!G:G,""),"")</f>
        <v>7.6</v>
      </c>
      <c r="F581" t="str">
        <f>eDNA!F581</f>
        <v>MiFish</v>
      </c>
      <c r="G581" t="str">
        <f>eDNA!D581</f>
        <v>Bos taurus</v>
      </c>
      <c r="H581" t="str">
        <f>_xlfn.XLOOKUP(G581,'Common name (master file)'!$B:$B,'Common name (master file)'!$A:$A,"-------------")</f>
        <v>소</v>
      </c>
      <c r="I581">
        <f>eDNA!E581</f>
        <v>54</v>
      </c>
      <c r="J581" t="str">
        <f>_xlfn.XLOOKUP(G581,'Common name (master file)'!$B:$B,'Common name (master file)'!$C:$C,"")</f>
        <v>포유류</v>
      </c>
      <c r="K581">
        <f>eDNA!B581</f>
        <v>126.8343934</v>
      </c>
      <c r="L581">
        <f>eDNA!C581</f>
        <v>37.4648574</v>
      </c>
      <c r="M581" s="10" t="str" cm="1">
        <f t="array" ref="M581">IFERROR(_xlfn.XLOOKUP(1,('env Parameter'!$A:$A=$A581)*('env Parameter'!$B:$B=$K581)*('env Parameter'!$C:$C=$L581),'env Parameter'!D:D,""),"")</f>
        <v>옥길천-2</v>
      </c>
      <c r="N581" s="10" t="str" cm="1">
        <f t="array" ref="N581">IFERROR(_xlfn.XLOOKUP(1,('env Parameter'!$A:$A=$A581)*('env Parameter'!$B:$B=$K581)*('env Parameter'!$C:$C=$L581),'env Parameter'!I:I,""),"")</f>
        <v>YR</v>
      </c>
    </row>
    <row r="582" spans="1:14">
      <c r="A582">
        <f>eDNA!A582</f>
        <v>20200718</v>
      </c>
      <c r="B582" s="10" t="str" cm="1">
        <f t="array" ref="B582">IFERROR(_xlfn.XLOOKUP(1,('env Parameter'!$A:$A=$A582)*('env Parameter'!$B:$B=$K582)*('env Parameter'!$C:$C=$L582),'env Parameter'!H:H,""),"")</f>
        <v>생물상 조사</v>
      </c>
      <c r="C582" s="10" cm="1">
        <f t="array" ref="C582">IFERROR(_xlfn.XLOOKUP(1,('env Parameter'!$A:$A=$A582)*('env Parameter'!$B:$B=$K582)*('env Parameter'!$C:$C=$L582),'env Parameter'!E:E,""),"")</f>
        <v>2.14</v>
      </c>
      <c r="D582" s="10" cm="1">
        <f t="array" ref="D582">IFERROR(_xlfn.XLOOKUP(1,('env Parameter'!$A:$A=$A582)*('env Parameter'!$B:$B=$K582)*('env Parameter'!$C:$C=$L582),'env Parameter'!F:F,""),"")</f>
        <v>478</v>
      </c>
      <c r="E582" s="10" cm="1">
        <f t="array" ref="E582">IFERROR(_xlfn.XLOOKUP(1,('env Parameter'!$A:$A=$A582)*('env Parameter'!$B:$B=$K582)*('env Parameter'!$C:$C=$L582),'env Parameter'!G:G,""),"")</f>
        <v>7.6</v>
      </c>
      <c r="F582" t="str">
        <f>eDNA!F582</f>
        <v>MiFish</v>
      </c>
      <c r="G582" t="str">
        <f>eDNA!D582</f>
        <v>Acheilognathus macropterus</v>
      </c>
      <c r="H582" t="str">
        <f>_xlfn.XLOOKUP(G582,'Common name (master file)'!$B:$B,'Common name (master file)'!$A:$A,"-------------")</f>
        <v>큰납지리</v>
      </c>
      <c r="I582">
        <f>eDNA!E582</f>
        <v>67</v>
      </c>
      <c r="J582" t="str">
        <f>_xlfn.XLOOKUP(G582,'Common name (master file)'!$B:$B,'Common name (master file)'!$C:$C,"")</f>
        <v>어류</v>
      </c>
      <c r="K582">
        <f>eDNA!B582</f>
        <v>126.8343934</v>
      </c>
      <c r="L582">
        <f>eDNA!C582</f>
        <v>37.4648574</v>
      </c>
      <c r="M582" s="10" t="str" cm="1">
        <f t="array" ref="M582">IFERROR(_xlfn.XLOOKUP(1,('env Parameter'!$A:$A=$A582)*('env Parameter'!$B:$B=$K582)*('env Parameter'!$C:$C=$L582),'env Parameter'!D:D,""),"")</f>
        <v>옥길천-2</v>
      </c>
      <c r="N582" s="10" t="str" cm="1">
        <f t="array" ref="N582">IFERROR(_xlfn.XLOOKUP(1,('env Parameter'!$A:$A=$A582)*('env Parameter'!$B:$B=$K582)*('env Parameter'!$C:$C=$L582),'env Parameter'!I:I,""),"")</f>
        <v>YR</v>
      </c>
    </row>
    <row r="583" spans="1:14">
      <c r="A583">
        <f>eDNA!A583</f>
        <v>20200718</v>
      </c>
      <c r="B583" s="10" t="str" cm="1">
        <f t="array" ref="B583">IFERROR(_xlfn.XLOOKUP(1,('env Parameter'!$A:$A=$A583)*('env Parameter'!$B:$B=$K583)*('env Parameter'!$C:$C=$L583),'env Parameter'!H:H,""),"")</f>
        <v>생물상 조사</v>
      </c>
      <c r="C583" s="10" cm="1">
        <f t="array" ref="C583">IFERROR(_xlfn.XLOOKUP(1,('env Parameter'!$A:$A=$A583)*('env Parameter'!$B:$B=$K583)*('env Parameter'!$C:$C=$L583),'env Parameter'!E:E,""),"")</f>
        <v>2.14</v>
      </c>
      <c r="D583" s="10" cm="1">
        <f t="array" ref="D583">IFERROR(_xlfn.XLOOKUP(1,('env Parameter'!$A:$A=$A583)*('env Parameter'!$B:$B=$K583)*('env Parameter'!$C:$C=$L583),'env Parameter'!F:F,""),"")</f>
        <v>478</v>
      </c>
      <c r="E583" s="10" cm="1">
        <f t="array" ref="E583">IFERROR(_xlfn.XLOOKUP(1,('env Parameter'!$A:$A=$A583)*('env Parameter'!$B:$B=$K583)*('env Parameter'!$C:$C=$L583),'env Parameter'!G:G,""),"")</f>
        <v>7.6</v>
      </c>
      <c r="F583" t="str">
        <f>eDNA!F583</f>
        <v>MiFish</v>
      </c>
      <c r="G583" t="str">
        <f>eDNA!D583</f>
        <v>Theragra chalcogramma</v>
      </c>
      <c r="H583" t="str">
        <f>_xlfn.XLOOKUP(G583,'Common name (master file)'!$B:$B,'Common name (master file)'!$A:$A,"-------------")</f>
        <v>명태</v>
      </c>
      <c r="I583">
        <f>eDNA!E583</f>
        <v>189</v>
      </c>
      <c r="J583" t="str">
        <f>_xlfn.XLOOKUP(G583,'Common name (master file)'!$B:$B,'Common name (master file)'!$C:$C,"")</f>
        <v>어류</v>
      </c>
      <c r="K583">
        <f>eDNA!B583</f>
        <v>126.8343934</v>
      </c>
      <c r="L583">
        <f>eDNA!C583</f>
        <v>37.4648574</v>
      </c>
      <c r="M583" s="10" t="str" cm="1">
        <f t="array" ref="M583">IFERROR(_xlfn.XLOOKUP(1,('env Parameter'!$A:$A=$A583)*('env Parameter'!$B:$B=$K583)*('env Parameter'!$C:$C=$L583),'env Parameter'!D:D,""),"")</f>
        <v>옥길천-2</v>
      </c>
      <c r="N583" s="10" t="str" cm="1">
        <f t="array" ref="N583">IFERROR(_xlfn.XLOOKUP(1,('env Parameter'!$A:$A=$A583)*('env Parameter'!$B:$B=$K583)*('env Parameter'!$C:$C=$L583),'env Parameter'!I:I,""),"")</f>
        <v>YR</v>
      </c>
    </row>
    <row r="584" spans="1:14">
      <c r="A584">
        <f>eDNA!A584</f>
        <v>20200718</v>
      </c>
      <c r="B584" s="10" t="str" cm="1">
        <f t="array" ref="B584">IFERROR(_xlfn.XLOOKUP(1,('env Parameter'!$A:$A=$A584)*('env Parameter'!$B:$B=$K584)*('env Parameter'!$C:$C=$L584),'env Parameter'!H:H,""),"")</f>
        <v>생물상 조사</v>
      </c>
      <c r="C584" s="10" cm="1">
        <f t="array" ref="C584">IFERROR(_xlfn.XLOOKUP(1,('env Parameter'!$A:$A=$A584)*('env Parameter'!$B:$B=$K584)*('env Parameter'!$C:$C=$L584),'env Parameter'!E:E,""),"")</f>
        <v>2.14</v>
      </c>
      <c r="D584" s="10" cm="1">
        <f t="array" ref="D584">IFERROR(_xlfn.XLOOKUP(1,('env Parameter'!$A:$A=$A584)*('env Parameter'!$B:$B=$K584)*('env Parameter'!$C:$C=$L584),'env Parameter'!F:F,""),"")</f>
        <v>478</v>
      </c>
      <c r="E584" s="10" cm="1">
        <f t="array" ref="E584">IFERROR(_xlfn.XLOOKUP(1,('env Parameter'!$A:$A=$A584)*('env Parameter'!$B:$B=$K584)*('env Parameter'!$C:$C=$L584),'env Parameter'!G:G,""),"")</f>
        <v>7.6</v>
      </c>
      <c r="F584" t="str">
        <f>eDNA!F584</f>
        <v>MiFish</v>
      </c>
      <c r="G584" t="str">
        <f>eDNA!D584</f>
        <v>Engraulis japonicus</v>
      </c>
      <c r="H584" t="str">
        <f>_xlfn.XLOOKUP(G584,'Common name (master file)'!$B:$B,'Common name (master file)'!$A:$A,"-------------")</f>
        <v>멸치</v>
      </c>
      <c r="I584">
        <f>eDNA!E584</f>
        <v>171</v>
      </c>
      <c r="J584" t="str">
        <f>_xlfn.XLOOKUP(G584,'Common name (master file)'!$B:$B,'Common name (master file)'!$C:$C,"")</f>
        <v>어류</v>
      </c>
      <c r="K584">
        <f>eDNA!B584</f>
        <v>126.8343934</v>
      </c>
      <c r="L584">
        <f>eDNA!C584</f>
        <v>37.4648574</v>
      </c>
      <c r="M584" s="10" t="str" cm="1">
        <f t="array" ref="M584">IFERROR(_xlfn.XLOOKUP(1,('env Parameter'!$A:$A=$A584)*('env Parameter'!$B:$B=$K584)*('env Parameter'!$C:$C=$L584),'env Parameter'!D:D,""),"")</f>
        <v>옥길천-2</v>
      </c>
      <c r="N584" s="10" t="str" cm="1">
        <f t="array" ref="N584">IFERROR(_xlfn.XLOOKUP(1,('env Parameter'!$A:$A=$A584)*('env Parameter'!$B:$B=$K584)*('env Parameter'!$C:$C=$L584),'env Parameter'!I:I,""),"")</f>
        <v>YR</v>
      </c>
    </row>
    <row r="585" spans="1:14">
      <c r="A585">
        <f>eDNA!A585</f>
        <v>20200718</v>
      </c>
      <c r="B585" s="10" t="str" cm="1">
        <f t="array" ref="B585">IFERROR(_xlfn.XLOOKUP(1,('env Parameter'!$A:$A=$A585)*('env Parameter'!$B:$B=$K585)*('env Parameter'!$C:$C=$L585),'env Parameter'!H:H,""),"")</f>
        <v>생물상 조사</v>
      </c>
      <c r="C585" s="10" cm="1">
        <f t="array" ref="C585">IFERROR(_xlfn.XLOOKUP(1,('env Parameter'!$A:$A=$A585)*('env Parameter'!$B:$B=$K585)*('env Parameter'!$C:$C=$L585),'env Parameter'!E:E,""),"")</f>
        <v>2.14</v>
      </c>
      <c r="D585" s="10" cm="1">
        <f t="array" ref="D585">IFERROR(_xlfn.XLOOKUP(1,('env Parameter'!$A:$A=$A585)*('env Parameter'!$B:$B=$K585)*('env Parameter'!$C:$C=$L585),'env Parameter'!F:F,""),"")</f>
        <v>478</v>
      </c>
      <c r="E585" s="10" cm="1">
        <f t="array" ref="E585">IFERROR(_xlfn.XLOOKUP(1,('env Parameter'!$A:$A=$A585)*('env Parameter'!$B:$B=$K585)*('env Parameter'!$C:$C=$L585),'env Parameter'!G:G,""),"")</f>
        <v>7.6</v>
      </c>
      <c r="F585" t="str">
        <f>eDNA!F585</f>
        <v>MiFish</v>
      </c>
      <c r="G585" t="str">
        <f>eDNA!D585</f>
        <v>Sebastes zacentrus</v>
      </c>
      <c r="H585" t="str">
        <f>_xlfn.XLOOKUP(G585,'Common name (master file)'!$B:$B,'Common name (master file)'!$A:$A,"-------------")</f>
        <v>쏨뱅이</v>
      </c>
      <c r="I585">
        <f>eDNA!E585</f>
        <v>267</v>
      </c>
      <c r="J585" t="str">
        <f>_xlfn.XLOOKUP(G585,'Common name (master file)'!$B:$B,'Common name (master file)'!$C:$C,"")</f>
        <v>어류</v>
      </c>
      <c r="K585">
        <f>eDNA!B585</f>
        <v>126.8343934</v>
      </c>
      <c r="L585">
        <f>eDNA!C585</f>
        <v>37.4648574</v>
      </c>
      <c r="M585" s="10" t="str" cm="1">
        <f t="array" ref="M585">IFERROR(_xlfn.XLOOKUP(1,('env Parameter'!$A:$A=$A585)*('env Parameter'!$B:$B=$K585)*('env Parameter'!$C:$C=$L585),'env Parameter'!D:D,""),"")</f>
        <v>옥길천-2</v>
      </c>
      <c r="N585" s="10" t="str" cm="1">
        <f t="array" ref="N585">IFERROR(_xlfn.XLOOKUP(1,('env Parameter'!$A:$A=$A585)*('env Parameter'!$B:$B=$K585)*('env Parameter'!$C:$C=$L585),'env Parameter'!I:I,""),"")</f>
        <v>YR</v>
      </c>
    </row>
    <row r="586" spans="1:14">
      <c r="A586">
        <f>eDNA!A586</f>
        <v>20200718</v>
      </c>
      <c r="B586" s="10" t="str" cm="1">
        <f t="array" ref="B586">IFERROR(_xlfn.XLOOKUP(1,('env Parameter'!$A:$A=$A586)*('env Parameter'!$B:$B=$K586)*('env Parameter'!$C:$C=$L586),'env Parameter'!H:H,""),"")</f>
        <v>생물상 조사</v>
      </c>
      <c r="C586" s="10" cm="1">
        <f t="array" ref="C586">IFERROR(_xlfn.XLOOKUP(1,('env Parameter'!$A:$A=$A586)*('env Parameter'!$B:$B=$K586)*('env Parameter'!$C:$C=$L586),'env Parameter'!E:E,""),"")</f>
        <v>2.14</v>
      </c>
      <c r="D586" s="10" cm="1">
        <f t="array" ref="D586">IFERROR(_xlfn.XLOOKUP(1,('env Parameter'!$A:$A=$A586)*('env Parameter'!$B:$B=$K586)*('env Parameter'!$C:$C=$L586),'env Parameter'!F:F,""),"")</f>
        <v>478</v>
      </c>
      <c r="E586" s="10" cm="1">
        <f t="array" ref="E586">IFERROR(_xlfn.XLOOKUP(1,('env Parameter'!$A:$A=$A586)*('env Parameter'!$B:$B=$K586)*('env Parameter'!$C:$C=$L586),'env Parameter'!G:G,""),"")</f>
        <v>7.6</v>
      </c>
      <c r="F586" t="str">
        <f>eDNA!F586</f>
        <v>MiFish</v>
      </c>
      <c r="G586" t="str">
        <f>eDNA!D586</f>
        <v>Pseudogobio esocinus</v>
      </c>
      <c r="H586" t="str">
        <f>_xlfn.XLOOKUP(G586,'Common name (master file)'!$B:$B,'Common name (master file)'!$A:$A,"-------------")</f>
        <v>모래무지</v>
      </c>
      <c r="I586">
        <f>eDNA!E586</f>
        <v>450</v>
      </c>
      <c r="J586" t="str">
        <f>_xlfn.XLOOKUP(G586,'Common name (master file)'!$B:$B,'Common name (master file)'!$C:$C,"")</f>
        <v>어류</v>
      </c>
      <c r="K586">
        <f>eDNA!B586</f>
        <v>126.8343934</v>
      </c>
      <c r="L586">
        <f>eDNA!C586</f>
        <v>37.4648574</v>
      </c>
      <c r="M586" s="10" t="str" cm="1">
        <f t="array" ref="M586">IFERROR(_xlfn.XLOOKUP(1,('env Parameter'!$A:$A=$A586)*('env Parameter'!$B:$B=$K586)*('env Parameter'!$C:$C=$L586),'env Parameter'!D:D,""),"")</f>
        <v>옥길천-2</v>
      </c>
      <c r="N586" s="10" t="str" cm="1">
        <f t="array" ref="N586">IFERROR(_xlfn.XLOOKUP(1,('env Parameter'!$A:$A=$A586)*('env Parameter'!$B:$B=$K586)*('env Parameter'!$C:$C=$L586),'env Parameter'!I:I,""),"")</f>
        <v>YR</v>
      </c>
    </row>
    <row r="587" spans="1:14">
      <c r="A587">
        <f>eDNA!A587</f>
        <v>20200718</v>
      </c>
      <c r="B587" s="10" t="str" cm="1">
        <f t="array" ref="B587">IFERROR(_xlfn.XLOOKUP(1,('env Parameter'!$A:$A=$A587)*('env Parameter'!$B:$B=$K587)*('env Parameter'!$C:$C=$L587),'env Parameter'!H:H,""),"")</f>
        <v>생물상 조사</v>
      </c>
      <c r="C587" s="10" cm="1">
        <f t="array" ref="C587">IFERROR(_xlfn.XLOOKUP(1,('env Parameter'!$A:$A=$A587)*('env Parameter'!$B:$B=$K587)*('env Parameter'!$C:$C=$L587),'env Parameter'!E:E,""),"")</f>
        <v>2.14</v>
      </c>
      <c r="D587" s="10" cm="1">
        <f t="array" ref="D587">IFERROR(_xlfn.XLOOKUP(1,('env Parameter'!$A:$A=$A587)*('env Parameter'!$B:$B=$K587)*('env Parameter'!$C:$C=$L587),'env Parameter'!F:F,""),"")</f>
        <v>478</v>
      </c>
      <c r="E587" s="10" cm="1">
        <f t="array" ref="E587">IFERROR(_xlfn.XLOOKUP(1,('env Parameter'!$A:$A=$A587)*('env Parameter'!$B:$B=$K587)*('env Parameter'!$C:$C=$L587),'env Parameter'!G:G,""),"")</f>
        <v>7.6</v>
      </c>
      <c r="F587" t="str">
        <f>eDNA!F587</f>
        <v>MiFish</v>
      </c>
      <c r="G587" t="str">
        <f>eDNA!D587</f>
        <v>Sus scrofa</v>
      </c>
      <c r="H587" t="str">
        <f>_xlfn.XLOOKUP(G587,'Common name (master file)'!$B:$B,'Common name (master file)'!$A:$A,"-------------")</f>
        <v>멧돼지</v>
      </c>
      <c r="I587">
        <f>eDNA!E587</f>
        <v>522</v>
      </c>
      <c r="J587" t="str">
        <f>_xlfn.XLOOKUP(G587,'Common name (master file)'!$B:$B,'Common name (master file)'!$C:$C,"")</f>
        <v>포유류</v>
      </c>
      <c r="K587">
        <f>eDNA!B587</f>
        <v>126.8343934</v>
      </c>
      <c r="L587">
        <f>eDNA!C587</f>
        <v>37.4648574</v>
      </c>
      <c r="M587" s="10" t="str" cm="1">
        <f t="array" ref="M587">IFERROR(_xlfn.XLOOKUP(1,('env Parameter'!$A:$A=$A587)*('env Parameter'!$B:$B=$K587)*('env Parameter'!$C:$C=$L587),'env Parameter'!D:D,""),"")</f>
        <v>옥길천-2</v>
      </c>
      <c r="N587" s="10" t="str" cm="1">
        <f t="array" ref="N587">IFERROR(_xlfn.XLOOKUP(1,('env Parameter'!$A:$A=$A587)*('env Parameter'!$B:$B=$K587)*('env Parameter'!$C:$C=$L587),'env Parameter'!I:I,""),"")</f>
        <v>YR</v>
      </c>
    </row>
    <row r="588" spans="1:14">
      <c r="A588">
        <f>eDNA!A588</f>
        <v>20200718</v>
      </c>
      <c r="B588" s="10" t="str" cm="1">
        <f t="array" ref="B588">IFERROR(_xlfn.XLOOKUP(1,('env Parameter'!$A:$A=$A588)*('env Parameter'!$B:$B=$K588)*('env Parameter'!$C:$C=$L588),'env Parameter'!H:H,""),"")</f>
        <v>생물상 조사</v>
      </c>
      <c r="C588" s="10" cm="1">
        <f t="array" ref="C588">IFERROR(_xlfn.XLOOKUP(1,('env Parameter'!$A:$A=$A588)*('env Parameter'!$B:$B=$K588)*('env Parameter'!$C:$C=$L588),'env Parameter'!E:E,""),"")</f>
        <v>2.14</v>
      </c>
      <c r="D588" s="10" cm="1">
        <f t="array" ref="D588">IFERROR(_xlfn.XLOOKUP(1,('env Parameter'!$A:$A=$A588)*('env Parameter'!$B:$B=$K588)*('env Parameter'!$C:$C=$L588),'env Parameter'!F:F,""),"")</f>
        <v>478</v>
      </c>
      <c r="E588" s="10" cm="1">
        <f t="array" ref="E588">IFERROR(_xlfn.XLOOKUP(1,('env Parameter'!$A:$A=$A588)*('env Parameter'!$B:$B=$K588)*('env Parameter'!$C:$C=$L588),'env Parameter'!G:G,""),"")</f>
        <v>7.6</v>
      </c>
      <c r="F588" t="str">
        <f>eDNA!F588</f>
        <v>MiFish</v>
      </c>
      <c r="G588" t="str">
        <f>eDNA!D588</f>
        <v>Misgurnus mizolepis</v>
      </c>
      <c r="H588" t="str">
        <f>_xlfn.XLOOKUP(G588,'Common name (master file)'!$B:$B,'Common name (master file)'!$A:$A,"-------------")</f>
        <v>미꾸라지</v>
      </c>
      <c r="I588">
        <f>eDNA!E588</f>
        <v>301</v>
      </c>
      <c r="J588" t="str">
        <f>_xlfn.XLOOKUP(G588,'Common name (master file)'!$B:$B,'Common name (master file)'!$C:$C,"")</f>
        <v>어류</v>
      </c>
      <c r="K588">
        <f>eDNA!B588</f>
        <v>126.8343934</v>
      </c>
      <c r="L588">
        <f>eDNA!C588</f>
        <v>37.4648574</v>
      </c>
      <c r="M588" s="10" t="str" cm="1">
        <f t="array" ref="M588">IFERROR(_xlfn.XLOOKUP(1,('env Parameter'!$A:$A=$A588)*('env Parameter'!$B:$B=$K588)*('env Parameter'!$C:$C=$L588),'env Parameter'!D:D,""),"")</f>
        <v>옥길천-2</v>
      </c>
      <c r="N588" s="10" t="str" cm="1">
        <f t="array" ref="N588">IFERROR(_xlfn.XLOOKUP(1,('env Parameter'!$A:$A=$A588)*('env Parameter'!$B:$B=$K588)*('env Parameter'!$C:$C=$L588),'env Parameter'!I:I,""),"")</f>
        <v>YR</v>
      </c>
    </row>
    <row r="589" spans="1:14">
      <c r="A589">
        <f>eDNA!A589</f>
        <v>20200718</v>
      </c>
      <c r="B589" s="10" t="str" cm="1">
        <f t="array" ref="B589">IFERROR(_xlfn.XLOOKUP(1,('env Parameter'!$A:$A=$A589)*('env Parameter'!$B:$B=$K589)*('env Parameter'!$C:$C=$L589),'env Parameter'!H:H,""),"")</f>
        <v>생물상 조사</v>
      </c>
      <c r="C589" s="10" cm="1">
        <f t="array" ref="C589">IFERROR(_xlfn.XLOOKUP(1,('env Parameter'!$A:$A=$A589)*('env Parameter'!$B:$B=$K589)*('env Parameter'!$C:$C=$L589),'env Parameter'!E:E,""),"")</f>
        <v>2.14</v>
      </c>
      <c r="D589" s="10" cm="1">
        <f t="array" ref="D589">IFERROR(_xlfn.XLOOKUP(1,('env Parameter'!$A:$A=$A589)*('env Parameter'!$B:$B=$K589)*('env Parameter'!$C:$C=$L589),'env Parameter'!F:F,""),"")</f>
        <v>478</v>
      </c>
      <c r="E589" s="10" cm="1">
        <f t="array" ref="E589">IFERROR(_xlfn.XLOOKUP(1,('env Parameter'!$A:$A=$A589)*('env Parameter'!$B:$B=$K589)*('env Parameter'!$C:$C=$L589),'env Parameter'!G:G,""),"")</f>
        <v>7.6</v>
      </c>
      <c r="F589" t="str">
        <f>eDNA!F589</f>
        <v>MiFish</v>
      </c>
      <c r="G589" t="str">
        <f>eDNA!D589</f>
        <v>Gnathopogon strigatus</v>
      </c>
      <c r="H589" t="str">
        <f>_xlfn.XLOOKUP(G589,'Common name (master file)'!$B:$B,'Common name (master file)'!$A:$A,"-------------")</f>
        <v>줄몰개</v>
      </c>
      <c r="I589">
        <f>eDNA!E589</f>
        <v>329</v>
      </c>
      <c r="J589" t="str">
        <f>_xlfn.XLOOKUP(G589,'Common name (master file)'!$B:$B,'Common name (master file)'!$C:$C,"")</f>
        <v>어류</v>
      </c>
      <c r="K589">
        <f>eDNA!B589</f>
        <v>126.8343934</v>
      </c>
      <c r="L589">
        <f>eDNA!C589</f>
        <v>37.4648574</v>
      </c>
      <c r="M589" s="10" t="str" cm="1">
        <f t="array" ref="M589">IFERROR(_xlfn.XLOOKUP(1,('env Parameter'!$A:$A=$A589)*('env Parameter'!$B:$B=$K589)*('env Parameter'!$C:$C=$L589),'env Parameter'!D:D,""),"")</f>
        <v>옥길천-2</v>
      </c>
      <c r="N589" s="10" t="str" cm="1">
        <f t="array" ref="N589">IFERROR(_xlfn.XLOOKUP(1,('env Parameter'!$A:$A=$A589)*('env Parameter'!$B:$B=$K589)*('env Parameter'!$C:$C=$L589),'env Parameter'!I:I,""),"")</f>
        <v>YR</v>
      </c>
    </row>
    <row r="590" spans="1:14">
      <c r="A590">
        <f>eDNA!A590</f>
        <v>20200718</v>
      </c>
      <c r="B590" s="10" t="str" cm="1">
        <f t="array" ref="B590">IFERROR(_xlfn.XLOOKUP(1,('env Parameter'!$A:$A=$A590)*('env Parameter'!$B:$B=$K590)*('env Parameter'!$C:$C=$L590),'env Parameter'!H:H,""),"")</f>
        <v>생물상 조사</v>
      </c>
      <c r="C590" s="10" cm="1">
        <f t="array" ref="C590">IFERROR(_xlfn.XLOOKUP(1,('env Parameter'!$A:$A=$A590)*('env Parameter'!$B:$B=$K590)*('env Parameter'!$C:$C=$L590),'env Parameter'!E:E,""),"")</f>
        <v>2.14</v>
      </c>
      <c r="D590" s="10" cm="1">
        <f t="array" ref="D590">IFERROR(_xlfn.XLOOKUP(1,('env Parameter'!$A:$A=$A590)*('env Parameter'!$B:$B=$K590)*('env Parameter'!$C:$C=$L590),'env Parameter'!F:F,""),"")</f>
        <v>478</v>
      </c>
      <c r="E590" s="10" cm="1">
        <f t="array" ref="E590">IFERROR(_xlfn.XLOOKUP(1,('env Parameter'!$A:$A=$A590)*('env Parameter'!$B:$B=$K590)*('env Parameter'!$C:$C=$L590),'env Parameter'!G:G,""),"")</f>
        <v>7.6</v>
      </c>
      <c r="F590" t="str">
        <f>eDNA!F590</f>
        <v>MiFish</v>
      </c>
      <c r="G590" t="str">
        <f>eDNA!D590</f>
        <v>Carassius sp.</v>
      </c>
      <c r="H590" t="str">
        <f>_xlfn.XLOOKUP(G590,'Common name (master file)'!$B:$B,'Common name (master file)'!$A:$A,"-------------")</f>
        <v>붕어 속</v>
      </c>
      <c r="I590">
        <f>eDNA!E590</f>
        <v>519</v>
      </c>
      <c r="J590" t="str">
        <f>_xlfn.XLOOKUP(G590,'Common name (master file)'!$B:$B,'Common name (master file)'!$C:$C,"")</f>
        <v>어류</v>
      </c>
      <c r="K590">
        <f>eDNA!B590</f>
        <v>126.8343934</v>
      </c>
      <c r="L590">
        <f>eDNA!C590</f>
        <v>37.4648574</v>
      </c>
      <c r="M590" s="10" t="str" cm="1">
        <f t="array" ref="M590">IFERROR(_xlfn.XLOOKUP(1,('env Parameter'!$A:$A=$A590)*('env Parameter'!$B:$B=$K590)*('env Parameter'!$C:$C=$L590),'env Parameter'!D:D,""),"")</f>
        <v>옥길천-2</v>
      </c>
      <c r="N590" s="10" t="str" cm="1">
        <f t="array" ref="N590">IFERROR(_xlfn.XLOOKUP(1,('env Parameter'!$A:$A=$A590)*('env Parameter'!$B:$B=$K590)*('env Parameter'!$C:$C=$L590),'env Parameter'!I:I,""),"")</f>
        <v>YR</v>
      </c>
    </row>
    <row r="591" spans="1:14">
      <c r="A591">
        <f>eDNA!A591</f>
        <v>20200718</v>
      </c>
      <c r="B591" s="10" t="str" cm="1">
        <f t="array" ref="B591">IFERROR(_xlfn.XLOOKUP(1,('env Parameter'!$A:$A=$A591)*('env Parameter'!$B:$B=$K591)*('env Parameter'!$C:$C=$L591),'env Parameter'!H:H,""),"")</f>
        <v>생물상 조사</v>
      </c>
      <c r="C591" s="10" cm="1">
        <f t="array" ref="C591">IFERROR(_xlfn.XLOOKUP(1,('env Parameter'!$A:$A=$A591)*('env Parameter'!$B:$B=$K591)*('env Parameter'!$C:$C=$L591),'env Parameter'!E:E,""),"")</f>
        <v>2.14</v>
      </c>
      <c r="D591" s="10" cm="1">
        <f t="array" ref="D591">IFERROR(_xlfn.XLOOKUP(1,('env Parameter'!$A:$A=$A591)*('env Parameter'!$B:$B=$K591)*('env Parameter'!$C:$C=$L591),'env Parameter'!F:F,""),"")</f>
        <v>478</v>
      </c>
      <c r="E591" s="10" cm="1">
        <f t="array" ref="E591">IFERROR(_xlfn.XLOOKUP(1,('env Parameter'!$A:$A=$A591)*('env Parameter'!$B:$B=$K591)*('env Parameter'!$C:$C=$L591),'env Parameter'!G:G,""),"")</f>
        <v>7.6</v>
      </c>
      <c r="F591" t="str">
        <f>eDNA!F591</f>
        <v>MiFish</v>
      </c>
      <c r="G591" t="str">
        <f>eDNA!D591</f>
        <v>Channa argus</v>
      </c>
      <c r="H591" t="str">
        <f>_xlfn.XLOOKUP(G591,'Common name (master file)'!$B:$B,'Common name (master file)'!$A:$A,"-------------")</f>
        <v>가물치</v>
      </c>
      <c r="I591">
        <f>eDNA!E591</f>
        <v>521</v>
      </c>
      <c r="J591" t="str">
        <f>_xlfn.XLOOKUP(G591,'Common name (master file)'!$B:$B,'Common name (master file)'!$C:$C,"")</f>
        <v>어류</v>
      </c>
      <c r="K591">
        <f>eDNA!B591</f>
        <v>126.8343934</v>
      </c>
      <c r="L591">
        <f>eDNA!C591</f>
        <v>37.4648574</v>
      </c>
      <c r="M591" s="10" t="str" cm="1">
        <f t="array" ref="M591">IFERROR(_xlfn.XLOOKUP(1,('env Parameter'!$A:$A=$A591)*('env Parameter'!$B:$B=$K591)*('env Parameter'!$C:$C=$L591),'env Parameter'!D:D,""),"")</f>
        <v>옥길천-2</v>
      </c>
      <c r="N591" s="10" t="str" cm="1">
        <f t="array" ref="N591">IFERROR(_xlfn.XLOOKUP(1,('env Parameter'!$A:$A=$A591)*('env Parameter'!$B:$B=$K591)*('env Parameter'!$C:$C=$L591),'env Parameter'!I:I,""),"")</f>
        <v>YR</v>
      </c>
    </row>
    <row r="592" spans="1:14">
      <c r="A592">
        <f>eDNA!A592</f>
        <v>20200718</v>
      </c>
      <c r="B592" s="10" t="str" cm="1">
        <f t="array" ref="B592">IFERROR(_xlfn.XLOOKUP(1,('env Parameter'!$A:$A=$A592)*('env Parameter'!$B:$B=$K592)*('env Parameter'!$C:$C=$L592),'env Parameter'!H:H,""),"")</f>
        <v>생물상 조사</v>
      </c>
      <c r="C592" s="10" cm="1">
        <f t="array" ref="C592">IFERROR(_xlfn.XLOOKUP(1,('env Parameter'!$A:$A=$A592)*('env Parameter'!$B:$B=$K592)*('env Parameter'!$C:$C=$L592),'env Parameter'!E:E,""),"")</f>
        <v>2.14</v>
      </c>
      <c r="D592" s="10" cm="1">
        <f t="array" ref="D592">IFERROR(_xlfn.XLOOKUP(1,('env Parameter'!$A:$A=$A592)*('env Parameter'!$B:$B=$K592)*('env Parameter'!$C:$C=$L592),'env Parameter'!F:F,""),"")</f>
        <v>478</v>
      </c>
      <c r="E592" s="10" cm="1">
        <f t="array" ref="E592">IFERROR(_xlfn.XLOOKUP(1,('env Parameter'!$A:$A=$A592)*('env Parameter'!$B:$B=$K592)*('env Parameter'!$C:$C=$L592),'env Parameter'!G:G,""),"")</f>
        <v>7.6</v>
      </c>
      <c r="F592" t="str">
        <f>eDNA!F592</f>
        <v>MiFish</v>
      </c>
      <c r="G592" t="str">
        <f>eDNA!D592</f>
        <v>Silurus soldatovi</v>
      </c>
      <c r="H592" t="str">
        <f>_xlfn.XLOOKUP(G592,'Common name (master file)'!$B:$B,'Common name (master file)'!$A:$A,"-------------")</f>
        <v>솔다토비 메기</v>
      </c>
      <c r="I592">
        <f>eDNA!E592</f>
        <v>513</v>
      </c>
      <c r="J592" t="str">
        <f>_xlfn.XLOOKUP(G592,'Common name (master file)'!$B:$B,'Common name (master file)'!$C:$C,"")</f>
        <v>어류</v>
      </c>
      <c r="K592">
        <f>eDNA!B592</f>
        <v>126.8343934</v>
      </c>
      <c r="L592">
        <f>eDNA!C592</f>
        <v>37.4648574</v>
      </c>
      <c r="M592" s="10" t="str" cm="1">
        <f t="array" ref="M592">IFERROR(_xlfn.XLOOKUP(1,('env Parameter'!$A:$A=$A592)*('env Parameter'!$B:$B=$K592)*('env Parameter'!$C:$C=$L592),'env Parameter'!D:D,""),"")</f>
        <v>옥길천-2</v>
      </c>
      <c r="N592" s="10" t="str" cm="1">
        <f t="array" ref="N592">IFERROR(_xlfn.XLOOKUP(1,('env Parameter'!$A:$A=$A592)*('env Parameter'!$B:$B=$K592)*('env Parameter'!$C:$C=$L592),'env Parameter'!I:I,""),"")</f>
        <v>YR</v>
      </c>
    </row>
    <row r="593" spans="1:14">
      <c r="A593">
        <f>eDNA!A593</f>
        <v>20200718</v>
      </c>
      <c r="B593" s="10" t="str" cm="1">
        <f t="array" ref="B593">IFERROR(_xlfn.XLOOKUP(1,('env Parameter'!$A:$A=$A593)*('env Parameter'!$B:$B=$K593)*('env Parameter'!$C:$C=$L593),'env Parameter'!H:H,""),"")</f>
        <v>생물상 조사</v>
      </c>
      <c r="C593" s="10" cm="1">
        <f t="array" ref="C593">IFERROR(_xlfn.XLOOKUP(1,('env Parameter'!$A:$A=$A593)*('env Parameter'!$B:$B=$K593)*('env Parameter'!$C:$C=$L593),'env Parameter'!E:E,""),"")</f>
        <v>2.14</v>
      </c>
      <c r="D593" s="10" cm="1">
        <f t="array" ref="D593">IFERROR(_xlfn.XLOOKUP(1,('env Parameter'!$A:$A=$A593)*('env Parameter'!$B:$B=$K593)*('env Parameter'!$C:$C=$L593),'env Parameter'!F:F,""),"")</f>
        <v>478</v>
      </c>
      <c r="E593" s="10" cm="1">
        <f t="array" ref="E593">IFERROR(_xlfn.XLOOKUP(1,('env Parameter'!$A:$A=$A593)*('env Parameter'!$B:$B=$K593)*('env Parameter'!$C:$C=$L593),'env Parameter'!G:G,""),"")</f>
        <v>7.6</v>
      </c>
      <c r="F593" t="str">
        <f>eDNA!F593</f>
        <v>MiFish</v>
      </c>
      <c r="G593" t="str">
        <f>eDNA!D593</f>
        <v>Zacco platypus</v>
      </c>
      <c r="H593" t="str">
        <f>_xlfn.XLOOKUP(G593,'Common name (master file)'!$B:$B,'Common name (master file)'!$A:$A,"-------------")</f>
        <v>피라미</v>
      </c>
      <c r="I593">
        <f>eDNA!E593</f>
        <v>661</v>
      </c>
      <c r="J593" t="str">
        <f>_xlfn.XLOOKUP(G593,'Common name (master file)'!$B:$B,'Common name (master file)'!$C:$C,"")</f>
        <v>어류</v>
      </c>
      <c r="K593">
        <f>eDNA!B593</f>
        <v>126.8343934</v>
      </c>
      <c r="L593">
        <f>eDNA!C593</f>
        <v>37.4648574</v>
      </c>
      <c r="M593" s="10" t="str" cm="1">
        <f t="array" ref="M593">IFERROR(_xlfn.XLOOKUP(1,('env Parameter'!$A:$A=$A593)*('env Parameter'!$B:$B=$K593)*('env Parameter'!$C:$C=$L593),'env Parameter'!D:D,""),"")</f>
        <v>옥길천-2</v>
      </c>
      <c r="N593" s="10" t="str" cm="1">
        <f t="array" ref="N593">IFERROR(_xlfn.XLOOKUP(1,('env Parameter'!$A:$A=$A593)*('env Parameter'!$B:$B=$K593)*('env Parameter'!$C:$C=$L593),'env Parameter'!I:I,""),"")</f>
        <v>YR</v>
      </c>
    </row>
    <row r="594" spans="1:14">
      <c r="A594">
        <f>eDNA!A594</f>
        <v>20200718</v>
      </c>
      <c r="B594" s="10" t="str" cm="1">
        <f t="array" ref="B594">IFERROR(_xlfn.XLOOKUP(1,('env Parameter'!$A:$A=$A594)*('env Parameter'!$B:$B=$K594)*('env Parameter'!$C:$C=$L594),'env Parameter'!H:H,""),"")</f>
        <v>생물상 조사</v>
      </c>
      <c r="C594" s="10" cm="1">
        <f t="array" ref="C594">IFERROR(_xlfn.XLOOKUP(1,('env Parameter'!$A:$A=$A594)*('env Parameter'!$B:$B=$K594)*('env Parameter'!$C:$C=$L594),'env Parameter'!E:E,""),"")</f>
        <v>2.14</v>
      </c>
      <c r="D594" s="10" cm="1">
        <f t="array" ref="D594">IFERROR(_xlfn.XLOOKUP(1,('env Parameter'!$A:$A=$A594)*('env Parameter'!$B:$B=$K594)*('env Parameter'!$C:$C=$L594),'env Parameter'!F:F,""),"")</f>
        <v>478</v>
      </c>
      <c r="E594" s="10" cm="1">
        <f t="array" ref="E594">IFERROR(_xlfn.XLOOKUP(1,('env Parameter'!$A:$A=$A594)*('env Parameter'!$B:$B=$K594)*('env Parameter'!$C:$C=$L594),'env Parameter'!G:G,""),"")</f>
        <v>7.6</v>
      </c>
      <c r="F594" t="str">
        <f>eDNA!F594</f>
        <v>MiFish</v>
      </c>
      <c r="G594" t="str">
        <f>eDNA!D594</f>
        <v>Cyprinus carpio</v>
      </c>
      <c r="H594" t="str">
        <f>_xlfn.XLOOKUP(G594,'Common name (master file)'!$B:$B,'Common name (master file)'!$A:$A,"-------------")</f>
        <v>잉어</v>
      </c>
      <c r="I594">
        <f>eDNA!E594</f>
        <v>685</v>
      </c>
      <c r="J594" t="str">
        <f>_xlfn.XLOOKUP(G594,'Common name (master file)'!$B:$B,'Common name (master file)'!$C:$C,"")</f>
        <v>어류</v>
      </c>
      <c r="K594">
        <f>eDNA!B594</f>
        <v>126.8343934</v>
      </c>
      <c r="L594">
        <f>eDNA!C594</f>
        <v>37.4648574</v>
      </c>
      <c r="M594" s="10" t="str" cm="1">
        <f t="array" ref="M594">IFERROR(_xlfn.XLOOKUP(1,('env Parameter'!$A:$A=$A594)*('env Parameter'!$B:$B=$K594)*('env Parameter'!$C:$C=$L594),'env Parameter'!D:D,""),"")</f>
        <v>옥길천-2</v>
      </c>
      <c r="N594" s="10" t="str" cm="1">
        <f t="array" ref="N594">IFERROR(_xlfn.XLOOKUP(1,('env Parameter'!$A:$A=$A594)*('env Parameter'!$B:$B=$K594)*('env Parameter'!$C:$C=$L594),'env Parameter'!I:I,""),"")</f>
        <v>YR</v>
      </c>
    </row>
    <row r="595" spans="1:14">
      <c r="A595">
        <f>eDNA!A595</f>
        <v>20200718</v>
      </c>
      <c r="B595" s="10" t="str" cm="1">
        <f t="array" ref="B595">IFERROR(_xlfn.XLOOKUP(1,('env Parameter'!$A:$A=$A595)*('env Parameter'!$B:$B=$K595)*('env Parameter'!$C:$C=$L595),'env Parameter'!H:H,""),"")</f>
        <v>생물상 조사</v>
      </c>
      <c r="C595" s="10" cm="1">
        <f t="array" ref="C595">IFERROR(_xlfn.XLOOKUP(1,('env Parameter'!$A:$A=$A595)*('env Parameter'!$B:$B=$K595)*('env Parameter'!$C:$C=$L595),'env Parameter'!E:E,""),"")</f>
        <v>2.14</v>
      </c>
      <c r="D595" s="10" cm="1">
        <f t="array" ref="D595">IFERROR(_xlfn.XLOOKUP(1,('env Parameter'!$A:$A=$A595)*('env Parameter'!$B:$B=$K595)*('env Parameter'!$C:$C=$L595),'env Parameter'!F:F,""),"")</f>
        <v>478</v>
      </c>
      <c r="E595" s="10" cm="1">
        <f t="array" ref="E595">IFERROR(_xlfn.XLOOKUP(1,('env Parameter'!$A:$A=$A595)*('env Parameter'!$B:$B=$K595)*('env Parameter'!$C:$C=$L595),'env Parameter'!G:G,""),"")</f>
        <v>7.6</v>
      </c>
      <c r="F595" t="str">
        <f>eDNA!F595</f>
        <v>MiFish</v>
      </c>
      <c r="G595" t="str">
        <f>eDNA!D595</f>
        <v>Bos taurus</v>
      </c>
      <c r="H595" t="str">
        <f>_xlfn.XLOOKUP(G595,'Common name (master file)'!$B:$B,'Common name (master file)'!$A:$A,"-------------")</f>
        <v>소</v>
      </c>
      <c r="I595">
        <f>eDNA!E595</f>
        <v>2324</v>
      </c>
      <c r="J595" t="str">
        <f>_xlfn.XLOOKUP(G595,'Common name (master file)'!$B:$B,'Common name (master file)'!$C:$C,"")</f>
        <v>포유류</v>
      </c>
      <c r="K595">
        <f>eDNA!B595</f>
        <v>126.8343934</v>
      </c>
      <c r="L595">
        <f>eDNA!C595</f>
        <v>37.4648574</v>
      </c>
      <c r="M595" s="10" t="str" cm="1">
        <f t="array" ref="M595">IFERROR(_xlfn.XLOOKUP(1,('env Parameter'!$A:$A=$A595)*('env Parameter'!$B:$B=$K595)*('env Parameter'!$C:$C=$L595),'env Parameter'!D:D,""),"")</f>
        <v>옥길천-2</v>
      </c>
      <c r="N595" s="10" t="str" cm="1">
        <f t="array" ref="N595">IFERROR(_xlfn.XLOOKUP(1,('env Parameter'!$A:$A=$A595)*('env Parameter'!$B:$B=$K595)*('env Parameter'!$C:$C=$L595),'env Parameter'!I:I,""),"")</f>
        <v>YR</v>
      </c>
    </row>
    <row r="596" spans="1:14">
      <c r="A596">
        <f>eDNA!A596</f>
        <v>20200718</v>
      </c>
      <c r="B596" s="10" t="str" cm="1">
        <f t="array" ref="B596">IFERROR(_xlfn.XLOOKUP(1,('env Parameter'!$A:$A=$A596)*('env Parameter'!$B:$B=$K596)*('env Parameter'!$C:$C=$L596),'env Parameter'!H:H,""),"")</f>
        <v>생물상 조사</v>
      </c>
      <c r="C596" s="10" cm="1">
        <f t="array" ref="C596">IFERROR(_xlfn.XLOOKUP(1,('env Parameter'!$A:$A=$A596)*('env Parameter'!$B:$B=$K596)*('env Parameter'!$C:$C=$L596),'env Parameter'!E:E,""),"")</f>
        <v>2.14</v>
      </c>
      <c r="D596" s="10" cm="1">
        <f t="array" ref="D596">IFERROR(_xlfn.XLOOKUP(1,('env Parameter'!$A:$A=$A596)*('env Parameter'!$B:$B=$K596)*('env Parameter'!$C:$C=$L596),'env Parameter'!F:F,""),"")</f>
        <v>478</v>
      </c>
      <c r="E596" s="10" cm="1">
        <f t="array" ref="E596">IFERROR(_xlfn.XLOOKUP(1,('env Parameter'!$A:$A=$A596)*('env Parameter'!$B:$B=$K596)*('env Parameter'!$C:$C=$L596),'env Parameter'!G:G,""),"")</f>
        <v>7.6</v>
      </c>
      <c r="F596" t="str">
        <f>eDNA!F596</f>
        <v>MiFish</v>
      </c>
      <c r="G596" t="str">
        <f>eDNA!D596</f>
        <v>Odontobutis interrupta</v>
      </c>
      <c r="H596" t="str">
        <f>_xlfn.XLOOKUP(G596,'Common name (master file)'!$B:$B,'Common name (master file)'!$A:$A,"-------------")</f>
        <v>얼록동사리</v>
      </c>
      <c r="I596">
        <f>eDNA!E596</f>
        <v>3360</v>
      </c>
      <c r="J596" t="str">
        <f>_xlfn.XLOOKUP(G596,'Common name (master file)'!$B:$B,'Common name (master file)'!$C:$C,"")</f>
        <v>어류</v>
      </c>
      <c r="K596">
        <f>eDNA!B596</f>
        <v>126.8343934</v>
      </c>
      <c r="L596">
        <f>eDNA!C596</f>
        <v>37.4648574</v>
      </c>
      <c r="M596" s="10" t="str" cm="1">
        <f t="array" ref="M596">IFERROR(_xlfn.XLOOKUP(1,('env Parameter'!$A:$A=$A596)*('env Parameter'!$B:$B=$K596)*('env Parameter'!$C:$C=$L596),'env Parameter'!D:D,""),"")</f>
        <v>옥길천-2</v>
      </c>
      <c r="N596" s="10" t="str" cm="1">
        <f t="array" ref="N596">IFERROR(_xlfn.XLOOKUP(1,('env Parameter'!$A:$A=$A596)*('env Parameter'!$B:$B=$K596)*('env Parameter'!$C:$C=$L596),'env Parameter'!I:I,""),"")</f>
        <v>YR</v>
      </c>
    </row>
    <row r="597" spans="1:14">
      <c r="A597">
        <f>eDNA!A597</f>
        <v>20200718</v>
      </c>
      <c r="B597" s="10" t="str" cm="1">
        <f t="array" ref="B597">IFERROR(_xlfn.XLOOKUP(1,('env Parameter'!$A:$A=$A597)*('env Parameter'!$B:$B=$K597)*('env Parameter'!$C:$C=$L597),'env Parameter'!H:H,""),"")</f>
        <v>생물상 조사</v>
      </c>
      <c r="C597" s="10" cm="1">
        <f t="array" ref="C597">IFERROR(_xlfn.XLOOKUP(1,('env Parameter'!$A:$A=$A597)*('env Parameter'!$B:$B=$K597)*('env Parameter'!$C:$C=$L597),'env Parameter'!E:E,""),"")</f>
        <v>2.14</v>
      </c>
      <c r="D597" s="10" cm="1">
        <f t="array" ref="D597">IFERROR(_xlfn.XLOOKUP(1,('env Parameter'!$A:$A=$A597)*('env Parameter'!$B:$B=$K597)*('env Parameter'!$C:$C=$L597),'env Parameter'!F:F,""),"")</f>
        <v>478</v>
      </c>
      <c r="E597" s="10" cm="1">
        <f t="array" ref="E597">IFERROR(_xlfn.XLOOKUP(1,('env Parameter'!$A:$A=$A597)*('env Parameter'!$B:$B=$K597)*('env Parameter'!$C:$C=$L597),'env Parameter'!G:G,""),"")</f>
        <v>7.6</v>
      </c>
      <c r="F597" t="str">
        <f>eDNA!F597</f>
        <v>MiFish</v>
      </c>
      <c r="G597" t="str">
        <f>eDNA!D597</f>
        <v>Carassius gibelio</v>
      </c>
      <c r="H597" t="str">
        <f>_xlfn.XLOOKUP(G597,'Common name (master file)'!$B:$B,'Common name (master file)'!$A:$A,"-------------")</f>
        <v>기벨리오 붕어</v>
      </c>
      <c r="I597">
        <f>eDNA!E597</f>
        <v>5931</v>
      </c>
      <c r="J597" t="str">
        <f>_xlfn.XLOOKUP(G597,'Common name (master file)'!$B:$B,'Common name (master file)'!$C:$C,"")</f>
        <v>어류</v>
      </c>
      <c r="K597">
        <f>eDNA!B597</f>
        <v>126.8343934</v>
      </c>
      <c r="L597">
        <f>eDNA!C597</f>
        <v>37.4648574</v>
      </c>
      <c r="M597" s="10" t="str" cm="1">
        <f t="array" ref="M597">IFERROR(_xlfn.XLOOKUP(1,('env Parameter'!$A:$A=$A597)*('env Parameter'!$B:$B=$K597)*('env Parameter'!$C:$C=$L597),'env Parameter'!D:D,""),"")</f>
        <v>옥길천-2</v>
      </c>
      <c r="N597" s="10" t="str" cm="1">
        <f t="array" ref="N597">IFERROR(_xlfn.XLOOKUP(1,('env Parameter'!$A:$A=$A597)*('env Parameter'!$B:$B=$K597)*('env Parameter'!$C:$C=$L597),'env Parameter'!I:I,""),"")</f>
        <v>YR</v>
      </c>
    </row>
    <row r="598" spans="1:14">
      <c r="A598">
        <f>eDNA!A598</f>
        <v>20200718</v>
      </c>
      <c r="B598" s="10" t="str" cm="1">
        <f t="array" ref="B598">IFERROR(_xlfn.XLOOKUP(1,('env Parameter'!$A:$A=$A598)*('env Parameter'!$B:$B=$K598)*('env Parameter'!$C:$C=$L598),'env Parameter'!H:H,""),"")</f>
        <v>생물상 조사</v>
      </c>
      <c r="C598" s="10" cm="1">
        <f t="array" ref="C598">IFERROR(_xlfn.XLOOKUP(1,('env Parameter'!$A:$A=$A598)*('env Parameter'!$B:$B=$K598)*('env Parameter'!$C:$C=$L598),'env Parameter'!E:E,""),"")</f>
        <v>2.14</v>
      </c>
      <c r="D598" s="10" cm="1">
        <f t="array" ref="D598">IFERROR(_xlfn.XLOOKUP(1,('env Parameter'!$A:$A=$A598)*('env Parameter'!$B:$B=$K598)*('env Parameter'!$C:$C=$L598),'env Parameter'!F:F,""),"")</f>
        <v>478</v>
      </c>
      <c r="E598" s="10" cm="1">
        <f t="array" ref="E598">IFERROR(_xlfn.XLOOKUP(1,('env Parameter'!$A:$A=$A598)*('env Parameter'!$B:$B=$K598)*('env Parameter'!$C:$C=$L598),'env Parameter'!G:G,""),"")</f>
        <v>7.6</v>
      </c>
      <c r="F598" t="str">
        <f>eDNA!F598</f>
        <v>MiFish</v>
      </c>
      <c r="G598" t="str">
        <f>eDNA!D598</f>
        <v>Canis lupus familiaris</v>
      </c>
      <c r="H598" t="str">
        <f>_xlfn.XLOOKUP(G598,'Common name (master file)'!$B:$B,'Common name (master file)'!$A:$A,"-------------")</f>
        <v>개</v>
      </c>
      <c r="I598">
        <f>eDNA!E598</f>
        <v>9588</v>
      </c>
      <c r="J598" t="str">
        <f>_xlfn.XLOOKUP(G598,'Common name (master file)'!$B:$B,'Common name (master file)'!$C:$C,"")</f>
        <v>포유류</v>
      </c>
      <c r="K598">
        <f>eDNA!B598</f>
        <v>126.8343934</v>
      </c>
      <c r="L598">
        <f>eDNA!C598</f>
        <v>37.4648574</v>
      </c>
      <c r="M598" s="10" t="str" cm="1">
        <f t="array" ref="M598">IFERROR(_xlfn.XLOOKUP(1,('env Parameter'!$A:$A=$A598)*('env Parameter'!$B:$B=$K598)*('env Parameter'!$C:$C=$L598),'env Parameter'!D:D,""),"")</f>
        <v>옥길천-2</v>
      </c>
      <c r="N598" s="10" t="str" cm="1">
        <f t="array" ref="N598">IFERROR(_xlfn.XLOOKUP(1,('env Parameter'!$A:$A=$A598)*('env Parameter'!$B:$B=$K598)*('env Parameter'!$C:$C=$L598),'env Parameter'!I:I,""),"")</f>
        <v>YR</v>
      </c>
    </row>
    <row r="599" spans="1:14">
      <c r="A599">
        <f>eDNA!A599</f>
        <v>20200718</v>
      </c>
      <c r="B599" s="10" t="str" cm="1">
        <f t="array" ref="B599">IFERROR(_xlfn.XLOOKUP(1,('env Parameter'!$A:$A=$A599)*('env Parameter'!$B:$B=$K599)*('env Parameter'!$C:$C=$L599),'env Parameter'!H:H,""),"")</f>
        <v>생물상 조사</v>
      </c>
      <c r="C599" s="10" cm="1">
        <f t="array" ref="C599">IFERROR(_xlfn.XLOOKUP(1,('env Parameter'!$A:$A=$A599)*('env Parameter'!$B:$B=$K599)*('env Parameter'!$C:$C=$L599),'env Parameter'!E:E,""),"")</f>
        <v>2.14</v>
      </c>
      <c r="D599" s="10" cm="1">
        <f t="array" ref="D599">IFERROR(_xlfn.XLOOKUP(1,('env Parameter'!$A:$A=$A599)*('env Parameter'!$B:$B=$K599)*('env Parameter'!$C:$C=$L599),'env Parameter'!F:F,""),"")</f>
        <v>478</v>
      </c>
      <c r="E599" s="10" cm="1">
        <f t="array" ref="E599">IFERROR(_xlfn.XLOOKUP(1,('env Parameter'!$A:$A=$A599)*('env Parameter'!$B:$B=$K599)*('env Parameter'!$C:$C=$L599),'env Parameter'!G:G,""),"")</f>
        <v>7.6</v>
      </c>
      <c r="F599" t="str">
        <f>eDNA!F599</f>
        <v>MiFish</v>
      </c>
      <c r="G599" t="str">
        <f>eDNA!D599</f>
        <v>Lophius litulon</v>
      </c>
      <c r="H599" t="str">
        <f>_xlfn.XLOOKUP(G599,'Common name (master file)'!$B:$B,'Common name (master file)'!$A:$A,"-------------")</f>
        <v>황아귀</v>
      </c>
      <c r="I599">
        <f>eDNA!E599</f>
        <v>12638</v>
      </c>
      <c r="J599" t="str">
        <f>_xlfn.XLOOKUP(G599,'Common name (master file)'!$B:$B,'Common name (master file)'!$C:$C,"")</f>
        <v>어류</v>
      </c>
      <c r="K599">
        <f>eDNA!B599</f>
        <v>126.8343934</v>
      </c>
      <c r="L599">
        <f>eDNA!C599</f>
        <v>37.4648574</v>
      </c>
      <c r="M599" s="10" t="str" cm="1">
        <f t="array" ref="M599">IFERROR(_xlfn.XLOOKUP(1,('env Parameter'!$A:$A=$A599)*('env Parameter'!$B:$B=$K599)*('env Parameter'!$C:$C=$L599),'env Parameter'!D:D,""),"")</f>
        <v>옥길천-2</v>
      </c>
      <c r="N599" s="10" t="str" cm="1">
        <f t="array" ref="N599">IFERROR(_xlfn.XLOOKUP(1,('env Parameter'!$A:$A=$A599)*('env Parameter'!$B:$B=$K599)*('env Parameter'!$C:$C=$L599),'env Parameter'!I:I,""),"")</f>
        <v>YR</v>
      </c>
    </row>
    <row r="600" spans="1:14">
      <c r="A600">
        <f>eDNA!A600</f>
        <v>20200718</v>
      </c>
      <c r="B600" s="10" t="str" cm="1">
        <f t="array" ref="B600">IFERROR(_xlfn.XLOOKUP(1,('env Parameter'!$A:$A=$A600)*('env Parameter'!$B:$B=$K600)*('env Parameter'!$C:$C=$L600),'env Parameter'!H:H,""),"")</f>
        <v>생물상 조사</v>
      </c>
      <c r="C600" s="10" cm="1">
        <f t="array" ref="C600">IFERROR(_xlfn.XLOOKUP(1,('env Parameter'!$A:$A=$A600)*('env Parameter'!$B:$B=$K600)*('env Parameter'!$C:$C=$L600),'env Parameter'!E:E,""),"")</f>
        <v>2.14</v>
      </c>
      <c r="D600" s="10" cm="1">
        <f t="array" ref="D600">IFERROR(_xlfn.XLOOKUP(1,('env Parameter'!$A:$A=$A600)*('env Parameter'!$B:$B=$K600)*('env Parameter'!$C:$C=$L600),'env Parameter'!F:F,""),"")</f>
        <v>478</v>
      </c>
      <c r="E600" s="10" cm="1">
        <f t="array" ref="E600">IFERROR(_xlfn.XLOOKUP(1,('env Parameter'!$A:$A=$A600)*('env Parameter'!$B:$B=$K600)*('env Parameter'!$C:$C=$L600),'env Parameter'!G:G,""),"")</f>
        <v>7.6</v>
      </c>
      <c r="F600" t="str">
        <f>eDNA!F600</f>
        <v>MiFish</v>
      </c>
      <c r="G600" t="str">
        <f>eDNA!D600</f>
        <v>Homo sapiens</v>
      </c>
      <c r="H600" t="str">
        <f>_xlfn.XLOOKUP(G600,'Common name (master file)'!$B:$B,'Common name (master file)'!$A:$A,"-------------")</f>
        <v>사람</v>
      </c>
      <c r="I600">
        <f>eDNA!E600</f>
        <v>15514</v>
      </c>
      <c r="J600" t="str">
        <f>_xlfn.XLOOKUP(G600,'Common name (master file)'!$B:$B,'Common name (master file)'!$C:$C,"")</f>
        <v>포유류</v>
      </c>
      <c r="K600">
        <f>eDNA!B600</f>
        <v>126.8343934</v>
      </c>
      <c r="L600">
        <f>eDNA!C600</f>
        <v>37.4648574</v>
      </c>
      <c r="M600" s="10" t="str" cm="1">
        <f t="array" ref="M600">IFERROR(_xlfn.XLOOKUP(1,('env Parameter'!$A:$A=$A600)*('env Parameter'!$B:$B=$K600)*('env Parameter'!$C:$C=$L600),'env Parameter'!D:D,""),"")</f>
        <v>옥길천-2</v>
      </c>
      <c r="N600" s="10" t="str" cm="1">
        <f t="array" ref="N600">IFERROR(_xlfn.XLOOKUP(1,('env Parameter'!$A:$A=$A600)*('env Parameter'!$B:$B=$K600)*('env Parameter'!$C:$C=$L600),'env Parameter'!I:I,""),"")</f>
        <v>YR</v>
      </c>
    </row>
    <row r="601" spans="1:14">
      <c r="A601">
        <f>eDNA!A601</f>
        <v>20200718</v>
      </c>
      <c r="B601" s="10" t="str" cm="1">
        <f t="array" ref="B601">IFERROR(_xlfn.XLOOKUP(1,('env Parameter'!$A:$A=$A601)*('env Parameter'!$B:$B=$K601)*('env Parameter'!$C:$C=$L601),'env Parameter'!H:H,""),"")</f>
        <v>생물상 조사</v>
      </c>
      <c r="C601" s="10" cm="1">
        <f t="array" ref="C601">IFERROR(_xlfn.XLOOKUP(1,('env Parameter'!$A:$A=$A601)*('env Parameter'!$B:$B=$K601)*('env Parameter'!$C:$C=$L601),'env Parameter'!E:E,""),"")</f>
        <v>2.14</v>
      </c>
      <c r="D601" s="10" cm="1">
        <f t="array" ref="D601">IFERROR(_xlfn.XLOOKUP(1,('env Parameter'!$A:$A=$A601)*('env Parameter'!$B:$B=$K601)*('env Parameter'!$C:$C=$L601),'env Parameter'!F:F,""),"")</f>
        <v>478</v>
      </c>
      <c r="E601" s="10" cm="1">
        <f t="array" ref="E601">IFERROR(_xlfn.XLOOKUP(1,('env Parameter'!$A:$A=$A601)*('env Parameter'!$B:$B=$K601)*('env Parameter'!$C:$C=$L601),'env Parameter'!G:G,""),"")</f>
        <v>7.6</v>
      </c>
      <c r="F601" t="str">
        <f>eDNA!F601</f>
        <v>MiFish</v>
      </c>
      <c r="G601" t="str">
        <f>eDNA!D601</f>
        <v>Pseudorasbora parva</v>
      </c>
      <c r="H601" t="str">
        <f>_xlfn.XLOOKUP(G601,'Common name (master file)'!$B:$B,'Common name (master file)'!$A:$A,"-------------")</f>
        <v>참붕어</v>
      </c>
      <c r="I601">
        <f>eDNA!E601</f>
        <v>18230</v>
      </c>
      <c r="J601" t="str">
        <f>_xlfn.XLOOKUP(G601,'Common name (master file)'!$B:$B,'Common name (master file)'!$C:$C,"")</f>
        <v>어류</v>
      </c>
      <c r="K601">
        <f>eDNA!B601</f>
        <v>126.8343934</v>
      </c>
      <c r="L601">
        <f>eDNA!C601</f>
        <v>37.4648574</v>
      </c>
      <c r="M601" s="10" t="str" cm="1">
        <f t="array" ref="M601">IFERROR(_xlfn.XLOOKUP(1,('env Parameter'!$A:$A=$A601)*('env Parameter'!$B:$B=$K601)*('env Parameter'!$C:$C=$L601),'env Parameter'!D:D,""),"")</f>
        <v>옥길천-2</v>
      </c>
      <c r="N601" s="10" t="str" cm="1">
        <f t="array" ref="N601">IFERROR(_xlfn.XLOOKUP(1,('env Parameter'!$A:$A=$A601)*('env Parameter'!$B:$B=$K601)*('env Parameter'!$C:$C=$L601),'env Parameter'!I:I,""),"")</f>
        <v>YR</v>
      </c>
    </row>
    <row r="602" spans="1:14">
      <c r="A602">
        <f>eDNA!A602</f>
        <v>20200718</v>
      </c>
      <c r="B602" s="10" t="str" cm="1">
        <f t="array" ref="B602">IFERROR(_xlfn.XLOOKUP(1,('env Parameter'!$A:$A=$A602)*('env Parameter'!$B:$B=$K602)*('env Parameter'!$C:$C=$L602),'env Parameter'!H:H,""),"")</f>
        <v>생물상 조사</v>
      </c>
      <c r="C602" s="10" cm="1">
        <f t="array" ref="C602">IFERROR(_xlfn.XLOOKUP(1,('env Parameter'!$A:$A=$A602)*('env Parameter'!$B:$B=$K602)*('env Parameter'!$C:$C=$L602),'env Parameter'!E:E,""),"")</f>
        <v>2.14</v>
      </c>
      <c r="D602" s="10" cm="1">
        <f t="array" ref="D602">IFERROR(_xlfn.XLOOKUP(1,('env Parameter'!$A:$A=$A602)*('env Parameter'!$B:$B=$K602)*('env Parameter'!$C:$C=$L602),'env Parameter'!F:F,""),"")</f>
        <v>478</v>
      </c>
      <c r="E602" s="10" cm="1">
        <f t="array" ref="E602">IFERROR(_xlfn.XLOOKUP(1,('env Parameter'!$A:$A=$A602)*('env Parameter'!$B:$B=$K602)*('env Parameter'!$C:$C=$L602),'env Parameter'!G:G,""),"")</f>
        <v>7.6</v>
      </c>
      <c r="F602" t="str">
        <f>eDNA!F602</f>
        <v>MiFish</v>
      </c>
      <c r="G602" t="str">
        <f>eDNA!D602</f>
        <v>Carassius gibelio</v>
      </c>
      <c r="H602" t="str">
        <f>_xlfn.XLOOKUP(G602,'Common name (master file)'!$B:$B,'Common name (master file)'!$A:$A,"-------------")</f>
        <v>기벨리오 붕어</v>
      </c>
      <c r="I602">
        <f>eDNA!E602</f>
        <v>13</v>
      </c>
      <c r="J602" t="str">
        <f>_xlfn.XLOOKUP(G602,'Common name (master file)'!$B:$B,'Common name (master file)'!$C:$C,"")</f>
        <v>어류</v>
      </c>
      <c r="K602">
        <f>eDNA!B602</f>
        <v>126.9187098</v>
      </c>
      <c r="L602">
        <f>eDNA!C602</f>
        <v>37.431417699999997</v>
      </c>
      <c r="M602" s="10" t="str" cm="1">
        <f t="array" ref="M602">IFERROR(_xlfn.XLOOKUP(1,('env Parameter'!$A:$A=$A602)*('env Parameter'!$B:$B=$K602)*('env Parameter'!$C:$C=$L602),'env Parameter'!D:D,""),"")</f>
        <v>삼막천</v>
      </c>
      <c r="N602" s="10" t="str" cm="1">
        <f t="array" ref="N602">IFERROR(_xlfn.XLOOKUP(1,('env Parameter'!$A:$A=$A602)*('env Parameter'!$B:$B=$K602)*('env Parameter'!$C:$C=$L602),'env Parameter'!I:I,""),"")</f>
        <v>YR</v>
      </c>
    </row>
    <row r="603" spans="1:14">
      <c r="A603">
        <f>eDNA!A603</f>
        <v>20200718</v>
      </c>
      <c r="B603" s="10" t="str" cm="1">
        <f t="array" ref="B603">IFERROR(_xlfn.XLOOKUP(1,('env Parameter'!$A:$A=$A603)*('env Parameter'!$B:$B=$K603)*('env Parameter'!$C:$C=$L603),'env Parameter'!H:H,""),"")</f>
        <v>생물상 조사</v>
      </c>
      <c r="C603" s="10" cm="1">
        <f t="array" ref="C603">IFERROR(_xlfn.XLOOKUP(1,('env Parameter'!$A:$A=$A603)*('env Parameter'!$B:$B=$K603)*('env Parameter'!$C:$C=$L603),'env Parameter'!E:E,""),"")</f>
        <v>2.14</v>
      </c>
      <c r="D603" s="10" cm="1">
        <f t="array" ref="D603">IFERROR(_xlfn.XLOOKUP(1,('env Parameter'!$A:$A=$A603)*('env Parameter'!$B:$B=$K603)*('env Parameter'!$C:$C=$L603),'env Parameter'!F:F,""),"")</f>
        <v>478</v>
      </c>
      <c r="E603" s="10" cm="1">
        <f t="array" ref="E603">IFERROR(_xlfn.XLOOKUP(1,('env Parameter'!$A:$A=$A603)*('env Parameter'!$B:$B=$K603)*('env Parameter'!$C:$C=$L603),'env Parameter'!G:G,""),"")</f>
        <v>7.6</v>
      </c>
      <c r="F603" t="str">
        <f>eDNA!F603</f>
        <v>MiFish</v>
      </c>
      <c r="G603" t="str">
        <f>eDNA!D603</f>
        <v>Zacco platypus</v>
      </c>
      <c r="H603" t="str">
        <f>_xlfn.XLOOKUP(G603,'Common name (master file)'!$B:$B,'Common name (master file)'!$A:$A,"-------------")</f>
        <v>피라미</v>
      </c>
      <c r="I603">
        <f>eDNA!E603</f>
        <v>1650</v>
      </c>
      <c r="J603" t="str">
        <f>_xlfn.XLOOKUP(G603,'Common name (master file)'!$B:$B,'Common name (master file)'!$C:$C,"")</f>
        <v>어류</v>
      </c>
      <c r="K603">
        <f>eDNA!B603</f>
        <v>126.9187098</v>
      </c>
      <c r="L603">
        <f>eDNA!C603</f>
        <v>37.431417699999997</v>
      </c>
      <c r="M603" s="10" t="str" cm="1">
        <f t="array" ref="M603">IFERROR(_xlfn.XLOOKUP(1,('env Parameter'!$A:$A=$A603)*('env Parameter'!$B:$B=$K603)*('env Parameter'!$C:$C=$L603),'env Parameter'!D:D,""),"")</f>
        <v>삼막천</v>
      </c>
      <c r="N603" s="10" t="str" cm="1">
        <f t="array" ref="N603">IFERROR(_xlfn.XLOOKUP(1,('env Parameter'!$A:$A=$A603)*('env Parameter'!$B:$B=$K603)*('env Parameter'!$C:$C=$L603),'env Parameter'!I:I,""),"")</f>
        <v>YR</v>
      </c>
    </row>
    <row r="604" spans="1:14">
      <c r="A604">
        <f>eDNA!A604</f>
        <v>20200718</v>
      </c>
      <c r="B604" s="10" t="str" cm="1">
        <f t="array" ref="B604">IFERROR(_xlfn.XLOOKUP(1,('env Parameter'!$A:$A=$A604)*('env Parameter'!$B:$B=$K604)*('env Parameter'!$C:$C=$L604),'env Parameter'!H:H,""),"")</f>
        <v>생물상 조사</v>
      </c>
      <c r="C604" s="10" cm="1">
        <f t="array" ref="C604">IFERROR(_xlfn.XLOOKUP(1,('env Parameter'!$A:$A=$A604)*('env Parameter'!$B:$B=$K604)*('env Parameter'!$C:$C=$L604),'env Parameter'!E:E,""),"")</f>
        <v>2.14</v>
      </c>
      <c r="D604" s="10" cm="1">
        <f t="array" ref="D604">IFERROR(_xlfn.XLOOKUP(1,('env Parameter'!$A:$A=$A604)*('env Parameter'!$B:$B=$K604)*('env Parameter'!$C:$C=$L604),'env Parameter'!F:F,""),"")</f>
        <v>478</v>
      </c>
      <c r="E604" s="10" cm="1">
        <f t="array" ref="E604">IFERROR(_xlfn.XLOOKUP(1,('env Parameter'!$A:$A=$A604)*('env Parameter'!$B:$B=$K604)*('env Parameter'!$C:$C=$L604),'env Parameter'!G:G,""),"")</f>
        <v>7.6</v>
      </c>
      <c r="F604" t="str">
        <f>eDNA!F604</f>
        <v>MiFish</v>
      </c>
      <c r="G604" t="str">
        <f>eDNA!D604</f>
        <v>Homo sapiens</v>
      </c>
      <c r="H604" t="str">
        <f>_xlfn.XLOOKUP(G604,'Common name (master file)'!$B:$B,'Common name (master file)'!$A:$A,"-------------")</f>
        <v>사람</v>
      </c>
      <c r="I604">
        <f>eDNA!E604</f>
        <v>11804</v>
      </c>
      <c r="J604" t="str">
        <f>_xlfn.XLOOKUP(G604,'Common name (master file)'!$B:$B,'Common name (master file)'!$C:$C,"")</f>
        <v>포유류</v>
      </c>
      <c r="K604">
        <f>eDNA!B604</f>
        <v>126.9187098</v>
      </c>
      <c r="L604">
        <f>eDNA!C604</f>
        <v>37.431417699999997</v>
      </c>
      <c r="M604" s="10" t="str" cm="1">
        <f t="array" ref="M604">IFERROR(_xlfn.XLOOKUP(1,('env Parameter'!$A:$A=$A604)*('env Parameter'!$B:$B=$K604)*('env Parameter'!$C:$C=$L604),'env Parameter'!D:D,""),"")</f>
        <v>삼막천</v>
      </c>
      <c r="N604" s="10" t="str" cm="1">
        <f t="array" ref="N604">IFERROR(_xlfn.XLOOKUP(1,('env Parameter'!$A:$A=$A604)*('env Parameter'!$B:$B=$K604)*('env Parameter'!$C:$C=$L604),'env Parameter'!I:I,""),"")</f>
        <v>YR</v>
      </c>
    </row>
    <row r="605" spans="1:14">
      <c r="A605">
        <f>eDNA!A605</f>
        <v>20200718</v>
      </c>
      <c r="B605" s="10" t="str" cm="1">
        <f t="array" ref="B605">IFERROR(_xlfn.XLOOKUP(1,('env Parameter'!$A:$A=$A605)*('env Parameter'!$B:$B=$K605)*('env Parameter'!$C:$C=$L605),'env Parameter'!H:H,""),"")</f>
        <v>생물상 조사</v>
      </c>
      <c r="C605" s="10" cm="1">
        <f t="array" ref="C605">IFERROR(_xlfn.XLOOKUP(1,('env Parameter'!$A:$A=$A605)*('env Parameter'!$B:$B=$K605)*('env Parameter'!$C:$C=$L605),'env Parameter'!E:E,""),"")</f>
        <v>2.14</v>
      </c>
      <c r="D605" s="10" cm="1">
        <f t="array" ref="D605">IFERROR(_xlfn.XLOOKUP(1,('env Parameter'!$A:$A=$A605)*('env Parameter'!$B:$B=$K605)*('env Parameter'!$C:$C=$L605),'env Parameter'!F:F,""),"")</f>
        <v>478</v>
      </c>
      <c r="E605" s="10" cm="1">
        <f t="array" ref="E605">IFERROR(_xlfn.XLOOKUP(1,('env Parameter'!$A:$A=$A605)*('env Parameter'!$B:$B=$K605)*('env Parameter'!$C:$C=$L605),'env Parameter'!G:G,""),"")</f>
        <v>7.6</v>
      </c>
      <c r="F605" t="str">
        <f>eDNA!F605</f>
        <v>MiFish</v>
      </c>
      <c r="G605" t="str">
        <f>eDNA!D605</f>
        <v>Rhynchocypris oxycephalus</v>
      </c>
      <c r="H605" t="str">
        <f>_xlfn.XLOOKUP(G605,'Common name (master file)'!$B:$B,'Common name (master file)'!$A:$A,"-------------")</f>
        <v>버들치</v>
      </c>
      <c r="I605">
        <f>eDNA!E605</f>
        <v>44175</v>
      </c>
      <c r="J605" t="str">
        <f>_xlfn.XLOOKUP(G605,'Common name (master file)'!$B:$B,'Common name (master file)'!$C:$C,"")</f>
        <v>어류</v>
      </c>
      <c r="K605">
        <f>eDNA!B605</f>
        <v>126.9187098</v>
      </c>
      <c r="L605">
        <f>eDNA!C605</f>
        <v>37.431417699999997</v>
      </c>
      <c r="M605" s="10" t="str" cm="1">
        <f t="array" ref="M605">IFERROR(_xlfn.XLOOKUP(1,('env Parameter'!$A:$A=$A605)*('env Parameter'!$B:$B=$K605)*('env Parameter'!$C:$C=$L605),'env Parameter'!D:D,""),"")</f>
        <v>삼막천</v>
      </c>
      <c r="N605" s="10" t="str" cm="1">
        <f t="array" ref="N605">IFERROR(_xlfn.XLOOKUP(1,('env Parameter'!$A:$A=$A605)*('env Parameter'!$B:$B=$K605)*('env Parameter'!$C:$C=$L605),'env Parameter'!I:I,""),"")</f>
        <v>YR</v>
      </c>
    </row>
    <row r="606" spans="1:14">
      <c r="A606">
        <f>eDNA!A606</f>
        <v>20200718</v>
      </c>
      <c r="B606" s="10" t="str" cm="1">
        <f t="array" ref="B606">IFERROR(_xlfn.XLOOKUP(1,('env Parameter'!$A:$A=$A606)*('env Parameter'!$B:$B=$K606)*('env Parameter'!$C:$C=$L606),'env Parameter'!H:H,""),"")</f>
        <v>생물상 조사</v>
      </c>
      <c r="C606" s="10" cm="1">
        <f t="array" ref="C606">IFERROR(_xlfn.XLOOKUP(1,('env Parameter'!$A:$A=$A606)*('env Parameter'!$B:$B=$K606)*('env Parameter'!$C:$C=$L606),'env Parameter'!E:E,""),"")</f>
        <v>2.14</v>
      </c>
      <c r="D606" s="10" cm="1">
        <f t="array" ref="D606">IFERROR(_xlfn.XLOOKUP(1,('env Parameter'!$A:$A=$A606)*('env Parameter'!$B:$B=$K606)*('env Parameter'!$C:$C=$L606),'env Parameter'!F:F,""),"")</f>
        <v>478</v>
      </c>
      <c r="E606" s="10" cm="1">
        <f t="array" ref="E606">IFERROR(_xlfn.XLOOKUP(1,('env Parameter'!$A:$A=$A606)*('env Parameter'!$B:$B=$K606)*('env Parameter'!$C:$C=$L606),'env Parameter'!G:G,""),"")</f>
        <v>7.6</v>
      </c>
      <c r="F606" t="str">
        <f>eDNA!F606</f>
        <v>MiFish</v>
      </c>
      <c r="G606" t="str">
        <f>eDNA!D606</f>
        <v>Rhynchocypris oxycephalus</v>
      </c>
      <c r="H606" t="str">
        <f>_xlfn.XLOOKUP(G606,'Common name (master file)'!$B:$B,'Common name (master file)'!$A:$A,"-------------")</f>
        <v>버들치</v>
      </c>
      <c r="I606">
        <f>eDNA!E606</f>
        <v>79788</v>
      </c>
      <c r="J606" t="str">
        <f>_xlfn.XLOOKUP(G606,'Common name (master file)'!$B:$B,'Common name (master file)'!$C:$C,"")</f>
        <v>어류</v>
      </c>
      <c r="K606">
        <f>eDNA!B606</f>
        <v>126.9350989</v>
      </c>
      <c r="L606">
        <f>eDNA!C606</f>
        <v>37.419096199999998</v>
      </c>
      <c r="M606" s="10" t="str" cm="1">
        <f t="array" ref="M606">IFERROR(_xlfn.XLOOKUP(1,('env Parameter'!$A:$A=$A606)*('env Parameter'!$B:$B=$K606)*('env Parameter'!$C:$C=$L606),'env Parameter'!D:D,""),"")</f>
        <v>삼성천-2</v>
      </c>
      <c r="N606" s="10" t="str" cm="1">
        <f t="array" ref="N606">IFERROR(_xlfn.XLOOKUP(1,('env Parameter'!$A:$A=$A606)*('env Parameter'!$B:$B=$K606)*('env Parameter'!$C:$C=$L606),'env Parameter'!I:I,""),"")</f>
        <v>YR</v>
      </c>
    </row>
    <row r="607" spans="1:14">
      <c r="A607">
        <f>eDNA!A607</f>
        <v>20200718</v>
      </c>
      <c r="B607" s="10" t="str" cm="1">
        <f t="array" ref="B607">IFERROR(_xlfn.XLOOKUP(1,('env Parameter'!$A:$A=$A607)*('env Parameter'!$B:$B=$K607)*('env Parameter'!$C:$C=$L607),'env Parameter'!H:H,""),"")</f>
        <v>생물상 조사</v>
      </c>
      <c r="C607" s="10" cm="1">
        <f t="array" ref="C607">IFERROR(_xlfn.XLOOKUP(1,('env Parameter'!$A:$A=$A607)*('env Parameter'!$B:$B=$K607)*('env Parameter'!$C:$C=$L607),'env Parameter'!E:E,""),"")</f>
        <v>2.14</v>
      </c>
      <c r="D607" s="10" cm="1">
        <f t="array" ref="D607">IFERROR(_xlfn.XLOOKUP(1,('env Parameter'!$A:$A=$A607)*('env Parameter'!$B:$B=$K607)*('env Parameter'!$C:$C=$L607),'env Parameter'!F:F,""),"")</f>
        <v>478</v>
      </c>
      <c r="E607" s="10" cm="1">
        <f t="array" ref="E607">IFERROR(_xlfn.XLOOKUP(1,('env Parameter'!$A:$A=$A607)*('env Parameter'!$B:$B=$K607)*('env Parameter'!$C:$C=$L607),'env Parameter'!G:G,""),"")</f>
        <v>7.6</v>
      </c>
      <c r="F607" t="str">
        <f>eDNA!F607</f>
        <v>MiFish</v>
      </c>
      <c r="G607" t="str">
        <f>eDNA!D607</f>
        <v>Pseudogobio esocinus</v>
      </c>
      <c r="H607" t="str">
        <f>_xlfn.XLOOKUP(G607,'Common name (master file)'!$B:$B,'Common name (master file)'!$A:$A,"-------------")</f>
        <v>모래무지</v>
      </c>
      <c r="I607">
        <f>eDNA!E607</f>
        <v>117</v>
      </c>
      <c r="J607" t="str">
        <f>_xlfn.XLOOKUP(G607,'Common name (master file)'!$B:$B,'Common name (master file)'!$C:$C,"")</f>
        <v>어류</v>
      </c>
      <c r="K607">
        <f>eDNA!B607</f>
        <v>126.92050639999999</v>
      </c>
      <c r="L607">
        <f>eDNA!C607</f>
        <v>37.418606500000003</v>
      </c>
      <c r="M607" s="10" t="str" cm="1">
        <f t="array" ref="M607">IFERROR(_xlfn.XLOOKUP(1,('env Parameter'!$A:$A=$A607)*('env Parameter'!$B:$B=$K607)*('env Parameter'!$C:$C=$L607),'env Parameter'!D:D,""),"")</f>
        <v>삼성천-1</v>
      </c>
      <c r="N607" s="10" t="str" cm="1">
        <f t="array" ref="N607">IFERROR(_xlfn.XLOOKUP(1,('env Parameter'!$A:$A=$A607)*('env Parameter'!$B:$B=$K607)*('env Parameter'!$C:$C=$L607),'env Parameter'!I:I,""),"")</f>
        <v>YR</v>
      </c>
    </row>
    <row r="608" spans="1:14">
      <c r="A608">
        <f>eDNA!A608</f>
        <v>20200718</v>
      </c>
      <c r="B608" s="10" t="str" cm="1">
        <f t="array" ref="B608">IFERROR(_xlfn.XLOOKUP(1,('env Parameter'!$A:$A=$A608)*('env Parameter'!$B:$B=$K608)*('env Parameter'!$C:$C=$L608),'env Parameter'!H:H,""),"")</f>
        <v>생물상 조사</v>
      </c>
      <c r="C608" s="10" cm="1">
        <f t="array" ref="C608">IFERROR(_xlfn.XLOOKUP(1,('env Parameter'!$A:$A=$A608)*('env Parameter'!$B:$B=$K608)*('env Parameter'!$C:$C=$L608),'env Parameter'!E:E,""),"")</f>
        <v>2.14</v>
      </c>
      <c r="D608" s="10" cm="1">
        <f t="array" ref="D608">IFERROR(_xlfn.XLOOKUP(1,('env Parameter'!$A:$A=$A608)*('env Parameter'!$B:$B=$K608)*('env Parameter'!$C:$C=$L608),'env Parameter'!F:F,""),"")</f>
        <v>478</v>
      </c>
      <c r="E608" s="10" cm="1">
        <f t="array" ref="E608">IFERROR(_xlfn.XLOOKUP(1,('env Parameter'!$A:$A=$A608)*('env Parameter'!$B:$B=$K608)*('env Parameter'!$C:$C=$L608),'env Parameter'!G:G,""),"")</f>
        <v>7.6</v>
      </c>
      <c r="F608" t="str">
        <f>eDNA!F608</f>
        <v>MiFish</v>
      </c>
      <c r="G608" t="str">
        <f>eDNA!D608</f>
        <v>Carassius gibelio</v>
      </c>
      <c r="H608" t="str">
        <f>_xlfn.XLOOKUP(G608,'Common name (master file)'!$B:$B,'Common name (master file)'!$A:$A,"-------------")</f>
        <v>기벨리오 붕어</v>
      </c>
      <c r="I608">
        <f>eDNA!E608</f>
        <v>102</v>
      </c>
      <c r="J608" t="str">
        <f>_xlfn.XLOOKUP(G608,'Common name (master file)'!$B:$B,'Common name (master file)'!$C:$C,"")</f>
        <v>어류</v>
      </c>
      <c r="K608">
        <f>eDNA!B608</f>
        <v>126.92050639999999</v>
      </c>
      <c r="L608">
        <f>eDNA!C608</f>
        <v>37.418606500000003</v>
      </c>
      <c r="M608" s="10" t="str" cm="1">
        <f t="array" ref="M608">IFERROR(_xlfn.XLOOKUP(1,('env Parameter'!$A:$A=$A608)*('env Parameter'!$B:$B=$K608)*('env Parameter'!$C:$C=$L608),'env Parameter'!D:D,""),"")</f>
        <v>삼성천-1</v>
      </c>
      <c r="N608" s="10" t="str" cm="1">
        <f t="array" ref="N608">IFERROR(_xlfn.XLOOKUP(1,('env Parameter'!$A:$A=$A608)*('env Parameter'!$B:$B=$K608)*('env Parameter'!$C:$C=$L608),'env Parameter'!I:I,""),"")</f>
        <v>YR</v>
      </c>
    </row>
    <row r="609" spans="1:14">
      <c r="A609">
        <f>eDNA!A609</f>
        <v>20200718</v>
      </c>
      <c r="B609" s="10" t="str" cm="1">
        <f t="array" ref="B609">IFERROR(_xlfn.XLOOKUP(1,('env Parameter'!$A:$A=$A609)*('env Parameter'!$B:$B=$K609)*('env Parameter'!$C:$C=$L609),'env Parameter'!H:H,""),"")</f>
        <v>생물상 조사</v>
      </c>
      <c r="C609" s="10" cm="1">
        <f t="array" ref="C609">IFERROR(_xlfn.XLOOKUP(1,('env Parameter'!$A:$A=$A609)*('env Parameter'!$B:$B=$K609)*('env Parameter'!$C:$C=$L609),'env Parameter'!E:E,""),"")</f>
        <v>2.14</v>
      </c>
      <c r="D609" s="10" cm="1">
        <f t="array" ref="D609">IFERROR(_xlfn.XLOOKUP(1,('env Parameter'!$A:$A=$A609)*('env Parameter'!$B:$B=$K609)*('env Parameter'!$C:$C=$L609),'env Parameter'!F:F,""),"")</f>
        <v>478</v>
      </c>
      <c r="E609" s="10" cm="1">
        <f t="array" ref="E609">IFERROR(_xlfn.XLOOKUP(1,('env Parameter'!$A:$A=$A609)*('env Parameter'!$B:$B=$K609)*('env Parameter'!$C:$C=$L609),'env Parameter'!G:G,""),"")</f>
        <v>7.6</v>
      </c>
      <c r="F609" t="str">
        <f>eDNA!F609</f>
        <v>MiFish</v>
      </c>
      <c r="G609" t="str">
        <f>eDNA!D609</f>
        <v>Silurus soldatovi</v>
      </c>
      <c r="H609" t="str">
        <f>_xlfn.XLOOKUP(G609,'Common name (master file)'!$B:$B,'Common name (master file)'!$A:$A,"-------------")</f>
        <v>솔다토비 메기</v>
      </c>
      <c r="I609">
        <f>eDNA!E609</f>
        <v>243</v>
      </c>
      <c r="J609" t="str">
        <f>_xlfn.XLOOKUP(G609,'Common name (master file)'!$B:$B,'Common name (master file)'!$C:$C,"")</f>
        <v>어류</v>
      </c>
      <c r="K609">
        <f>eDNA!B609</f>
        <v>126.92050639999999</v>
      </c>
      <c r="L609">
        <f>eDNA!C609</f>
        <v>37.418606500000003</v>
      </c>
      <c r="M609" s="10" t="str" cm="1">
        <f t="array" ref="M609">IFERROR(_xlfn.XLOOKUP(1,('env Parameter'!$A:$A=$A609)*('env Parameter'!$B:$B=$K609)*('env Parameter'!$C:$C=$L609),'env Parameter'!D:D,""),"")</f>
        <v>삼성천-1</v>
      </c>
      <c r="N609" s="10" t="str" cm="1">
        <f t="array" ref="N609">IFERROR(_xlfn.XLOOKUP(1,('env Parameter'!$A:$A=$A609)*('env Parameter'!$B:$B=$K609)*('env Parameter'!$C:$C=$L609),'env Parameter'!I:I,""),"")</f>
        <v>YR</v>
      </c>
    </row>
    <row r="610" spans="1:14">
      <c r="A610">
        <f>eDNA!A610</f>
        <v>20200718</v>
      </c>
      <c r="B610" s="10" t="str" cm="1">
        <f t="array" ref="B610">IFERROR(_xlfn.XLOOKUP(1,('env Parameter'!$A:$A=$A610)*('env Parameter'!$B:$B=$K610)*('env Parameter'!$C:$C=$L610),'env Parameter'!H:H,""),"")</f>
        <v>생물상 조사</v>
      </c>
      <c r="C610" s="10" cm="1">
        <f t="array" ref="C610">IFERROR(_xlfn.XLOOKUP(1,('env Parameter'!$A:$A=$A610)*('env Parameter'!$B:$B=$K610)*('env Parameter'!$C:$C=$L610),'env Parameter'!E:E,""),"")</f>
        <v>2.14</v>
      </c>
      <c r="D610" s="10" cm="1">
        <f t="array" ref="D610">IFERROR(_xlfn.XLOOKUP(1,('env Parameter'!$A:$A=$A610)*('env Parameter'!$B:$B=$K610)*('env Parameter'!$C:$C=$L610),'env Parameter'!F:F,""),"")</f>
        <v>478</v>
      </c>
      <c r="E610" s="10" cm="1">
        <f t="array" ref="E610">IFERROR(_xlfn.XLOOKUP(1,('env Parameter'!$A:$A=$A610)*('env Parameter'!$B:$B=$K610)*('env Parameter'!$C:$C=$L610),'env Parameter'!G:G,""),"")</f>
        <v>7.6</v>
      </c>
      <c r="F610" t="str">
        <f>eDNA!F610</f>
        <v>MiFish</v>
      </c>
      <c r="G610" t="str">
        <f>eDNA!D610</f>
        <v>Oplegnathus fasciatus</v>
      </c>
      <c r="H610" t="str">
        <f>_xlfn.XLOOKUP(G610,'Common name (master file)'!$B:$B,'Common name (master file)'!$A:$A,"-------------")</f>
        <v>돌돔</v>
      </c>
      <c r="I610">
        <f>eDNA!E610</f>
        <v>1743</v>
      </c>
      <c r="J610" t="str">
        <f>_xlfn.XLOOKUP(G610,'Common name (master file)'!$B:$B,'Common name (master file)'!$C:$C,"")</f>
        <v>어류</v>
      </c>
      <c r="K610">
        <f>eDNA!B610</f>
        <v>126.8446659</v>
      </c>
      <c r="L610">
        <f>eDNA!C610</f>
        <v>37.420618699999999</v>
      </c>
      <c r="M610" s="10" t="str" cm="1">
        <f t="array" ref="M610">IFERROR(_xlfn.XLOOKUP(1,('env Parameter'!$A:$A=$A610)*('env Parameter'!$B:$B=$K610)*('env Parameter'!$C:$C=$L610),'env Parameter'!D:D,""),"")</f>
        <v>목감천-3</v>
      </c>
      <c r="N610" s="10" t="str" cm="1">
        <f t="array" ref="N610">IFERROR(_xlfn.XLOOKUP(1,('env Parameter'!$A:$A=$A610)*('env Parameter'!$B:$B=$K610)*('env Parameter'!$C:$C=$L610),'env Parameter'!I:I,""),"")</f>
        <v>YR</v>
      </c>
    </row>
    <row r="611" spans="1:14">
      <c r="A611">
        <f>eDNA!A611</f>
        <v>20200718</v>
      </c>
      <c r="B611" s="10" t="str" cm="1">
        <f t="array" ref="B611">IFERROR(_xlfn.XLOOKUP(1,('env Parameter'!$A:$A=$A611)*('env Parameter'!$B:$B=$K611)*('env Parameter'!$C:$C=$L611),'env Parameter'!H:H,""),"")</f>
        <v>생물상 조사</v>
      </c>
      <c r="C611" s="10" cm="1">
        <f t="array" ref="C611">IFERROR(_xlfn.XLOOKUP(1,('env Parameter'!$A:$A=$A611)*('env Parameter'!$B:$B=$K611)*('env Parameter'!$C:$C=$L611),'env Parameter'!E:E,""),"")</f>
        <v>2.14</v>
      </c>
      <c r="D611" s="10" cm="1">
        <f t="array" ref="D611">IFERROR(_xlfn.XLOOKUP(1,('env Parameter'!$A:$A=$A611)*('env Parameter'!$B:$B=$K611)*('env Parameter'!$C:$C=$L611),'env Parameter'!F:F,""),"")</f>
        <v>478</v>
      </c>
      <c r="E611" s="10" cm="1">
        <f t="array" ref="E611">IFERROR(_xlfn.XLOOKUP(1,('env Parameter'!$A:$A=$A611)*('env Parameter'!$B:$B=$K611)*('env Parameter'!$C:$C=$L611),'env Parameter'!G:G,""),"")</f>
        <v>7.6</v>
      </c>
      <c r="F611" t="str">
        <f>eDNA!F611</f>
        <v>MiFish</v>
      </c>
      <c r="G611" t="str">
        <f>eDNA!D611</f>
        <v>Homo sapiens</v>
      </c>
      <c r="H611" t="str">
        <f>_xlfn.XLOOKUP(G611,'Common name (master file)'!$B:$B,'Common name (master file)'!$A:$A,"-------------")</f>
        <v>사람</v>
      </c>
      <c r="I611">
        <f>eDNA!E611</f>
        <v>814</v>
      </c>
      <c r="J611" t="str">
        <f>_xlfn.XLOOKUP(G611,'Common name (master file)'!$B:$B,'Common name (master file)'!$C:$C,"")</f>
        <v>포유류</v>
      </c>
      <c r="K611">
        <f>eDNA!B611</f>
        <v>126.92050639999999</v>
      </c>
      <c r="L611">
        <f>eDNA!C611</f>
        <v>37.418606500000003</v>
      </c>
      <c r="M611" s="10" t="str" cm="1">
        <f t="array" ref="M611">IFERROR(_xlfn.XLOOKUP(1,('env Parameter'!$A:$A=$A611)*('env Parameter'!$B:$B=$K611)*('env Parameter'!$C:$C=$L611),'env Parameter'!D:D,""),"")</f>
        <v>삼성천-1</v>
      </c>
      <c r="N611" s="10" t="str" cm="1">
        <f t="array" ref="N611">IFERROR(_xlfn.XLOOKUP(1,('env Parameter'!$A:$A=$A611)*('env Parameter'!$B:$B=$K611)*('env Parameter'!$C:$C=$L611),'env Parameter'!I:I,""),"")</f>
        <v>YR</v>
      </c>
    </row>
    <row r="612" spans="1:14">
      <c r="A612">
        <f>eDNA!A612</f>
        <v>20200718</v>
      </c>
      <c r="B612" s="10" t="str" cm="1">
        <f t="array" ref="B612">IFERROR(_xlfn.XLOOKUP(1,('env Parameter'!$A:$A=$A612)*('env Parameter'!$B:$B=$K612)*('env Parameter'!$C:$C=$L612),'env Parameter'!H:H,""),"")</f>
        <v>생물상 조사</v>
      </c>
      <c r="C612" s="10" cm="1">
        <f t="array" ref="C612">IFERROR(_xlfn.XLOOKUP(1,('env Parameter'!$A:$A=$A612)*('env Parameter'!$B:$B=$K612)*('env Parameter'!$C:$C=$L612),'env Parameter'!E:E,""),"")</f>
        <v>2.14</v>
      </c>
      <c r="D612" s="10" cm="1">
        <f t="array" ref="D612">IFERROR(_xlfn.XLOOKUP(1,('env Parameter'!$A:$A=$A612)*('env Parameter'!$B:$B=$K612)*('env Parameter'!$C:$C=$L612),'env Parameter'!F:F,""),"")</f>
        <v>478</v>
      </c>
      <c r="E612" s="10" cm="1">
        <f t="array" ref="E612">IFERROR(_xlfn.XLOOKUP(1,('env Parameter'!$A:$A=$A612)*('env Parameter'!$B:$B=$K612)*('env Parameter'!$C:$C=$L612),'env Parameter'!G:G,""),"")</f>
        <v>7.6</v>
      </c>
      <c r="F612" t="str">
        <f>eDNA!F612</f>
        <v>MiFish</v>
      </c>
      <c r="G612" t="str">
        <f>eDNA!D612</f>
        <v>Nipponocypris temminckii</v>
      </c>
      <c r="H612" t="str">
        <f>_xlfn.XLOOKUP(G612,'Common name (master file)'!$B:$B,'Common name (master file)'!$A:$A,"-------------")</f>
        <v>갈겨니</v>
      </c>
      <c r="I612">
        <f>eDNA!E612</f>
        <v>1747</v>
      </c>
      <c r="J612" t="str">
        <f>_xlfn.XLOOKUP(G612,'Common name (master file)'!$B:$B,'Common name (master file)'!$C:$C,"")</f>
        <v>어류</v>
      </c>
      <c r="K612">
        <f>eDNA!B612</f>
        <v>126.92050639999999</v>
      </c>
      <c r="L612">
        <f>eDNA!C612</f>
        <v>37.418606500000003</v>
      </c>
      <c r="M612" s="10" t="str" cm="1">
        <f t="array" ref="M612">IFERROR(_xlfn.XLOOKUP(1,('env Parameter'!$A:$A=$A612)*('env Parameter'!$B:$B=$K612)*('env Parameter'!$C:$C=$L612),'env Parameter'!D:D,""),"")</f>
        <v>삼성천-1</v>
      </c>
      <c r="N612" s="10" t="str" cm="1">
        <f t="array" ref="N612">IFERROR(_xlfn.XLOOKUP(1,('env Parameter'!$A:$A=$A612)*('env Parameter'!$B:$B=$K612)*('env Parameter'!$C:$C=$L612),'env Parameter'!I:I,""),"")</f>
        <v>YR</v>
      </c>
    </row>
    <row r="613" spans="1:14">
      <c r="A613">
        <f>eDNA!A613</f>
        <v>20200718</v>
      </c>
      <c r="B613" s="10" t="str" cm="1">
        <f t="array" ref="B613">IFERROR(_xlfn.XLOOKUP(1,('env Parameter'!$A:$A=$A613)*('env Parameter'!$B:$B=$K613)*('env Parameter'!$C:$C=$L613),'env Parameter'!H:H,""),"")</f>
        <v>생물상 조사</v>
      </c>
      <c r="C613" s="10" cm="1">
        <f t="array" ref="C613">IFERROR(_xlfn.XLOOKUP(1,('env Parameter'!$A:$A=$A613)*('env Parameter'!$B:$B=$K613)*('env Parameter'!$C:$C=$L613),'env Parameter'!E:E,""),"")</f>
        <v>2.14</v>
      </c>
      <c r="D613" s="10" cm="1">
        <f t="array" ref="D613">IFERROR(_xlfn.XLOOKUP(1,('env Parameter'!$A:$A=$A613)*('env Parameter'!$B:$B=$K613)*('env Parameter'!$C:$C=$L613),'env Parameter'!F:F,""),"")</f>
        <v>478</v>
      </c>
      <c r="E613" s="10" cm="1">
        <f t="array" ref="E613">IFERROR(_xlfn.XLOOKUP(1,('env Parameter'!$A:$A=$A613)*('env Parameter'!$B:$B=$K613)*('env Parameter'!$C:$C=$L613),'env Parameter'!G:G,""),"")</f>
        <v>7.6</v>
      </c>
      <c r="F613" t="str">
        <f>eDNA!F613</f>
        <v>MiFish</v>
      </c>
      <c r="G613" t="str">
        <f>eDNA!D613</f>
        <v>Anguilla japonica</v>
      </c>
      <c r="H613" t="str">
        <f>_xlfn.XLOOKUP(G613,'Common name (master file)'!$B:$B,'Common name (master file)'!$A:$A,"-------------")</f>
        <v>뱀장어</v>
      </c>
      <c r="I613">
        <f>eDNA!E613</f>
        <v>814</v>
      </c>
      <c r="J613" t="str">
        <f>_xlfn.XLOOKUP(G613,'Common name (master file)'!$B:$B,'Common name (master file)'!$C:$C,"")</f>
        <v>어류</v>
      </c>
      <c r="K613">
        <f>eDNA!B613</f>
        <v>126.92050639999999</v>
      </c>
      <c r="L613">
        <f>eDNA!C613</f>
        <v>37.418606500000003</v>
      </c>
      <c r="M613" s="10" t="str" cm="1">
        <f t="array" ref="M613">IFERROR(_xlfn.XLOOKUP(1,('env Parameter'!$A:$A=$A613)*('env Parameter'!$B:$B=$K613)*('env Parameter'!$C:$C=$L613),'env Parameter'!D:D,""),"")</f>
        <v>삼성천-1</v>
      </c>
      <c r="N613" s="10" t="str" cm="1">
        <f t="array" ref="N613">IFERROR(_xlfn.XLOOKUP(1,('env Parameter'!$A:$A=$A613)*('env Parameter'!$B:$B=$K613)*('env Parameter'!$C:$C=$L613),'env Parameter'!I:I,""),"")</f>
        <v>YR</v>
      </c>
    </row>
    <row r="614" spans="1:14">
      <c r="A614">
        <f>eDNA!A614</f>
        <v>20200718</v>
      </c>
      <c r="B614" s="10" t="str" cm="1">
        <f t="array" ref="B614">IFERROR(_xlfn.XLOOKUP(1,('env Parameter'!$A:$A=$A614)*('env Parameter'!$B:$B=$K614)*('env Parameter'!$C:$C=$L614),'env Parameter'!H:H,""),"")</f>
        <v>생물상 조사</v>
      </c>
      <c r="C614" s="10" cm="1">
        <f t="array" ref="C614">IFERROR(_xlfn.XLOOKUP(1,('env Parameter'!$A:$A=$A614)*('env Parameter'!$B:$B=$K614)*('env Parameter'!$C:$C=$L614),'env Parameter'!E:E,""),"")</f>
        <v>2.14</v>
      </c>
      <c r="D614" s="10" cm="1">
        <f t="array" ref="D614">IFERROR(_xlfn.XLOOKUP(1,('env Parameter'!$A:$A=$A614)*('env Parameter'!$B:$B=$K614)*('env Parameter'!$C:$C=$L614),'env Parameter'!F:F,""),"")</f>
        <v>478</v>
      </c>
      <c r="E614" s="10" cm="1">
        <f t="array" ref="E614">IFERROR(_xlfn.XLOOKUP(1,('env Parameter'!$A:$A=$A614)*('env Parameter'!$B:$B=$K614)*('env Parameter'!$C:$C=$L614),'env Parameter'!G:G,""),"")</f>
        <v>7.6</v>
      </c>
      <c r="F614" t="str">
        <f>eDNA!F614</f>
        <v>MiFish</v>
      </c>
      <c r="G614" t="str">
        <f>eDNA!D614</f>
        <v>Misgurnus mizolepis</v>
      </c>
      <c r="H614" t="str">
        <f>_xlfn.XLOOKUP(G614,'Common name (master file)'!$B:$B,'Common name (master file)'!$A:$A,"-------------")</f>
        <v>미꾸라지</v>
      </c>
      <c r="I614">
        <f>eDNA!E614</f>
        <v>1325</v>
      </c>
      <c r="J614" t="str">
        <f>_xlfn.XLOOKUP(G614,'Common name (master file)'!$B:$B,'Common name (master file)'!$C:$C,"")</f>
        <v>어류</v>
      </c>
      <c r="K614">
        <f>eDNA!B614</f>
        <v>126.92050639999999</v>
      </c>
      <c r="L614">
        <f>eDNA!C614</f>
        <v>37.418606500000003</v>
      </c>
      <c r="M614" s="10" t="str" cm="1">
        <f t="array" ref="M614">IFERROR(_xlfn.XLOOKUP(1,('env Parameter'!$A:$A=$A614)*('env Parameter'!$B:$B=$K614)*('env Parameter'!$C:$C=$L614),'env Parameter'!D:D,""),"")</f>
        <v>삼성천-1</v>
      </c>
      <c r="N614" s="10" t="str" cm="1">
        <f t="array" ref="N614">IFERROR(_xlfn.XLOOKUP(1,('env Parameter'!$A:$A=$A614)*('env Parameter'!$B:$B=$K614)*('env Parameter'!$C:$C=$L614),'env Parameter'!I:I,""),"")</f>
        <v>YR</v>
      </c>
    </row>
    <row r="615" spans="1:14">
      <c r="A615">
        <f>eDNA!A615</f>
        <v>20200718</v>
      </c>
      <c r="B615" s="10" t="str" cm="1">
        <f t="array" ref="B615">IFERROR(_xlfn.XLOOKUP(1,('env Parameter'!$A:$A=$A615)*('env Parameter'!$B:$B=$K615)*('env Parameter'!$C:$C=$L615),'env Parameter'!H:H,""),"")</f>
        <v>생물상 조사</v>
      </c>
      <c r="C615" s="10" cm="1">
        <f t="array" ref="C615">IFERROR(_xlfn.XLOOKUP(1,('env Parameter'!$A:$A=$A615)*('env Parameter'!$B:$B=$K615)*('env Parameter'!$C:$C=$L615),'env Parameter'!E:E,""),"")</f>
        <v>2.14</v>
      </c>
      <c r="D615" s="10" cm="1">
        <f t="array" ref="D615">IFERROR(_xlfn.XLOOKUP(1,('env Parameter'!$A:$A=$A615)*('env Parameter'!$B:$B=$K615)*('env Parameter'!$C:$C=$L615),'env Parameter'!F:F,""),"")</f>
        <v>478</v>
      </c>
      <c r="E615" s="10" cm="1">
        <f t="array" ref="E615">IFERROR(_xlfn.XLOOKUP(1,('env Parameter'!$A:$A=$A615)*('env Parameter'!$B:$B=$K615)*('env Parameter'!$C:$C=$L615),'env Parameter'!G:G,""),"")</f>
        <v>7.6</v>
      </c>
      <c r="F615" t="str">
        <f>eDNA!F615</f>
        <v>MiFish</v>
      </c>
      <c r="G615" t="str">
        <f>eDNA!D615</f>
        <v>Rhynchocypris oxycephalus</v>
      </c>
      <c r="H615" t="str">
        <f>_xlfn.XLOOKUP(G615,'Common name (master file)'!$B:$B,'Common name (master file)'!$A:$A,"-------------")</f>
        <v>버들치</v>
      </c>
      <c r="I615">
        <f>eDNA!E615</f>
        <v>4661</v>
      </c>
      <c r="J615" t="str">
        <f>_xlfn.XLOOKUP(G615,'Common name (master file)'!$B:$B,'Common name (master file)'!$C:$C,"")</f>
        <v>어류</v>
      </c>
      <c r="K615">
        <f>eDNA!B615</f>
        <v>126.92050639999999</v>
      </c>
      <c r="L615">
        <f>eDNA!C615</f>
        <v>37.418606500000003</v>
      </c>
      <c r="M615" s="10" t="str" cm="1">
        <f t="array" ref="M615">IFERROR(_xlfn.XLOOKUP(1,('env Parameter'!$A:$A=$A615)*('env Parameter'!$B:$B=$K615)*('env Parameter'!$C:$C=$L615),'env Parameter'!D:D,""),"")</f>
        <v>삼성천-1</v>
      </c>
      <c r="N615" s="10" t="str" cm="1">
        <f t="array" ref="N615">IFERROR(_xlfn.XLOOKUP(1,('env Parameter'!$A:$A=$A615)*('env Parameter'!$B:$B=$K615)*('env Parameter'!$C:$C=$L615),'env Parameter'!I:I,""),"")</f>
        <v>YR</v>
      </c>
    </row>
    <row r="616" spans="1:14">
      <c r="A616">
        <f>eDNA!A616</f>
        <v>20200718</v>
      </c>
      <c r="B616" s="10" t="str" cm="1">
        <f t="array" ref="B616">IFERROR(_xlfn.XLOOKUP(1,('env Parameter'!$A:$A=$A616)*('env Parameter'!$B:$B=$K616)*('env Parameter'!$C:$C=$L616),'env Parameter'!H:H,""),"")</f>
        <v>생물상 조사</v>
      </c>
      <c r="C616" s="10" cm="1">
        <f t="array" ref="C616">IFERROR(_xlfn.XLOOKUP(1,('env Parameter'!$A:$A=$A616)*('env Parameter'!$B:$B=$K616)*('env Parameter'!$C:$C=$L616),'env Parameter'!E:E,""),"")</f>
        <v>2.14</v>
      </c>
      <c r="D616" s="10" cm="1">
        <f t="array" ref="D616">IFERROR(_xlfn.XLOOKUP(1,('env Parameter'!$A:$A=$A616)*('env Parameter'!$B:$B=$K616)*('env Parameter'!$C:$C=$L616),'env Parameter'!F:F,""),"")</f>
        <v>478</v>
      </c>
      <c r="E616" s="10" cm="1">
        <f t="array" ref="E616">IFERROR(_xlfn.XLOOKUP(1,('env Parameter'!$A:$A=$A616)*('env Parameter'!$B:$B=$K616)*('env Parameter'!$C:$C=$L616),'env Parameter'!G:G,""),"")</f>
        <v>7.6</v>
      </c>
      <c r="F616" t="str">
        <f>eDNA!F616</f>
        <v>MiFish</v>
      </c>
      <c r="G616" t="str">
        <f>eDNA!D616</f>
        <v>Zacco platypus</v>
      </c>
      <c r="H616" t="str">
        <f>_xlfn.XLOOKUP(G616,'Common name (master file)'!$B:$B,'Common name (master file)'!$A:$A,"-------------")</f>
        <v>피라미</v>
      </c>
      <c r="I616">
        <f>eDNA!E616</f>
        <v>10778</v>
      </c>
      <c r="J616" t="str">
        <f>_xlfn.XLOOKUP(G616,'Common name (master file)'!$B:$B,'Common name (master file)'!$C:$C,"")</f>
        <v>어류</v>
      </c>
      <c r="K616">
        <f>eDNA!B616</f>
        <v>126.92050639999999</v>
      </c>
      <c r="L616">
        <f>eDNA!C616</f>
        <v>37.418606500000003</v>
      </c>
      <c r="M616" s="10" t="str" cm="1">
        <f t="array" ref="M616">IFERROR(_xlfn.XLOOKUP(1,('env Parameter'!$A:$A=$A616)*('env Parameter'!$B:$B=$K616)*('env Parameter'!$C:$C=$L616),'env Parameter'!D:D,""),"")</f>
        <v>삼성천-1</v>
      </c>
      <c r="N616" s="10" t="str" cm="1">
        <f t="array" ref="N616">IFERROR(_xlfn.XLOOKUP(1,('env Parameter'!$A:$A=$A616)*('env Parameter'!$B:$B=$K616)*('env Parameter'!$C:$C=$L616),'env Parameter'!I:I,""),"")</f>
        <v>YR</v>
      </c>
    </row>
    <row r="617" spans="1:14">
      <c r="A617">
        <f>eDNA!A617</f>
        <v>20200718</v>
      </c>
      <c r="B617" s="10" t="str" cm="1">
        <f t="array" ref="B617">IFERROR(_xlfn.XLOOKUP(1,('env Parameter'!$A:$A=$A617)*('env Parameter'!$B:$B=$K617)*('env Parameter'!$C:$C=$L617),'env Parameter'!H:H,""),"")</f>
        <v>생물상 조사</v>
      </c>
      <c r="C617" s="10" cm="1">
        <f t="array" ref="C617">IFERROR(_xlfn.XLOOKUP(1,('env Parameter'!$A:$A=$A617)*('env Parameter'!$B:$B=$K617)*('env Parameter'!$C:$C=$L617),'env Parameter'!E:E,""),"")</f>
        <v>2.14</v>
      </c>
      <c r="D617" s="10" cm="1">
        <f t="array" ref="D617">IFERROR(_xlfn.XLOOKUP(1,('env Parameter'!$A:$A=$A617)*('env Parameter'!$B:$B=$K617)*('env Parameter'!$C:$C=$L617),'env Parameter'!F:F,""),"")</f>
        <v>478</v>
      </c>
      <c r="E617" s="10" cm="1">
        <f t="array" ref="E617">IFERROR(_xlfn.XLOOKUP(1,('env Parameter'!$A:$A=$A617)*('env Parameter'!$B:$B=$K617)*('env Parameter'!$C:$C=$L617),'env Parameter'!G:G,""),"")</f>
        <v>7.6</v>
      </c>
      <c r="F617" t="str">
        <f>eDNA!F617</f>
        <v>MiFish</v>
      </c>
      <c r="G617" t="str">
        <f>eDNA!D617</f>
        <v>Odontobutis interrupta</v>
      </c>
      <c r="H617" t="str">
        <f>_xlfn.XLOOKUP(G617,'Common name (master file)'!$B:$B,'Common name (master file)'!$A:$A,"-------------")</f>
        <v>얼록동사리</v>
      </c>
      <c r="I617">
        <f>eDNA!E617</f>
        <v>8897</v>
      </c>
      <c r="J617" t="str">
        <f>_xlfn.XLOOKUP(G617,'Common name (master file)'!$B:$B,'Common name (master file)'!$C:$C,"")</f>
        <v>어류</v>
      </c>
      <c r="K617">
        <f>eDNA!B617</f>
        <v>126.92050639999999</v>
      </c>
      <c r="L617">
        <f>eDNA!C617</f>
        <v>37.418606500000003</v>
      </c>
      <c r="M617" s="10" t="str" cm="1">
        <f t="array" ref="M617">IFERROR(_xlfn.XLOOKUP(1,('env Parameter'!$A:$A=$A617)*('env Parameter'!$B:$B=$K617)*('env Parameter'!$C:$C=$L617),'env Parameter'!D:D,""),"")</f>
        <v>삼성천-1</v>
      </c>
      <c r="N617" s="10" t="str" cm="1">
        <f t="array" ref="N617">IFERROR(_xlfn.XLOOKUP(1,('env Parameter'!$A:$A=$A617)*('env Parameter'!$B:$B=$K617)*('env Parameter'!$C:$C=$L617),'env Parameter'!I:I,""),"")</f>
        <v>YR</v>
      </c>
    </row>
    <row r="618" spans="1:14">
      <c r="A618">
        <f>eDNA!A618</f>
        <v>20200718</v>
      </c>
      <c r="B618" s="10" t="str" cm="1">
        <f t="array" ref="B618">IFERROR(_xlfn.XLOOKUP(1,('env Parameter'!$A:$A=$A618)*('env Parameter'!$B:$B=$K618)*('env Parameter'!$C:$C=$L618),'env Parameter'!H:H,""),"")</f>
        <v>생물상 조사</v>
      </c>
      <c r="C618" s="10" cm="1">
        <f t="array" ref="C618">IFERROR(_xlfn.XLOOKUP(1,('env Parameter'!$A:$A=$A618)*('env Parameter'!$B:$B=$K618)*('env Parameter'!$C:$C=$L618),'env Parameter'!E:E,""),"")</f>
        <v>2.14</v>
      </c>
      <c r="D618" s="10" cm="1">
        <f t="array" ref="D618">IFERROR(_xlfn.XLOOKUP(1,('env Parameter'!$A:$A=$A618)*('env Parameter'!$B:$B=$K618)*('env Parameter'!$C:$C=$L618),'env Parameter'!F:F,""),"")</f>
        <v>478</v>
      </c>
      <c r="E618" s="10" cm="1">
        <f t="array" ref="E618">IFERROR(_xlfn.XLOOKUP(1,('env Parameter'!$A:$A=$A618)*('env Parameter'!$B:$B=$K618)*('env Parameter'!$C:$C=$L618),'env Parameter'!G:G,""),"")</f>
        <v>7.6</v>
      </c>
      <c r="F618" t="str">
        <f>eDNA!F618</f>
        <v>MiFish</v>
      </c>
      <c r="G618" t="str">
        <f>eDNA!D618</f>
        <v>Squalidus gracilis majimae</v>
      </c>
      <c r="H618" t="str">
        <f>_xlfn.XLOOKUP(G618,'Common name (master file)'!$B:$B,'Common name (master file)'!$A:$A,"-------------")</f>
        <v>긴몰개</v>
      </c>
      <c r="I618">
        <f>eDNA!E618</f>
        <v>39490</v>
      </c>
      <c r="J618" t="str">
        <f>_xlfn.XLOOKUP(G618,'Common name (master file)'!$B:$B,'Common name (master file)'!$C:$C,"")</f>
        <v>어류</v>
      </c>
      <c r="K618">
        <f>eDNA!B618</f>
        <v>126.92050639999999</v>
      </c>
      <c r="L618">
        <f>eDNA!C618</f>
        <v>37.418606500000003</v>
      </c>
      <c r="M618" s="10" t="str" cm="1">
        <f t="array" ref="M618">IFERROR(_xlfn.XLOOKUP(1,('env Parameter'!$A:$A=$A618)*('env Parameter'!$B:$B=$K618)*('env Parameter'!$C:$C=$L618),'env Parameter'!D:D,""),"")</f>
        <v>삼성천-1</v>
      </c>
      <c r="N618" s="10" t="str" cm="1">
        <f t="array" ref="N618">IFERROR(_xlfn.XLOOKUP(1,('env Parameter'!$A:$A=$A618)*('env Parameter'!$B:$B=$K618)*('env Parameter'!$C:$C=$L618),'env Parameter'!I:I,""),"")</f>
        <v>YR</v>
      </c>
    </row>
    <row r="619" spans="1:14">
      <c r="A619">
        <f>eDNA!A619</f>
        <v>20200718</v>
      </c>
      <c r="B619" s="10" t="str" cm="1">
        <f t="array" ref="B619">IFERROR(_xlfn.XLOOKUP(1,('env Parameter'!$A:$A=$A619)*('env Parameter'!$B:$B=$K619)*('env Parameter'!$C:$C=$L619),'env Parameter'!H:H,""),"")</f>
        <v>생물상 조사</v>
      </c>
      <c r="C619" s="10" cm="1">
        <f t="array" ref="C619">IFERROR(_xlfn.XLOOKUP(1,('env Parameter'!$A:$A=$A619)*('env Parameter'!$B:$B=$K619)*('env Parameter'!$C:$C=$L619),'env Parameter'!E:E,""),"")</f>
        <v>2.14</v>
      </c>
      <c r="D619" s="10" cm="1">
        <f t="array" ref="D619">IFERROR(_xlfn.XLOOKUP(1,('env Parameter'!$A:$A=$A619)*('env Parameter'!$B:$B=$K619)*('env Parameter'!$C:$C=$L619),'env Parameter'!F:F,""),"")</f>
        <v>478</v>
      </c>
      <c r="E619" s="10" cm="1">
        <f t="array" ref="E619">IFERROR(_xlfn.XLOOKUP(1,('env Parameter'!$A:$A=$A619)*('env Parameter'!$B:$B=$K619)*('env Parameter'!$C:$C=$L619),'env Parameter'!G:G,""),"")</f>
        <v>7.6</v>
      </c>
      <c r="F619" t="str">
        <f>eDNA!F619</f>
        <v>MiFish</v>
      </c>
      <c r="G619" t="str">
        <f>eDNA!D619</f>
        <v>Oplegnathus fasciatus</v>
      </c>
      <c r="H619" t="str">
        <f>_xlfn.XLOOKUP(G619,'Common name (master file)'!$B:$B,'Common name (master file)'!$A:$A,"-------------")</f>
        <v>돌돔</v>
      </c>
      <c r="I619">
        <f>eDNA!E619</f>
        <v>134</v>
      </c>
      <c r="J619" t="str">
        <f>_xlfn.XLOOKUP(G619,'Common name (master file)'!$B:$B,'Common name (master file)'!$C:$C,"")</f>
        <v>어류</v>
      </c>
      <c r="K619">
        <f>eDNA!B619</f>
        <v>126.83793110000001</v>
      </c>
      <c r="L619">
        <f>eDNA!C619</f>
        <v>37.441797600000001</v>
      </c>
      <c r="M619" s="10" t="str" cm="1">
        <f t="array" ref="M619">IFERROR(_xlfn.XLOOKUP(1,('env Parameter'!$A:$A=$A619)*('env Parameter'!$B:$B=$K619)*('env Parameter'!$C:$C=$L619),'env Parameter'!D:D,""),"")</f>
        <v>목감천-2</v>
      </c>
      <c r="N619" s="10" t="str" cm="1">
        <f t="array" ref="N619">IFERROR(_xlfn.XLOOKUP(1,('env Parameter'!$A:$A=$A619)*('env Parameter'!$B:$B=$K619)*('env Parameter'!$C:$C=$L619),'env Parameter'!I:I,""),"")</f>
        <v>YR</v>
      </c>
    </row>
    <row r="620" spans="1:14">
      <c r="A620">
        <f>eDNA!A620</f>
        <v>20200718</v>
      </c>
      <c r="B620" s="10" t="str" cm="1">
        <f t="array" ref="B620">IFERROR(_xlfn.XLOOKUP(1,('env Parameter'!$A:$A=$A620)*('env Parameter'!$B:$B=$K620)*('env Parameter'!$C:$C=$L620),'env Parameter'!H:H,""),"")</f>
        <v>생물상 조사</v>
      </c>
      <c r="C620" s="10" cm="1">
        <f t="array" ref="C620">IFERROR(_xlfn.XLOOKUP(1,('env Parameter'!$A:$A=$A620)*('env Parameter'!$B:$B=$K620)*('env Parameter'!$C:$C=$L620),'env Parameter'!E:E,""),"")</f>
        <v>2.14</v>
      </c>
      <c r="D620" s="10" cm="1">
        <f t="array" ref="D620">IFERROR(_xlfn.XLOOKUP(1,('env Parameter'!$A:$A=$A620)*('env Parameter'!$B:$B=$K620)*('env Parameter'!$C:$C=$L620),'env Parameter'!F:F,""),"")</f>
        <v>478</v>
      </c>
      <c r="E620" s="10" cm="1">
        <f t="array" ref="E620">IFERROR(_xlfn.XLOOKUP(1,('env Parameter'!$A:$A=$A620)*('env Parameter'!$B:$B=$K620)*('env Parameter'!$C:$C=$L620),'env Parameter'!G:G,""),"")</f>
        <v>7.6</v>
      </c>
      <c r="F620" t="str">
        <f>eDNA!F620</f>
        <v>MiFish</v>
      </c>
      <c r="G620" t="str">
        <f>eDNA!D620</f>
        <v>Paramisgurnus dabryanus</v>
      </c>
      <c r="H620" t="str">
        <f>_xlfn.XLOOKUP(G620,'Common name (master file)'!$B:$B,'Common name (master file)'!$A:$A,"-------------")</f>
        <v>중국미꾸라지</v>
      </c>
      <c r="I620">
        <f>eDNA!E620</f>
        <v>189</v>
      </c>
      <c r="J620" t="str">
        <f>_xlfn.XLOOKUP(G620,'Common name (master file)'!$B:$B,'Common name (master file)'!$C:$C,"")</f>
        <v>어류</v>
      </c>
      <c r="K620">
        <f>eDNA!B620</f>
        <v>126.9070155</v>
      </c>
      <c r="L620">
        <f>eDNA!C620</f>
        <v>37.385953200000003</v>
      </c>
      <c r="M620" s="10" t="str" cm="1">
        <f t="array" ref="M620">IFERROR(_xlfn.XLOOKUP(1,('env Parameter'!$A:$A=$A620)*('env Parameter'!$B:$B=$K620)*('env Parameter'!$C:$C=$L620),'env Parameter'!D:D,""),"")</f>
        <v>수암천</v>
      </c>
      <c r="N620" s="10" t="str" cm="1">
        <f t="array" ref="N620">IFERROR(_xlfn.XLOOKUP(1,('env Parameter'!$A:$A=$A620)*('env Parameter'!$B:$B=$K620)*('env Parameter'!$C:$C=$L620),'env Parameter'!I:I,""),"")</f>
        <v>YR</v>
      </c>
    </row>
    <row r="621" spans="1:14">
      <c r="A621">
        <f>eDNA!A621</f>
        <v>20200718</v>
      </c>
      <c r="B621" s="10" t="str" cm="1">
        <f t="array" ref="B621">IFERROR(_xlfn.XLOOKUP(1,('env Parameter'!$A:$A=$A621)*('env Parameter'!$B:$B=$K621)*('env Parameter'!$C:$C=$L621),'env Parameter'!H:H,""),"")</f>
        <v>생물상 조사</v>
      </c>
      <c r="C621" s="10" cm="1">
        <f t="array" ref="C621">IFERROR(_xlfn.XLOOKUP(1,('env Parameter'!$A:$A=$A621)*('env Parameter'!$B:$B=$K621)*('env Parameter'!$C:$C=$L621),'env Parameter'!E:E,""),"")</f>
        <v>2.14</v>
      </c>
      <c r="D621" s="10" cm="1">
        <f t="array" ref="D621">IFERROR(_xlfn.XLOOKUP(1,('env Parameter'!$A:$A=$A621)*('env Parameter'!$B:$B=$K621)*('env Parameter'!$C:$C=$L621),'env Parameter'!F:F,""),"")</f>
        <v>478</v>
      </c>
      <c r="E621" s="10" cm="1">
        <f t="array" ref="E621">IFERROR(_xlfn.XLOOKUP(1,('env Parameter'!$A:$A=$A621)*('env Parameter'!$B:$B=$K621)*('env Parameter'!$C:$C=$L621),'env Parameter'!G:G,""),"")</f>
        <v>7.6</v>
      </c>
      <c r="F621" t="str">
        <f>eDNA!F621</f>
        <v>MiFish</v>
      </c>
      <c r="G621" t="str">
        <f>eDNA!D621</f>
        <v>Tachysurus nudiceps</v>
      </c>
      <c r="H621" t="str">
        <f>_xlfn.XLOOKUP(G621,'Common name (master file)'!$B:$B,'Common name (master file)'!$A:$A,"-------------")</f>
        <v>눈동자동자개</v>
      </c>
      <c r="I621">
        <f>eDNA!E621</f>
        <v>17</v>
      </c>
      <c r="J621" t="str">
        <f>_xlfn.XLOOKUP(G621,'Common name (master file)'!$B:$B,'Common name (master file)'!$C:$C,"")</f>
        <v>어류</v>
      </c>
      <c r="K621">
        <f>eDNA!B621</f>
        <v>126.99657019999999</v>
      </c>
      <c r="L621">
        <f>eDNA!C621</f>
        <v>37.389118600000003</v>
      </c>
      <c r="M621" s="10" t="str" cm="1">
        <f t="array" ref="M621">IFERROR(_xlfn.XLOOKUP(1,('env Parameter'!$A:$A=$A621)*('env Parameter'!$B:$B=$K621)*('env Parameter'!$C:$C=$L621),'env Parameter'!D:D,""),"")</f>
        <v>안양천-19</v>
      </c>
      <c r="N621" s="10" t="str" cm="1">
        <f t="array" ref="N621">IFERROR(_xlfn.XLOOKUP(1,('env Parameter'!$A:$A=$A621)*('env Parameter'!$B:$B=$K621)*('env Parameter'!$C:$C=$L621),'env Parameter'!I:I,""),"")</f>
        <v>YR</v>
      </c>
    </row>
    <row r="622" spans="1:14">
      <c r="A622">
        <f>eDNA!A622</f>
        <v>20200718</v>
      </c>
      <c r="B622" s="10" t="str" cm="1">
        <f t="array" ref="B622">IFERROR(_xlfn.XLOOKUP(1,('env Parameter'!$A:$A=$A622)*('env Parameter'!$B:$B=$K622)*('env Parameter'!$C:$C=$L622),'env Parameter'!H:H,""),"")</f>
        <v>생물상 조사</v>
      </c>
      <c r="C622" s="10" cm="1">
        <f t="array" ref="C622">IFERROR(_xlfn.XLOOKUP(1,('env Parameter'!$A:$A=$A622)*('env Parameter'!$B:$B=$K622)*('env Parameter'!$C:$C=$L622),'env Parameter'!E:E,""),"")</f>
        <v>2.14</v>
      </c>
      <c r="D622" s="10" cm="1">
        <f t="array" ref="D622">IFERROR(_xlfn.XLOOKUP(1,('env Parameter'!$A:$A=$A622)*('env Parameter'!$B:$B=$K622)*('env Parameter'!$C:$C=$L622),'env Parameter'!F:F,""),"")</f>
        <v>478</v>
      </c>
      <c r="E622" s="10" cm="1">
        <f t="array" ref="E622">IFERROR(_xlfn.XLOOKUP(1,('env Parameter'!$A:$A=$A622)*('env Parameter'!$B:$B=$K622)*('env Parameter'!$C:$C=$L622),'env Parameter'!G:G,""),"")</f>
        <v>7.6</v>
      </c>
      <c r="F622" t="str">
        <f>eDNA!F622</f>
        <v>MiFish</v>
      </c>
      <c r="G622" t="str">
        <f>eDNA!D622</f>
        <v>Engraulis japonicus</v>
      </c>
      <c r="H622" t="str">
        <f>_xlfn.XLOOKUP(G622,'Common name (master file)'!$B:$B,'Common name (master file)'!$A:$A,"-------------")</f>
        <v>멸치</v>
      </c>
      <c r="I622">
        <f>eDNA!E622</f>
        <v>314</v>
      </c>
      <c r="J622" t="str">
        <f>_xlfn.XLOOKUP(G622,'Common name (master file)'!$B:$B,'Common name (master file)'!$C:$C,"")</f>
        <v>어류</v>
      </c>
      <c r="K622">
        <f>eDNA!B622</f>
        <v>126.9070155</v>
      </c>
      <c r="L622">
        <f>eDNA!C622</f>
        <v>37.385953200000003</v>
      </c>
      <c r="M622" s="10" t="str" cm="1">
        <f t="array" ref="M622">IFERROR(_xlfn.XLOOKUP(1,('env Parameter'!$A:$A=$A622)*('env Parameter'!$B:$B=$K622)*('env Parameter'!$C:$C=$L622),'env Parameter'!D:D,""),"")</f>
        <v>수암천</v>
      </c>
      <c r="N622" s="10" t="str" cm="1">
        <f t="array" ref="N622">IFERROR(_xlfn.XLOOKUP(1,('env Parameter'!$A:$A=$A622)*('env Parameter'!$B:$B=$K622)*('env Parameter'!$C:$C=$L622),'env Parameter'!I:I,""),"")</f>
        <v>YR</v>
      </c>
    </row>
    <row r="623" spans="1:14">
      <c r="A623">
        <f>eDNA!A623</f>
        <v>20200718</v>
      </c>
      <c r="B623" s="10" t="str" cm="1">
        <f t="array" ref="B623">IFERROR(_xlfn.XLOOKUP(1,('env Parameter'!$A:$A=$A623)*('env Parameter'!$B:$B=$K623)*('env Parameter'!$C:$C=$L623),'env Parameter'!H:H,""),"")</f>
        <v>생물상 조사</v>
      </c>
      <c r="C623" s="10" cm="1">
        <f t="array" ref="C623">IFERROR(_xlfn.XLOOKUP(1,('env Parameter'!$A:$A=$A623)*('env Parameter'!$B:$B=$K623)*('env Parameter'!$C:$C=$L623),'env Parameter'!E:E,""),"")</f>
        <v>2.14</v>
      </c>
      <c r="D623" s="10" cm="1">
        <f t="array" ref="D623">IFERROR(_xlfn.XLOOKUP(1,('env Parameter'!$A:$A=$A623)*('env Parameter'!$B:$B=$K623)*('env Parameter'!$C:$C=$L623),'env Parameter'!F:F,""),"")</f>
        <v>478</v>
      </c>
      <c r="E623" s="10" cm="1">
        <f t="array" ref="E623">IFERROR(_xlfn.XLOOKUP(1,('env Parameter'!$A:$A=$A623)*('env Parameter'!$B:$B=$K623)*('env Parameter'!$C:$C=$L623),'env Parameter'!G:G,""),"")</f>
        <v>7.6</v>
      </c>
      <c r="F623" t="str">
        <f>eDNA!F623</f>
        <v>MiFish</v>
      </c>
      <c r="G623" t="str">
        <f>eDNA!D623</f>
        <v>Homo sapiens</v>
      </c>
      <c r="H623" t="str">
        <f>_xlfn.XLOOKUP(G623,'Common name (master file)'!$B:$B,'Common name (master file)'!$A:$A,"-------------")</f>
        <v>사람</v>
      </c>
      <c r="I623">
        <f>eDNA!E623</f>
        <v>581</v>
      </c>
      <c r="J623" t="str">
        <f>_xlfn.XLOOKUP(G623,'Common name (master file)'!$B:$B,'Common name (master file)'!$C:$C,"")</f>
        <v>포유류</v>
      </c>
      <c r="K623">
        <f>eDNA!B623</f>
        <v>126.9070155</v>
      </c>
      <c r="L623">
        <f>eDNA!C623</f>
        <v>37.385953200000003</v>
      </c>
      <c r="M623" s="10" t="str" cm="1">
        <f t="array" ref="M623">IFERROR(_xlfn.XLOOKUP(1,('env Parameter'!$A:$A=$A623)*('env Parameter'!$B:$B=$K623)*('env Parameter'!$C:$C=$L623),'env Parameter'!D:D,""),"")</f>
        <v>수암천</v>
      </c>
      <c r="N623" s="10" t="str" cm="1">
        <f t="array" ref="N623">IFERROR(_xlfn.XLOOKUP(1,('env Parameter'!$A:$A=$A623)*('env Parameter'!$B:$B=$K623)*('env Parameter'!$C:$C=$L623),'env Parameter'!I:I,""),"")</f>
        <v>YR</v>
      </c>
    </row>
    <row r="624" spans="1:14">
      <c r="A624">
        <f>eDNA!A624</f>
        <v>20200718</v>
      </c>
      <c r="B624" s="10" t="str" cm="1">
        <f t="array" ref="B624">IFERROR(_xlfn.XLOOKUP(1,('env Parameter'!$A:$A=$A624)*('env Parameter'!$B:$B=$K624)*('env Parameter'!$C:$C=$L624),'env Parameter'!H:H,""),"")</f>
        <v>생물상 조사</v>
      </c>
      <c r="C624" s="10" cm="1">
        <f t="array" ref="C624">IFERROR(_xlfn.XLOOKUP(1,('env Parameter'!$A:$A=$A624)*('env Parameter'!$B:$B=$K624)*('env Parameter'!$C:$C=$L624),'env Parameter'!E:E,""),"")</f>
        <v>2.14</v>
      </c>
      <c r="D624" s="10" cm="1">
        <f t="array" ref="D624">IFERROR(_xlfn.XLOOKUP(1,('env Parameter'!$A:$A=$A624)*('env Parameter'!$B:$B=$K624)*('env Parameter'!$C:$C=$L624),'env Parameter'!F:F,""),"")</f>
        <v>478</v>
      </c>
      <c r="E624" s="10" cm="1">
        <f t="array" ref="E624">IFERROR(_xlfn.XLOOKUP(1,('env Parameter'!$A:$A=$A624)*('env Parameter'!$B:$B=$K624)*('env Parameter'!$C:$C=$L624),'env Parameter'!G:G,""),"")</f>
        <v>7.6</v>
      </c>
      <c r="F624" t="str">
        <f>eDNA!F624</f>
        <v>MiFish</v>
      </c>
      <c r="G624" t="str">
        <f>eDNA!D624</f>
        <v>Misgurnus mizolepis</v>
      </c>
      <c r="H624" t="str">
        <f>_xlfn.XLOOKUP(G624,'Common name (master file)'!$B:$B,'Common name (master file)'!$A:$A,"-------------")</f>
        <v>미꾸라지</v>
      </c>
      <c r="I624">
        <f>eDNA!E624</f>
        <v>8412</v>
      </c>
      <c r="J624" t="str">
        <f>_xlfn.XLOOKUP(G624,'Common name (master file)'!$B:$B,'Common name (master file)'!$C:$C,"")</f>
        <v>어류</v>
      </c>
      <c r="K624">
        <f>eDNA!B624</f>
        <v>126.9070155</v>
      </c>
      <c r="L624">
        <f>eDNA!C624</f>
        <v>37.385953200000003</v>
      </c>
      <c r="M624" s="10" t="str" cm="1">
        <f t="array" ref="M624">IFERROR(_xlfn.XLOOKUP(1,('env Parameter'!$A:$A=$A624)*('env Parameter'!$B:$B=$K624)*('env Parameter'!$C:$C=$L624),'env Parameter'!D:D,""),"")</f>
        <v>수암천</v>
      </c>
      <c r="N624" s="10" t="str" cm="1">
        <f t="array" ref="N624">IFERROR(_xlfn.XLOOKUP(1,('env Parameter'!$A:$A=$A624)*('env Parameter'!$B:$B=$K624)*('env Parameter'!$C:$C=$L624),'env Parameter'!I:I,""),"")</f>
        <v>YR</v>
      </c>
    </row>
    <row r="625" spans="1:14">
      <c r="A625">
        <f>eDNA!A625</f>
        <v>20200718</v>
      </c>
      <c r="B625" s="10" t="str" cm="1">
        <f t="array" ref="B625">IFERROR(_xlfn.XLOOKUP(1,('env Parameter'!$A:$A=$A625)*('env Parameter'!$B:$B=$K625)*('env Parameter'!$C:$C=$L625),'env Parameter'!H:H,""),"")</f>
        <v>생물상 조사</v>
      </c>
      <c r="C625" s="10" cm="1">
        <f t="array" ref="C625">IFERROR(_xlfn.XLOOKUP(1,('env Parameter'!$A:$A=$A625)*('env Parameter'!$B:$B=$K625)*('env Parameter'!$C:$C=$L625),'env Parameter'!E:E,""),"")</f>
        <v>2.14</v>
      </c>
      <c r="D625" s="10" cm="1">
        <f t="array" ref="D625">IFERROR(_xlfn.XLOOKUP(1,('env Parameter'!$A:$A=$A625)*('env Parameter'!$B:$B=$K625)*('env Parameter'!$C:$C=$L625),'env Parameter'!F:F,""),"")</f>
        <v>478</v>
      </c>
      <c r="E625" s="10" cm="1">
        <f t="array" ref="E625">IFERROR(_xlfn.XLOOKUP(1,('env Parameter'!$A:$A=$A625)*('env Parameter'!$B:$B=$K625)*('env Parameter'!$C:$C=$L625),'env Parameter'!G:G,""),"")</f>
        <v>7.6</v>
      </c>
      <c r="F625" t="str">
        <f>eDNA!F625</f>
        <v>MiFish</v>
      </c>
      <c r="G625" t="str">
        <f>eDNA!D625</f>
        <v>Rhynchocypris oxycephalus</v>
      </c>
      <c r="H625" t="str">
        <f>_xlfn.XLOOKUP(G625,'Common name (master file)'!$B:$B,'Common name (master file)'!$A:$A,"-------------")</f>
        <v>버들치</v>
      </c>
      <c r="I625">
        <f>eDNA!E625</f>
        <v>49584</v>
      </c>
      <c r="J625" t="str">
        <f>_xlfn.XLOOKUP(G625,'Common name (master file)'!$B:$B,'Common name (master file)'!$C:$C,"")</f>
        <v>어류</v>
      </c>
      <c r="K625">
        <f>eDNA!B625</f>
        <v>126.9070155</v>
      </c>
      <c r="L625">
        <f>eDNA!C625</f>
        <v>37.385953200000003</v>
      </c>
      <c r="M625" s="10" t="str" cm="1">
        <f t="array" ref="M625">IFERROR(_xlfn.XLOOKUP(1,('env Parameter'!$A:$A=$A625)*('env Parameter'!$B:$B=$K625)*('env Parameter'!$C:$C=$L625),'env Parameter'!D:D,""),"")</f>
        <v>수암천</v>
      </c>
      <c r="N625" s="10" t="str" cm="1">
        <f t="array" ref="N625">IFERROR(_xlfn.XLOOKUP(1,('env Parameter'!$A:$A=$A625)*('env Parameter'!$B:$B=$K625)*('env Parameter'!$C:$C=$L625),'env Parameter'!I:I,""),"")</f>
        <v>YR</v>
      </c>
    </row>
    <row r="626" spans="1:14">
      <c r="A626">
        <f>eDNA!A626</f>
        <v>20200718</v>
      </c>
      <c r="B626" s="10" t="str" cm="1">
        <f t="array" ref="B626">IFERROR(_xlfn.XLOOKUP(1,('env Parameter'!$A:$A=$A626)*('env Parameter'!$B:$B=$K626)*('env Parameter'!$C:$C=$L626),'env Parameter'!H:H,""),"")</f>
        <v>생물상 조사</v>
      </c>
      <c r="C626" s="10" cm="1">
        <f t="array" ref="C626">IFERROR(_xlfn.XLOOKUP(1,('env Parameter'!$A:$A=$A626)*('env Parameter'!$B:$B=$K626)*('env Parameter'!$C:$C=$L626),'env Parameter'!E:E,""),"")</f>
        <v>2.14</v>
      </c>
      <c r="D626" s="10" cm="1">
        <f t="array" ref="D626">IFERROR(_xlfn.XLOOKUP(1,('env Parameter'!$A:$A=$A626)*('env Parameter'!$B:$B=$K626)*('env Parameter'!$C:$C=$L626),'env Parameter'!F:F,""),"")</f>
        <v>478</v>
      </c>
      <c r="E626" s="10" cm="1">
        <f t="array" ref="E626">IFERROR(_xlfn.XLOOKUP(1,('env Parameter'!$A:$A=$A626)*('env Parameter'!$B:$B=$K626)*('env Parameter'!$C:$C=$L626),'env Parameter'!G:G,""),"")</f>
        <v>7.6</v>
      </c>
      <c r="F626" t="str">
        <f>eDNA!F626</f>
        <v>MiFish</v>
      </c>
      <c r="G626" t="str">
        <f>eDNA!D626</f>
        <v>Larimichthys polyactis</v>
      </c>
      <c r="H626" t="str">
        <f>_xlfn.XLOOKUP(G626,'Common name (master file)'!$B:$B,'Common name (master file)'!$A:$A,"-------------")</f>
        <v>참조기</v>
      </c>
      <c r="I626">
        <f>eDNA!E626</f>
        <v>35</v>
      </c>
      <c r="J626" t="str">
        <f>_xlfn.XLOOKUP(G626,'Common name (master file)'!$B:$B,'Common name (master file)'!$C:$C,"")</f>
        <v>어류</v>
      </c>
      <c r="K626">
        <f>eDNA!B626</f>
        <v>126.8772417</v>
      </c>
      <c r="L626">
        <f>eDNA!C626</f>
        <v>37.474826299999997</v>
      </c>
      <c r="M626" s="10" t="str" cm="1">
        <f t="array" ref="M626">IFERROR(_xlfn.XLOOKUP(1,('env Parameter'!$A:$A=$A626)*('env Parameter'!$B:$B=$K626)*('env Parameter'!$C:$C=$L626),'env Parameter'!D:D,""),"")</f>
        <v>안양천-10</v>
      </c>
      <c r="N626" s="10" t="str" cm="1">
        <f t="array" ref="N626">IFERROR(_xlfn.XLOOKUP(1,('env Parameter'!$A:$A=$A626)*('env Parameter'!$B:$B=$K626)*('env Parameter'!$C:$C=$L626),'env Parameter'!I:I,""),"")</f>
        <v>YR</v>
      </c>
    </row>
    <row r="627" spans="1:14">
      <c r="A627">
        <f>eDNA!A627</f>
        <v>20200718</v>
      </c>
      <c r="B627" s="10" t="str" cm="1">
        <f t="array" ref="B627">IFERROR(_xlfn.XLOOKUP(1,('env Parameter'!$A:$A=$A627)*('env Parameter'!$B:$B=$K627)*('env Parameter'!$C:$C=$L627),'env Parameter'!H:H,""),"")</f>
        <v>생물상 조사</v>
      </c>
      <c r="C627" s="10" cm="1">
        <f t="array" ref="C627">IFERROR(_xlfn.XLOOKUP(1,('env Parameter'!$A:$A=$A627)*('env Parameter'!$B:$B=$K627)*('env Parameter'!$C:$C=$L627),'env Parameter'!E:E,""),"")</f>
        <v>2.14</v>
      </c>
      <c r="D627" s="10" cm="1">
        <f t="array" ref="D627">IFERROR(_xlfn.XLOOKUP(1,('env Parameter'!$A:$A=$A627)*('env Parameter'!$B:$B=$K627)*('env Parameter'!$C:$C=$L627),'env Parameter'!F:F,""),"")</f>
        <v>478</v>
      </c>
      <c r="E627" s="10" cm="1">
        <f t="array" ref="E627">IFERROR(_xlfn.XLOOKUP(1,('env Parameter'!$A:$A=$A627)*('env Parameter'!$B:$B=$K627)*('env Parameter'!$C:$C=$L627),'env Parameter'!G:G,""),"")</f>
        <v>7.6</v>
      </c>
      <c r="F627" t="str">
        <f>eDNA!F627</f>
        <v>MiFish</v>
      </c>
      <c r="G627" t="str">
        <f>eDNA!D627</f>
        <v>Pseudogobio esocinus</v>
      </c>
      <c r="H627" t="str">
        <f>_xlfn.XLOOKUP(G627,'Common name (master file)'!$B:$B,'Common name (master file)'!$A:$A,"-------------")</f>
        <v>모래무지</v>
      </c>
      <c r="I627">
        <f>eDNA!E627</f>
        <v>116</v>
      </c>
      <c r="J627" t="str">
        <f>_xlfn.XLOOKUP(G627,'Common name (master file)'!$B:$B,'Common name (master file)'!$C:$C,"")</f>
        <v>어류</v>
      </c>
      <c r="K627">
        <f>eDNA!B627</f>
        <v>126.99657019999999</v>
      </c>
      <c r="L627">
        <f>eDNA!C627</f>
        <v>37.389118600000003</v>
      </c>
      <c r="M627" s="10" t="str" cm="1">
        <f t="array" ref="M627">IFERROR(_xlfn.XLOOKUP(1,('env Parameter'!$A:$A=$A627)*('env Parameter'!$B:$B=$K627)*('env Parameter'!$C:$C=$L627),'env Parameter'!D:D,""),"")</f>
        <v>안양천-19</v>
      </c>
      <c r="N627" s="10" t="str" cm="1">
        <f t="array" ref="N627">IFERROR(_xlfn.XLOOKUP(1,('env Parameter'!$A:$A=$A627)*('env Parameter'!$B:$B=$K627)*('env Parameter'!$C:$C=$L627),'env Parameter'!I:I,""),"")</f>
        <v>YR</v>
      </c>
    </row>
    <row r="628" spans="1:14">
      <c r="A628">
        <f>eDNA!A628</f>
        <v>20200718</v>
      </c>
      <c r="B628" s="10" t="str" cm="1">
        <f t="array" ref="B628">IFERROR(_xlfn.XLOOKUP(1,('env Parameter'!$A:$A=$A628)*('env Parameter'!$B:$B=$K628)*('env Parameter'!$C:$C=$L628),'env Parameter'!H:H,""),"")</f>
        <v>생물상 조사</v>
      </c>
      <c r="C628" s="10" cm="1">
        <f t="array" ref="C628">IFERROR(_xlfn.XLOOKUP(1,('env Parameter'!$A:$A=$A628)*('env Parameter'!$B:$B=$K628)*('env Parameter'!$C:$C=$L628),'env Parameter'!E:E,""),"")</f>
        <v>2.14</v>
      </c>
      <c r="D628" s="10" cm="1">
        <f t="array" ref="D628">IFERROR(_xlfn.XLOOKUP(1,('env Parameter'!$A:$A=$A628)*('env Parameter'!$B:$B=$K628)*('env Parameter'!$C:$C=$L628),'env Parameter'!F:F,""),"")</f>
        <v>478</v>
      </c>
      <c r="E628" s="10" cm="1">
        <f t="array" ref="E628">IFERROR(_xlfn.XLOOKUP(1,('env Parameter'!$A:$A=$A628)*('env Parameter'!$B:$B=$K628)*('env Parameter'!$C:$C=$L628),'env Parameter'!G:G,""),"")</f>
        <v>7.6</v>
      </c>
      <c r="F628" t="str">
        <f>eDNA!F628</f>
        <v>MiFish</v>
      </c>
      <c r="G628" t="str">
        <f>eDNA!D628</f>
        <v>Tadorna tadorna</v>
      </c>
      <c r="H628" t="str">
        <f>_xlfn.XLOOKUP(G628,'Common name (master file)'!$B:$B,'Common name (master file)'!$A:$A,"-------------")</f>
        <v>혹부리오리</v>
      </c>
      <c r="I628">
        <f>eDNA!E628</f>
        <v>102</v>
      </c>
      <c r="J628" t="str">
        <f>_xlfn.XLOOKUP(G628,'Common name (master file)'!$B:$B,'Common name (master file)'!$C:$C,"")</f>
        <v>조류</v>
      </c>
      <c r="K628">
        <f>eDNA!B628</f>
        <v>126.99657019999999</v>
      </c>
      <c r="L628">
        <f>eDNA!C628</f>
        <v>37.389118600000003</v>
      </c>
      <c r="M628" s="10" t="str" cm="1">
        <f t="array" ref="M628">IFERROR(_xlfn.XLOOKUP(1,('env Parameter'!$A:$A=$A628)*('env Parameter'!$B:$B=$K628)*('env Parameter'!$C:$C=$L628),'env Parameter'!D:D,""),"")</f>
        <v>안양천-19</v>
      </c>
      <c r="N628" s="10" t="str" cm="1">
        <f t="array" ref="N628">IFERROR(_xlfn.XLOOKUP(1,('env Parameter'!$A:$A=$A628)*('env Parameter'!$B:$B=$K628)*('env Parameter'!$C:$C=$L628),'env Parameter'!I:I,""),"")</f>
        <v>YR</v>
      </c>
    </row>
    <row r="629" spans="1:14">
      <c r="A629">
        <f>eDNA!A629</f>
        <v>20200718</v>
      </c>
      <c r="B629" s="10" t="str" cm="1">
        <f t="array" ref="B629">IFERROR(_xlfn.XLOOKUP(1,('env Parameter'!$A:$A=$A629)*('env Parameter'!$B:$B=$K629)*('env Parameter'!$C:$C=$L629),'env Parameter'!H:H,""),"")</f>
        <v>생물상 조사</v>
      </c>
      <c r="C629" s="10" cm="1">
        <f t="array" ref="C629">IFERROR(_xlfn.XLOOKUP(1,('env Parameter'!$A:$A=$A629)*('env Parameter'!$B:$B=$K629)*('env Parameter'!$C:$C=$L629),'env Parameter'!E:E,""),"")</f>
        <v>2.14</v>
      </c>
      <c r="D629" s="10" cm="1">
        <f t="array" ref="D629">IFERROR(_xlfn.XLOOKUP(1,('env Parameter'!$A:$A=$A629)*('env Parameter'!$B:$B=$K629)*('env Parameter'!$C:$C=$L629),'env Parameter'!F:F,""),"")</f>
        <v>478</v>
      </c>
      <c r="E629" s="10" cm="1">
        <f t="array" ref="E629">IFERROR(_xlfn.XLOOKUP(1,('env Parameter'!$A:$A=$A629)*('env Parameter'!$B:$B=$K629)*('env Parameter'!$C:$C=$L629),'env Parameter'!G:G,""),"")</f>
        <v>7.6</v>
      </c>
      <c r="F629" t="str">
        <f>eDNA!F629</f>
        <v>MiFish</v>
      </c>
      <c r="G629" t="str">
        <f>eDNA!D629</f>
        <v>Carassius gibelio</v>
      </c>
      <c r="H629" t="str">
        <f>_xlfn.XLOOKUP(G629,'Common name (master file)'!$B:$B,'Common name (master file)'!$A:$A,"-------------")</f>
        <v>기벨리오 붕어</v>
      </c>
      <c r="I629">
        <f>eDNA!E629</f>
        <v>152</v>
      </c>
      <c r="J629" t="str">
        <f>_xlfn.XLOOKUP(G629,'Common name (master file)'!$B:$B,'Common name (master file)'!$C:$C,"")</f>
        <v>어류</v>
      </c>
      <c r="K629">
        <f>eDNA!B629</f>
        <v>126.99657019999999</v>
      </c>
      <c r="L629">
        <f>eDNA!C629</f>
        <v>37.389118600000003</v>
      </c>
      <c r="M629" s="10" t="str" cm="1">
        <f t="array" ref="M629">IFERROR(_xlfn.XLOOKUP(1,('env Parameter'!$A:$A=$A629)*('env Parameter'!$B:$B=$K629)*('env Parameter'!$C:$C=$L629),'env Parameter'!D:D,""),"")</f>
        <v>안양천-19</v>
      </c>
      <c r="N629" s="10" t="str" cm="1">
        <f t="array" ref="N629">IFERROR(_xlfn.XLOOKUP(1,('env Parameter'!$A:$A=$A629)*('env Parameter'!$B:$B=$K629)*('env Parameter'!$C:$C=$L629),'env Parameter'!I:I,""),"")</f>
        <v>YR</v>
      </c>
    </row>
    <row r="630" spans="1:14">
      <c r="A630">
        <f>eDNA!A630</f>
        <v>20200718</v>
      </c>
      <c r="B630" s="10" t="str" cm="1">
        <f t="array" ref="B630">IFERROR(_xlfn.XLOOKUP(1,('env Parameter'!$A:$A=$A630)*('env Parameter'!$B:$B=$K630)*('env Parameter'!$C:$C=$L630),'env Parameter'!H:H,""),"")</f>
        <v>생물상 조사</v>
      </c>
      <c r="C630" s="10" cm="1">
        <f t="array" ref="C630">IFERROR(_xlfn.XLOOKUP(1,('env Parameter'!$A:$A=$A630)*('env Parameter'!$B:$B=$K630)*('env Parameter'!$C:$C=$L630),'env Parameter'!E:E,""),"")</f>
        <v>2.14</v>
      </c>
      <c r="D630" s="10" cm="1">
        <f t="array" ref="D630">IFERROR(_xlfn.XLOOKUP(1,('env Parameter'!$A:$A=$A630)*('env Parameter'!$B:$B=$K630)*('env Parameter'!$C:$C=$L630),'env Parameter'!F:F,""),"")</f>
        <v>478</v>
      </c>
      <c r="E630" s="10" cm="1">
        <f t="array" ref="E630">IFERROR(_xlfn.XLOOKUP(1,('env Parameter'!$A:$A=$A630)*('env Parameter'!$B:$B=$K630)*('env Parameter'!$C:$C=$L630),'env Parameter'!G:G,""),"")</f>
        <v>7.6</v>
      </c>
      <c r="F630" t="str">
        <f>eDNA!F630</f>
        <v>MiFish</v>
      </c>
      <c r="G630" t="str">
        <f>eDNA!D630</f>
        <v>Misgurnus bipartitus</v>
      </c>
      <c r="H630" t="str">
        <f>_xlfn.XLOOKUP(G630,'Common name (master file)'!$B:$B,'Common name (master file)'!$A:$A,"-------------")</f>
        <v>쌍무늬미꾸리</v>
      </c>
      <c r="I630">
        <f>eDNA!E630</f>
        <v>379</v>
      </c>
      <c r="J630" t="str">
        <f>_xlfn.XLOOKUP(G630,'Common name (master file)'!$B:$B,'Common name (master file)'!$C:$C,"")</f>
        <v>어류</v>
      </c>
      <c r="K630">
        <f>eDNA!B630</f>
        <v>126.99657019999999</v>
      </c>
      <c r="L630">
        <f>eDNA!C630</f>
        <v>37.389118600000003</v>
      </c>
      <c r="M630" s="10" t="str" cm="1">
        <f t="array" ref="M630">IFERROR(_xlfn.XLOOKUP(1,('env Parameter'!$A:$A=$A630)*('env Parameter'!$B:$B=$K630)*('env Parameter'!$C:$C=$L630),'env Parameter'!D:D,""),"")</f>
        <v>안양천-19</v>
      </c>
      <c r="N630" s="10" t="str" cm="1">
        <f t="array" ref="N630">IFERROR(_xlfn.XLOOKUP(1,('env Parameter'!$A:$A=$A630)*('env Parameter'!$B:$B=$K630)*('env Parameter'!$C:$C=$L630),'env Parameter'!I:I,""),"")</f>
        <v>YR</v>
      </c>
    </row>
    <row r="631" spans="1:14">
      <c r="A631">
        <f>eDNA!A631</f>
        <v>20200718</v>
      </c>
      <c r="B631" s="10" t="str" cm="1">
        <f t="array" ref="B631">IFERROR(_xlfn.XLOOKUP(1,('env Parameter'!$A:$A=$A631)*('env Parameter'!$B:$B=$K631)*('env Parameter'!$C:$C=$L631),'env Parameter'!H:H,""),"")</f>
        <v>생물상 조사</v>
      </c>
      <c r="C631" s="10" cm="1">
        <f t="array" ref="C631">IFERROR(_xlfn.XLOOKUP(1,('env Parameter'!$A:$A=$A631)*('env Parameter'!$B:$B=$K631)*('env Parameter'!$C:$C=$L631),'env Parameter'!E:E,""),"")</f>
        <v>2.14</v>
      </c>
      <c r="D631" s="10" cm="1">
        <f t="array" ref="D631">IFERROR(_xlfn.XLOOKUP(1,('env Parameter'!$A:$A=$A631)*('env Parameter'!$B:$B=$K631)*('env Parameter'!$C:$C=$L631),'env Parameter'!F:F,""),"")</f>
        <v>478</v>
      </c>
      <c r="E631" s="10" cm="1">
        <f t="array" ref="E631">IFERROR(_xlfn.XLOOKUP(1,('env Parameter'!$A:$A=$A631)*('env Parameter'!$B:$B=$K631)*('env Parameter'!$C:$C=$L631),'env Parameter'!G:G,""),"")</f>
        <v>7.6</v>
      </c>
      <c r="F631" t="str">
        <f>eDNA!F631</f>
        <v>MiFish</v>
      </c>
      <c r="G631" t="str">
        <f>eDNA!D631</f>
        <v>takifugu xanthopterus</v>
      </c>
      <c r="H631" t="str">
        <f>_xlfn.XLOOKUP(G631,'Common name (master file)'!$B:$B,'Common name (master file)'!$A:$A,"-------------")</f>
        <v>까치복</v>
      </c>
      <c r="I631">
        <f>eDNA!E631</f>
        <v>140</v>
      </c>
      <c r="J631" t="str">
        <f>_xlfn.XLOOKUP(G631,'Common name (master file)'!$B:$B,'Common name (master file)'!$C:$C,"")</f>
        <v>어류</v>
      </c>
      <c r="K631">
        <f>eDNA!B631</f>
        <v>126.87060049999999</v>
      </c>
      <c r="L631">
        <f>eDNA!C631</f>
        <v>37.492184199999997</v>
      </c>
      <c r="M631" s="10" t="str" cm="1">
        <f t="array" ref="M631">IFERROR(_xlfn.XLOOKUP(1,('env Parameter'!$A:$A=$A631)*('env Parameter'!$B:$B=$K631)*('env Parameter'!$C:$C=$L631),'env Parameter'!D:D,""),"")</f>
        <v>안양천-12</v>
      </c>
      <c r="N631" s="10" t="str" cm="1">
        <f t="array" ref="N631">IFERROR(_xlfn.XLOOKUP(1,('env Parameter'!$A:$A=$A631)*('env Parameter'!$B:$B=$K631)*('env Parameter'!$C:$C=$L631),'env Parameter'!I:I,""),"")</f>
        <v>YR</v>
      </c>
    </row>
    <row r="632" spans="1:14">
      <c r="A632">
        <f>eDNA!A632</f>
        <v>20200718</v>
      </c>
      <c r="B632" s="10" t="str" cm="1">
        <f t="array" ref="B632">IFERROR(_xlfn.XLOOKUP(1,('env Parameter'!$A:$A=$A632)*('env Parameter'!$B:$B=$K632)*('env Parameter'!$C:$C=$L632),'env Parameter'!H:H,""),"")</f>
        <v>생물상 조사</v>
      </c>
      <c r="C632" s="10" cm="1">
        <f t="array" ref="C632">IFERROR(_xlfn.XLOOKUP(1,('env Parameter'!$A:$A=$A632)*('env Parameter'!$B:$B=$K632)*('env Parameter'!$C:$C=$L632),'env Parameter'!E:E,""),"")</f>
        <v>2.14</v>
      </c>
      <c r="D632" s="10" cm="1">
        <f t="array" ref="D632">IFERROR(_xlfn.XLOOKUP(1,('env Parameter'!$A:$A=$A632)*('env Parameter'!$B:$B=$K632)*('env Parameter'!$C:$C=$L632),'env Parameter'!F:F,""),"")</f>
        <v>478</v>
      </c>
      <c r="E632" s="10" cm="1">
        <f t="array" ref="E632">IFERROR(_xlfn.XLOOKUP(1,('env Parameter'!$A:$A=$A632)*('env Parameter'!$B:$B=$K632)*('env Parameter'!$C:$C=$L632),'env Parameter'!G:G,""),"")</f>
        <v>7.6</v>
      </c>
      <c r="F632" t="str">
        <f>eDNA!F632</f>
        <v>MiFish</v>
      </c>
      <c r="G632" t="str">
        <f>eDNA!D632</f>
        <v>Tachysurus fulvidraco</v>
      </c>
      <c r="H632" t="str">
        <f>_xlfn.XLOOKUP(G632,'Common name (master file)'!$B:$B,'Common name (master file)'!$A:$A,"-------------")</f>
        <v>동자개</v>
      </c>
      <c r="I632">
        <f>eDNA!E632</f>
        <v>850</v>
      </c>
      <c r="J632" t="str">
        <f>_xlfn.XLOOKUP(G632,'Common name (master file)'!$B:$B,'Common name (master file)'!$C:$C,"")</f>
        <v>어류</v>
      </c>
      <c r="K632">
        <f>eDNA!B632</f>
        <v>126.99657019999999</v>
      </c>
      <c r="L632">
        <f>eDNA!C632</f>
        <v>37.389118600000003</v>
      </c>
      <c r="M632" s="10" t="str" cm="1">
        <f t="array" ref="M632">IFERROR(_xlfn.XLOOKUP(1,('env Parameter'!$A:$A=$A632)*('env Parameter'!$B:$B=$K632)*('env Parameter'!$C:$C=$L632),'env Parameter'!D:D,""),"")</f>
        <v>안양천-19</v>
      </c>
      <c r="N632" s="10" t="str" cm="1">
        <f t="array" ref="N632">IFERROR(_xlfn.XLOOKUP(1,('env Parameter'!$A:$A=$A632)*('env Parameter'!$B:$B=$K632)*('env Parameter'!$C:$C=$L632),'env Parameter'!I:I,""),"")</f>
        <v>YR</v>
      </c>
    </row>
    <row r="633" spans="1:14">
      <c r="A633">
        <f>eDNA!A633</f>
        <v>20200718</v>
      </c>
      <c r="B633" s="10" t="str" cm="1">
        <f t="array" ref="B633">IFERROR(_xlfn.XLOOKUP(1,('env Parameter'!$A:$A=$A633)*('env Parameter'!$B:$B=$K633)*('env Parameter'!$C:$C=$L633),'env Parameter'!H:H,""),"")</f>
        <v>생물상 조사</v>
      </c>
      <c r="C633" s="10" cm="1">
        <f t="array" ref="C633">IFERROR(_xlfn.XLOOKUP(1,('env Parameter'!$A:$A=$A633)*('env Parameter'!$B:$B=$K633)*('env Parameter'!$C:$C=$L633),'env Parameter'!E:E,""),"")</f>
        <v>2.14</v>
      </c>
      <c r="D633" s="10" cm="1">
        <f t="array" ref="D633">IFERROR(_xlfn.XLOOKUP(1,('env Parameter'!$A:$A=$A633)*('env Parameter'!$B:$B=$K633)*('env Parameter'!$C:$C=$L633),'env Parameter'!F:F,""),"")</f>
        <v>478</v>
      </c>
      <c r="E633" s="10" cm="1">
        <f t="array" ref="E633">IFERROR(_xlfn.XLOOKUP(1,('env Parameter'!$A:$A=$A633)*('env Parameter'!$B:$B=$K633)*('env Parameter'!$C:$C=$L633),'env Parameter'!G:G,""),"")</f>
        <v>7.6</v>
      </c>
      <c r="F633" t="str">
        <f>eDNA!F633</f>
        <v>MiFish</v>
      </c>
      <c r="G633" t="str">
        <f>eDNA!D633</f>
        <v>Paramisgurnus dabryanus</v>
      </c>
      <c r="H633" t="str">
        <f>_xlfn.XLOOKUP(G633,'Common name (master file)'!$B:$B,'Common name (master file)'!$A:$A,"-------------")</f>
        <v>중국미꾸라지</v>
      </c>
      <c r="I633">
        <f>eDNA!E633</f>
        <v>1598</v>
      </c>
      <c r="J633" t="str">
        <f>_xlfn.XLOOKUP(G633,'Common name (master file)'!$B:$B,'Common name (master file)'!$C:$C,"")</f>
        <v>어류</v>
      </c>
      <c r="K633">
        <f>eDNA!B633</f>
        <v>126.99657019999999</v>
      </c>
      <c r="L633">
        <f>eDNA!C633</f>
        <v>37.389118600000003</v>
      </c>
      <c r="M633" s="10" t="str" cm="1">
        <f t="array" ref="M633">IFERROR(_xlfn.XLOOKUP(1,('env Parameter'!$A:$A=$A633)*('env Parameter'!$B:$B=$K633)*('env Parameter'!$C:$C=$L633),'env Parameter'!D:D,""),"")</f>
        <v>안양천-19</v>
      </c>
      <c r="N633" s="10" t="str" cm="1">
        <f t="array" ref="N633">IFERROR(_xlfn.XLOOKUP(1,('env Parameter'!$A:$A=$A633)*('env Parameter'!$B:$B=$K633)*('env Parameter'!$C:$C=$L633),'env Parameter'!I:I,""),"")</f>
        <v>YR</v>
      </c>
    </row>
    <row r="634" spans="1:14">
      <c r="A634">
        <f>eDNA!A634</f>
        <v>20200718</v>
      </c>
      <c r="B634" s="10" t="str" cm="1">
        <f t="array" ref="B634">IFERROR(_xlfn.XLOOKUP(1,('env Parameter'!$A:$A=$A634)*('env Parameter'!$B:$B=$K634)*('env Parameter'!$C:$C=$L634),'env Parameter'!H:H,""),"")</f>
        <v>생물상 조사</v>
      </c>
      <c r="C634" s="10" cm="1">
        <f t="array" ref="C634">IFERROR(_xlfn.XLOOKUP(1,('env Parameter'!$A:$A=$A634)*('env Parameter'!$B:$B=$K634)*('env Parameter'!$C:$C=$L634),'env Parameter'!E:E,""),"")</f>
        <v>2.14</v>
      </c>
      <c r="D634" s="10" cm="1">
        <f t="array" ref="D634">IFERROR(_xlfn.XLOOKUP(1,('env Parameter'!$A:$A=$A634)*('env Parameter'!$B:$B=$K634)*('env Parameter'!$C:$C=$L634),'env Parameter'!F:F,""),"")</f>
        <v>478</v>
      </c>
      <c r="E634" s="10" cm="1">
        <f t="array" ref="E634">IFERROR(_xlfn.XLOOKUP(1,('env Parameter'!$A:$A=$A634)*('env Parameter'!$B:$B=$K634)*('env Parameter'!$C:$C=$L634),'env Parameter'!G:G,""),"")</f>
        <v>7.6</v>
      </c>
      <c r="F634" t="str">
        <f>eDNA!F634</f>
        <v>MiFish</v>
      </c>
      <c r="G634" t="str">
        <f>eDNA!D634</f>
        <v>Misgurnus mizolepis</v>
      </c>
      <c r="H634" t="str">
        <f>_xlfn.XLOOKUP(G634,'Common name (master file)'!$B:$B,'Common name (master file)'!$A:$A,"-------------")</f>
        <v>미꾸라지</v>
      </c>
      <c r="I634">
        <f>eDNA!E634</f>
        <v>4705</v>
      </c>
      <c r="J634" t="str">
        <f>_xlfn.XLOOKUP(G634,'Common name (master file)'!$B:$B,'Common name (master file)'!$C:$C,"")</f>
        <v>어류</v>
      </c>
      <c r="K634">
        <f>eDNA!B634</f>
        <v>126.99657019999999</v>
      </c>
      <c r="L634">
        <f>eDNA!C634</f>
        <v>37.389118600000003</v>
      </c>
      <c r="M634" s="10" t="str" cm="1">
        <f t="array" ref="M634">IFERROR(_xlfn.XLOOKUP(1,('env Parameter'!$A:$A=$A634)*('env Parameter'!$B:$B=$K634)*('env Parameter'!$C:$C=$L634),'env Parameter'!D:D,""),"")</f>
        <v>안양천-19</v>
      </c>
      <c r="N634" s="10" t="str" cm="1">
        <f t="array" ref="N634">IFERROR(_xlfn.XLOOKUP(1,('env Parameter'!$A:$A=$A634)*('env Parameter'!$B:$B=$K634)*('env Parameter'!$C:$C=$L634),'env Parameter'!I:I,""),"")</f>
        <v>YR</v>
      </c>
    </row>
    <row r="635" spans="1:14">
      <c r="A635">
        <f>eDNA!A635</f>
        <v>20200718</v>
      </c>
      <c r="B635" s="10" t="str" cm="1">
        <f t="array" ref="B635">IFERROR(_xlfn.XLOOKUP(1,('env Parameter'!$A:$A=$A635)*('env Parameter'!$B:$B=$K635)*('env Parameter'!$C:$C=$L635),'env Parameter'!H:H,""),"")</f>
        <v>생물상 조사</v>
      </c>
      <c r="C635" s="10" cm="1">
        <f t="array" ref="C635">IFERROR(_xlfn.XLOOKUP(1,('env Parameter'!$A:$A=$A635)*('env Parameter'!$B:$B=$K635)*('env Parameter'!$C:$C=$L635),'env Parameter'!E:E,""),"")</f>
        <v>2.14</v>
      </c>
      <c r="D635" s="10" cm="1">
        <f t="array" ref="D635">IFERROR(_xlfn.XLOOKUP(1,('env Parameter'!$A:$A=$A635)*('env Parameter'!$B:$B=$K635)*('env Parameter'!$C:$C=$L635),'env Parameter'!F:F,""),"")</f>
        <v>478</v>
      </c>
      <c r="E635" s="10" cm="1">
        <f t="array" ref="E635">IFERROR(_xlfn.XLOOKUP(1,('env Parameter'!$A:$A=$A635)*('env Parameter'!$B:$B=$K635)*('env Parameter'!$C:$C=$L635),'env Parameter'!G:G,""),"")</f>
        <v>7.6</v>
      </c>
      <c r="F635" t="str">
        <f>eDNA!F635</f>
        <v>MiFish</v>
      </c>
      <c r="G635" t="str">
        <f>eDNA!D635</f>
        <v>Zacco platypus</v>
      </c>
      <c r="H635" t="str">
        <f>_xlfn.XLOOKUP(G635,'Common name (master file)'!$B:$B,'Common name (master file)'!$A:$A,"-------------")</f>
        <v>피라미</v>
      </c>
      <c r="I635">
        <f>eDNA!E635</f>
        <v>8466</v>
      </c>
      <c r="J635" t="str">
        <f>_xlfn.XLOOKUP(G635,'Common name (master file)'!$B:$B,'Common name (master file)'!$C:$C,"")</f>
        <v>어류</v>
      </c>
      <c r="K635">
        <f>eDNA!B635</f>
        <v>126.99657019999999</v>
      </c>
      <c r="L635">
        <f>eDNA!C635</f>
        <v>37.389118600000003</v>
      </c>
      <c r="M635" s="10" t="str" cm="1">
        <f t="array" ref="M635">IFERROR(_xlfn.XLOOKUP(1,('env Parameter'!$A:$A=$A635)*('env Parameter'!$B:$B=$K635)*('env Parameter'!$C:$C=$L635),'env Parameter'!D:D,""),"")</f>
        <v>안양천-19</v>
      </c>
      <c r="N635" s="10" t="str" cm="1">
        <f t="array" ref="N635">IFERROR(_xlfn.XLOOKUP(1,('env Parameter'!$A:$A=$A635)*('env Parameter'!$B:$B=$K635)*('env Parameter'!$C:$C=$L635),'env Parameter'!I:I,""),"")</f>
        <v>YR</v>
      </c>
    </row>
    <row r="636" spans="1:14">
      <c r="A636">
        <f>eDNA!A636</f>
        <v>20200718</v>
      </c>
      <c r="B636" s="10" t="str" cm="1">
        <f t="array" ref="B636">IFERROR(_xlfn.XLOOKUP(1,('env Parameter'!$A:$A=$A636)*('env Parameter'!$B:$B=$K636)*('env Parameter'!$C:$C=$L636),'env Parameter'!H:H,""),"")</f>
        <v>생물상 조사</v>
      </c>
      <c r="C636" s="10" cm="1">
        <f t="array" ref="C636">IFERROR(_xlfn.XLOOKUP(1,('env Parameter'!$A:$A=$A636)*('env Parameter'!$B:$B=$K636)*('env Parameter'!$C:$C=$L636),'env Parameter'!E:E,""),"")</f>
        <v>2.14</v>
      </c>
      <c r="D636" s="10" cm="1">
        <f t="array" ref="D636">IFERROR(_xlfn.XLOOKUP(1,('env Parameter'!$A:$A=$A636)*('env Parameter'!$B:$B=$K636)*('env Parameter'!$C:$C=$L636),'env Parameter'!F:F,""),"")</f>
        <v>478</v>
      </c>
      <c r="E636" s="10" cm="1">
        <f t="array" ref="E636">IFERROR(_xlfn.XLOOKUP(1,('env Parameter'!$A:$A=$A636)*('env Parameter'!$B:$B=$K636)*('env Parameter'!$C:$C=$L636),'env Parameter'!G:G,""),"")</f>
        <v>7.6</v>
      </c>
      <c r="F636" t="str">
        <f>eDNA!F636</f>
        <v>MiFish</v>
      </c>
      <c r="G636" t="str">
        <f>eDNA!D636</f>
        <v>Silurus soldatovi</v>
      </c>
      <c r="H636" t="str">
        <f>_xlfn.XLOOKUP(G636,'Common name (master file)'!$B:$B,'Common name (master file)'!$A:$A,"-------------")</f>
        <v>솔다토비 메기</v>
      </c>
      <c r="I636">
        <f>eDNA!E636</f>
        <v>8971</v>
      </c>
      <c r="J636" t="str">
        <f>_xlfn.XLOOKUP(G636,'Common name (master file)'!$B:$B,'Common name (master file)'!$C:$C,"")</f>
        <v>어류</v>
      </c>
      <c r="K636">
        <f>eDNA!B636</f>
        <v>126.99657019999999</v>
      </c>
      <c r="L636">
        <f>eDNA!C636</f>
        <v>37.389118600000003</v>
      </c>
      <c r="M636" s="10" t="str" cm="1">
        <f t="array" ref="M636">IFERROR(_xlfn.XLOOKUP(1,('env Parameter'!$A:$A=$A636)*('env Parameter'!$B:$B=$K636)*('env Parameter'!$C:$C=$L636),'env Parameter'!D:D,""),"")</f>
        <v>안양천-19</v>
      </c>
      <c r="N636" s="10" t="str" cm="1">
        <f t="array" ref="N636">IFERROR(_xlfn.XLOOKUP(1,('env Parameter'!$A:$A=$A636)*('env Parameter'!$B:$B=$K636)*('env Parameter'!$C:$C=$L636),'env Parameter'!I:I,""),"")</f>
        <v>YR</v>
      </c>
    </row>
    <row r="637" spans="1:14">
      <c r="A637">
        <f>eDNA!A637</f>
        <v>20200718</v>
      </c>
      <c r="B637" s="10" t="str" cm="1">
        <f t="array" ref="B637">IFERROR(_xlfn.XLOOKUP(1,('env Parameter'!$A:$A=$A637)*('env Parameter'!$B:$B=$K637)*('env Parameter'!$C:$C=$L637),'env Parameter'!H:H,""),"")</f>
        <v>생물상 조사</v>
      </c>
      <c r="C637" s="10" cm="1">
        <f t="array" ref="C637">IFERROR(_xlfn.XLOOKUP(1,('env Parameter'!$A:$A=$A637)*('env Parameter'!$B:$B=$K637)*('env Parameter'!$C:$C=$L637),'env Parameter'!E:E,""),"")</f>
        <v>2.14</v>
      </c>
      <c r="D637" s="10" cm="1">
        <f t="array" ref="D637">IFERROR(_xlfn.XLOOKUP(1,('env Parameter'!$A:$A=$A637)*('env Parameter'!$B:$B=$K637)*('env Parameter'!$C:$C=$L637),'env Parameter'!F:F,""),"")</f>
        <v>478</v>
      </c>
      <c r="E637" s="10" cm="1">
        <f t="array" ref="E637">IFERROR(_xlfn.XLOOKUP(1,('env Parameter'!$A:$A=$A637)*('env Parameter'!$B:$B=$K637)*('env Parameter'!$C:$C=$L637),'env Parameter'!G:G,""),"")</f>
        <v>7.6</v>
      </c>
      <c r="F637" t="str">
        <f>eDNA!F637</f>
        <v>MiFish</v>
      </c>
      <c r="G637" t="str">
        <f>eDNA!D637</f>
        <v>Odontobutis interrupta</v>
      </c>
      <c r="H637" t="str">
        <f>_xlfn.XLOOKUP(G637,'Common name (master file)'!$B:$B,'Common name (master file)'!$A:$A,"-------------")</f>
        <v>얼록동사리</v>
      </c>
      <c r="I637">
        <f>eDNA!E637</f>
        <v>10277</v>
      </c>
      <c r="J637" t="str">
        <f>_xlfn.XLOOKUP(G637,'Common name (master file)'!$B:$B,'Common name (master file)'!$C:$C,"")</f>
        <v>어류</v>
      </c>
      <c r="K637">
        <f>eDNA!B637</f>
        <v>126.99657019999999</v>
      </c>
      <c r="L637">
        <f>eDNA!C637</f>
        <v>37.389118600000003</v>
      </c>
      <c r="M637" s="10" t="str" cm="1">
        <f t="array" ref="M637">IFERROR(_xlfn.XLOOKUP(1,('env Parameter'!$A:$A=$A637)*('env Parameter'!$B:$B=$K637)*('env Parameter'!$C:$C=$L637),'env Parameter'!D:D,""),"")</f>
        <v>안양천-19</v>
      </c>
      <c r="N637" s="10" t="str" cm="1">
        <f t="array" ref="N637">IFERROR(_xlfn.XLOOKUP(1,('env Parameter'!$A:$A=$A637)*('env Parameter'!$B:$B=$K637)*('env Parameter'!$C:$C=$L637),'env Parameter'!I:I,""),"")</f>
        <v>YR</v>
      </c>
    </row>
    <row r="638" spans="1:14">
      <c r="A638">
        <f>eDNA!A638</f>
        <v>20200718</v>
      </c>
      <c r="B638" s="10" t="str" cm="1">
        <f t="array" ref="B638">IFERROR(_xlfn.XLOOKUP(1,('env Parameter'!$A:$A=$A638)*('env Parameter'!$B:$B=$K638)*('env Parameter'!$C:$C=$L638),'env Parameter'!H:H,""),"")</f>
        <v>생물상 조사</v>
      </c>
      <c r="C638" s="10" cm="1">
        <f t="array" ref="C638">IFERROR(_xlfn.XLOOKUP(1,('env Parameter'!$A:$A=$A638)*('env Parameter'!$B:$B=$K638)*('env Parameter'!$C:$C=$L638),'env Parameter'!E:E,""),"")</f>
        <v>2.14</v>
      </c>
      <c r="D638" s="10" cm="1">
        <f t="array" ref="D638">IFERROR(_xlfn.XLOOKUP(1,('env Parameter'!$A:$A=$A638)*('env Parameter'!$B:$B=$K638)*('env Parameter'!$C:$C=$L638),'env Parameter'!F:F,""),"")</f>
        <v>478</v>
      </c>
      <c r="E638" s="10" cm="1">
        <f t="array" ref="E638">IFERROR(_xlfn.XLOOKUP(1,('env Parameter'!$A:$A=$A638)*('env Parameter'!$B:$B=$K638)*('env Parameter'!$C:$C=$L638),'env Parameter'!G:G,""),"")</f>
        <v>7.6</v>
      </c>
      <c r="F638" t="str">
        <f>eDNA!F638</f>
        <v>MiFish</v>
      </c>
      <c r="G638" t="str">
        <f>eDNA!D638</f>
        <v>Rhynchocypris oxycephalus</v>
      </c>
      <c r="H638" t="str">
        <f>_xlfn.XLOOKUP(G638,'Common name (master file)'!$B:$B,'Common name (master file)'!$A:$A,"-------------")</f>
        <v>버들치</v>
      </c>
      <c r="I638">
        <f>eDNA!E638</f>
        <v>12955</v>
      </c>
      <c r="J638" t="str">
        <f>_xlfn.XLOOKUP(G638,'Common name (master file)'!$B:$B,'Common name (master file)'!$C:$C,"")</f>
        <v>어류</v>
      </c>
      <c r="K638">
        <f>eDNA!B638</f>
        <v>126.99657019999999</v>
      </c>
      <c r="L638">
        <f>eDNA!C638</f>
        <v>37.389118600000003</v>
      </c>
      <c r="M638" s="10" t="str" cm="1">
        <f t="array" ref="M638">IFERROR(_xlfn.XLOOKUP(1,('env Parameter'!$A:$A=$A638)*('env Parameter'!$B:$B=$K638)*('env Parameter'!$C:$C=$L638),'env Parameter'!D:D,""),"")</f>
        <v>안양천-19</v>
      </c>
      <c r="N638" s="10" t="str" cm="1">
        <f t="array" ref="N638">IFERROR(_xlfn.XLOOKUP(1,('env Parameter'!$A:$A=$A638)*('env Parameter'!$B:$B=$K638)*('env Parameter'!$C:$C=$L638),'env Parameter'!I:I,""),"")</f>
        <v>YR</v>
      </c>
    </row>
    <row r="639" spans="1:14">
      <c r="A639">
        <f>eDNA!A639</f>
        <v>20200718</v>
      </c>
      <c r="B639" s="10" t="str" cm="1">
        <f t="array" ref="B639">IFERROR(_xlfn.XLOOKUP(1,('env Parameter'!$A:$A=$A639)*('env Parameter'!$B:$B=$K639)*('env Parameter'!$C:$C=$L639),'env Parameter'!H:H,""),"")</f>
        <v>생물상 조사</v>
      </c>
      <c r="C639" s="10" cm="1">
        <f t="array" ref="C639">IFERROR(_xlfn.XLOOKUP(1,('env Parameter'!$A:$A=$A639)*('env Parameter'!$B:$B=$K639)*('env Parameter'!$C:$C=$L639),'env Parameter'!E:E,""),"")</f>
        <v>2.14</v>
      </c>
      <c r="D639" s="10" cm="1">
        <f t="array" ref="D639">IFERROR(_xlfn.XLOOKUP(1,('env Parameter'!$A:$A=$A639)*('env Parameter'!$B:$B=$K639)*('env Parameter'!$C:$C=$L639),'env Parameter'!F:F,""),"")</f>
        <v>478</v>
      </c>
      <c r="E639" s="10" cm="1">
        <f t="array" ref="E639">IFERROR(_xlfn.XLOOKUP(1,('env Parameter'!$A:$A=$A639)*('env Parameter'!$B:$B=$K639)*('env Parameter'!$C:$C=$L639),'env Parameter'!G:G,""),"")</f>
        <v>7.6</v>
      </c>
      <c r="F639" t="str">
        <f>eDNA!F639</f>
        <v>MiFish</v>
      </c>
      <c r="G639" t="str">
        <f>eDNA!D639</f>
        <v>Carassius sp.</v>
      </c>
      <c r="H639" t="str">
        <f>_xlfn.XLOOKUP(G639,'Common name (master file)'!$B:$B,'Common name (master file)'!$A:$A,"-------------")</f>
        <v>붕어 속</v>
      </c>
      <c r="I639">
        <f>eDNA!E639</f>
        <v>20</v>
      </c>
      <c r="J639" t="str">
        <f>_xlfn.XLOOKUP(G639,'Common name (master file)'!$B:$B,'Common name (master file)'!$C:$C,"")</f>
        <v>어류</v>
      </c>
      <c r="K639">
        <f>eDNA!B639</f>
        <v>126.970473</v>
      </c>
      <c r="L639">
        <f>eDNA!C639</f>
        <v>37.401905599999999</v>
      </c>
      <c r="M639" s="10" t="str" cm="1">
        <f t="array" ref="M639">IFERROR(_xlfn.XLOOKUP(1,('env Parameter'!$A:$A=$A639)*('env Parameter'!$B:$B=$K639)*('env Parameter'!$C:$C=$L639),'env Parameter'!D:D,""),"")</f>
        <v>안양천-29</v>
      </c>
      <c r="N639" s="10" t="str" cm="1">
        <f t="array" ref="N639">IFERROR(_xlfn.XLOOKUP(1,('env Parameter'!$A:$A=$A639)*('env Parameter'!$B:$B=$K639)*('env Parameter'!$C:$C=$L639),'env Parameter'!I:I,""),"")</f>
        <v>YR</v>
      </c>
    </row>
    <row r="640" spans="1:14">
      <c r="A640">
        <f>eDNA!A640</f>
        <v>20200718</v>
      </c>
      <c r="B640" s="10" t="str" cm="1">
        <f t="array" ref="B640">IFERROR(_xlfn.XLOOKUP(1,('env Parameter'!$A:$A=$A640)*('env Parameter'!$B:$B=$K640)*('env Parameter'!$C:$C=$L640),'env Parameter'!H:H,""),"")</f>
        <v>생물상 조사</v>
      </c>
      <c r="C640" s="10" cm="1">
        <f t="array" ref="C640">IFERROR(_xlfn.XLOOKUP(1,('env Parameter'!$A:$A=$A640)*('env Parameter'!$B:$B=$K640)*('env Parameter'!$C:$C=$L640),'env Parameter'!E:E,""),"")</f>
        <v>2.14</v>
      </c>
      <c r="D640" s="10" cm="1">
        <f t="array" ref="D640">IFERROR(_xlfn.XLOOKUP(1,('env Parameter'!$A:$A=$A640)*('env Parameter'!$B:$B=$K640)*('env Parameter'!$C:$C=$L640),'env Parameter'!F:F,""),"")</f>
        <v>478</v>
      </c>
      <c r="E640" s="10" cm="1">
        <f t="array" ref="E640">IFERROR(_xlfn.XLOOKUP(1,('env Parameter'!$A:$A=$A640)*('env Parameter'!$B:$B=$K640)*('env Parameter'!$C:$C=$L640),'env Parameter'!G:G,""),"")</f>
        <v>7.6</v>
      </c>
      <c r="F640" t="str">
        <f>eDNA!F640</f>
        <v>MiFish</v>
      </c>
      <c r="G640" t="str">
        <f>eDNA!D640</f>
        <v>Tadorna tadorna</v>
      </c>
      <c r="H640" t="str">
        <f>_xlfn.XLOOKUP(G640,'Common name (master file)'!$B:$B,'Common name (master file)'!$A:$A,"-------------")</f>
        <v>혹부리오리</v>
      </c>
      <c r="I640">
        <f>eDNA!E640</f>
        <v>21</v>
      </c>
      <c r="J640" t="str">
        <f>_xlfn.XLOOKUP(G640,'Common name (master file)'!$B:$B,'Common name (master file)'!$C:$C,"")</f>
        <v>조류</v>
      </c>
      <c r="K640">
        <f>eDNA!B640</f>
        <v>126.970473</v>
      </c>
      <c r="L640">
        <f>eDNA!C640</f>
        <v>37.401905599999999</v>
      </c>
      <c r="M640" s="10" t="str" cm="1">
        <f t="array" ref="M640">IFERROR(_xlfn.XLOOKUP(1,('env Parameter'!$A:$A=$A640)*('env Parameter'!$B:$B=$K640)*('env Parameter'!$C:$C=$L640),'env Parameter'!D:D,""),"")</f>
        <v>안양천-29</v>
      </c>
      <c r="N640" s="10" t="str" cm="1">
        <f t="array" ref="N640">IFERROR(_xlfn.XLOOKUP(1,('env Parameter'!$A:$A=$A640)*('env Parameter'!$B:$B=$K640)*('env Parameter'!$C:$C=$L640),'env Parameter'!I:I,""),"")</f>
        <v>YR</v>
      </c>
    </row>
    <row r="641" spans="1:14">
      <c r="A641">
        <f>eDNA!A641</f>
        <v>20200718</v>
      </c>
      <c r="B641" s="10" t="str" cm="1">
        <f t="array" ref="B641">IFERROR(_xlfn.XLOOKUP(1,('env Parameter'!$A:$A=$A641)*('env Parameter'!$B:$B=$K641)*('env Parameter'!$C:$C=$L641),'env Parameter'!H:H,""),"")</f>
        <v>생물상 조사</v>
      </c>
      <c r="C641" s="10" cm="1">
        <f t="array" ref="C641">IFERROR(_xlfn.XLOOKUP(1,('env Parameter'!$A:$A=$A641)*('env Parameter'!$B:$B=$K641)*('env Parameter'!$C:$C=$L641),'env Parameter'!E:E,""),"")</f>
        <v>2.14</v>
      </c>
      <c r="D641" s="10" cm="1">
        <f t="array" ref="D641">IFERROR(_xlfn.XLOOKUP(1,('env Parameter'!$A:$A=$A641)*('env Parameter'!$B:$B=$K641)*('env Parameter'!$C:$C=$L641),'env Parameter'!F:F,""),"")</f>
        <v>478</v>
      </c>
      <c r="E641" s="10" cm="1">
        <f t="array" ref="E641">IFERROR(_xlfn.XLOOKUP(1,('env Parameter'!$A:$A=$A641)*('env Parameter'!$B:$B=$K641)*('env Parameter'!$C:$C=$L641),'env Parameter'!G:G,""),"")</f>
        <v>7.6</v>
      </c>
      <c r="F641" t="str">
        <f>eDNA!F641</f>
        <v>MiFish</v>
      </c>
      <c r="G641" t="str">
        <f>eDNA!D641</f>
        <v>Misgurnus anguillicaudatus</v>
      </c>
      <c r="H641" t="str">
        <f>_xlfn.XLOOKUP(G641,'Common name (master file)'!$B:$B,'Common name (master file)'!$A:$A,"-------------")</f>
        <v>미꾸리</v>
      </c>
      <c r="I641">
        <f>eDNA!E641</f>
        <v>23</v>
      </c>
      <c r="J641" t="str">
        <f>_xlfn.XLOOKUP(G641,'Common name (master file)'!$B:$B,'Common name (master file)'!$C:$C,"")</f>
        <v>어류</v>
      </c>
      <c r="K641">
        <f>eDNA!B641</f>
        <v>126.970473</v>
      </c>
      <c r="L641">
        <f>eDNA!C641</f>
        <v>37.401905599999999</v>
      </c>
      <c r="M641" s="10" t="str" cm="1">
        <f t="array" ref="M641">IFERROR(_xlfn.XLOOKUP(1,('env Parameter'!$A:$A=$A641)*('env Parameter'!$B:$B=$K641)*('env Parameter'!$C:$C=$L641),'env Parameter'!D:D,""),"")</f>
        <v>안양천-29</v>
      </c>
      <c r="N641" s="10" t="str" cm="1">
        <f t="array" ref="N641">IFERROR(_xlfn.XLOOKUP(1,('env Parameter'!$A:$A=$A641)*('env Parameter'!$B:$B=$K641)*('env Parameter'!$C:$C=$L641),'env Parameter'!I:I,""),"")</f>
        <v>YR</v>
      </c>
    </row>
    <row r="642" spans="1:14">
      <c r="A642">
        <f>eDNA!A642</f>
        <v>20200718</v>
      </c>
      <c r="B642" s="10" t="str" cm="1">
        <f t="array" ref="B642">IFERROR(_xlfn.XLOOKUP(1,('env Parameter'!$A:$A=$A642)*('env Parameter'!$B:$B=$K642)*('env Parameter'!$C:$C=$L642),'env Parameter'!H:H,""),"")</f>
        <v>생물상 조사</v>
      </c>
      <c r="C642" s="10" cm="1">
        <f t="array" ref="C642">IFERROR(_xlfn.XLOOKUP(1,('env Parameter'!$A:$A=$A642)*('env Parameter'!$B:$B=$K642)*('env Parameter'!$C:$C=$L642),'env Parameter'!E:E,""),"")</f>
        <v>2.14</v>
      </c>
      <c r="D642" s="10" cm="1">
        <f t="array" ref="D642">IFERROR(_xlfn.XLOOKUP(1,('env Parameter'!$A:$A=$A642)*('env Parameter'!$B:$B=$K642)*('env Parameter'!$C:$C=$L642),'env Parameter'!F:F,""),"")</f>
        <v>478</v>
      </c>
      <c r="E642" s="10" cm="1">
        <f t="array" ref="E642">IFERROR(_xlfn.XLOOKUP(1,('env Parameter'!$A:$A=$A642)*('env Parameter'!$B:$B=$K642)*('env Parameter'!$C:$C=$L642),'env Parameter'!G:G,""),"")</f>
        <v>7.6</v>
      </c>
      <c r="F642" t="str">
        <f>eDNA!F642</f>
        <v>MiFish</v>
      </c>
      <c r="G642" t="str">
        <f>eDNA!D642</f>
        <v>Rhinogobius giurinus</v>
      </c>
      <c r="H642" t="str">
        <f>_xlfn.XLOOKUP(G642,'Common name (master file)'!$B:$B,'Common name (master file)'!$A:$A,"-------------")</f>
        <v>갈문망둑</v>
      </c>
      <c r="I642">
        <f>eDNA!E642</f>
        <v>26</v>
      </c>
      <c r="J642" t="str">
        <f>_xlfn.XLOOKUP(G642,'Common name (master file)'!$B:$B,'Common name (master file)'!$C:$C,"")</f>
        <v>어류</v>
      </c>
      <c r="K642">
        <f>eDNA!B642</f>
        <v>126.970473</v>
      </c>
      <c r="L642">
        <f>eDNA!C642</f>
        <v>37.401905599999999</v>
      </c>
      <c r="M642" s="10" t="str" cm="1">
        <f t="array" ref="M642">IFERROR(_xlfn.XLOOKUP(1,('env Parameter'!$A:$A=$A642)*('env Parameter'!$B:$B=$K642)*('env Parameter'!$C:$C=$L642),'env Parameter'!D:D,""),"")</f>
        <v>안양천-29</v>
      </c>
      <c r="N642" s="10" t="str" cm="1">
        <f t="array" ref="N642">IFERROR(_xlfn.XLOOKUP(1,('env Parameter'!$A:$A=$A642)*('env Parameter'!$B:$B=$K642)*('env Parameter'!$C:$C=$L642),'env Parameter'!I:I,""),"")</f>
        <v>YR</v>
      </c>
    </row>
    <row r="643" spans="1:14">
      <c r="A643">
        <f>eDNA!A643</f>
        <v>20200718</v>
      </c>
      <c r="B643" s="10" t="str" cm="1">
        <f t="array" ref="B643">IFERROR(_xlfn.XLOOKUP(1,('env Parameter'!$A:$A=$A643)*('env Parameter'!$B:$B=$K643)*('env Parameter'!$C:$C=$L643),'env Parameter'!H:H,""),"")</f>
        <v>생물상 조사</v>
      </c>
      <c r="C643" s="10" cm="1">
        <f t="array" ref="C643">IFERROR(_xlfn.XLOOKUP(1,('env Parameter'!$A:$A=$A643)*('env Parameter'!$B:$B=$K643)*('env Parameter'!$C:$C=$L643),'env Parameter'!E:E,""),"")</f>
        <v>2.14</v>
      </c>
      <c r="D643" s="10" cm="1">
        <f t="array" ref="D643">IFERROR(_xlfn.XLOOKUP(1,('env Parameter'!$A:$A=$A643)*('env Parameter'!$B:$B=$K643)*('env Parameter'!$C:$C=$L643),'env Parameter'!F:F,""),"")</f>
        <v>478</v>
      </c>
      <c r="E643" s="10" cm="1">
        <f t="array" ref="E643">IFERROR(_xlfn.XLOOKUP(1,('env Parameter'!$A:$A=$A643)*('env Parameter'!$B:$B=$K643)*('env Parameter'!$C:$C=$L643),'env Parameter'!G:G,""),"")</f>
        <v>7.6</v>
      </c>
      <c r="F643" t="str">
        <f>eDNA!F643</f>
        <v>MiFish</v>
      </c>
      <c r="G643" t="str">
        <f>eDNA!D643</f>
        <v>Hemibarbus sp.</v>
      </c>
      <c r="H643" t="str">
        <f>_xlfn.XLOOKUP(G643,'Common name (master file)'!$B:$B,'Common name (master file)'!$A:$A,"-------------")</f>
        <v>누치 속</v>
      </c>
      <c r="I643">
        <f>eDNA!E643</f>
        <v>28</v>
      </c>
      <c r="J643" t="str">
        <f>_xlfn.XLOOKUP(G643,'Common name (master file)'!$B:$B,'Common name (master file)'!$C:$C,"")</f>
        <v>어류</v>
      </c>
      <c r="K643">
        <f>eDNA!B643</f>
        <v>126.970473</v>
      </c>
      <c r="L643">
        <f>eDNA!C643</f>
        <v>37.401905599999999</v>
      </c>
      <c r="M643" s="10" t="str" cm="1">
        <f t="array" ref="M643">IFERROR(_xlfn.XLOOKUP(1,('env Parameter'!$A:$A=$A643)*('env Parameter'!$B:$B=$K643)*('env Parameter'!$C:$C=$L643),'env Parameter'!D:D,""),"")</f>
        <v>안양천-29</v>
      </c>
      <c r="N643" s="10" t="str" cm="1">
        <f t="array" ref="N643">IFERROR(_xlfn.XLOOKUP(1,('env Parameter'!$A:$A=$A643)*('env Parameter'!$B:$B=$K643)*('env Parameter'!$C:$C=$L643),'env Parameter'!I:I,""),"")</f>
        <v>YR</v>
      </c>
    </row>
    <row r="644" spans="1:14">
      <c r="A644">
        <f>eDNA!A644</f>
        <v>20200718</v>
      </c>
      <c r="B644" s="10" t="str" cm="1">
        <f t="array" ref="B644">IFERROR(_xlfn.XLOOKUP(1,('env Parameter'!$A:$A=$A644)*('env Parameter'!$B:$B=$K644)*('env Parameter'!$C:$C=$L644),'env Parameter'!H:H,""),"")</f>
        <v>생물상 조사</v>
      </c>
      <c r="C644" s="10" cm="1">
        <f t="array" ref="C644">IFERROR(_xlfn.XLOOKUP(1,('env Parameter'!$A:$A=$A644)*('env Parameter'!$B:$B=$K644)*('env Parameter'!$C:$C=$L644),'env Parameter'!E:E,""),"")</f>
        <v>2.14</v>
      </c>
      <c r="D644" s="10" cm="1">
        <f t="array" ref="D644">IFERROR(_xlfn.XLOOKUP(1,('env Parameter'!$A:$A=$A644)*('env Parameter'!$B:$B=$K644)*('env Parameter'!$C:$C=$L644),'env Parameter'!F:F,""),"")</f>
        <v>478</v>
      </c>
      <c r="E644" s="10" cm="1">
        <f t="array" ref="E644">IFERROR(_xlfn.XLOOKUP(1,('env Parameter'!$A:$A=$A644)*('env Parameter'!$B:$B=$K644)*('env Parameter'!$C:$C=$L644),'env Parameter'!G:G,""),"")</f>
        <v>7.6</v>
      </c>
      <c r="F644" t="str">
        <f>eDNA!F644</f>
        <v>MiFish</v>
      </c>
      <c r="G644" t="str">
        <f>eDNA!D644</f>
        <v>Gnathopogon strigatus</v>
      </c>
      <c r="H644" t="str">
        <f>_xlfn.XLOOKUP(G644,'Common name (master file)'!$B:$B,'Common name (master file)'!$A:$A,"-------------")</f>
        <v>줄몰개</v>
      </c>
      <c r="I644">
        <f>eDNA!E644</f>
        <v>50</v>
      </c>
      <c r="J644" t="str">
        <f>_xlfn.XLOOKUP(G644,'Common name (master file)'!$B:$B,'Common name (master file)'!$C:$C,"")</f>
        <v>어류</v>
      </c>
      <c r="K644">
        <f>eDNA!B644</f>
        <v>126.970473</v>
      </c>
      <c r="L644">
        <f>eDNA!C644</f>
        <v>37.401905599999999</v>
      </c>
      <c r="M644" s="10" t="str" cm="1">
        <f t="array" ref="M644">IFERROR(_xlfn.XLOOKUP(1,('env Parameter'!$A:$A=$A644)*('env Parameter'!$B:$B=$K644)*('env Parameter'!$C:$C=$L644),'env Parameter'!D:D,""),"")</f>
        <v>안양천-29</v>
      </c>
      <c r="N644" s="10" t="str" cm="1">
        <f t="array" ref="N644">IFERROR(_xlfn.XLOOKUP(1,('env Parameter'!$A:$A=$A644)*('env Parameter'!$B:$B=$K644)*('env Parameter'!$C:$C=$L644),'env Parameter'!I:I,""),"")</f>
        <v>YR</v>
      </c>
    </row>
    <row r="645" spans="1:14">
      <c r="A645">
        <f>eDNA!A645</f>
        <v>20200718</v>
      </c>
      <c r="B645" s="10" t="str" cm="1">
        <f t="array" ref="B645">IFERROR(_xlfn.XLOOKUP(1,('env Parameter'!$A:$A=$A645)*('env Parameter'!$B:$B=$K645)*('env Parameter'!$C:$C=$L645),'env Parameter'!H:H,""),"")</f>
        <v>생물상 조사</v>
      </c>
      <c r="C645" s="10" cm="1">
        <f t="array" ref="C645">IFERROR(_xlfn.XLOOKUP(1,('env Parameter'!$A:$A=$A645)*('env Parameter'!$B:$B=$K645)*('env Parameter'!$C:$C=$L645),'env Parameter'!E:E,""),"")</f>
        <v>2.14</v>
      </c>
      <c r="D645" s="10" cm="1">
        <f t="array" ref="D645">IFERROR(_xlfn.XLOOKUP(1,('env Parameter'!$A:$A=$A645)*('env Parameter'!$B:$B=$K645)*('env Parameter'!$C:$C=$L645),'env Parameter'!F:F,""),"")</f>
        <v>478</v>
      </c>
      <c r="E645" s="10" cm="1">
        <f t="array" ref="E645">IFERROR(_xlfn.XLOOKUP(1,('env Parameter'!$A:$A=$A645)*('env Parameter'!$B:$B=$K645)*('env Parameter'!$C:$C=$L645),'env Parameter'!G:G,""),"")</f>
        <v>7.6</v>
      </c>
      <c r="F645" t="str">
        <f>eDNA!F645</f>
        <v>MiFish</v>
      </c>
      <c r="G645" t="str">
        <f>eDNA!D645</f>
        <v>Rhynchocypris oxycephalus</v>
      </c>
      <c r="H645" t="str">
        <f>_xlfn.XLOOKUP(G645,'Common name (master file)'!$B:$B,'Common name (master file)'!$A:$A,"-------------")</f>
        <v>버들치</v>
      </c>
      <c r="I645">
        <f>eDNA!E645</f>
        <v>63</v>
      </c>
      <c r="J645" t="str">
        <f>_xlfn.XLOOKUP(G645,'Common name (master file)'!$B:$B,'Common name (master file)'!$C:$C,"")</f>
        <v>어류</v>
      </c>
      <c r="K645">
        <f>eDNA!B645</f>
        <v>126.970473</v>
      </c>
      <c r="L645">
        <f>eDNA!C645</f>
        <v>37.401905599999999</v>
      </c>
      <c r="M645" s="10" t="str" cm="1">
        <f t="array" ref="M645">IFERROR(_xlfn.XLOOKUP(1,('env Parameter'!$A:$A=$A645)*('env Parameter'!$B:$B=$K645)*('env Parameter'!$C:$C=$L645),'env Parameter'!D:D,""),"")</f>
        <v>안양천-29</v>
      </c>
      <c r="N645" s="10" t="str" cm="1">
        <f t="array" ref="N645">IFERROR(_xlfn.XLOOKUP(1,('env Parameter'!$A:$A=$A645)*('env Parameter'!$B:$B=$K645)*('env Parameter'!$C:$C=$L645),'env Parameter'!I:I,""),"")</f>
        <v>YR</v>
      </c>
    </row>
    <row r="646" spans="1:14">
      <c r="A646">
        <f>eDNA!A646</f>
        <v>20200718</v>
      </c>
      <c r="B646" s="10" t="str" cm="1">
        <f t="array" ref="B646">IFERROR(_xlfn.XLOOKUP(1,('env Parameter'!$A:$A=$A646)*('env Parameter'!$B:$B=$K646)*('env Parameter'!$C:$C=$L646),'env Parameter'!H:H,""),"")</f>
        <v>생물상 조사</v>
      </c>
      <c r="C646" s="10" cm="1">
        <f t="array" ref="C646">IFERROR(_xlfn.XLOOKUP(1,('env Parameter'!$A:$A=$A646)*('env Parameter'!$B:$B=$K646)*('env Parameter'!$C:$C=$L646),'env Parameter'!E:E,""),"")</f>
        <v>2.14</v>
      </c>
      <c r="D646" s="10" cm="1">
        <f t="array" ref="D646">IFERROR(_xlfn.XLOOKUP(1,('env Parameter'!$A:$A=$A646)*('env Parameter'!$B:$B=$K646)*('env Parameter'!$C:$C=$L646),'env Parameter'!F:F,""),"")</f>
        <v>478</v>
      </c>
      <c r="E646" s="10" cm="1">
        <f t="array" ref="E646">IFERROR(_xlfn.XLOOKUP(1,('env Parameter'!$A:$A=$A646)*('env Parameter'!$B:$B=$K646)*('env Parameter'!$C:$C=$L646),'env Parameter'!G:G,""),"")</f>
        <v>7.6</v>
      </c>
      <c r="F646" t="str">
        <f>eDNA!F646</f>
        <v>MiFish</v>
      </c>
      <c r="G646" t="str">
        <f>eDNA!D646</f>
        <v>Pelodiscus sinensis</v>
      </c>
      <c r="H646" t="str">
        <f>_xlfn.XLOOKUP(G646,'Common name (master file)'!$B:$B,'Common name (master file)'!$A:$A,"-------------")</f>
        <v>중국자라</v>
      </c>
      <c r="I646">
        <f>eDNA!E646</f>
        <v>76</v>
      </c>
      <c r="J646" t="str">
        <f>_xlfn.XLOOKUP(G646,'Common name (master file)'!$B:$B,'Common name (master file)'!$C:$C,"")</f>
        <v>양서파충류</v>
      </c>
      <c r="K646">
        <f>eDNA!B646</f>
        <v>126.970473</v>
      </c>
      <c r="L646">
        <f>eDNA!C646</f>
        <v>37.401905599999999</v>
      </c>
      <c r="M646" s="10" t="str" cm="1">
        <f t="array" ref="M646">IFERROR(_xlfn.XLOOKUP(1,('env Parameter'!$A:$A=$A646)*('env Parameter'!$B:$B=$K646)*('env Parameter'!$C:$C=$L646),'env Parameter'!D:D,""),"")</f>
        <v>안양천-29</v>
      </c>
      <c r="N646" s="10" t="str" cm="1">
        <f t="array" ref="N646">IFERROR(_xlfn.XLOOKUP(1,('env Parameter'!$A:$A=$A646)*('env Parameter'!$B:$B=$K646)*('env Parameter'!$C:$C=$L646),'env Parameter'!I:I,""),"")</f>
        <v>YR</v>
      </c>
    </row>
    <row r="647" spans="1:14">
      <c r="A647">
        <f>eDNA!A647</f>
        <v>20200718</v>
      </c>
      <c r="B647" s="10" t="str" cm="1">
        <f t="array" ref="B647">IFERROR(_xlfn.XLOOKUP(1,('env Parameter'!$A:$A=$A647)*('env Parameter'!$B:$B=$K647)*('env Parameter'!$C:$C=$L647),'env Parameter'!H:H,""),"")</f>
        <v>생물상 조사</v>
      </c>
      <c r="C647" s="10" cm="1">
        <f t="array" ref="C647">IFERROR(_xlfn.XLOOKUP(1,('env Parameter'!$A:$A=$A647)*('env Parameter'!$B:$B=$K647)*('env Parameter'!$C:$C=$L647),'env Parameter'!E:E,""),"")</f>
        <v>2.14</v>
      </c>
      <c r="D647" s="10" cm="1">
        <f t="array" ref="D647">IFERROR(_xlfn.XLOOKUP(1,('env Parameter'!$A:$A=$A647)*('env Parameter'!$B:$B=$K647)*('env Parameter'!$C:$C=$L647),'env Parameter'!F:F,""),"")</f>
        <v>478</v>
      </c>
      <c r="E647" s="10" cm="1">
        <f t="array" ref="E647">IFERROR(_xlfn.XLOOKUP(1,('env Parameter'!$A:$A=$A647)*('env Parameter'!$B:$B=$K647)*('env Parameter'!$C:$C=$L647),'env Parameter'!G:G,""),"")</f>
        <v>7.6</v>
      </c>
      <c r="F647" t="str">
        <f>eDNA!F647</f>
        <v>MiFish</v>
      </c>
      <c r="G647" t="str">
        <f>eDNA!D647</f>
        <v>Micropterus salmoides</v>
      </c>
      <c r="H647" t="str">
        <f>_xlfn.XLOOKUP(G647,'Common name (master file)'!$B:$B,'Common name (master file)'!$A:$A,"-------------")</f>
        <v>큰입배스</v>
      </c>
      <c r="I647">
        <f>eDNA!E647</f>
        <v>78</v>
      </c>
      <c r="J647" t="str">
        <f>_xlfn.XLOOKUP(G647,'Common name (master file)'!$B:$B,'Common name (master file)'!$C:$C,"")</f>
        <v>어류</v>
      </c>
      <c r="K647">
        <f>eDNA!B647</f>
        <v>126.970473</v>
      </c>
      <c r="L647">
        <f>eDNA!C647</f>
        <v>37.401905599999999</v>
      </c>
      <c r="M647" s="10" t="str" cm="1">
        <f t="array" ref="M647">IFERROR(_xlfn.XLOOKUP(1,('env Parameter'!$A:$A=$A647)*('env Parameter'!$B:$B=$K647)*('env Parameter'!$C:$C=$L647),'env Parameter'!D:D,""),"")</f>
        <v>안양천-29</v>
      </c>
      <c r="N647" s="10" t="str" cm="1">
        <f t="array" ref="N647">IFERROR(_xlfn.XLOOKUP(1,('env Parameter'!$A:$A=$A647)*('env Parameter'!$B:$B=$K647)*('env Parameter'!$C:$C=$L647),'env Parameter'!I:I,""),"")</f>
        <v>YR</v>
      </c>
    </row>
    <row r="648" spans="1:14">
      <c r="A648">
        <f>eDNA!A648</f>
        <v>20200718</v>
      </c>
      <c r="B648" s="10" t="str" cm="1">
        <f t="array" ref="B648">IFERROR(_xlfn.XLOOKUP(1,('env Parameter'!$A:$A=$A648)*('env Parameter'!$B:$B=$K648)*('env Parameter'!$C:$C=$L648),'env Parameter'!H:H,""),"")</f>
        <v>생물상 조사</v>
      </c>
      <c r="C648" s="10" cm="1">
        <f t="array" ref="C648">IFERROR(_xlfn.XLOOKUP(1,('env Parameter'!$A:$A=$A648)*('env Parameter'!$B:$B=$K648)*('env Parameter'!$C:$C=$L648),'env Parameter'!E:E,""),"")</f>
        <v>2.14</v>
      </c>
      <c r="D648" s="10" cm="1">
        <f t="array" ref="D648">IFERROR(_xlfn.XLOOKUP(1,('env Parameter'!$A:$A=$A648)*('env Parameter'!$B:$B=$K648)*('env Parameter'!$C:$C=$L648),'env Parameter'!F:F,""),"")</f>
        <v>478</v>
      </c>
      <c r="E648" s="10" cm="1">
        <f t="array" ref="E648">IFERROR(_xlfn.XLOOKUP(1,('env Parameter'!$A:$A=$A648)*('env Parameter'!$B:$B=$K648)*('env Parameter'!$C:$C=$L648),'env Parameter'!G:G,""),"")</f>
        <v>7.6</v>
      </c>
      <c r="F648" t="str">
        <f>eDNA!F648</f>
        <v>MiFish</v>
      </c>
      <c r="G648" t="str">
        <f>eDNA!D648</f>
        <v>Cyprinus carpio</v>
      </c>
      <c r="H648" t="str">
        <f>_xlfn.XLOOKUP(G648,'Common name (master file)'!$B:$B,'Common name (master file)'!$A:$A,"-------------")</f>
        <v>잉어</v>
      </c>
      <c r="I648">
        <f>eDNA!E648</f>
        <v>85</v>
      </c>
      <c r="J648" t="str">
        <f>_xlfn.XLOOKUP(G648,'Common name (master file)'!$B:$B,'Common name (master file)'!$C:$C,"")</f>
        <v>어류</v>
      </c>
      <c r="K648">
        <f>eDNA!B648</f>
        <v>126.970473</v>
      </c>
      <c r="L648">
        <f>eDNA!C648</f>
        <v>37.401905599999999</v>
      </c>
      <c r="M648" s="10" t="str" cm="1">
        <f t="array" ref="M648">IFERROR(_xlfn.XLOOKUP(1,('env Parameter'!$A:$A=$A648)*('env Parameter'!$B:$B=$K648)*('env Parameter'!$C:$C=$L648),'env Parameter'!D:D,""),"")</f>
        <v>안양천-29</v>
      </c>
      <c r="N648" s="10" t="str" cm="1">
        <f t="array" ref="N648">IFERROR(_xlfn.XLOOKUP(1,('env Parameter'!$A:$A=$A648)*('env Parameter'!$B:$B=$K648)*('env Parameter'!$C:$C=$L648),'env Parameter'!I:I,""),"")</f>
        <v>YR</v>
      </c>
    </row>
    <row r="649" spans="1:14">
      <c r="A649">
        <f>eDNA!A649</f>
        <v>20200718</v>
      </c>
      <c r="B649" s="10" t="str" cm="1">
        <f t="array" ref="B649">IFERROR(_xlfn.XLOOKUP(1,('env Parameter'!$A:$A=$A649)*('env Parameter'!$B:$B=$K649)*('env Parameter'!$C:$C=$L649),'env Parameter'!H:H,""),"")</f>
        <v>생물상 조사</v>
      </c>
      <c r="C649" s="10" cm="1">
        <f t="array" ref="C649">IFERROR(_xlfn.XLOOKUP(1,('env Parameter'!$A:$A=$A649)*('env Parameter'!$B:$B=$K649)*('env Parameter'!$C:$C=$L649),'env Parameter'!E:E,""),"")</f>
        <v>2.14</v>
      </c>
      <c r="D649" s="10" cm="1">
        <f t="array" ref="D649">IFERROR(_xlfn.XLOOKUP(1,('env Parameter'!$A:$A=$A649)*('env Parameter'!$B:$B=$K649)*('env Parameter'!$C:$C=$L649),'env Parameter'!F:F,""),"")</f>
        <v>478</v>
      </c>
      <c r="E649" s="10" cm="1">
        <f t="array" ref="E649">IFERROR(_xlfn.XLOOKUP(1,('env Parameter'!$A:$A=$A649)*('env Parameter'!$B:$B=$K649)*('env Parameter'!$C:$C=$L649),'env Parameter'!G:G,""),"")</f>
        <v>7.6</v>
      </c>
      <c r="F649" t="str">
        <f>eDNA!F649</f>
        <v>MiFish</v>
      </c>
      <c r="G649" t="str">
        <f>eDNA!D649</f>
        <v>Misgurnus mizolepis</v>
      </c>
      <c r="H649" t="str">
        <f>_xlfn.XLOOKUP(G649,'Common name (master file)'!$B:$B,'Common name (master file)'!$A:$A,"-------------")</f>
        <v>미꾸라지</v>
      </c>
      <c r="I649">
        <f>eDNA!E649</f>
        <v>167</v>
      </c>
      <c r="J649" t="str">
        <f>_xlfn.XLOOKUP(G649,'Common name (master file)'!$B:$B,'Common name (master file)'!$C:$C,"")</f>
        <v>어류</v>
      </c>
      <c r="K649">
        <f>eDNA!B649</f>
        <v>126.970473</v>
      </c>
      <c r="L649">
        <f>eDNA!C649</f>
        <v>37.401905599999999</v>
      </c>
      <c r="M649" s="10" t="str" cm="1">
        <f t="array" ref="M649">IFERROR(_xlfn.XLOOKUP(1,('env Parameter'!$A:$A=$A649)*('env Parameter'!$B:$B=$K649)*('env Parameter'!$C:$C=$L649),'env Parameter'!D:D,""),"")</f>
        <v>안양천-29</v>
      </c>
      <c r="N649" s="10" t="str" cm="1">
        <f t="array" ref="N649">IFERROR(_xlfn.XLOOKUP(1,('env Parameter'!$A:$A=$A649)*('env Parameter'!$B:$B=$K649)*('env Parameter'!$C:$C=$L649),'env Parameter'!I:I,""),"")</f>
        <v>YR</v>
      </c>
    </row>
    <row r="650" spans="1:14">
      <c r="A650">
        <f>eDNA!A650</f>
        <v>20200718</v>
      </c>
      <c r="B650" s="10" t="str" cm="1">
        <f t="array" ref="B650">IFERROR(_xlfn.XLOOKUP(1,('env Parameter'!$A:$A=$A650)*('env Parameter'!$B:$B=$K650)*('env Parameter'!$C:$C=$L650),'env Parameter'!H:H,""),"")</f>
        <v>생물상 조사</v>
      </c>
      <c r="C650" s="10" cm="1">
        <f t="array" ref="C650">IFERROR(_xlfn.XLOOKUP(1,('env Parameter'!$A:$A=$A650)*('env Parameter'!$B:$B=$K650)*('env Parameter'!$C:$C=$L650),'env Parameter'!E:E,""),"")</f>
        <v>2.14</v>
      </c>
      <c r="D650" s="10" cm="1">
        <f t="array" ref="D650">IFERROR(_xlfn.XLOOKUP(1,('env Parameter'!$A:$A=$A650)*('env Parameter'!$B:$B=$K650)*('env Parameter'!$C:$C=$L650),'env Parameter'!F:F,""),"")</f>
        <v>478</v>
      </c>
      <c r="E650" s="10" cm="1">
        <f t="array" ref="E650">IFERROR(_xlfn.XLOOKUP(1,('env Parameter'!$A:$A=$A650)*('env Parameter'!$B:$B=$K650)*('env Parameter'!$C:$C=$L650),'env Parameter'!G:G,""),"")</f>
        <v>7.6</v>
      </c>
      <c r="F650" t="str">
        <f>eDNA!F650</f>
        <v>MiFish</v>
      </c>
      <c r="G650" t="str">
        <f>eDNA!D650</f>
        <v>Lepomis macrochirus</v>
      </c>
      <c r="H650" t="str">
        <f>_xlfn.XLOOKUP(G650,'Common name (master file)'!$B:$B,'Common name (master file)'!$A:$A,"-------------")</f>
        <v>블루길</v>
      </c>
      <c r="I650">
        <f>eDNA!E650</f>
        <v>134</v>
      </c>
      <c r="J650" t="str">
        <f>_xlfn.XLOOKUP(G650,'Common name (master file)'!$B:$B,'Common name (master file)'!$C:$C,"")</f>
        <v>어류</v>
      </c>
      <c r="K650">
        <f>eDNA!B650</f>
        <v>126.970473</v>
      </c>
      <c r="L650">
        <f>eDNA!C650</f>
        <v>37.401905599999999</v>
      </c>
      <c r="M650" s="10" t="str" cm="1">
        <f t="array" ref="M650">IFERROR(_xlfn.XLOOKUP(1,('env Parameter'!$A:$A=$A650)*('env Parameter'!$B:$B=$K650)*('env Parameter'!$C:$C=$L650),'env Parameter'!D:D,""),"")</f>
        <v>안양천-29</v>
      </c>
      <c r="N650" s="10" t="str" cm="1">
        <f t="array" ref="N650">IFERROR(_xlfn.XLOOKUP(1,('env Parameter'!$A:$A=$A650)*('env Parameter'!$B:$B=$K650)*('env Parameter'!$C:$C=$L650),'env Parameter'!I:I,""),"")</f>
        <v>YR</v>
      </c>
    </row>
    <row r="651" spans="1:14">
      <c r="A651">
        <f>eDNA!A651</f>
        <v>20200718</v>
      </c>
      <c r="B651" s="10" t="str" cm="1">
        <f t="array" ref="B651">IFERROR(_xlfn.XLOOKUP(1,('env Parameter'!$A:$A=$A651)*('env Parameter'!$B:$B=$K651)*('env Parameter'!$C:$C=$L651),'env Parameter'!H:H,""),"")</f>
        <v>생물상 조사</v>
      </c>
      <c r="C651" s="10" cm="1">
        <f t="array" ref="C651">IFERROR(_xlfn.XLOOKUP(1,('env Parameter'!$A:$A=$A651)*('env Parameter'!$B:$B=$K651)*('env Parameter'!$C:$C=$L651),'env Parameter'!E:E,""),"")</f>
        <v>2.14</v>
      </c>
      <c r="D651" s="10" cm="1">
        <f t="array" ref="D651">IFERROR(_xlfn.XLOOKUP(1,('env Parameter'!$A:$A=$A651)*('env Parameter'!$B:$B=$K651)*('env Parameter'!$C:$C=$L651),'env Parameter'!F:F,""),"")</f>
        <v>478</v>
      </c>
      <c r="E651" s="10" cm="1">
        <f t="array" ref="E651">IFERROR(_xlfn.XLOOKUP(1,('env Parameter'!$A:$A=$A651)*('env Parameter'!$B:$B=$K651)*('env Parameter'!$C:$C=$L651),'env Parameter'!G:G,""),"")</f>
        <v>7.6</v>
      </c>
      <c r="F651" t="str">
        <f>eDNA!F651</f>
        <v>MiFish</v>
      </c>
      <c r="G651" t="str">
        <f>eDNA!D651</f>
        <v>Channa argus</v>
      </c>
      <c r="H651" t="str">
        <f>_xlfn.XLOOKUP(G651,'Common name (master file)'!$B:$B,'Common name (master file)'!$A:$A,"-------------")</f>
        <v>가물치</v>
      </c>
      <c r="I651">
        <f>eDNA!E651</f>
        <v>136</v>
      </c>
      <c r="J651" t="str">
        <f>_xlfn.XLOOKUP(G651,'Common name (master file)'!$B:$B,'Common name (master file)'!$C:$C,"")</f>
        <v>어류</v>
      </c>
      <c r="K651">
        <f>eDNA!B651</f>
        <v>126.970473</v>
      </c>
      <c r="L651">
        <f>eDNA!C651</f>
        <v>37.401905599999999</v>
      </c>
      <c r="M651" s="10" t="str" cm="1">
        <f t="array" ref="M651">IFERROR(_xlfn.XLOOKUP(1,('env Parameter'!$A:$A=$A651)*('env Parameter'!$B:$B=$K651)*('env Parameter'!$C:$C=$L651),'env Parameter'!D:D,""),"")</f>
        <v>안양천-29</v>
      </c>
      <c r="N651" s="10" t="str" cm="1">
        <f t="array" ref="N651">IFERROR(_xlfn.XLOOKUP(1,('env Parameter'!$A:$A=$A651)*('env Parameter'!$B:$B=$K651)*('env Parameter'!$C:$C=$L651),'env Parameter'!I:I,""),"")</f>
        <v>YR</v>
      </c>
    </row>
    <row r="652" spans="1:14">
      <c r="A652">
        <f>eDNA!A652</f>
        <v>20200718</v>
      </c>
      <c r="B652" s="10" t="str" cm="1">
        <f t="array" ref="B652">IFERROR(_xlfn.XLOOKUP(1,('env Parameter'!$A:$A=$A652)*('env Parameter'!$B:$B=$K652)*('env Parameter'!$C:$C=$L652),'env Parameter'!H:H,""),"")</f>
        <v>생물상 조사</v>
      </c>
      <c r="C652" s="10" cm="1">
        <f t="array" ref="C652">IFERROR(_xlfn.XLOOKUP(1,('env Parameter'!$A:$A=$A652)*('env Parameter'!$B:$B=$K652)*('env Parameter'!$C:$C=$L652),'env Parameter'!E:E,""),"")</f>
        <v>2.14</v>
      </c>
      <c r="D652" s="10" cm="1">
        <f t="array" ref="D652">IFERROR(_xlfn.XLOOKUP(1,('env Parameter'!$A:$A=$A652)*('env Parameter'!$B:$B=$K652)*('env Parameter'!$C:$C=$L652),'env Parameter'!F:F,""),"")</f>
        <v>478</v>
      </c>
      <c r="E652" s="10" cm="1">
        <f t="array" ref="E652">IFERROR(_xlfn.XLOOKUP(1,('env Parameter'!$A:$A=$A652)*('env Parameter'!$B:$B=$K652)*('env Parameter'!$C:$C=$L652),'env Parameter'!G:G,""),"")</f>
        <v>7.6</v>
      </c>
      <c r="F652" t="str">
        <f>eDNA!F652</f>
        <v>MiFish</v>
      </c>
      <c r="G652" t="str">
        <f>eDNA!D652</f>
        <v>Pseudogobio esocinus</v>
      </c>
      <c r="H652" t="str">
        <f>_xlfn.XLOOKUP(G652,'Common name (master file)'!$B:$B,'Common name (master file)'!$A:$A,"-------------")</f>
        <v>모래무지</v>
      </c>
      <c r="I652">
        <f>eDNA!E652</f>
        <v>178</v>
      </c>
      <c r="J652" t="str">
        <f>_xlfn.XLOOKUP(G652,'Common name (master file)'!$B:$B,'Common name (master file)'!$C:$C,"")</f>
        <v>어류</v>
      </c>
      <c r="K652">
        <f>eDNA!B652</f>
        <v>126.970473</v>
      </c>
      <c r="L652">
        <f>eDNA!C652</f>
        <v>37.401905599999999</v>
      </c>
      <c r="M652" s="10" t="str" cm="1">
        <f t="array" ref="M652">IFERROR(_xlfn.XLOOKUP(1,('env Parameter'!$A:$A=$A652)*('env Parameter'!$B:$B=$K652)*('env Parameter'!$C:$C=$L652),'env Parameter'!D:D,""),"")</f>
        <v>안양천-29</v>
      </c>
      <c r="N652" s="10" t="str" cm="1">
        <f t="array" ref="N652">IFERROR(_xlfn.XLOOKUP(1,('env Parameter'!$A:$A=$A652)*('env Parameter'!$B:$B=$K652)*('env Parameter'!$C:$C=$L652),'env Parameter'!I:I,""),"")</f>
        <v>YR</v>
      </c>
    </row>
    <row r="653" spans="1:14">
      <c r="A653">
        <f>eDNA!A653</f>
        <v>20200718</v>
      </c>
      <c r="B653" s="10" t="str" cm="1">
        <f t="array" ref="B653">IFERROR(_xlfn.XLOOKUP(1,('env Parameter'!$A:$A=$A653)*('env Parameter'!$B:$B=$K653)*('env Parameter'!$C:$C=$L653),'env Parameter'!H:H,""),"")</f>
        <v>생물상 조사</v>
      </c>
      <c r="C653" s="10" cm="1">
        <f t="array" ref="C653">IFERROR(_xlfn.XLOOKUP(1,('env Parameter'!$A:$A=$A653)*('env Parameter'!$B:$B=$K653)*('env Parameter'!$C:$C=$L653),'env Parameter'!E:E,""),"")</f>
        <v>2.14</v>
      </c>
      <c r="D653" s="10" cm="1">
        <f t="array" ref="D653">IFERROR(_xlfn.XLOOKUP(1,('env Parameter'!$A:$A=$A653)*('env Parameter'!$B:$B=$K653)*('env Parameter'!$C:$C=$L653),'env Parameter'!F:F,""),"")</f>
        <v>478</v>
      </c>
      <c r="E653" s="10" cm="1">
        <f t="array" ref="E653">IFERROR(_xlfn.XLOOKUP(1,('env Parameter'!$A:$A=$A653)*('env Parameter'!$B:$B=$K653)*('env Parameter'!$C:$C=$L653),'env Parameter'!G:G,""),"")</f>
        <v>7.6</v>
      </c>
      <c r="F653" t="str">
        <f>eDNA!F653</f>
        <v>MiFish</v>
      </c>
      <c r="G653" t="str">
        <f>eDNA!D653</f>
        <v>Rhinogobius sp.</v>
      </c>
      <c r="H653" t="str">
        <f>_xlfn.XLOOKUP(G653,'Common name (master file)'!$B:$B,'Common name (master file)'!$A:$A,"-------------")</f>
        <v>밀어</v>
      </c>
      <c r="I653">
        <f>eDNA!E653</f>
        <v>211</v>
      </c>
      <c r="J653" t="str">
        <f>_xlfn.XLOOKUP(G653,'Common name (master file)'!$B:$B,'Common name (master file)'!$C:$C,"")</f>
        <v>어류</v>
      </c>
      <c r="K653">
        <f>eDNA!B653</f>
        <v>126.970473</v>
      </c>
      <c r="L653">
        <f>eDNA!C653</f>
        <v>37.401905599999999</v>
      </c>
      <c r="M653" s="10" t="str" cm="1">
        <f t="array" ref="M653">IFERROR(_xlfn.XLOOKUP(1,('env Parameter'!$A:$A=$A653)*('env Parameter'!$B:$B=$K653)*('env Parameter'!$C:$C=$L653),'env Parameter'!D:D,""),"")</f>
        <v>안양천-29</v>
      </c>
      <c r="N653" s="10" t="str" cm="1">
        <f t="array" ref="N653">IFERROR(_xlfn.XLOOKUP(1,('env Parameter'!$A:$A=$A653)*('env Parameter'!$B:$B=$K653)*('env Parameter'!$C:$C=$L653),'env Parameter'!I:I,""),"")</f>
        <v>YR</v>
      </c>
    </row>
    <row r="654" spans="1:14">
      <c r="A654">
        <f>eDNA!A654</f>
        <v>20200718</v>
      </c>
      <c r="B654" s="10" t="str" cm="1">
        <f t="array" ref="B654">IFERROR(_xlfn.XLOOKUP(1,('env Parameter'!$A:$A=$A654)*('env Parameter'!$B:$B=$K654)*('env Parameter'!$C:$C=$L654),'env Parameter'!H:H,""),"")</f>
        <v>생물상 조사</v>
      </c>
      <c r="C654" s="10" cm="1">
        <f t="array" ref="C654">IFERROR(_xlfn.XLOOKUP(1,('env Parameter'!$A:$A=$A654)*('env Parameter'!$B:$B=$K654)*('env Parameter'!$C:$C=$L654),'env Parameter'!E:E,""),"")</f>
        <v>2.14</v>
      </c>
      <c r="D654" s="10" cm="1">
        <f t="array" ref="D654">IFERROR(_xlfn.XLOOKUP(1,('env Parameter'!$A:$A=$A654)*('env Parameter'!$B:$B=$K654)*('env Parameter'!$C:$C=$L654),'env Parameter'!F:F,""),"")</f>
        <v>478</v>
      </c>
      <c r="E654" s="10" cm="1">
        <f t="array" ref="E654">IFERROR(_xlfn.XLOOKUP(1,('env Parameter'!$A:$A=$A654)*('env Parameter'!$B:$B=$K654)*('env Parameter'!$C:$C=$L654),'env Parameter'!G:G,""),"")</f>
        <v>7.6</v>
      </c>
      <c r="F654" t="str">
        <f>eDNA!F654</f>
        <v>MiFish</v>
      </c>
      <c r="G654" t="str">
        <f>eDNA!D654</f>
        <v>Carassius gibelio</v>
      </c>
      <c r="H654" t="str">
        <f>_xlfn.XLOOKUP(G654,'Common name (master file)'!$B:$B,'Common name (master file)'!$A:$A,"-------------")</f>
        <v>기벨리오 붕어</v>
      </c>
      <c r="I654">
        <f>eDNA!E654</f>
        <v>528</v>
      </c>
      <c r="J654" t="str">
        <f>_xlfn.XLOOKUP(G654,'Common name (master file)'!$B:$B,'Common name (master file)'!$C:$C,"")</f>
        <v>어류</v>
      </c>
      <c r="K654">
        <f>eDNA!B654</f>
        <v>126.970473</v>
      </c>
      <c r="L654">
        <f>eDNA!C654</f>
        <v>37.401905599999999</v>
      </c>
      <c r="M654" s="10" t="str" cm="1">
        <f t="array" ref="M654">IFERROR(_xlfn.XLOOKUP(1,('env Parameter'!$A:$A=$A654)*('env Parameter'!$B:$B=$K654)*('env Parameter'!$C:$C=$L654),'env Parameter'!D:D,""),"")</f>
        <v>안양천-29</v>
      </c>
      <c r="N654" s="10" t="str" cm="1">
        <f t="array" ref="N654">IFERROR(_xlfn.XLOOKUP(1,('env Parameter'!$A:$A=$A654)*('env Parameter'!$B:$B=$K654)*('env Parameter'!$C:$C=$L654),'env Parameter'!I:I,""),"")</f>
        <v>YR</v>
      </c>
    </row>
    <row r="655" spans="1:14">
      <c r="A655">
        <f>eDNA!A655</f>
        <v>20200718</v>
      </c>
      <c r="B655" s="10" t="str" cm="1">
        <f t="array" ref="B655">IFERROR(_xlfn.XLOOKUP(1,('env Parameter'!$A:$A=$A655)*('env Parameter'!$B:$B=$K655)*('env Parameter'!$C:$C=$L655),'env Parameter'!H:H,""),"")</f>
        <v>생물상 조사</v>
      </c>
      <c r="C655" s="10" cm="1">
        <f t="array" ref="C655">IFERROR(_xlfn.XLOOKUP(1,('env Parameter'!$A:$A=$A655)*('env Parameter'!$B:$B=$K655)*('env Parameter'!$C:$C=$L655),'env Parameter'!E:E,""),"")</f>
        <v>2.14</v>
      </c>
      <c r="D655" s="10" cm="1">
        <f t="array" ref="D655">IFERROR(_xlfn.XLOOKUP(1,('env Parameter'!$A:$A=$A655)*('env Parameter'!$B:$B=$K655)*('env Parameter'!$C:$C=$L655),'env Parameter'!F:F,""),"")</f>
        <v>478</v>
      </c>
      <c r="E655" s="10" cm="1">
        <f t="array" ref="E655">IFERROR(_xlfn.XLOOKUP(1,('env Parameter'!$A:$A=$A655)*('env Parameter'!$B:$B=$K655)*('env Parameter'!$C:$C=$L655),'env Parameter'!G:G,""),"")</f>
        <v>7.6</v>
      </c>
      <c r="F655" t="str">
        <f>eDNA!F655</f>
        <v>MiFish</v>
      </c>
      <c r="G655" t="str">
        <f>eDNA!D655</f>
        <v>Odontobutis interrupta</v>
      </c>
      <c r="H655" t="str">
        <f>_xlfn.XLOOKUP(G655,'Common name (master file)'!$B:$B,'Common name (master file)'!$A:$A,"-------------")</f>
        <v>얼록동사리</v>
      </c>
      <c r="I655">
        <f>eDNA!E655</f>
        <v>2567</v>
      </c>
      <c r="J655" t="str">
        <f>_xlfn.XLOOKUP(G655,'Common name (master file)'!$B:$B,'Common name (master file)'!$C:$C,"")</f>
        <v>어류</v>
      </c>
      <c r="K655">
        <f>eDNA!B655</f>
        <v>126.970473</v>
      </c>
      <c r="L655">
        <f>eDNA!C655</f>
        <v>37.401905599999999</v>
      </c>
      <c r="M655" s="10" t="str" cm="1">
        <f t="array" ref="M655">IFERROR(_xlfn.XLOOKUP(1,('env Parameter'!$A:$A=$A655)*('env Parameter'!$B:$B=$K655)*('env Parameter'!$C:$C=$L655),'env Parameter'!D:D,""),"")</f>
        <v>안양천-29</v>
      </c>
      <c r="N655" s="10" t="str" cm="1">
        <f t="array" ref="N655">IFERROR(_xlfn.XLOOKUP(1,('env Parameter'!$A:$A=$A655)*('env Parameter'!$B:$B=$K655)*('env Parameter'!$C:$C=$L655),'env Parameter'!I:I,""),"")</f>
        <v>YR</v>
      </c>
    </row>
    <row r="656" spans="1:14">
      <c r="A656">
        <f>eDNA!A656</f>
        <v>20200718</v>
      </c>
      <c r="B656" s="10" t="str" cm="1">
        <f t="array" ref="B656">IFERROR(_xlfn.XLOOKUP(1,('env Parameter'!$A:$A=$A656)*('env Parameter'!$B:$B=$K656)*('env Parameter'!$C:$C=$L656),'env Parameter'!H:H,""),"")</f>
        <v>생물상 조사</v>
      </c>
      <c r="C656" s="10" cm="1">
        <f t="array" ref="C656">IFERROR(_xlfn.XLOOKUP(1,('env Parameter'!$A:$A=$A656)*('env Parameter'!$B:$B=$K656)*('env Parameter'!$C:$C=$L656),'env Parameter'!E:E,""),"")</f>
        <v>2.14</v>
      </c>
      <c r="D656" s="10" cm="1">
        <f t="array" ref="D656">IFERROR(_xlfn.XLOOKUP(1,('env Parameter'!$A:$A=$A656)*('env Parameter'!$B:$B=$K656)*('env Parameter'!$C:$C=$L656),'env Parameter'!F:F,""),"")</f>
        <v>478</v>
      </c>
      <c r="E656" s="10" cm="1">
        <f t="array" ref="E656">IFERROR(_xlfn.XLOOKUP(1,('env Parameter'!$A:$A=$A656)*('env Parameter'!$B:$B=$K656)*('env Parameter'!$C:$C=$L656),'env Parameter'!G:G,""),"")</f>
        <v>7.6</v>
      </c>
      <c r="F656" t="str">
        <f>eDNA!F656</f>
        <v>MiFish</v>
      </c>
      <c r="G656" t="str">
        <f>eDNA!D656</f>
        <v>Zacco platypus</v>
      </c>
      <c r="H656" t="str">
        <f>_xlfn.XLOOKUP(G656,'Common name (master file)'!$B:$B,'Common name (master file)'!$A:$A,"-------------")</f>
        <v>피라미</v>
      </c>
      <c r="I656">
        <f>eDNA!E656</f>
        <v>4617</v>
      </c>
      <c r="J656" t="str">
        <f>_xlfn.XLOOKUP(G656,'Common name (master file)'!$B:$B,'Common name (master file)'!$C:$C,"")</f>
        <v>어류</v>
      </c>
      <c r="K656">
        <f>eDNA!B656</f>
        <v>126.970473</v>
      </c>
      <c r="L656">
        <f>eDNA!C656</f>
        <v>37.401905599999999</v>
      </c>
      <c r="M656" s="10" t="str" cm="1">
        <f t="array" ref="M656">IFERROR(_xlfn.XLOOKUP(1,('env Parameter'!$A:$A=$A656)*('env Parameter'!$B:$B=$K656)*('env Parameter'!$C:$C=$L656),'env Parameter'!D:D,""),"")</f>
        <v>안양천-29</v>
      </c>
      <c r="N656" s="10" t="str" cm="1">
        <f t="array" ref="N656">IFERROR(_xlfn.XLOOKUP(1,('env Parameter'!$A:$A=$A656)*('env Parameter'!$B:$B=$K656)*('env Parameter'!$C:$C=$L656),'env Parameter'!I:I,""),"")</f>
        <v>YR</v>
      </c>
    </row>
    <row r="657" spans="1:14">
      <c r="A657">
        <f>eDNA!A657</f>
        <v>20200718</v>
      </c>
      <c r="B657" s="10" t="str" cm="1">
        <f t="array" ref="B657">IFERROR(_xlfn.XLOOKUP(1,('env Parameter'!$A:$A=$A657)*('env Parameter'!$B:$B=$K657)*('env Parameter'!$C:$C=$L657),'env Parameter'!H:H,""),"")</f>
        <v>생물상 조사</v>
      </c>
      <c r="C657" s="10" cm="1">
        <f t="array" ref="C657">IFERROR(_xlfn.XLOOKUP(1,('env Parameter'!$A:$A=$A657)*('env Parameter'!$B:$B=$K657)*('env Parameter'!$C:$C=$L657),'env Parameter'!E:E,""),"")</f>
        <v>2.14</v>
      </c>
      <c r="D657" s="10" cm="1">
        <f t="array" ref="D657">IFERROR(_xlfn.XLOOKUP(1,('env Parameter'!$A:$A=$A657)*('env Parameter'!$B:$B=$K657)*('env Parameter'!$C:$C=$L657),'env Parameter'!F:F,""),"")</f>
        <v>478</v>
      </c>
      <c r="E657" s="10" cm="1">
        <f t="array" ref="E657">IFERROR(_xlfn.XLOOKUP(1,('env Parameter'!$A:$A=$A657)*('env Parameter'!$B:$B=$K657)*('env Parameter'!$C:$C=$L657),'env Parameter'!G:G,""),"")</f>
        <v>7.6</v>
      </c>
      <c r="F657" t="str">
        <f>eDNA!F657</f>
        <v>MiFish</v>
      </c>
      <c r="G657" t="str">
        <f>eDNA!D657</f>
        <v>Pseudorasbora parva</v>
      </c>
      <c r="H657" t="str">
        <f>_xlfn.XLOOKUP(G657,'Common name (master file)'!$B:$B,'Common name (master file)'!$A:$A,"-------------")</f>
        <v>참붕어</v>
      </c>
      <c r="I657">
        <f>eDNA!E657</f>
        <v>3917</v>
      </c>
      <c r="J657" t="str">
        <f>_xlfn.XLOOKUP(G657,'Common name (master file)'!$B:$B,'Common name (master file)'!$C:$C,"")</f>
        <v>어류</v>
      </c>
      <c r="K657">
        <f>eDNA!B657</f>
        <v>126.970473</v>
      </c>
      <c r="L657">
        <f>eDNA!C657</f>
        <v>37.401905599999999</v>
      </c>
      <c r="M657" s="10" t="str" cm="1">
        <f t="array" ref="M657">IFERROR(_xlfn.XLOOKUP(1,('env Parameter'!$A:$A=$A657)*('env Parameter'!$B:$B=$K657)*('env Parameter'!$C:$C=$L657),'env Parameter'!D:D,""),"")</f>
        <v>안양천-29</v>
      </c>
      <c r="N657" s="10" t="str" cm="1">
        <f t="array" ref="N657">IFERROR(_xlfn.XLOOKUP(1,('env Parameter'!$A:$A=$A657)*('env Parameter'!$B:$B=$K657)*('env Parameter'!$C:$C=$L657),'env Parameter'!I:I,""),"")</f>
        <v>YR</v>
      </c>
    </row>
    <row r="658" spans="1:14">
      <c r="A658">
        <f>eDNA!A658</f>
        <v>20200718</v>
      </c>
      <c r="B658" s="10" t="str" cm="1">
        <f t="array" ref="B658">IFERROR(_xlfn.XLOOKUP(1,('env Parameter'!$A:$A=$A658)*('env Parameter'!$B:$B=$K658)*('env Parameter'!$C:$C=$L658),'env Parameter'!H:H,""),"")</f>
        <v>생물상 조사</v>
      </c>
      <c r="C658" s="10" cm="1">
        <f t="array" ref="C658">IFERROR(_xlfn.XLOOKUP(1,('env Parameter'!$A:$A=$A658)*('env Parameter'!$B:$B=$K658)*('env Parameter'!$C:$C=$L658),'env Parameter'!E:E,""),"")</f>
        <v>2.14</v>
      </c>
      <c r="D658" s="10" cm="1">
        <f t="array" ref="D658">IFERROR(_xlfn.XLOOKUP(1,('env Parameter'!$A:$A=$A658)*('env Parameter'!$B:$B=$K658)*('env Parameter'!$C:$C=$L658),'env Parameter'!F:F,""),"")</f>
        <v>478</v>
      </c>
      <c r="E658" s="10" cm="1">
        <f t="array" ref="E658">IFERROR(_xlfn.XLOOKUP(1,('env Parameter'!$A:$A=$A658)*('env Parameter'!$B:$B=$K658)*('env Parameter'!$C:$C=$L658),'env Parameter'!G:G,""),"")</f>
        <v>7.6</v>
      </c>
      <c r="F658" t="str">
        <f>eDNA!F658</f>
        <v>MiFish</v>
      </c>
      <c r="G658" t="str">
        <f>eDNA!D658</f>
        <v>Culter dabryi</v>
      </c>
      <c r="H658" t="str">
        <f>_xlfn.XLOOKUP(G658,'Common name (master file)'!$B:$B,'Common name (master file)'!$A:$A,"-------------")</f>
        <v>다브리날카로운입치</v>
      </c>
      <c r="I658">
        <f>eDNA!E658</f>
        <v>16</v>
      </c>
      <c r="J658" t="str">
        <f>_xlfn.XLOOKUP(G658,'Common name (master file)'!$B:$B,'Common name (master file)'!$C:$C,"")</f>
        <v>어류</v>
      </c>
      <c r="K658">
        <f>eDNA!B658</f>
        <v>126.9866722</v>
      </c>
      <c r="L658">
        <f>eDNA!C658</f>
        <v>37.398721700000003</v>
      </c>
      <c r="M658" s="10" t="str" cm="1">
        <f t="array" ref="M658">IFERROR(_xlfn.XLOOKUP(1,('env Parameter'!$A:$A=$A658)*('env Parameter'!$B:$B=$K658)*('env Parameter'!$C:$C=$L658),'env Parameter'!D:D,""),"")</f>
        <v>안양천-30</v>
      </c>
      <c r="N658" s="10" t="str" cm="1">
        <f t="array" ref="N658">IFERROR(_xlfn.XLOOKUP(1,('env Parameter'!$A:$A=$A658)*('env Parameter'!$B:$B=$K658)*('env Parameter'!$C:$C=$L658),'env Parameter'!I:I,""),"")</f>
        <v>YR</v>
      </c>
    </row>
    <row r="659" spans="1:14">
      <c r="A659">
        <f>eDNA!A659</f>
        <v>20200718</v>
      </c>
      <c r="B659" s="10" t="str" cm="1">
        <f t="array" ref="B659">IFERROR(_xlfn.XLOOKUP(1,('env Parameter'!$A:$A=$A659)*('env Parameter'!$B:$B=$K659)*('env Parameter'!$C:$C=$L659),'env Parameter'!H:H,""),"")</f>
        <v>생물상 조사</v>
      </c>
      <c r="C659" s="10" cm="1">
        <f t="array" ref="C659">IFERROR(_xlfn.XLOOKUP(1,('env Parameter'!$A:$A=$A659)*('env Parameter'!$B:$B=$K659)*('env Parameter'!$C:$C=$L659),'env Parameter'!E:E,""),"")</f>
        <v>2.14</v>
      </c>
      <c r="D659" s="10" cm="1">
        <f t="array" ref="D659">IFERROR(_xlfn.XLOOKUP(1,('env Parameter'!$A:$A=$A659)*('env Parameter'!$B:$B=$K659)*('env Parameter'!$C:$C=$L659),'env Parameter'!F:F,""),"")</f>
        <v>478</v>
      </c>
      <c r="E659" s="10" cm="1">
        <f t="array" ref="E659">IFERROR(_xlfn.XLOOKUP(1,('env Parameter'!$A:$A=$A659)*('env Parameter'!$B:$B=$K659)*('env Parameter'!$C:$C=$L659),'env Parameter'!G:G,""),"")</f>
        <v>7.6</v>
      </c>
      <c r="F659" t="str">
        <f>eDNA!F659</f>
        <v>MiFish</v>
      </c>
      <c r="G659" t="str">
        <f>eDNA!D659</f>
        <v>Carassius auratus</v>
      </c>
      <c r="H659" t="str">
        <f>_xlfn.XLOOKUP(G659,'Common name (master file)'!$B:$B,'Common name (master file)'!$A:$A,"-------------")</f>
        <v>붕어</v>
      </c>
      <c r="I659">
        <f>eDNA!E659</f>
        <v>18</v>
      </c>
      <c r="J659" t="str">
        <f>_xlfn.XLOOKUP(G659,'Common name (master file)'!$B:$B,'Common name (master file)'!$C:$C,"")</f>
        <v>어류</v>
      </c>
      <c r="K659">
        <f>eDNA!B659</f>
        <v>126.9866722</v>
      </c>
      <c r="L659">
        <f>eDNA!C659</f>
        <v>37.398721700000003</v>
      </c>
      <c r="M659" s="10" t="str" cm="1">
        <f t="array" ref="M659">IFERROR(_xlfn.XLOOKUP(1,('env Parameter'!$A:$A=$A659)*('env Parameter'!$B:$B=$K659)*('env Parameter'!$C:$C=$L659),'env Parameter'!D:D,""),"")</f>
        <v>안양천-30</v>
      </c>
      <c r="N659" s="10" t="str" cm="1">
        <f t="array" ref="N659">IFERROR(_xlfn.XLOOKUP(1,('env Parameter'!$A:$A=$A659)*('env Parameter'!$B:$B=$K659)*('env Parameter'!$C:$C=$L659),'env Parameter'!I:I,""),"")</f>
        <v>YR</v>
      </c>
    </row>
    <row r="660" spans="1:14">
      <c r="A660">
        <f>eDNA!A660</f>
        <v>20200718</v>
      </c>
      <c r="B660" s="10" t="str" cm="1">
        <f t="array" ref="B660">IFERROR(_xlfn.XLOOKUP(1,('env Parameter'!$A:$A=$A660)*('env Parameter'!$B:$B=$K660)*('env Parameter'!$C:$C=$L660),'env Parameter'!H:H,""),"")</f>
        <v>생물상 조사</v>
      </c>
      <c r="C660" s="10" cm="1">
        <f t="array" ref="C660">IFERROR(_xlfn.XLOOKUP(1,('env Parameter'!$A:$A=$A660)*('env Parameter'!$B:$B=$K660)*('env Parameter'!$C:$C=$L660),'env Parameter'!E:E,""),"")</f>
        <v>2.14</v>
      </c>
      <c r="D660" s="10" cm="1">
        <f t="array" ref="D660">IFERROR(_xlfn.XLOOKUP(1,('env Parameter'!$A:$A=$A660)*('env Parameter'!$B:$B=$K660)*('env Parameter'!$C:$C=$L660),'env Parameter'!F:F,""),"")</f>
        <v>478</v>
      </c>
      <c r="E660" s="10" cm="1">
        <f t="array" ref="E660">IFERROR(_xlfn.XLOOKUP(1,('env Parameter'!$A:$A=$A660)*('env Parameter'!$B:$B=$K660)*('env Parameter'!$C:$C=$L660),'env Parameter'!G:G,""),"")</f>
        <v>7.6</v>
      </c>
      <c r="F660" t="str">
        <f>eDNA!F660</f>
        <v>MiFish</v>
      </c>
      <c r="G660" t="str">
        <f>eDNA!D660</f>
        <v>Tridentiger obscurus</v>
      </c>
      <c r="H660" t="str">
        <f>_xlfn.XLOOKUP(G660,'Common name (master file)'!$B:$B,'Common name (master file)'!$A:$A,"-------------")</f>
        <v>검정망둑</v>
      </c>
      <c r="I660">
        <f>eDNA!E660</f>
        <v>19</v>
      </c>
      <c r="J660" t="str">
        <f>_xlfn.XLOOKUP(G660,'Common name (master file)'!$B:$B,'Common name (master file)'!$C:$C,"")</f>
        <v>어류</v>
      </c>
      <c r="K660">
        <f>eDNA!B660</f>
        <v>126.9866722</v>
      </c>
      <c r="L660">
        <f>eDNA!C660</f>
        <v>37.398721700000003</v>
      </c>
      <c r="M660" s="10" t="str" cm="1">
        <f t="array" ref="M660">IFERROR(_xlfn.XLOOKUP(1,('env Parameter'!$A:$A=$A660)*('env Parameter'!$B:$B=$K660)*('env Parameter'!$C:$C=$L660),'env Parameter'!D:D,""),"")</f>
        <v>안양천-30</v>
      </c>
      <c r="N660" s="10" t="str" cm="1">
        <f t="array" ref="N660">IFERROR(_xlfn.XLOOKUP(1,('env Parameter'!$A:$A=$A660)*('env Parameter'!$B:$B=$K660)*('env Parameter'!$C:$C=$L660),'env Parameter'!I:I,""),"")</f>
        <v>YR</v>
      </c>
    </row>
    <row r="661" spans="1:14">
      <c r="A661">
        <f>eDNA!A661</f>
        <v>20200718</v>
      </c>
      <c r="B661" s="10" t="str" cm="1">
        <f t="array" ref="B661">IFERROR(_xlfn.XLOOKUP(1,('env Parameter'!$A:$A=$A661)*('env Parameter'!$B:$B=$K661)*('env Parameter'!$C:$C=$L661),'env Parameter'!H:H,""),"")</f>
        <v>생물상 조사</v>
      </c>
      <c r="C661" s="10" cm="1">
        <f t="array" ref="C661">IFERROR(_xlfn.XLOOKUP(1,('env Parameter'!$A:$A=$A661)*('env Parameter'!$B:$B=$K661)*('env Parameter'!$C:$C=$L661),'env Parameter'!E:E,""),"")</f>
        <v>2.14</v>
      </c>
      <c r="D661" s="10" cm="1">
        <f t="array" ref="D661">IFERROR(_xlfn.XLOOKUP(1,('env Parameter'!$A:$A=$A661)*('env Parameter'!$B:$B=$K661)*('env Parameter'!$C:$C=$L661),'env Parameter'!F:F,""),"")</f>
        <v>478</v>
      </c>
      <c r="E661" s="10" cm="1">
        <f t="array" ref="E661">IFERROR(_xlfn.XLOOKUP(1,('env Parameter'!$A:$A=$A661)*('env Parameter'!$B:$B=$K661)*('env Parameter'!$C:$C=$L661),'env Parameter'!G:G,""),"")</f>
        <v>7.6</v>
      </c>
      <c r="F661" t="str">
        <f>eDNA!F661</f>
        <v>MiFish</v>
      </c>
      <c r="G661" t="str">
        <f>eDNA!D661</f>
        <v>Homo sapiens</v>
      </c>
      <c r="H661" t="str">
        <f>_xlfn.XLOOKUP(G661,'Common name (master file)'!$B:$B,'Common name (master file)'!$A:$A,"-------------")</f>
        <v>사람</v>
      </c>
      <c r="I661">
        <f>eDNA!E661</f>
        <v>20</v>
      </c>
      <c r="J661" t="str">
        <f>_xlfn.XLOOKUP(G661,'Common name (master file)'!$B:$B,'Common name (master file)'!$C:$C,"")</f>
        <v>포유류</v>
      </c>
      <c r="K661">
        <f>eDNA!B661</f>
        <v>126.9866722</v>
      </c>
      <c r="L661">
        <f>eDNA!C661</f>
        <v>37.398721700000003</v>
      </c>
      <c r="M661" s="10" t="str" cm="1">
        <f t="array" ref="M661">IFERROR(_xlfn.XLOOKUP(1,('env Parameter'!$A:$A=$A661)*('env Parameter'!$B:$B=$K661)*('env Parameter'!$C:$C=$L661),'env Parameter'!D:D,""),"")</f>
        <v>안양천-30</v>
      </c>
      <c r="N661" s="10" t="str" cm="1">
        <f t="array" ref="N661">IFERROR(_xlfn.XLOOKUP(1,('env Parameter'!$A:$A=$A661)*('env Parameter'!$B:$B=$K661)*('env Parameter'!$C:$C=$L661),'env Parameter'!I:I,""),"")</f>
        <v>YR</v>
      </c>
    </row>
    <row r="662" spans="1:14">
      <c r="A662">
        <f>eDNA!A662</f>
        <v>20200718</v>
      </c>
      <c r="B662" s="10" t="str" cm="1">
        <f t="array" ref="B662">IFERROR(_xlfn.XLOOKUP(1,('env Parameter'!$A:$A=$A662)*('env Parameter'!$B:$B=$K662)*('env Parameter'!$C:$C=$L662),'env Parameter'!H:H,""),"")</f>
        <v>생물상 조사</v>
      </c>
      <c r="C662" s="10" cm="1">
        <f t="array" ref="C662">IFERROR(_xlfn.XLOOKUP(1,('env Parameter'!$A:$A=$A662)*('env Parameter'!$B:$B=$K662)*('env Parameter'!$C:$C=$L662),'env Parameter'!E:E,""),"")</f>
        <v>2.14</v>
      </c>
      <c r="D662" s="10" cm="1">
        <f t="array" ref="D662">IFERROR(_xlfn.XLOOKUP(1,('env Parameter'!$A:$A=$A662)*('env Parameter'!$B:$B=$K662)*('env Parameter'!$C:$C=$L662),'env Parameter'!F:F,""),"")</f>
        <v>478</v>
      </c>
      <c r="E662" s="10" cm="1">
        <f t="array" ref="E662">IFERROR(_xlfn.XLOOKUP(1,('env Parameter'!$A:$A=$A662)*('env Parameter'!$B:$B=$K662)*('env Parameter'!$C:$C=$L662),'env Parameter'!G:G,""),"")</f>
        <v>7.6</v>
      </c>
      <c r="F662" t="str">
        <f>eDNA!F662</f>
        <v>MiFish</v>
      </c>
      <c r="G662" t="str">
        <f>eDNA!D662</f>
        <v>Gnathopogon polytaenia</v>
      </c>
      <c r="H662" t="str">
        <f>_xlfn.XLOOKUP(G662,'Common name (master file)'!$B:$B,'Common name (master file)'!$A:$A,"-------------")</f>
        <v>폴리테니아 줄몰개</v>
      </c>
      <c r="I662">
        <f>eDNA!E662</f>
        <v>22</v>
      </c>
      <c r="J662" t="str">
        <f>_xlfn.XLOOKUP(G662,'Common name (master file)'!$B:$B,'Common name (master file)'!$C:$C,"")</f>
        <v>어류</v>
      </c>
      <c r="K662">
        <f>eDNA!B662</f>
        <v>126.9866722</v>
      </c>
      <c r="L662">
        <f>eDNA!C662</f>
        <v>37.398721700000003</v>
      </c>
      <c r="M662" s="10" t="str" cm="1">
        <f t="array" ref="M662">IFERROR(_xlfn.XLOOKUP(1,('env Parameter'!$A:$A=$A662)*('env Parameter'!$B:$B=$K662)*('env Parameter'!$C:$C=$L662),'env Parameter'!D:D,""),"")</f>
        <v>안양천-30</v>
      </c>
      <c r="N662" s="10" t="str" cm="1">
        <f t="array" ref="N662">IFERROR(_xlfn.XLOOKUP(1,('env Parameter'!$A:$A=$A662)*('env Parameter'!$B:$B=$K662)*('env Parameter'!$C:$C=$L662),'env Parameter'!I:I,""),"")</f>
        <v>YR</v>
      </c>
    </row>
    <row r="663" spans="1:14">
      <c r="A663">
        <f>eDNA!A663</f>
        <v>20200718</v>
      </c>
      <c r="B663" s="10" t="str" cm="1">
        <f t="array" ref="B663">IFERROR(_xlfn.XLOOKUP(1,('env Parameter'!$A:$A=$A663)*('env Parameter'!$B:$B=$K663)*('env Parameter'!$C:$C=$L663),'env Parameter'!H:H,""),"")</f>
        <v>생물상 조사</v>
      </c>
      <c r="C663" s="10" cm="1">
        <f t="array" ref="C663">IFERROR(_xlfn.XLOOKUP(1,('env Parameter'!$A:$A=$A663)*('env Parameter'!$B:$B=$K663)*('env Parameter'!$C:$C=$L663),'env Parameter'!E:E,""),"")</f>
        <v>2.14</v>
      </c>
      <c r="D663" s="10" cm="1">
        <f t="array" ref="D663">IFERROR(_xlfn.XLOOKUP(1,('env Parameter'!$A:$A=$A663)*('env Parameter'!$B:$B=$K663)*('env Parameter'!$C:$C=$L663),'env Parameter'!F:F,""),"")</f>
        <v>478</v>
      </c>
      <c r="E663" s="10" cm="1">
        <f t="array" ref="E663">IFERROR(_xlfn.XLOOKUP(1,('env Parameter'!$A:$A=$A663)*('env Parameter'!$B:$B=$K663)*('env Parameter'!$C:$C=$L663),'env Parameter'!G:G,""),"")</f>
        <v>7.6</v>
      </c>
      <c r="F663" t="str">
        <f>eDNA!F663</f>
        <v>MiFish</v>
      </c>
      <c r="G663" t="str">
        <f>eDNA!D663</f>
        <v>Lepomis macrochirus</v>
      </c>
      <c r="H663" t="str">
        <f>_xlfn.XLOOKUP(G663,'Common name (master file)'!$B:$B,'Common name (master file)'!$A:$A,"-------------")</f>
        <v>블루길</v>
      </c>
      <c r="I663">
        <f>eDNA!E663</f>
        <v>34</v>
      </c>
      <c r="J663" t="str">
        <f>_xlfn.XLOOKUP(G663,'Common name (master file)'!$B:$B,'Common name (master file)'!$C:$C,"")</f>
        <v>어류</v>
      </c>
      <c r="K663">
        <f>eDNA!B663</f>
        <v>126.9866722</v>
      </c>
      <c r="L663">
        <f>eDNA!C663</f>
        <v>37.398721700000003</v>
      </c>
      <c r="M663" s="10" t="str" cm="1">
        <f t="array" ref="M663">IFERROR(_xlfn.XLOOKUP(1,('env Parameter'!$A:$A=$A663)*('env Parameter'!$B:$B=$K663)*('env Parameter'!$C:$C=$L663),'env Parameter'!D:D,""),"")</f>
        <v>안양천-30</v>
      </c>
      <c r="N663" s="10" t="str" cm="1">
        <f t="array" ref="N663">IFERROR(_xlfn.XLOOKUP(1,('env Parameter'!$A:$A=$A663)*('env Parameter'!$B:$B=$K663)*('env Parameter'!$C:$C=$L663),'env Parameter'!I:I,""),"")</f>
        <v>YR</v>
      </c>
    </row>
    <row r="664" spans="1:14">
      <c r="A664">
        <f>eDNA!A664</f>
        <v>20200718</v>
      </c>
      <c r="B664" s="10" t="str" cm="1">
        <f t="array" ref="B664">IFERROR(_xlfn.XLOOKUP(1,('env Parameter'!$A:$A=$A664)*('env Parameter'!$B:$B=$K664)*('env Parameter'!$C:$C=$L664),'env Parameter'!H:H,""),"")</f>
        <v>생물상 조사</v>
      </c>
      <c r="C664" s="10" cm="1">
        <f t="array" ref="C664">IFERROR(_xlfn.XLOOKUP(1,('env Parameter'!$A:$A=$A664)*('env Parameter'!$B:$B=$K664)*('env Parameter'!$C:$C=$L664),'env Parameter'!E:E,""),"")</f>
        <v>2.14</v>
      </c>
      <c r="D664" s="10" cm="1">
        <f t="array" ref="D664">IFERROR(_xlfn.XLOOKUP(1,('env Parameter'!$A:$A=$A664)*('env Parameter'!$B:$B=$K664)*('env Parameter'!$C:$C=$L664),'env Parameter'!F:F,""),"")</f>
        <v>478</v>
      </c>
      <c r="E664" s="10" cm="1">
        <f t="array" ref="E664">IFERROR(_xlfn.XLOOKUP(1,('env Parameter'!$A:$A=$A664)*('env Parameter'!$B:$B=$K664)*('env Parameter'!$C:$C=$L664),'env Parameter'!G:G,""),"")</f>
        <v>7.6</v>
      </c>
      <c r="F664" t="str">
        <f>eDNA!F664</f>
        <v>MiFish</v>
      </c>
      <c r="G664" t="str">
        <f>eDNA!D664</f>
        <v>Misgurnus bipartitus</v>
      </c>
      <c r="H664" t="str">
        <f>_xlfn.XLOOKUP(G664,'Common name (master file)'!$B:$B,'Common name (master file)'!$A:$A,"-------------")</f>
        <v>쌍무늬미꾸리</v>
      </c>
      <c r="I664">
        <f>eDNA!E664</f>
        <v>69</v>
      </c>
      <c r="J664" t="str">
        <f>_xlfn.XLOOKUP(G664,'Common name (master file)'!$B:$B,'Common name (master file)'!$C:$C,"")</f>
        <v>어류</v>
      </c>
      <c r="K664">
        <f>eDNA!B664</f>
        <v>126.9866722</v>
      </c>
      <c r="L664">
        <f>eDNA!C664</f>
        <v>37.398721700000003</v>
      </c>
      <c r="M664" s="10" t="str" cm="1">
        <f t="array" ref="M664">IFERROR(_xlfn.XLOOKUP(1,('env Parameter'!$A:$A=$A664)*('env Parameter'!$B:$B=$K664)*('env Parameter'!$C:$C=$L664),'env Parameter'!D:D,""),"")</f>
        <v>안양천-30</v>
      </c>
      <c r="N664" s="10" t="str" cm="1">
        <f t="array" ref="N664">IFERROR(_xlfn.XLOOKUP(1,('env Parameter'!$A:$A=$A664)*('env Parameter'!$B:$B=$K664)*('env Parameter'!$C:$C=$L664),'env Parameter'!I:I,""),"")</f>
        <v>YR</v>
      </c>
    </row>
    <row r="665" spans="1:14">
      <c r="A665">
        <f>eDNA!A665</f>
        <v>20200718</v>
      </c>
      <c r="B665" s="10" t="str" cm="1">
        <f t="array" ref="B665">IFERROR(_xlfn.XLOOKUP(1,('env Parameter'!$A:$A=$A665)*('env Parameter'!$B:$B=$K665)*('env Parameter'!$C:$C=$L665),'env Parameter'!H:H,""),"")</f>
        <v>생물상 조사</v>
      </c>
      <c r="C665" s="10" cm="1">
        <f t="array" ref="C665">IFERROR(_xlfn.XLOOKUP(1,('env Parameter'!$A:$A=$A665)*('env Parameter'!$B:$B=$K665)*('env Parameter'!$C:$C=$L665),'env Parameter'!E:E,""),"")</f>
        <v>2.14</v>
      </c>
      <c r="D665" s="10" cm="1">
        <f t="array" ref="D665">IFERROR(_xlfn.XLOOKUP(1,('env Parameter'!$A:$A=$A665)*('env Parameter'!$B:$B=$K665)*('env Parameter'!$C:$C=$L665),'env Parameter'!F:F,""),"")</f>
        <v>478</v>
      </c>
      <c r="E665" s="10" cm="1">
        <f t="array" ref="E665">IFERROR(_xlfn.XLOOKUP(1,('env Parameter'!$A:$A=$A665)*('env Parameter'!$B:$B=$K665)*('env Parameter'!$C:$C=$L665),'env Parameter'!G:G,""),"")</f>
        <v>7.6</v>
      </c>
      <c r="F665" t="str">
        <f>eDNA!F665</f>
        <v>MiFish</v>
      </c>
      <c r="G665" t="str">
        <f>eDNA!D665</f>
        <v>Rhinogobius sp.</v>
      </c>
      <c r="H665" t="str">
        <f>_xlfn.XLOOKUP(G665,'Common name (master file)'!$B:$B,'Common name (master file)'!$A:$A,"-------------")</f>
        <v>밀어</v>
      </c>
      <c r="I665">
        <f>eDNA!E665</f>
        <v>78</v>
      </c>
      <c r="J665" t="str">
        <f>_xlfn.XLOOKUP(G665,'Common name (master file)'!$B:$B,'Common name (master file)'!$C:$C,"")</f>
        <v>어류</v>
      </c>
      <c r="K665">
        <f>eDNA!B665</f>
        <v>126.9866722</v>
      </c>
      <c r="L665">
        <f>eDNA!C665</f>
        <v>37.398721700000003</v>
      </c>
      <c r="M665" s="10" t="str" cm="1">
        <f t="array" ref="M665">IFERROR(_xlfn.XLOOKUP(1,('env Parameter'!$A:$A=$A665)*('env Parameter'!$B:$B=$K665)*('env Parameter'!$C:$C=$L665),'env Parameter'!D:D,""),"")</f>
        <v>안양천-30</v>
      </c>
      <c r="N665" s="10" t="str" cm="1">
        <f t="array" ref="N665">IFERROR(_xlfn.XLOOKUP(1,('env Parameter'!$A:$A=$A665)*('env Parameter'!$B:$B=$K665)*('env Parameter'!$C:$C=$L665),'env Parameter'!I:I,""),"")</f>
        <v>YR</v>
      </c>
    </row>
    <row r="666" spans="1:14">
      <c r="A666">
        <f>eDNA!A666</f>
        <v>20200718</v>
      </c>
      <c r="B666" s="10" t="str" cm="1">
        <f t="array" ref="B666">IFERROR(_xlfn.XLOOKUP(1,('env Parameter'!$A:$A=$A666)*('env Parameter'!$B:$B=$K666)*('env Parameter'!$C:$C=$L666),'env Parameter'!H:H,""),"")</f>
        <v>생물상 조사</v>
      </c>
      <c r="C666" s="10" cm="1">
        <f t="array" ref="C666">IFERROR(_xlfn.XLOOKUP(1,('env Parameter'!$A:$A=$A666)*('env Parameter'!$B:$B=$K666)*('env Parameter'!$C:$C=$L666),'env Parameter'!E:E,""),"")</f>
        <v>2.14</v>
      </c>
      <c r="D666" s="10" cm="1">
        <f t="array" ref="D666">IFERROR(_xlfn.XLOOKUP(1,('env Parameter'!$A:$A=$A666)*('env Parameter'!$B:$B=$K666)*('env Parameter'!$C:$C=$L666),'env Parameter'!F:F,""),"")</f>
        <v>478</v>
      </c>
      <c r="E666" s="10" cm="1">
        <f t="array" ref="E666">IFERROR(_xlfn.XLOOKUP(1,('env Parameter'!$A:$A=$A666)*('env Parameter'!$B:$B=$K666)*('env Parameter'!$C:$C=$L666),'env Parameter'!G:G,""),"")</f>
        <v>7.6</v>
      </c>
      <c r="F666" t="str">
        <f>eDNA!F666</f>
        <v>MiFish</v>
      </c>
      <c r="G666" t="str">
        <f>eDNA!D666</f>
        <v>Paramisgurnus dabryanus</v>
      </c>
      <c r="H666" t="str">
        <f>_xlfn.XLOOKUP(G666,'Common name (master file)'!$B:$B,'Common name (master file)'!$A:$A,"-------------")</f>
        <v>중국미꾸라지</v>
      </c>
      <c r="I666">
        <f>eDNA!E666</f>
        <v>89</v>
      </c>
      <c r="J666" t="str">
        <f>_xlfn.XLOOKUP(G666,'Common name (master file)'!$B:$B,'Common name (master file)'!$C:$C,"")</f>
        <v>어류</v>
      </c>
      <c r="K666">
        <f>eDNA!B666</f>
        <v>126.9866722</v>
      </c>
      <c r="L666">
        <f>eDNA!C666</f>
        <v>37.398721700000003</v>
      </c>
      <c r="M666" s="10" t="str" cm="1">
        <f t="array" ref="M666">IFERROR(_xlfn.XLOOKUP(1,('env Parameter'!$A:$A=$A666)*('env Parameter'!$B:$B=$K666)*('env Parameter'!$C:$C=$L666),'env Parameter'!D:D,""),"")</f>
        <v>안양천-30</v>
      </c>
      <c r="N666" s="10" t="str" cm="1">
        <f t="array" ref="N666">IFERROR(_xlfn.XLOOKUP(1,('env Parameter'!$A:$A=$A666)*('env Parameter'!$B:$B=$K666)*('env Parameter'!$C:$C=$L666),'env Parameter'!I:I,""),"")</f>
        <v>YR</v>
      </c>
    </row>
    <row r="667" spans="1:14">
      <c r="A667">
        <f>eDNA!A667</f>
        <v>20200718</v>
      </c>
      <c r="B667" s="10" t="str" cm="1">
        <f t="array" ref="B667">IFERROR(_xlfn.XLOOKUP(1,('env Parameter'!$A:$A=$A667)*('env Parameter'!$B:$B=$K667)*('env Parameter'!$C:$C=$L667),'env Parameter'!H:H,""),"")</f>
        <v>생물상 조사</v>
      </c>
      <c r="C667" s="10" cm="1">
        <f t="array" ref="C667">IFERROR(_xlfn.XLOOKUP(1,('env Parameter'!$A:$A=$A667)*('env Parameter'!$B:$B=$K667)*('env Parameter'!$C:$C=$L667),'env Parameter'!E:E,""),"")</f>
        <v>2.14</v>
      </c>
      <c r="D667" s="10" cm="1">
        <f t="array" ref="D667">IFERROR(_xlfn.XLOOKUP(1,('env Parameter'!$A:$A=$A667)*('env Parameter'!$B:$B=$K667)*('env Parameter'!$C:$C=$L667),'env Parameter'!F:F,""),"")</f>
        <v>478</v>
      </c>
      <c r="E667" s="10" cm="1">
        <f t="array" ref="E667">IFERROR(_xlfn.XLOOKUP(1,('env Parameter'!$A:$A=$A667)*('env Parameter'!$B:$B=$K667)*('env Parameter'!$C:$C=$L667),'env Parameter'!G:G,""),"")</f>
        <v>7.6</v>
      </c>
      <c r="F667" t="str">
        <f>eDNA!F667</f>
        <v>MiFish</v>
      </c>
      <c r="G667" t="str">
        <f>eDNA!D667</f>
        <v>Carassius sp.</v>
      </c>
      <c r="H667" t="str">
        <f>_xlfn.XLOOKUP(G667,'Common name (master file)'!$B:$B,'Common name (master file)'!$A:$A,"-------------")</f>
        <v>붕어 속</v>
      </c>
      <c r="I667">
        <f>eDNA!E667</f>
        <v>159</v>
      </c>
      <c r="J667" t="str">
        <f>_xlfn.XLOOKUP(G667,'Common name (master file)'!$B:$B,'Common name (master file)'!$C:$C,"")</f>
        <v>어류</v>
      </c>
      <c r="K667">
        <f>eDNA!B667</f>
        <v>126.9866722</v>
      </c>
      <c r="L667">
        <f>eDNA!C667</f>
        <v>37.398721700000003</v>
      </c>
      <c r="M667" s="10" t="str" cm="1">
        <f t="array" ref="M667">IFERROR(_xlfn.XLOOKUP(1,('env Parameter'!$A:$A=$A667)*('env Parameter'!$B:$B=$K667)*('env Parameter'!$C:$C=$L667),'env Parameter'!D:D,""),"")</f>
        <v>안양천-30</v>
      </c>
      <c r="N667" s="10" t="str" cm="1">
        <f t="array" ref="N667">IFERROR(_xlfn.XLOOKUP(1,('env Parameter'!$A:$A=$A667)*('env Parameter'!$B:$B=$K667)*('env Parameter'!$C:$C=$L667),'env Parameter'!I:I,""),"")</f>
        <v>YR</v>
      </c>
    </row>
    <row r="668" spans="1:14">
      <c r="A668">
        <f>eDNA!A668</f>
        <v>20200718</v>
      </c>
      <c r="B668" s="10" t="str" cm="1">
        <f t="array" ref="B668">IFERROR(_xlfn.XLOOKUP(1,('env Parameter'!$A:$A=$A668)*('env Parameter'!$B:$B=$K668)*('env Parameter'!$C:$C=$L668),'env Parameter'!H:H,""),"")</f>
        <v>생물상 조사</v>
      </c>
      <c r="C668" s="10" cm="1">
        <f t="array" ref="C668">IFERROR(_xlfn.XLOOKUP(1,('env Parameter'!$A:$A=$A668)*('env Parameter'!$B:$B=$K668)*('env Parameter'!$C:$C=$L668),'env Parameter'!E:E,""),"")</f>
        <v>2.14</v>
      </c>
      <c r="D668" s="10" cm="1">
        <f t="array" ref="D668">IFERROR(_xlfn.XLOOKUP(1,('env Parameter'!$A:$A=$A668)*('env Parameter'!$B:$B=$K668)*('env Parameter'!$C:$C=$L668),'env Parameter'!F:F,""),"")</f>
        <v>478</v>
      </c>
      <c r="E668" s="10" cm="1">
        <f t="array" ref="E668">IFERROR(_xlfn.XLOOKUP(1,('env Parameter'!$A:$A=$A668)*('env Parameter'!$B:$B=$K668)*('env Parameter'!$C:$C=$L668),'env Parameter'!G:G,""),"")</f>
        <v>7.6</v>
      </c>
      <c r="F668" t="str">
        <f>eDNA!F668</f>
        <v>MiFish</v>
      </c>
      <c r="G668" t="str">
        <f>eDNA!D668</f>
        <v>Gnathopogon strigatus</v>
      </c>
      <c r="H668" t="str">
        <f>_xlfn.XLOOKUP(G668,'Common name (master file)'!$B:$B,'Common name (master file)'!$A:$A,"-------------")</f>
        <v>줄몰개</v>
      </c>
      <c r="I668">
        <f>eDNA!E668</f>
        <v>196</v>
      </c>
      <c r="J668" t="str">
        <f>_xlfn.XLOOKUP(G668,'Common name (master file)'!$B:$B,'Common name (master file)'!$C:$C,"")</f>
        <v>어류</v>
      </c>
      <c r="K668">
        <f>eDNA!B668</f>
        <v>126.9866722</v>
      </c>
      <c r="L668">
        <f>eDNA!C668</f>
        <v>37.398721700000003</v>
      </c>
      <c r="M668" s="10" t="str" cm="1">
        <f t="array" ref="M668">IFERROR(_xlfn.XLOOKUP(1,('env Parameter'!$A:$A=$A668)*('env Parameter'!$B:$B=$K668)*('env Parameter'!$C:$C=$L668),'env Parameter'!D:D,""),"")</f>
        <v>안양천-30</v>
      </c>
      <c r="N668" s="10" t="str" cm="1">
        <f t="array" ref="N668">IFERROR(_xlfn.XLOOKUP(1,('env Parameter'!$A:$A=$A668)*('env Parameter'!$B:$B=$K668)*('env Parameter'!$C:$C=$L668),'env Parameter'!I:I,""),"")</f>
        <v>YR</v>
      </c>
    </row>
    <row r="669" spans="1:14">
      <c r="A669">
        <f>eDNA!A669</f>
        <v>20200718</v>
      </c>
      <c r="B669" s="10" t="str" cm="1">
        <f t="array" ref="B669">IFERROR(_xlfn.XLOOKUP(1,('env Parameter'!$A:$A=$A669)*('env Parameter'!$B:$B=$K669)*('env Parameter'!$C:$C=$L669),'env Parameter'!H:H,""),"")</f>
        <v>생물상 조사</v>
      </c>
      <c r="C669" s="10" cm="1">
        <f t="array" ref="C669">IFERROR(_xlfn.XLOOKUP(1,('env Parameter'!$A:$A=$A669)*('env Parameter'!$B:$B=$K669)*('env Parameter'!$C:$C=$L669),'env Parameter'!E:E,""),"")</f>
        <v>2.14</v>
      </c>
      <c r="D669" s="10" cm="1">
        <f t="array" ref="D669">IFERROR(_xlfn.XLOOKUP(1,('env Parameter'!$A:$A=$A669)*('env Parameter'!$B:$B=$K669)*('env Parameter'!$C:$C=$L669),'env Parameter'!F:F,""),"")</f>
        <v>478</v>
      </c>
      <c r="E669" s="10" cm="1">
        <f t="array" ref="E669">IFERROR(_xlfn.XLOOKUP(1,('env Parameter'!$A:$A=$A669)*('env Parameter'!$B:$B=$K669)*('env Parameter'!$C:$C=$L669),'env Parameter'!G:G,""),"")</f>
        <v>7.6</v>
      </c>
      <c r="F669" t="str">
        <f>eDNA!F669</f>
        <v>MiFish</v>
      </c>
      <c r="G669" t="str">
        <f>eDNA!D669</f>
        <v>Rhynchocypris oxycephalus</v>
      </c>
      <c r="H669" t="str">
        <f>_xlfn.XLOOKUP(G669,'Common name (master file)'!$B:$B,'Common name (master file)'!$A:$A,"-------------")</f>
        <v>버들치</v>
      </c>
      <c r="I669">
        <f>eDNA!E669</f>
        <v>186</v>
      </c>
      <c r="J669" t="str">
        <f>_xlfn.XLOOKUP(G669,'Common name (master file)'!$B:$B,'Common name (master file)'!$C:$C,"")</f>
        <v>어류</v>
      </c>
      <c r="K669">
        <f>eDNA!B669</f>
        <v>126.9866722</v>
      </c>
      <c r="L669">
        <f>eDNA!C669</f>
        <v>37.398721700000003</v>
      </c>
      <c r="M669" s="10" t="str" cm="1">
        <f t="array" ref="M669">IFERROR(_xlfn.XLOOKUP(1,('env Parameter'!$A:$A=$A669)*('env Parameter'!$B:$B=$K669)*('env Parameter'!$C:$C=$L669),'env Parameter'!D:D,""),"")</f>
        <v>안양천-30</v>
      </c>
      <c r="N669" s="10" t="str" cm="1">
        <f t="array" ref="N669">IFERROR(_xlfn.XLOOKUP(1,('env Parameter'!$A:$A=$A669)*('env Parameter'!$B:$B=$K669)*('env Parameter'!$C:$C=$L669),'env Parameter'!I:I,""),"")</f>
        <v>YR</v>
      </c>
    </row>
    <row r="670" spans="1:14">
      <c r="A670">
        <f>eDNA!A670</f>
        <v>20200718</v>
      </c>
      <c r="B670" s="10" t="str" cm="1">
        <f t="array" ref="B670">IFERROR(_xlfn.XLOOKUP(1,('env Parameter'!$A:$A=$A670)*('env Parameter'!$B:$B=$K670)*('env Parameter'!$C:$C=$L670),'env Parameter'!H:H,""),"")</f>
        <v>생물상 조사</v>
      </c>
      <c r="C670" s="10" cm="1">
        <f t="array" ref="C670">IFERROR(_xlfn.XLOOKUP(1,('env Parameter'!$A:$A=$A670)*('env Parameter'!$B:$B=$K670)*('env Parameter'!$C:$C=$L670),'env Parameter'!E:E,""),"")</f>
        <v>2.14</v>
      </c>
      <c r="D670" s="10" cm="1">
        <f t="array" ref="D670">IFERROR(_xlfn.XLOOKUP(1,('env Parameter'!$A:$A=$A670)*('env Parameter'!$B:$B=$K670)*('env Parameter'!$C:$C=$L670),'env Parameter'!F:F,""),"")</f>
        <v>478</v>
      </c>
      <c r="E670" s="10" cm="1">
        <f t="array" ref="E670">IFERROR(_xlfn.XLOOKUP(1,('env Parameter'!$A:$A=$A670)*('env Parameter'!$B:$B=$K670)*('env Parameter'!$C:$C=$L670),'env Parameter'!G:G,""),"")</f>
        <v>7.6</v>
      </c>
      <c r="F670" t="str">
        <f>eDNA!F670</f>
        <v>MiFish</v>
      </c>
      <c r="G670" t="str">
        <f>eDNA!D670</f>
        <v>Hemibarbus sp.</v>
      </c>
      <c r="H670" t="str">
        <f>_xlfn.XLOOKUP(G670,'Common name (master file)'!$B:$B,'Common name (master file)'!$A:$A,"-------------")</f>
        <v>누치 속</v>
      </c>
      <c r="I670">
        <f>eDNA!E670</f>
        <v>245</v>
      </c>
      <c r="J670" t="str">
        <f>_xlfn.XLOOKUP(G670,'Common name (master file)'!$B:$B,'Common name (master file)'!$C:$C,"")</f>
        <v>어류</v>
      </c>
      <c r="K670">
        <f>eDNA!B670</f>
        <v>126.9866722</v>
      </c>
      <c r="L670">
        <f>eDNA!C670</f>
        <v>37.398721700000003</v>
      </c>
      <c r="M670" s="10" t="str" cm="1">
        <f t="array" ref="M670">IFERROR(_xlfn.XLOOKUP(1,('env Parameter'!$A:$A=$A670)*('env Parameter'!$B:$B=$K670)*('env Parameter'!$C:$C=$L670),'env Parameter'!D:D,""),"")</f>
        <v>안양천-30</v>
      </c>
      <c r="N670" s="10" t="str" cm="1">
        <f t="array" ref="N670">IFERROR(_xlfn.XLOOKUP(1,('env Parameter'!$A:$A=$A670)*('env Parameter'!$B:$B=$K670)*('env Parameter'!$C:$C=$L670),'env Parameter'!I:I,""),"")</f>
        <v>YR</v>
      </c>
    </row>
    <row r="671" spans="1:14">
      <c r="A671">
        <f>eDNA!A671</f>
        <v>20200718</v>
      </c>
      <c r="B671" s="10" t="str" cm="1">
        <f t="array" ref="B671">IFERROR(_xlfn.XLOOKUP(1,('env Parameter'!$A:$A=$A671)*('env Parameter'!$B:$B=$K671)*('env Parameter'!$C:$C=$L671),'env Parameter'!H:H,""),"")</f>
        <v>생물상 조사</v>
      </c>
      <c r="C671" s="10" cm="1">
        <f t="array" ref="C671">IFERROR(_xlfn.XLOOKUP(1,('env Parameter'!$A:$A=$A671)*('env Parameter'!$B:$B=$K671)*('env Parameter'!$C:$C=$L671),'env Parameter'!E:E,""),"")</f>
        <v>2.14</v>
      </c>
      <c r="D671" s="10" cm="1">
        <f t="array" ref="D671">IFERROR(_xlfn.XLOOKUP(1,('env Parameter'!$A:$A=$A671)*('env Parameter'!$B:$B=$K671)*('env Parameter'!$C:$C=$L671),'env Parameter'!F:F,""),"")</f>
        <v>478</v>
      </c>
      <c r="E671" s="10" cm="1">
        <f t="array" ref="E671">IFERROR(_xlfn.XLOOKUP(1,('env Parameter'!$A:$A=$A671)*('env Parameter'!$B:$B=$K671)*('env Parameter'!$C:$C=$L671),'env Parameter'!G:G,""),"")</f>
        <v>7.6</v>
      </c>
      <c r="F671" t="str">
        <f>eDNA!F671</f>
        <v>MiFish</v>
      </c>
      <c r="G671" t="str">
        <f>eDNA!D671</f>
        <v>Pelodiscus sinensis</v>
      </c>
      <c r="H671" t="str">
        <f>_xlfn.XLOOKUP(G671,'Common name (master file)'!$B:$B,'Common name (master file)'!$A:$A,"-------------")</f>
        <v>중국자라</v>
      </c>
      <c r="I671">
        <f>eDNA!E671</f>
        <v>293</v>
      </c>
      <c r="J671" t="str">
        <f>_xlfn.XLOOKUP(G671,'Common name (master file)'!$B:$B,'Common name (master file)'!$C:$C,"")</f>
        <v>양서파충류</v>
      </c>
      <c r="K671">
        <f>eDNA!B671</f>
        <v>126.9866722</v>
      </c>
      <c r="L671">
        <f>eDNA!C671</f>
        <v>37.398721700000003</v>
      </c>
      <c r="M671" s="10" t="str" cm="1">
        <f t="array" ref="M671">IFERROR(_xlfn.XLOOKUP(1,('env Parameter'!$A:$A=$A671)*('env Parameter'!$B:$B=$K671)*('env Parameter'!$C:$C=$L671),'env Parameter'!D:D,""),"")</f>
        <v>안양천-30</v>
      </c>
      <c r="N671" s="10" t="str" cm="1">
        <f t="array" ref="N671">IFERROR(_xlfn.XLOOKUP(1,('env Parameter'!$A:$A=$A671)*('env Parameter'!$B:$B=$K671)*('env Parameter'!$C:$C=$L671),'env Parameter'!I:I,""),"")</f>
        <v>YR</v>
      </c>
    </row>
    <row r="672" spans="1:14">
      <c r="A672">
        <f>eDNA!A672</f>
        <v>20200718</v>
      </c>
      <c r="B672" s="10" t="str" cm="1">
        <f t="array" ref="B672">IFERROR(_xlfn.XLOOKUP(1,('env Parameter'!$A:$A=$A672)*('env Parameter'!$B:$B=$K672)*('env Parameter'!$C:$C=$L672),'env Parameter'!H:H,""),"")</f>
        <v>생물상 조사</v>
      </c>
      <c r="C672" s="10" cm="1">
        <f t="array" ref="C672">IFERROR(_xlfn.XLOOKUP(1,('env Parameter'!$A:$A=$A672)*('env Parameter'!$B:$B=$K672)*('env Parameter'!$C:$C=$L672),'env Parameter'!E:E,""),"")</f>
        <v>2.14</v>
      </c>
      <c r="D672" s="10" cm="1">
        <f t="array" ref="D672">IFERROR(_xlfn.XLOOKUP(1,('env Parameter'!$A:$A=$A672)*('env Parameter'!$B:$B=$K672)*('env Parameter'!$C:$C=$L672),'env Parameter'!F:F,""),"")</f>
        <v>478</v>
      </c>
      <c r="E672" s="10" cm="1">
        <f t="array" ref="E672">IFERROR(_xlfn.XLOOKUP(1,('env Parameter'!$A:$A=$A672)*('env Parameter'!$B:$B=$K672)*('env Parameter'!$C:$C=$L672),'env Parameter'!G:G,""),"")</f>
        <v>7.6</v>
      </c>
      <c r="F672" t="str">
        <f>eDNA!F672</f>
        <v>MiFish</v>
      </c>
      <c r="G672" t="str">
        <f>eDNA!D672</f>
        <v>Misgurnus mizolepis</v>
      </c>
      <c r="H672" t="str">
        <f>_xlfn.XLOOKUP(G672,'Common name (master file)'!$B:$B,'Common name (master file)'!$A:$A,"-------------")</f>
        <v>미꾸라지</v>
      </c>
      <c r="I672">
        <f>eDNA!E672</f>
        <v>488</v>
      </c>
      <c r="J672" t="str">
        <f>_xlfn.XLOOKUP(G672,'Common name (master file)'!$B:$B,'Common name (master file)'!$C:$C,"")</f>
        <v>어류</v>
      </c>
      <c r="K672">
        <f>eDNA!B672</f>
        <v>126.9866722</v>
      </c>
      <c r="L672">
        <f>eDNA!C672</f>
        <v>37.398721700000003</v>
      </c>
      <c r="M672" s="10" t="str" cm="1">
        <f t="array" ref="M672">IFERROR(_xlfn.XLOOKUP(1,('env Parameter'!$A:$A=$A672)*('env Parameter'!$B:$B=$K672)*('env Parameter'!$C:$C=$L672),'env Parameter'!D:D,""),"")</f>
        <v>안양천-30</v>
      </c>
      <c r="N672" s="10" t="str" cm="1">
        <f t="array" ref="N672">IFERROR(_xlfn.XLOOKUP(1,('env Parameter'!$A:$A=$A672)*('env Parameter'!$B:$B=$K672)*('env Parameter'!$C:$C=$L672),'env Parameter'!I:I,""),"")</f>
        <v>YR</v>
      </c>
    </row>
    <row r="673" spans="1:14">
      <c r="A673">
        <f>eDNA!A673</f>
        <v>20200718</v>
      </c>
      <c r="B673" s="10" t="str" cm="1">
        <f t="array" ref="B673">IFERROR(_xlfn.XLOOKUP(1,('env Parameter'!$A:$A=$A673)*('env Parameter'!$B:$B=$K673)*('env Parameter'!$C:$C=$L673),'env Parameter'!H:H,""),"")</f>
        <v>생물상 조사</v>
      </c>
      <c r="C673" s="10" cm="1">
        <f t="array" ref="C673">IFERROR(_xlfn.XLOOKUP(1,('env Parameter'!$A:$A=$A673)*('env Parameter'!$B:$B=$K673)*('env Parameter'!$C:$C=$L673),'env Parameter'!E:E,""),"")</f>
        <v>2.14</v>
      </c>
      <c r="D673" s="10" cm="1">
        <f t="array" ref="D673">IFERROR(_xlfn.XLOOKUP(1,('env Parameter'!$A:$A=$A673)*('env Parameter'!$B:$B=$K673)*('env Parameter'!$C:$C=$L673),'env Parameter'!F:F,""),"")</f>
        <v>478</v>
      </c>
      <c r="E673" s="10" cm="1">
        <f t="array" ref="E673">IFERROR(_xlfn.XLOOKUP(1,('env Parameter'!$A:$A=$A673)*('env Parameter'!$B:$B=$K673)*('env Parameter'!$C:$C=$L673),'env Parameter'!G:G,""),"")</f>
        <v>7.6</v>
      </c>
      <c r="F673" t="str">
        <f>eDNA!F673</f>
        <v>MiFish</v>
      </c>
      <c r="G673" t="str">
        <f>eDNA!D673</f>
        <v>Silurus soldatovi</v>
      </c>
      <c r="H673" t="str">
        <f>_xlfn.XLOOKUP(G673,'Common name (master file)'!$B:$B,'Common name (master file)'!$A:$A,"-------------")</f>
        <v>솔다토비 메기</v>
      </c>
      <c r="I673">
        <f>eDNA!E673</f>
        <v>527</v>
      </c>
      <c r="J673" t="str">
        <f>_xlfn.XLOOKUP(G673,'Common name (master file)'!$B:$B,'Common name (master file)'!$C:$C,"")</f>
        <v>어류</v>
      </c>
      <c r="K673">
        <f>eDNA!B673</f>
        <v>126.9866722</v>
      </c>
      <c r="L673">
        <f>eDNA!C673</f>
        <v>37.398721700000003</v>
      </c>
      <c r="M673" s="10" t="str" cm="1">
        <f t="array" ref="M673">IFERROR(_xlfn.XLOOKUP(1,('env Parameter'!$A:$A=$A673)*('env Parameter'!$B:$B=$K673)*('env Parameter'!$C:$C=$L673),'env Parameter'!D:D,""),"")</f>
        <v>안양천-30</v>
      </c>
      <c r="N673" s="10" t="str" cm="1">
        <f t="array" ref="N673">IFERROR(_xlfn.XLOOKUP(1,('env Parameter'!$A:$A=$A673)*('env Parameter'!$B:$B=$K673)*('env Parameter'!$C:$C=$L673),'env Parameter'!I:I,""),"")</f>
        <v>YR</v>
      </c>
    </row>
    <row r="674" spans="1:14">
      <c r="A674">
        <f>eDNA!A674</f>
        <v>20200718</v>
      </c>
      <c r="B674" s="10" t="str" cm="1">
        <f t="array" ref="B674">IFERROR(_xlfn.XLOOKUP(1,('env Parameter'!$A:$A=$A674)*('env Parameter'!$B:$B=$K674)*('env Parameter'!$C:$C=$L674),'env Parameter'!H:H,""),"")</f>
        <v>생물상 조사</v>
      </c>
      <c r="C674" s="10" cm="1">
        <f t="array" ref="C674">IFERROR(_xlfn.XLOOKUP(1,('env Parameter'!$A:$A=$A674)*('env Parameter'!$B:$B=$K674)*('env Parameter'!$C:$C=$L674),'env Parameter'!E:E,""),"")</f>
        <v>2.14</v>
      </c>
      <c r="D674" s="10" cm="1">
        <f t="array" ref="D674">IFERROR(_xlfn.XLOOKUP(1,('env Parameter'!$A:$A=$A674)*('env Parameter'!$B:$B=$K674)*('env Parameter'!$C:$C=$L674),'env Parameter'!F:F,""),"")</f>
        <v>478</v>
      </c>
      <c r="E674" s="10" cm="1">
        <f t="array" ref="E674">IFERROR(_xlfn.XLOOKUP(1,('env Parameter'!$A:$A=$A674)*('env Parameter'!$B:$B=$K674)*('env Parameter'!$C:$C=$L674),'env Parameter'!G:G,""),"")</f>
        <v>7.6</v>
      </c>
      <c r="F674" t="str">
        <f>eDNA!F674</f>
        <v>MiFish</v>
      </c>
      <c r="G674" t="str">
        <f>eDNA!D674</f>
        <v>Micropterus salmoides</v>
      </c>
      <c r="H674" t="str">
        <f>_xlfn.XLOOKUP(G674,'Common name (master file)'!$B:$B,'Common name (master file)'!$A:$A,"-------------")</f>
        <v>큰입배스</v>
      </c>
      <c r="I674">
        <f>eDNA!E674</f>
        <v>1351</v>
      </c>
      <c r="J674" t="str">
        <f>_xlfn.XLOOKUP(G674,'Common name (master file)'!$B:$B,'Common name (master file)'!$C:$C,"")</f>
        <v>어류</v>
      </c>
      <c r="K674">
        <f>eDNA!B674</f>
        <v>126.9866722</v>
      </c>
      <c r="L674">
        <f>eDNA!C674</f>
        <v>37.398721700000003</v>
      </c>
      <c r="M674" s="10" t="str" cm="1">
        <f t="array" ref="M674">IFERROR(_xlfn.XLOOKUP(1,('env Parameter'!$A:$A=$A674)*('env Parameter'!$B:$B=$K674)*('env Parameter'!$C:$C=$L674),'env Parameter'!D:D,""),"")</f>
        <v>안양천-30</v>
      </c>
      <c r="N674" s="10" t="str" cm="1">
        <f t="array" ref="N674">IFERROR(_xlfn.XLOOKUP(1,('env Parameter'!$A:$A=$A674)*('env Parameter'!$B:$B=$K674)*('env Parameter'!$C:$C=$L674),'env Parameter'!I:I,""),"")</f>
        <v>YR</v>
      </c>
    </row>
    <row r="675" spans="1:14">
      <c r="A675">
        <f>eDNA!A675</f>
        <v>20200718</v>
      </c>
      <c r="B675" s="10" t="str" cm="1">
        <f t="array" ref="B675">IFERROR(_xlfn.XLOOKUP(1,('env Parameter'!$A:$A=$A675)*('env Parameter'!$B:$B=$K675)*('env Parameter'!$C:$C=$L675),'env Parameter'!H:H,""),"")</f>
        <v>생물상 조사</v>
      </c>
      <c r="C675" s="10" cm="1">
        <f t="array" ref="C675">IFERROR(_xlfn.XLOOKUP(1,('env Parameter'!$A:$A=$A675)*('env Parameter'!$B:$B=$K675)*('env Parameter'!$C:$C=$L675),'env Parameter'!E:E,""),"")</f>
        <v>2.14</v>
      </c>
      <c r="D675" s="10" cm="1">
        <f t="array" ref="D675">IFERROR(_xlfn.XLOOKUP(1,('env Parameter'!$A:$A=$A675)*('env Parameter'!$B:$B=$K675)*('env Parameter'!$C:$C=$L675),'env Parameter'!F:F,""),"")</f>
        <v>478</v>
      </c>
      <c r="E675" s="10" cm="1">
        <f t="array" ref="E675">IFERROR(_xlfn.XLOOKUP(1,('env Parameter'!$A:$A=$A675)*('env Parameter'!$B:$B=$K675)*('env Parameter'!$C:$C=$L675),'env Parameter'!G:G,""),"")</f>
        <v>7.6</v>
      </c>
      <c r="F675" t="str">
        <f>eDNA!F675</f>
        <v>MiFish</v>
      </c>
      <c r="G675" t="str">
        <f>eDNA!D675</f>
        <v>Channa argus</v>
      </c>
      <c r="H675" t="str">
        <f>_xlfn.XLOOKUP(G675,'Common name (master file)'!$B:$B,'Common name (master file)'!$A:$A,"-------------")</f>
        <v>가물치</v>
      </c>
      <c r="I675">
        <f>eDNA!E675</f>
        <v>805</v>
      </c>
      <c r="J675" t="str">
        <f>_xlfn.XLOOKUP(G675,'Common name (master file)'!$B:$B,'Common name (master file)'!$C:$C,"")</f>
        <v>어류</v>
      </c>
      <c r="K675">
        <f>eDNA!B675</f>
        <v>126.9866722</v>
      </c>
      <c r="L675">
        <f>eDNA!C675</f>
        <v>37.398721700000003</v>
      </c>
      <c r="M675" s="10" t="str" cm="1">
        <f t="array" ref="M675">IFERROR(_xlfn.XLOOKUP(1,('env Parameter'!$A:$A=$A675)*('env Parameter'!$B:$B=$K675)*('env Parameter'!$C:$C=$L675),'env Parameter'!D:D,""),"")</f>
        <v>안양천-30</v>
      </c>
      <c r="N675" s="10" t="str" cm="1">
        <f t="array" ref="N675">IFERROR(_xlfn.XLOOKUP(1,('env Parameter'!$A:$A=$A675)*('env Parameter'!$B:$B=$K675)*('env Parameter'!$C:$C=$L675),'env Parameter'!I:I,""),"")</f>
        <v>YR</v>
      </c>
    </row>
    <row r="676" spans="1:14">
      <c r="A676">
        <f>eDNA!A676</f>
        <v>20200718</v>
      </c>
      <c r="B676" s="10" t="str" cm="1">
        <f t="array" ref="B676">IFERROR(_xlfn.XLOOKUP(1,('env Parameter'!$A:$A=$A676)*('env Parameter'!$B:$B=$K676)*('env Parameter'!$C:$C=$L676),'env Parameter'!H:H,""),"")</f>
        <v>생물상 조사</v>
      </c>
      <c r="C676" s="10" cm="1">
        <f t="array" ref="C676">IFERROR(_xlfn.XLOOKUP(1,('env Parameter'!$A:$A=$A676)*('env Parameter'!$B:$B=$K676)*('env Parameter'!$C:$C=$L676),'env Parameter'!E:E,""),"")</f>
        <v>2.14</v>
      </c>
      <c r="D676" s="10" cm="1">
        <f t="array" ref="D676">IFERROR(_xlfn.XLOOKUP(1,('env Parameter'!$A:$A=$A676)*('env Parameter'!$B:$B=$K676)*('env Parameter'!$C:$C=$L676),'env Parameter'!F:F,""),"")</f>
        <v>478</v>
      </c>
      <c r="E676" s="10" cm="1">
        <f t="array" ref="E676">IFERROR(_xlfn.XLOOKUP(1,('env Parameter'!$A:$A=$A676)*('env Parameter'!$B:$B=$K676)*('env Parameter'!$C:$C=$L676),'env Parameter'!G:G,""),"")</f>
        <v>7.6</v>
      </c>
      <c r="F676" t="str">
        <f>eDNA!F676</f>
        <v>MiFish</v>
      </c>
      <c r="G676" t="str">
        <f>eDNA!D676</f>
        <v>Cyprinus carpio</v>
      </c>
      <c r="H676" t="str">
        <f>_xlfn.XLOOKUP(G676,'Common name (master file)'!$B:$B,'Common name (master file)'!$A:$A,"-------------")</f>
        <v>잉어</v>
      </c>
      <c r="I676">
        <f>eDNA!E676</f>
        <v>851</v>
      </c>
      <c r="J676" t="str">
        <f>_xlfn.XLOOKUP(G676,'Common name (master file)'!$B:$B,'Common name (master file)'!$C:$C,"")</f>
        <v>어류</v>
      </c>
      <c r="K676">
        <f>eDNA!B676</f>
        <v>126.9866722</v>
      </c>
      <c r="L676">
        <f>eDNA!C676</f>
        <v>37.398721700000003</v>
      </c>
      <c r="M676" s="10" t="str" cm="1">
        <f t="array" ref="M676">IFERROR(_xlfn.XLOOKUP(1,('env Parameter'!$A:$A=$A676)*('env Parameter'!$B:$B=$K676)*('env Parameter'!$C:$C=$L676),'env Parameter'!D:D,""),"")</f>
        <v>안양천-30</v>
      </c>
      <c r="N676" s="10" t="str" cm="1">
        <f t="array" ref="N676">IFERROR(_xlfn.XLOOKUP(1,('env Parameter'!$A:$A=$A676)*('env Parameter'!$B:$B=$K676)*('env Parameter'!$C:$C=$L676),'env Parameter'!I:I,""),"")</f>
        <v>YR</v>
      </c>
    </row>
    <row r="677" spans="1:14">
      <c r="A677">
        <f>eDNA!A677</f>
        <v>20200718</v>
      </c>
      <c r="B677" s="10" t="str" cm="1">
        <f t="array" ref="B677">IFERROR(_xlfn.XLOOKUP(1,('env Parameter'!$A:$A=$A677)*('env Parameter'!$B:$B=$K677)*('env Parameter'!$C:$C=$L677),'env Parameter'!H:H,""),"")</f>
        <v>생물상 조사</v>
      </c>
      <c r="C677" s="10" cm="1">
        <f t="array" ref="C677">IFERROR(_xlfn.XLOOKUP(1,('env Parameter'!$A:$A=$A677)*('env Parameter'!$B:$B=$K677)*('env Parameter'!$C:$C=$L677),'env Parameter'!E:E,""),"")</f>
        <v>2.14</v>
      </c>
      <c r="D677" s="10" cm="1">
        <f t="array" ref="D677">IFERROR(_xlfn.XLOOKUP(1,('env Parameter'!$A:$A=$A677)*('env Parameter'!$B:$B=$K677)*('env Parameter'!$C:$C=$L677),'env Parameter'!F:F,""),"")</f>
        <v>478</v>
      </c>
      <c r="E677" s="10" cm="1">
        <f t="array" ref="E677">IFERROR(_xlfn.XLOOKUP(1,('env Parameter'!$A:$A=$A677)*('env Parameter'!$B:$B=$K677)*('env Parameter'!$C:$C=$L677),'env Parameter'!G:G,""),"")</f>
        <v>7.6</v>
      </c>
      <c r="F677" t="str">
        <f>eDNA!F677</f>
        <v>MiFish</v>
      </c>
      <c r="G677" t="str">
        <f>eDNA!D677</f>
        <v>Pseudogobio esocinus</v>
      </c>
      <c r="H677" t="str">
        <f>_xlfn.XLOOKUP(G677,'Common name (master file)'!$B:$B,'Common name (master file)'!$A:$A,"-------------")</f>
        <v>모래무지</v>
      </c>
      <c r="I677">
        <f>eDNA!E677</f>
        <v>1292</v>
      </c>
      <c r="J677" t="str">
        <f>_xlfn.XLOOKUP(G677,'Common name (master file)'!$B:$B,'Common name (master file)'!$C:$C,"")</f>
        <v>어류</v>
      </c>
      <c r="K677">
        <f>eDNA!B677</f>
        <v>126.9866722</v>
      </c>
      <c r="L677">
        <f>eDNA!C677</f>
        <v>37.398721700000003</v>
      </c>
      <c r="M677" s="10" t="str" cm="1">
        <f t="array" ref="M677">IFERROR(_xlfn.XLOOKUP(1,('env Parameter'!$A:$A=$A677)*('env Parameter'!$B:$B=$K677)*('env Parameter'!$C:$C=$L677),'env Parameter'!D:D,""),"")</f>
        <v>안양천-30</v>
      </c>
      <c r="N677" s="10" t="str" cm="1">
        <f t="array" ref="N677">IFERROR(_xlfn.XLOOKUP(1,('env Parameter'!$A:$A=$A677)*('env Parameter'!$B:$B=$K677)*('env Parameter'!$C:$C=$L677),'env Parameter'!I:I,""),"")</f>
        <v>YR</v>
      </c>
    </row>
    <row r="678" spans="1:14">
      <c r="A678">
        <f>eDNA!A678</f>
        <v>20200718</v>
      </c>
      <c r="B678" s="10" t="str" cm="1">
        <f t="array" ref="B678">IFERROR(_xlfn.XLOOKUP(1,('env Parameter'!$A:$A=$A678)*('env Parameter'!$B:$B=$K678)*('env Parameter'!$C:$C=$L678),'env Parameter'!H:H,""),"")</f>
        <v>생물상 조사</v>
      </c>
      <c r="C678" s="10" cm="1">
        <f t="array" ref="C678">IFERROR(_xlfn.XLOOKUP(1,('env Parameter'!$A:$A=$A678)*('env Parameter'!$B:$B=$K678)*('env Parameter'!$C:$C=$L678),'env Parameter'!E:E,""),"")</f>
        <v>2.14</v>
      </c>
      <c r="D678" s="10" cm="1">
        <f t="array" ref="D678">IFERROR(_xlfn.XLOOKUP(1,('env Parameter'!$A:$A=$A678)*('env Parameter'!$B:$B=$K678)*('env Parameter'!$C:$C=$L678),'env Parameter'!F:F,""),"")</f>
        <v>478</v>
      </c>
      <c r="E678" s="10" cm="1">
        <f t="array" ref="E678">IFERROR(_xlfn.XLOOKUP(1,('env Parameter'!$A:$A=$A678)*('env Parameter'!$B:$B=$K678)*('env Parameter'!$C:$C=$L678),'env Parameter'!G:G,""),"")</f>
        <v>7.6</v>
      </c>
      <c r="F678" t="str">
        <f>eDNA!F678</f>
        <v>MiFish</v>
      </c>
      <c r="G678" t="str">
        <f>eDNA!D678</f>
        <v>Carassius gibelio</v>
      </c>
      <c r="H678" t="str">
        <f>_xlfn.XLOOKUP(G678,'Common name (master file)'!$B:$B,'Common name (master file)'!$A:$A,"-------------")</f>
        <v>기벨리오 붕어</v>
      </c>
      <c r="I678">
        <f>eDNA!E678</f>
        <v>2502</v>
      </c>
      <c r="J678" t="str">
        <f>_xlfn.XLOOKUP(G678,'Common name (master file)'!$B:$B,'Common name (master file)'!$C:$C,"")</f>
        <v>어류</v>
      </c>
      <c r="K678">
        <f>eDNA!B678</f>
        <v>126.9866722</v>
      </c>
      <c r="L678">
        <f>eDNA!C678</f>
        <v>37.398721700000003</v>
      </c>
      <c r="M678" s="10" t="str" cm="1">
        <f t="array" ref="M678">IFERROR(_xlfn.XLOOKUP(1,('env Parameter'!$A:$A=$A678)*('env Parameter'!$B:$B=$K678)*('env Parameter'!$C:$C=$L678),'env Parameter'!D:D,""),"")</f>
        <v>안양천-30</v>
      </c>
      <c r="N678" s="10" t="str" cm="1">
        <f t="array" ref="N678">IFERROR(_xlfn.XLOOKUP(1,('env Parameter'!$A:$A=$A678)*('env Parameter'!$B:$B=$K678)*('env Parameter'!$C:$C=$L678),'env Parameter'!I:I,""),"")</f>
        <v>YR</v>
      </c>
    </row>
    <row r="679" spans="1:14">
      <c r="A679">
        <f>eDNA!A679</f>
        <v>20200718</v>
      </c>
      <c r="B679" s="10" t="str" cm="1">
        <f t="array" ref="B679">IFERROR(_xlfn.XLOOKUP(1,('env Parameter'!$A:$A=$A679)*('env Parameter'!$B:$B=$K679)*('env Parameter'!$C:$C=$L679),'env Parameter'!H:H,""),"")</f>
        <v>생물상 조사</v>
      </c>
      <c r="C679" s="10" cm="1">
        <f t="array" ref="C679">IFERROR(_xlfn.XLOOKUP(1,('env Parameter'!$A:$A=$A679)*('env Parameter'!$B:$B=$K679)*('env Parameter'!$C:$C=$L679),'env Parameter'!E:E,""),"")</f>
        <v>2.14</v>
      </c>
      <c r="D679" s="10" cm="1">
        <f t="array" ref="D679">IFERROR(_xlfn.XLOOKUP(1,('env Parameter'!$A:$A=$A679)*('env Parameter'!$B:$B=$K679)*('env Parameter'!$C:$C=$L679),'env Parameter'!F:F,""),"")</f>
        <v>478</v>
      </c>
      <c r="E679" s="10" cm="1">
        <f t="array" ref="E679">IFERROR(_xlfn.XLOOKUP(1,('env Parameter'!$A:$A=$A679)*('env Parameter'!$B:$B=$K679)*('env Parameter'!$C:$C=$L679),'env Parameter'!G:G,""),"")</f>
        <v>7.6</v>
      </c>
      <c r="F679" t="str">
        <f>eDNA!F679</f>
        <v>MiFish</v>
      </c>
      <c r="G679" t="str">
        <f>eDNA!D679</f>
        <v>Odontobutis interrupta</v>
      </c>
      <c r="H679" t="str">
        <f>_xlfn.XLOOKUP(G679,'Common name (master file)'!$B:$B,'Common name (master file)'!$A:$A,"-------------")</f>
        <v>얼록동사리</v>
      </c>
      <c r="I679">
        <f>eDNA!E679</f>
        <v>6188</v>
      </c>
      <c r="J679" t="str">
        <f>_xlfn.XLOOKUP(G679,'Common name (master file)'!$B:$B,'Common name (master file)'!$C:$C,"")</f>
        <v>어류</v>
      </c>
      <c r="K679">
        <f>eDNA!B679</f>
        <v>126.9866722</v>
      </c>
      <c r="L679">
        <f>eDNA!C679</f>
        <v>37.398721700000003</v>
      </c>
      <c r="M679" s="10" t="str" cm="1">
        <f t="array" ref="M679">IFERROR(_xlfn.XLOOKUP(1,('env Parameter'!$A:$A=$A679)*('env Parameter'!$B:$B=$K679)*('env Parameter'!$C:$C=$L679),'env Parameter'!D:D,""),"")</f>
        <v>안양천-30</v>
      </c>
      <c r="N679" s="10" t="str" cm="1">
        <f t="array" ref="N679">IFERROR(_xlfn.XLOOKUP(1,('env Parameter'!$A:$A=$A679)*('env Parameter'!$B:$B=$K679)*('env Parameter'!$C:$C=$L679),'env Parameter'!I:I,""),"")</f>
        <v>YR</v>
      </c>
    </row>
    <row r="680" spans="1:14">
      <c r="A680">
        <f>eDNA!A680</f>
        <v>20200718</v>
      </c>
      <c r="B680" s="10" t="str" cm="1">
        <f t="array" ref="B680">IFERROR(_xlfn.XLOOKUP(1,('env Parameter'!$A:$A=$A680)*('env Parameter'!$B:$B=$K680)*('env Parameter'!$C:$C=$L680),'env Parameter'!H:H,""),"")</f>
        <v>생물상 조사</v>
      </c>
      <c r="C680" s="10" cm="1">
        <f t="array" ref="C680">IFERROR(_xlfn.XLOOKUP(1,('env Parameter'!$A:$A=$A680)*('env Parameter'!$B:$B=$K680)*('env Parameter'!$C:$C=$L680),'env Parameter'!E:E,""),"")</f>
        <v>2.14</v>
      </c>
      <c r="D680" s="10" cm="1">
        <f t="array" ref="D680">IFERROR(_xlfn.XLOOKUP(1,('env Parameter'!$A:$A=$A680)*('env Parameter'!$B:$B=$K680)*('env Parameter'!$C:$C=$L680),'env Parameter'!F:F,""),"")</f>
        <v>478</v>
      </c>
      <c r="E680" s="10" cm="1">
        <f t="array" ref="E680">IFERROR(_xlfn.XLOOKUP(1,('env Parameter'!$A:$A=$A680)*('env Parameter'!$B:$B=$K680)*('env Parameter'!$C:$C=$L680),'env Parameter'!G:G,""),"")</f>
        <v>7.6</v>
      </c>
      <c r="F680" t="str">
        <f>eDNA!F680</f>
        <v>MiFish</v>
      </c>
      <c r="G680" t="str">
        <f>eDNA!D680</f>
        <v>Pseudorasbora parva</v>
      </c>
      <c r="H680" t="str">
        <f>_xlfn.XLOOKUP(G680,'Common name (master file)'!$B:$B,'Common name (master file)'!$A:$A,"-------------")</f>
        <v>참붕어</v>
      </c>
      <c r="I680">
        <f>eDNA!E680</f>
        <v>16243</v>
      </c>
      <c r="J680" t="str">
        <f>_xlfn.XLOOKUP(G680,'Common name (master file)'!$B:$B,'Common name (master file)'!$C:$C,"")</f>
        <v>어류</v>
      </c>
      <c r="K680">
        <f>eDNA!B680</f>
        <v>126.9866722</v>
      </c>
      <c r="L680">
        <f>eDNA!C680</f>
        <v>37.398721700000003</v>
      </c>
      <c r="M680" s="10" t="str" cm="1">
        <f t="array" ref="M680">IFERROR(_xlfn.XLOOKUP(1,('env Parameter'!$A:$A=$A680)*('env Parameter'!$B:$B=$K680)*('env Parameter'!$C:$C=$L680),'env Parameter'!D:D,""),"")</f>
        <v>안양천-30</v>
      </c>
      <c r="N680" s="10" t="str" cm="1">
        <f t="array" ref="N680">IFERROR(_xlfn.XLOOKUP(1,('env Parameter'!$A:$A=$A680)*('env Parameter'!$B:$B=$K680)*('env Parameter'!$C:$C=$L680),'env Parameter'!I:I,""),"")</f>
        <v>YR</v>
      </c>
    </row>
    <row r="681" spans="1:14">
      <c r="A681">
        <f>eDNA!A681</f>
        <v>20200718</v>
      </c>
      <c r="B681" s="10" t="str" cm="1">
        <f t="array" ref="B681">IFERROR(_xlfn.XLOOKUP(1,('env Parameter'!$A:$A=$A681)*('env Parameter'!$B:$B=$K681)*('env Parameter'!$C:$C=$L681),'env Parameter'!H:H,""),"")</f>
        <v>생물상 조사</v>
      </c>
      <c r="C681" s="10" cm="1">
        <f t="array" ref="C681">IFERROR(_xlfn.XLOOKUP(1,('env Parameter'!$A:$A=$A681)*('env Parameter'!$B:$B=$K681)*('env Parameter'!$C:$C=$L681),'env Parameter'!E:E,""),"")</f>
        <v>2.14</v>
      </c>
      <c r="D681" s="10" cm="1">
        <f t="array" ref="D681">IFERROR(_xlfn.XLOOKUP(1,('env Parameter'!$A:$A=$A681)*('env Parameter'!$B:$B=$K681)*('env Parameter'!$C:$C=$L681),'env Parameter'!F:F,""),"")</f>
        <v>478</v>
      </c>
      <c r="E681" s="10" cm="1">
        <f t="array" ref="E681">IFERROR(_xlfn.XLOOKUP(1,('env Parameter'!$A:$A=$A681)*('env Parameter'!$B:$B=$K681)*('env Parameter'!$C:$C=$L681),'env Parameter'!G:G,""),"")</f>
        <v>7.6</v>
      </c>
      <c r="F681" t="str">
        <f>eDNA!F681</f>
        <v>MiFish</v>
      </c>
      <c r="G681" t="str">
        <f>eDNA!D681</f>
        <v>Zacco platypus</v>
      </c>
      <c r="H681" t="str">
        <f>_xlfn.XLOOKUP(G681,'Common name (master file)'!$B:$B,'Common name (master file)'!$A:$A,"-------------")</f>
        <v>피라미</v>
      </c>
      <c r="I681">
        <f>eDNA!E681</f>
        <v>22085</v>
      </c>
      <c r="J681" t="str">
        <f>_xlfn.XLOOKUP(G681,'Common name (master file)'!$B:$B,'Common name (master file)'!$C:$C,"")</f>
        <v>어류</v>
      </c>
      <c r="K681">
        <f>eDNA!B681</f>
        <v>126.9866722</v>
      </c>
      <c r="L681">
        <f>eDNA!C681</f>
        <v>37.398721700000003</v>
      </c>
      <c r="M681" s="10" t="str" cm="1">
        <f t="array" ref="M681">IFERROR(_xlfn.XLOOKUP(1,('env Parameter'!$A:$A=$A681)*('env Parameter'!$B:$B=$K681)*('env Parameter'!$C:$C=$L681),'env Parameter'!D:D,""),"")</f>
        <v>안양천-30</v>
      </c>
      <c r="N681" s="10" t="str" cm="1">
        <f t="array" ref="N681">IFERROR(_xlfn.XLOOKUP(1,('env Parameter'!$A:$A=$A681)*('env Parameter'!$B:$B=$K681)*('env Parameter'!$C:$C=$L681),'env Parameter'!I:I,""),"")</f>
        <v>YR</v>
      </c>
    </row>
    <row r="682" spans="1:14">
      <c r="A682">
        <f>eDNA!A682</f>
        <v>20200718</v>
      </c>
      <c r="B682" s="10" t="str" cm="1">
        <f t="array" ref="B682">IFERROR(_xlfn.XLOOKUP(1,('env Parameter'!$A:$A=$A682)*('env Parameter'!$B:$B=$K682)*('env Parameter'!$C:$C=$L682),'env Parameter'!H:H,""),"")</f>
        <v>생물상 조사</v>
      </c>
      <c r="C682" s="10" cm="1">
        <f t="array" ref="C682">IFERROR(_xlfn.XLOOKUP(1,('env Parameter'!$A:$A=$A682)*('env Parameter'!$B:$B=$K682)*('env Parameter'!$C:$C=$L682),'env Parameter'!E:E,""),"")</f>
        <v>2.14</v>
      </c>
      <c r="D682" s="10" cm="1">
        <f t="array" ref="D682">IFERROR(_xlfn.XLOOKUP(1,('env Parameter'!$A:$A=$A682)*('env Parameter'!$B:$B=$K682)*('env Parameter'!$C:$C=$L682),'env Parameter'!F:F,""),"")</f>
        <v>478</v>
      </c>
      <c r="E682" s="10" cm="1">
        <f t="array" ref="E682">IFERROR(_xlfn.XLOOKUP(1,('env Parameter'!$A:$A=$A682)*('env Parameter'!$B:$B=$K682)*('env Parameter'!$C:$C=$L682),'env Parameter'!G:G,""),"")</f>
        <v>7.6</v>
      </c>
      <c r="F682" t="str">
        <f>eDNA!F682</f>
        <v>MiFish</v>
      </c>
      <c r="G682" t="str">
        <f>eDNA!D682</f>
        <v>Paramisgurnus dabryanus</v>
      </c>
      <c r="H682" t="str">
        <f>_xlfn.XLOOKUP(G682,'Common name (master file)'!$B:$B,'Common name (master file)'!$A:$A,"-------------")</f>
        <v>중국미꾸라지</v>
      </c>
      <c r="I682">
        <f>eDNA!E682</f>
        <v>18</v>
      </c>
      <c r="J682" t="str">
        <f>_xlfn.XLOOKUP(G682,'Common name (master file)'!$B:$B,'Common name (master file)'!$C:$C,"")</f>
        <v>어류</v>
      </c>
      <c r="K682">
        <f>eDNA!B682</f>
        <v>126.9506027</v>
      </c>
      <c r="L682">
        <f>eDNA!C682</f>
        <v>37.400644700000001</v>
      </c>
      <c r="M682" s="10" t="str" cm="1">
        <f t="array" ref="M682">IFERROR(_xlfn.XLOOKUP(1,('env Parameter'!$A:$A=$A682)*('env Parameter'!$B:$B=$K682)*('env Parameter'!$C:$C=$L682),'env Parameter'!D:D,""),"")</f>
        <v>안양천-31</v>
      </c>
      <c r="N682" s="10" t="str" cm="1">
        <f t="array" ref="N682">IFERROR(_xlfn.XLOOKUP(1,('env Parameter'!$A:$A=$A682)*('env Parameter'!$B:$B=$K682)*('env Parameter'!$C:$C=$L682),'env Parameter'!I:I,""),"")</f>
        <v>YR</v>
      </c>
    </row>
    <row r="683" spans="1:14">
      <c r="A683">
        <f>eDNA!A683</f>
        <v>20200718</v>
      </c>
      <c r="B683" s="10" t="str" cm="1">
        <f t="array" ref="B683">IFERROR(_xlfn.XLOOKUP(1,('env Parameter'!$A:$A=$A683)*('env Parameter'!$B:$B=$K683)*('env Parameter'!$C:$C=$L683),'env Parameter'!H:H,""),"")</f>
        <v>생물상 조사</v>
      </c>
      <c r="C683" s="10" cm="1">
        <f t="array" ref="C683">IFERROR(_xlfn.XLOOKUP(1,('env Parameter'!$A:$A=$A683)*('env Parameter'!$B:$B=$K683)*('env Parameter'!$C:$C=$L683),'env Parameter'!E:E,""),"")</f>
        <v>2.14</v>
      </c>
      <c r="D683" s="10" cm="1">
        <f t="array" ref="D683">IFERROR(_xlfn.XLOOKUP(1,('env Parameter'!$A:$A=$A683)*('env Parameter'!$B:$B=$K683)*('env Parameter'!$C:$C=$L683),'env Parameter'!F:F,""),"")</f>
        <v>478</v>
      </c>
      <c r="E683" s="10" cm="1">
        <f t="array" ref="E683">IFERROR(_xlfn.XLOOKUP(1,('env Parameter'!$A:$A=$A683)*('env Parameter'!$B:$B=$K683)*('env Parameter'!$C:$C=$L683),'env Parameter'!G:G,""),"")</f>
        <v>7.6</v>
      </c>
      <c r="F683" t="str">
        <f>eDNA!F683</f>
        <v>MiFish</v>
      </c>
      <c r="G683" t="str">
        <f>eDNA!D683</f>
        <v>Decapterus maruadsi</v>
      </c>
      <c r="H683" t="str">
        <f>_xlfn.XLOOKUP(G683,'Common name (master file)'!$B:$B,'Common name (master file)'!$A:$A,"-------------")</f>
        <v>가라지</v>
      </c>
      <c r="I683">
        <f>eDNA!E683</f>
        <v>149</v>
      </c>
      <c r="J683" t="str">
        <f>_xlfn.XLOOKUP(G683,'Common name (master file)'!$B:$B,'Common name (master file)'!$C:$C,"")</f>
        <v>어류</v>
      </c>
      <c r="K683">
        <f>eDNA!B683</f>
        <v>126.8663749</v>
      </c>
      <c r="L683">
        <f>eDNA!C683</f>
        <v>37.492704799999998</v>
      </c>
      <c r="M683" s="10" t="str" cm="1">
        <f t="array" ref="M683">IFERROR(_xlfn.XLOOKUP(1,('env Parameter'!$A:$A=$A683)*('env Parameter'!$B:$B=$K683)*('env Parameter'!$C:$C=$L683),'env Parameter'!D:D,""),"")</f>
        <v>안양천-22</v>
      </c>
      <c r="N683" s="10" t="str" cm="1">
        <f t="array" ref="N683">IFERROR(_xlfn.XLOOKUP(1,('env Parameter'!$A:$A=$A683)*('env Parameter'!$B:$B=$K683)*('env Parameter'!$C:$C=$L683),'env Parameter'!I:I,""),"")</f>
        <v>YR</v>
      </c>
    </row>
    <row r="684" spans="1:14">
      <c r="A684">
        <f>eDNA!A684</f>
        <v>20200718</v>
      </c>
      <c r="B684" s="10" t="str" cm="1">
        <f t="array" ref="B684">IFERROR(_xlfn.XLOOKUP(1,('env Parameter'!$A:$A=$A684)*('env Parameter'!$B:$B=$K684)*('env Parameter'!$C:$C=$L684),'env Parameter'!H:H,""),"")</f>
        <v>생물상 조사</v>
      </c>
      <c r="C684" s="10" cm="1">
        <f t="array" ref="C684">IFERROR(_xlfn.XLOOKUP(1,('env Parameter'!$A:$A=$A684)*('env Parameter'!$B:$B=$K684)*('env Parameter'!$C:$C=$L684),'env Parameter'!E:E,""),"")</f>
        <v>2.14</v>
      </c>
      <c r="D684" s="10" cm="1">
        <f t="array" ref="D684">IFERROR(_xlfn.XLOOKUP(1,('env Parameter'!$A:$A=$A684)*('env Parameter'!$B:$B=$K684)*('env Parameter'!$C:$C=$L684),'env Parameter'!F:F,""),"")</f>
        <v>478</v>
      </c>
      <c r="E684" s="10" cm="1">
        <f t="array" ref="E684">IFERROR(_xlfn.XLOOKUP(1,('env Parameter'!$A:$A=$A684)*('env Parameter'!$B:$B=$K684)*('env Parameter'!$C:$C=$L684),'env Parameter'!G:G,""),"")</f>
        <v>7.6</v>
      </c>
      <c r="F684" t="str">
        <f>eDNA!F684</f>
        <v>MiFish</v>
      </c>
      <c r="G684" t="str">
        <f>eDNA!D684</f>
        <v>Homo sapiens</v>
      </c>
      <c r="H684" t="str">
        <f>_xlfn.XLOOKUP(G684,'Common name (master file)'!$B:$B,'Common name (master file)'!$A:$A,"-------------")</f>
        <v>사람</v>
      </c>
      <c r="I684">
        <f>eDNA!E684</f>
        <v>27</v>
      </c>
      <c r="J684" t="str">
        <f>_xlfn.XLOOKUP(G684,'Common name (master file)'!$B:$B,'Common name (master file)'!$C:$C,"")</f>
        <v>포유류</v>
      </c>
      <c r="K684">
        <f>eDNA!B684</f>
        <v>126.9506027</v>
      </c>
      <c r="L684">
        <f>eDNA!C684</f>
        <v>37.400644700000001</v>
      </c>
      <c r="M684" s="10" t="str" cm="1">
        <f t="array" ref="M684">IFERROR(_xlfn.XLOOKUP(1,('env Parameter'!$A:$A=$A684)*('env Parameter'!$B:$B=$K684)*('env Parameter'!$C:$C=$L684),'env Parameter'!D:D,""),"")</f>
        <v>안양천-31</v>
      </c>
      <c r="N684" s="10" t="str" cm="1">
        <f t="array" ref="N684">IFERROR(_xlfn.XLOOKUP(1,('env Parameter'!$A:$A=$A684)*('env Parameter'!$B:$B=$K684)*('env Parameter'!$C:$C=$L684),'env Parameter'!I:I,""),"")</f>
        <v>YR</v>
      </c>
    </row>
    <row r="685" spans="1:14">
      <c r="A685">
        <f>eDNA!A685</f>
        <v>20200718</v>
      </c>
      <c r="B685" s="10" t="str" cm="1">
        <f t="array" ref="B685">IFERROR(_xlfn.XLOOKUP(1,('env Parameter'!$A:$A=$A685)*('env Parameter'!$B:$B=$K685)*('env Parameter'!$C:$C=$L685),'env Parameter'!H:H,""),"")</f>
        <v>생물상 조사</v>
      </c>
      <c r="C685" s="10" cm="1">
        <f t="array" ref="C685">IFERROR(_xlfn.XLOOKUP(1,('env Parameter'!$A:$A=$A685)*('env Parameter'!$B:$B=$K685)*('env Parameter'!$C:$C=$L685),'env Parameter'!E:E,""),"")</f>
        <v>2.14</v>
      </c>
      <c r="D685" s="10" cm="1">
        <f t="array" ref="D685">IFERROR(_xlfn.XLOOKUP(1,('env Parameter'!$A:$A=$A685)*('env Parameter'!$B:$B=$K685)*('env Parameter'!$C:$C=$L685),'env Parameter'!F:F,""),"")</f>
        <v>478</v>
      </c>
      <c r="E685" s="10" cm="1">
        <f t="array" ref="E685">IFERROR(_xlfn.XLOOKUP(1,('env Parameter'!$A:$A=$A685)*('env Parameter'!$B:$B=$K685)*('env Parameter'!$C:$C=$L685),'env Parameter'!G:G,""),"")</f>
        <v>7.6</v>
      </c>
      <c r="F685" t="str">
        <f>eDNA!F685</f>
        <v>MiFish</v>
      </c>
      <c r="G685" t="str">
        <f>eDNA!D685</f>
        <v>Tadorna tadorna</v>
      </c>
      <c r="H685" t="str">
        <f>_xlfn.XLOOKUP(G685,'Common name (master file)'!$B:$B,'Common name (master file)'!$A:$A,"-------------")</f>
        <v>혹부리오리</v>
      </c>
      <c r="I685">
        <f>eDNA!E685</f>
        <v>67</v>
      </c>
      <c r="J685" t="str">
        <f>_xlfn.XLOOKUP(G685,'Common name (master file)'!$B:$B,'Common name (master file)'!$C:$C,"")</f>
        <v>조류</v>
      </c>
      <c r="K685">
        <f>eDNA!B685</f>
        <v>126.9506027</v>
      </c>
      <c r="L685">
        <f>eDNA!C685</f>
        <v>37.400644700000001</v>
      </c>
      <c r="M685" s="10" t="str" cm="1">
        <f t="array" ref="M685">IFERROR(_xlfn.XLOOKUP(1,('env Parameter'!$A:$A=$A685)*('env Parameter'!$B:$B=$K685)*('env Parameter'!$C:$C=$L685),'env Parameter'!D:D,""),"")</f>
        <v>안양천-31</v>
      </c>
      <c r="N685" s="10" t="str" cm="1">
        <f t="array" ref="N685">IFERROR(_xlfn.XLOOKUP(1,('env Parameter'!$A:$A=$A685)*('env Parameter'!$B:$B=$K685)*('env Parameter'!$C:$C=$L685),'env Parameter'!I:I,""),"")</f>
        <v>YR</v>
      </c>
    </row>
    <row r="686" spans="1:14">
      <c r="A686">
        <f>eDNA!A686</f>
        <v>20200718</v>
      </c>
      <c r="B686" s="10" t="str" cm="1">
        <f t="array" ref="B686">IFERROR(_xlfn.XLOOKUP(1,('env Parameter'!$A:$A=$A686)*('env Parameter'!$B:$B=$K686)*('env Parameter'!$C:$C=$L686),'env Parameter'!H:H,""),"")</f>
        <v>생물상 조사</v>
      </c>
      <c r="C686" s="10" cm="1">
        <f t="array" ref="C686">IFERROR(_xlfn.XLOOKUP(1,('env Parameter'!$A:$A=$A686)*('env Parameter'!$B:$B=$K686)*('env Parameter'!$C:$C=$L686),'env Parameter'!E:E,""),"")</f>
        <v>2.14</v>
      </c>
      <c r="D686" s="10" cm="1">
        <f t="array" ref="D686">IFERROR(_xlfn.XLOOKUP(1,('env Parameter'!$A:$A=$A686)*('env Parameter'!$B:$B=$K686)*('env Parameter'!$C:$C=$L686),'env Parameter'!F:F,""),"")</f>
        <v>478</v>
      </c>
      <c r="E686" s="10" cm="1">
        <f t="array" ref="E686">IFERROR(_xlfn.XLOOKUP(1,('env Parameter'!$A:$A=$A686)*('env Parameter'!$B:$B=$K686)*('env Parameter'!$C:$C=$L686),'env Parameter'!G:G,""),"")</f>
        <v>7.6</v>
      </c>
      <c r="F686" t="str">
        <f>eDNA!F686</f>
        <v>MiFish</v>
      </c>
      <c r="G686" t="str">
        <f>eDNA!D686</f>
        <v>Misgurnus bipartitus</v>
      </c>
      <c r="H686" t="str">
        <f>_xlfn.XLOOKUP(G686,'Common name (master file)'!$B:$B,'Common name (master file)'!$A:$A,"-------------")</f>
        <v>쌍무늬미꾸리</v>
      </c>
      <c r="I686">
        <f>eDNA!E686</f>
        <v>122</v>
      </c>
      <c r="J686" t="str">
        <f>_xlfn.XLOOKUP(G686,'Common name (master file)'!$B:$B,'Common name (master file)'!$C:$C,"")</f>
        <v>어류</v>
      </c>
      <c r="K686">
        <f>eDNA!B686</f>
        <v>126.9506027</v>
      </c>
      <c r="L686">
        <f>eDNA!C686</f>
        <v>37.400644700000001</v>
      </c>
      <c r="M686" s="10" t="str" cm="1">
        <f t="array" ref="M686">IFERROR(_xlfn.XLOOKUP(1,('env Parameter'!$A:$A=$A686)*('env Parameter'!$B:$B=$K686)*('env Parameter'!$C:$C=$L686),'env Parameter'!D:D,""),"")</f>
        <v>안양천-31</v>
      </c>
      <c r="N686" s="10" t="str" cm="1">
        <f t="array" ref="N686">IFERROR(_xlfn.XLOOKUP(1,('env Parameter'!$A:$A=$A686)*('env Parameter'!$B:$B=$K686)*('env Parameter'!$C:$C=$L686),'env Parameter'!I:I,""),"")</f>
        <v>YR</v>
      </c>
    </row>
    <row r="687" spans="1:14">
      <c r="A687">
        <f>eDNA!A687</f>
        <v>20200718</v>
      </c>
      <c r="B687" s="10" t="str" cm="1">
        <f t="array" ref="B687">IFERROR(_xlfn.XLOOKUP(1,('env Parameter'!$A:$A=$A687)*('env Parameter'!$B:$B=$K687)*('env Parameter'!$C:$C=$L687),'env Parameter'!H:H,""),"")</f>
        <v>생물상 조사</v>
      </c>
      <c r="C687" s="10" cm="1">
        <f t="array" ref="C687">IFERROR(_xlfn.XLOOKUP(1,('env Parameter'!$A:$A=$A687)*('env Parameter'!$B:$B=$K687)*('env Parameter'!$C:$C=$L687),'env Parameter'!E:E,""),"")</f>
        <v>2.14</v>
      </c>
      <c r="D687" s="10" cm="1">
        <f t="array" ref="D687">IFERROR(_xlfn.XLOOKUP(1,('env Parameter'!$A:$A=$A687)*('env Parameter'!$B:$B=$K687)*('env Parameter'!$C:$C=$L687),'env Parameter'!F:F,""),"")</f>
        <v>478</v>
      </c>
      <c r="E687" s="10" cm="1">
        <f t="array" ref="E687">IFERROR(_xlfn.XLOOKUP(1,('env Parameter'!$A:$A=$A687)*('env Parameter'!$B:$B=$K687)*('env Parameter'!$C:$C=$L687),'env Parameter'!G:G,""),"")</f>
        <v>7.6</v>
      </c>
      <c r="F687" t="str">
        <f>eDNA!F687</f>
        <v>MiFish</v>
      </c>
      <c r="G687" t="str">
        <f>eDNA!D687</f>
        <v>Muraenesox cinereus</v>
      </c>
      <c r="H687" t="str">
        <f>_xlfn.XLOOKUP(G687,'Common name (master file)'!$B:$B,'Common name (master file)'!$A:$A,"-------------")</f>
        <v>갯장어</v>
      </c>
      <c r="I687">
        <f>eDNA!E687</f>
        <v>47</v>
      </c>
      <c r="J687" t="str">
        <f>_xlfn.XLOOKUP(G687,'Common name (master file)'!$B:$B,'Common name (master file)'!$C:$C,"")</f>
        <v>어류</v>
      </c>
      <c r="K687">
        <f>eDNA!B687</f>
        <v>126.8772417</v>
      </c>
      <c r="L687">
        <f>eDNA!C687</f>
        <v>37.474826299999997</v>
      </c>
      <c r="M687" s="10" t="str" cm="1">
        <f t="array" ref="M687">IFERROR(_xlfn.XLOOKUP(1,('env Parameter'!$A:$A=$A687)*('env Parameter'!$B:$B=$K687)*('env Parameter'!$C:$C=$L687),'env Parameter'!D:D,""),"")</f>
        <v>안양천-10</v>
      </c>
      <c r="N687" s="10" t="str" cm="1">
        <f t="array" ref="N687">IFERROR(_xlfn.XLOOKUP(1,('env Parameter'!$A:$A=$A687)*('env Parameter'!$B:$B=$K687)*('env Parameter'!$C:$C=$L687),'env Parameter'!I:I,""),"")</f>
        <v>YR</v>
      </c>
    </row>
    <row r="688" spans="1:14">
      <c r="A688">
        <f>eDNA!A688</f>
        <v>20200718</v>
      </c>
      <c r="B688" s="10" t="str" cm="1">
        <f t="array" ref="B688">IFERROR(_xlfn.XLOOKUP(1,('env Parameter'!$A:$A=$A688)*('env Parameter'!$B:$B=$K688)*('env Parameter'!$C:$C=$L688),'env Parameter'!H:H,""),"")</f>
        <v>생물상 조사</v>
      </c>
      <c r="C688" s="10" cm="1">
        <f t="array" ref="C688">IFERROR(_xlfn.XLOOKUP(1,('env Parameter'!$A:$A=$A688)*('env Parameter'!$B:$B=$K688)*('env Parameter'!$C:$C=$L688),'env Parameter'!E:E,""),"")</f>
        <v>2.14</v>
      </c>
      <c r="D688" s="10" cm="1">
        <f t="array" ref="D688">IFERROR(_xlfn.XLOOKUP(1,('env Parameter'!$A:$A=$A688)*('env Parameter'!$B:$B=$K688)*('env Parameter'!$C:$C=$L688),'env Parameter'!F:F,""),"")</f>
        <v>478</v>
      </c>
      <c r="E688" s="10" cm="1">
        <f t="array" ref="E688">IFERROR(_xlfn.XLOOKUP(1,('env Parameter'!$A:$A=$A688)*('env Parameter'!$B:$B=$K688)*('env Parameter'!$C:$C=$L688),'env Parameter'!G:G,""),"")</f>
        <v>7.6</v>
      </c>
      <c r="F688" t="str">
        <f>eDNA!F688</f>
        <v>MiFish</v>
      </c>
      <c r="G688" t="str">
        <f>eDNA!D688</f>
        <v>Hypsipetes leucocephalus</v>
      </c>
      <c r="H688" t="str">
        <f>_xlfn.XLOOKUP(G688,'Common name (master file)'!$B:$B,'Common name (master file)'!$A:$A,"-------------")</f>
        <v>검은이마직박구리</v>
      </c>
      <c r="I688">
        <f>eDNA!E688</f>
        <v>27</v>
      </c>
      <c r="J688" t="str">
        <f>_xlfn.XLOOKUP(G688,'Common name (master file)'!$B:$B,'Common name (master file)'!$C:$C,"")</f>
        <v>조류</v>
      </c>
      <c r="K688">
        <f>eDNA!B688</f>
        <v>126.9350989</v>
      </c>
      <c r="L688">
        <f>eDNA!C688</f>
        <v>37.419096199999998</v>
      </c>
      <c r="M688" s="10" t="str" cm="1">
        <f t="array" ref="M688">IFERROR(_xlfn.XLOOKUP(1,('env Parameter'!$A:$A=$A688)*('env Parameter'!$B:$B=$K688)*('env Parameter'!$C:$C=$L688),'env Parameter'!D:D,""),"")</f>
        <v>삼성천-2</v>
      </c>
      <c r="N688" s="10" t="str" cm="1">
        <f t="array" ref="N688">IFERROR(_xlfn.XLOOKUP(1,('env Parameter'!$A:$A=$A688)*('env Parameter'!$B:$B=$K688)*('env Parameter'!$C:$C=$L688),'env Parameter'!I:I,""),"")</f>
        <v>YR</v>
      </c>
    </row>
    <row r="689" spans="1:14">
      <c r="A689">
        <f>eDNA!A689</f>
        <v>20200718</v>
      </c>
      <c r="B689" s="10" t="str" cm="1">
        <f t="array" ref="B689">IFERROR(_xlfn.XLOOKUP(1,('env Parameter'!$A:$A=$A689)*('env Parameter'!$B:$B=$K689)*('env Parameter'!$C:$C=$L689),'env Parameter'!H:H,""),"")</f>
        <v>생물상 조사</v>
      </c>
      <c r="C689" s="10" cm="1">
        <f t="array" ref="C689">IFERROR(_xlfn.XLOOKUP(1,('env Parameter'!$A:$A=$A689)*('env Parameter'!$B:$B=$K689)*('env Parameter'!$C:$C=$L689),'env Parameter'!E:E,""),"")</f>
        <v>2.14</v>
      </c>
      <c r="D689" s="10" cm="1">
        <f t="array" ref="D689">IFERROR(_xlfn.XLOOKUP(1,('env Parameter'!$A:$A=$A689)*('env Parameter'!$B:$B=$K689)*('env Parameter'!$C:$C=$L689),'env Parameter'!F:F,""),"")</f>
        <v>478</v>
      </c>
      <c r="E689" s="10" cm="1">
        <f t="array" ref="E689">IFERROR(_xlfn.XLOOKUP(1,('env Parameter'!$A:$A=$A689)*('env Parameter'!$B:$B=$K689)*('env Parameter'!$C:$C=$L689),'env Parameter'!G:G,""),"")</f>
        <v>7.6</v>
      </c>
      <c r="F689" t="str">
        <f>eDNA!F689</f>
        <v>MiFish</v>
      </c>
      <c r="G689" t="str">
        <f>eDNA!D689</f>
        <v>Misgurnus mizolepis</v>
      </c>
      <c r="H689" t="str">
        <f>_xlfn.XLOOKUP(G689,'Common name (master file)'!$B:$B,'Common name (master file)'!$A:$A,"-------------")</f>
        <v>미꾸라지</v>
      </c>
      <c r="I689">
        <f>eDNA!E689</f>
        <v>35427</v>
      </c>
      <c r="J689" t="str">
        <f>_xlfn.XLOOKUP(G689,'Common name (master file)'!$B:$B,'Common name (master file)'!$C:$C,"")</f>
        <v>어류</v>
      </c>
      <c r="K689">
        <f>eDNA!B689</f>
        <v>126.9506027</v>
      </c>
      <c r="L689">
        <f>eDNA!C689</f>
        <v>37.400644700000001</v>
      </c>
      <c r="M689" s="10" t="str" cm="1">
        <f t="array" ref="M689">IFERROR(_xlfn.XLOOKUP(1,('env Parameter'!$A:$A=$A689)*('env Parameter'!$B:$B=$K689)*('env Parameter'!$C:$C=$L689),'env Parameter'!D:D,""),"")</f>
        <v>안양천-31</v>
      </c>
      <c r="N689" s="10" t="str" cm="1">
        <f t="array" ref="N689">IFERROR(_xlfn.XLOOKUP(1,('env Parameter'!$A:$A=$A689)*('env Parameter'!$B:$B=$K689)*('env Parameter'!$C:$C=$L689),'env Parameter'!I:I,""),"")</f>
        <v>YR</v>
      </c>
    </row>
    <row r="690" spans="1:14">
      <c r="A690">
        <f>eDNA!A690</f>
        <v>20200718</v>
      </c>
      <c r="B690" s="10" t="str" cm="1">
        <f t="array" ref="B690">IFERROR(_xlfn.XLOOKUP(1,('env Parameter'!$A:$A=$A690)*('env Parameter'!$B:$B=$K690)*('env Parameter'!$C:$C=$L690),'env Parameter'!H:H,""),"")</f>
        <v>생물상 조사</v>
      </c>
      <c r="C690" s="10" cm="1">
        <f t="array" ref="C690">IFERROR(_xlfn.XLOOKUP(1,('env Parameter'!$A:$A=$A690)*('env Parameter'!$B:$B=$K690)*('env Parameter'!$C:$C=$L690),'env Parameter'!E:E,""),"")</f>
        <v>2.14</v>
      </c>
      <c r="D690" s="10" cm="1">
        <f t="array" ref="D690">IFERROR(_xlfn.XLOOKUP(1,('env Parameter'!$A:$A=$A690)*('env Parameter'!$B:$B=$K690)*('env Parameter'!$C:$C=$L690),'env Parameter'!F:F,""),"")</f>
        <v>478</v>
      </c>
      <c r="E690" s="10" cm="1">
        <f t="array" ref="E690">IFERROR(_xlfn.XLOOKUP(1,('env Parameter'!$A:$A=$A690)*('env Parameter'!$B:$B=$K690)*('env Parameter'!$C:$C=$L690),'env Parameter'!G:G,""),"")</f>
        <v>7.6</v>
      </c>
      <c r="F690" t="str">
        <f>eDNA!F690</f>
        <v>MiFish</v>
      </c>
      <c r="G690" t="str">
        <f>eDNA!D690</f>
        <v>Rhynchocypris oxycephalus</v>
      </c>
      <c r="H690" t="str">
        <f>_xlfn.XLOOKUP(G690,'Common name (master file)'!$B:$B,'Common name (master file)'!$A:$A,"-------------")</f>
        <v>버들치</v>
      </c>
      <c r="I690">
        <f>eDNA!E690</f>
        <v>49995</v>
      </c>
      <c r="J690" t="str">
        <f>_xlfn.XLOOKUP(G690,'Common name (master file)'!$B:$B,'Common name (master file)'!$C:$C,"")</f>
        <v>어류</v>
      </c>
      <c r="K690">
        <f>eDNA!B690</f>
        <v>126.9506027</v>
      </c>
      <c r="L690">
        <f>eDNA!C690</f>
        <v>37.400644700000001</v>
      </c>
      <c r="M690" s="10" t="str" cm="1">
        <f t="array" ref="M690">IFERROR(_xlfn.XLOOKUP(1,('env Parameter'!$A:$A=$A690)*('env Parameter'!$B:$B=$K690)*('env Parameter'!$C:$C=$L690),'env Parameter'!D:D,""),"")</f>
        <v>안양천-31</v>
      </c>
      <c r="N690" s="10" t="str" cm="1">
        <f t="array" ref="N690">IFERROR(_xlfn.XLOOKUP(1,('env Parameter'!$A:$A=$A690)*('env Parameter'!$B:$B=$K690)*('env Parameter'!$C:$C=$L690),'env Parameter'!I:I,""),"")</f>
        <v>YR</v>
      </c>
    </row>
    <row r="691" spans="1:14">
      <c r="A691">
        <f>eDNA!A691</f>
        <v>20200718</v>
      </c>
      <c r="B691" s="10" t="str" cm="1">
        <f t="array" ref="B691">IFERROR(_xlfn.XLOOKUP(1,('env Parameter'!$A:$A=$A691)*('env Parameter'!$B:$B=$K691)*('env Parameter'!$C:$C=$L691),'env Parameter'!H:H,""),"")</f>
        <v>생물상 조사</v>
      </c>
      <c r="C691" s="10" cm="1">
        <f t="array" ref="C691">IFERROR(_xlfn.XLOOKUP(1,('env Parameter'!$A:$A=$A691)*('env Parameter'!$B:$B=$K691)*('env Parameter'!$C:$C=$L691),'env Parameter'!E:E,""),"")</f>
        <v>2.14</v>
      </c>
      <c r="D691" s="10" cm="1">
        <f t="array" ref="D691">IFERROR(_xlfn.XLOOKUP(1,('env Parameter'!$A:$A=$A691)*('env Parameter'!$B:$B=$K691)*('env Parameter'!$C:$C=$L691),'env Parameter'!F:F,""),"")</f>
        <v>478</v>
      </c>
      <c r="E691" s="10" cm="1">
        <f t="array" ref="E691">IFERROR(_xlfn.XLOOKUP(1,('env Parameter'!$A:$A=$A691)*('env Parameter'!$B:$B=$K691)*('env Parameter'!$C:$C=$L691),'env Parameter'!G:G,""),"")</f>
        <v>7.6</v>
      </c>
      <c r="F691" t="str">
        <f>eDNA!F691</f>
        <v>MiFish</v>
      </c>
      <c r="G691" t="str">
        <f>eDNA!D691</f>
        <v>Carassius auratus</v>
      </c>
      <c r="H691" t="str">
        <f>_xlfn.XLOOKUP(G691,'Common name (master file)'!$B:$B,'Common name (master file)'!$A:$A,"-------------")</f>
        <v>붕어</v>
      </c>
      <c r="I691">
        <f>eDNA!E691</f>
        <v>17</v>
      </c>
      <c r="J691" t="str">
        <f>_xlfn.XLOOKUP(G691,'Common name (master file)'!$B:$B,'Common name (master file)'!$C:$C,"")</f>
        <v>어류</v>
      </c>
      <c r="K691">
        <f>eDNA!B691</f>
        <v>126.9724018</v>
      </c>
      <c r="L691">
        <f>eDNA!C691</f>
        <v>37.348161500000003</v>
      </c>
      <c r="M691" s="10" t="str" cm="1">
        <f t="array" ref="M691">IFERROR(_xlfn.XLOOKUP(1,('env Parameter'!$A:$A=$A691)*('env Parameter'!$B:$B=$K691)*('env Parameter'!$C:$C=$L691),'env Parameter'!D:D,""),"")</f>
        <v>안양천-1</v>
      </c>
      <c r="N691" s="10" t="str" cm="1">
        <f t="array" ref="N691">IFERROR(_xlfn.XLOOKUP(1,('env Parameter'!$A:$A=$A691)*('env Parameter'!$B:$B=$K691)*('env Parameter'!$C:$C=$L691),'env Parameter'!I:I,""),"")</f>
        <v>YR</v>
      </c>
    </row>
    <row r="692" spans="1:14">
      <c r="A692">
        <f>eDNA!A692</f>
        <v>20200718</v>
      </c>
      <c r="B692" s="10" t="str" cm="1">
        <f t="array" ref="B692">IFERROR(_xlfn.XLOOKUP(1,('env Parameter'!$A:$A=$A692)*('env Parameter'!$B:$B=$K692)*('env Parameter'!$C:$C=$L692),'env Parameter'!H:H,""),"")</f>
        <v>생물상 조사</v>
      </c>
      <c r="C692" s="10" cm="1">
        <f t="array" ref="C692">IFERROR(_xlfn.XLOOKUP(1,('env Parameter'!$A:$A=$A692)*('env Parameter'!$B:$B=$K692)*('env Parameter'!$C:$C=$L692),'env Parameter'!E:E,""),"")</f>
        <v>2.14</v>
      </c>
      <c r="D692" s="10" cm="1">
        <f t="array" ref="D692">IFERROR(_xlfn.XLOOKUP(1,('env Parameter'!$A:$A=$A692)*('env Parameter'!$B:$B=$K692)*('env Parameter'!$C:$C=$L692),'env Parameter'!F:F,""),"")</f>
        <v>478</v>
      </c>
      <c r="E692" s="10" cm="1">
        <f t="array" ref="E692">IFERROR(_xlfn.XLOOKUP(1,('env Parameter'!$A:$A=$A692)*('env Parameter'!$B:$B=$K692)*('env Parameter'!$C:$C=$L692),'env Parameter'!G:G,""),"")</f>
        <v>7.6</v>
      </c>
      <c r="F692" t="str">
        <f>eDNA!F692</f>
        <v>MiFish</v>
      </c>
      <c r="G692" t="str">
        <f>eDNA!D692</f>
        <v>Channa argus</v>
      </c>
      <c r="H692" t="str">
        <f>_xlfn.XLOOKUP(G692,'Common name (master file)'!$B:$B,'Common name (master file)'!$A:$A,"-------------")</f>
        <v>가물치</v>
      </c>
      <c r="I692">
        <f>eDNA!E692</f>
        <v>19</v>
      </c>
      <c r="J692" t="str">
        <f>_xlfn.XLOOKUP(G692,'Common name (master file)'!$B:$B,'Common name (master file)'!$C:$C,"")</f>
        <v>어류</v>
      </c>
      <c r="K692">
        <f>eDNA!B692</f>
        <v>126.9724018</v>
      </c>
      <c r="L692">
        <f>eDNA!C692</f>
        <v>37.348161500000003</v>
      </c>
      <c r="M692" s="10" t="str" cm="1">
        <f t="array" ref="M692">IFERROR(_xlfn.XLOOKUP(1,('env Parameter'!$A:$A=$A692)*('env Parameter'!$B:$B=$K692)*('env Parameter'!$C:$C=$L692),'env Parameter'!D:D,""),"")</f>
        <v>안양천-1</v>
      </c>
      <c r="N692" s="10" t="str" cm="1">
        <f t="array" ref="N692">IFERROR(_xlfn.XLOOKUP(1,('env Parameter'!$A:$A=$A692)*('env Parameter'!$B:$B=$K692)*('env Parameter'!$C:$C=$L692),'env Parameter'!I:I,""),"")</f>
        <v>YR</v>
      </c>
    </row>
    <row r="693" spans="1:14">
      <c r="A693">
        <f>eDNA!A693</f>
        <v>20200718</v>
      </c>
      <c r="B693" s="10" t="str" cm="1">
        <f t="array" ref="B693">IFERROR(_xlfn.XLOOKUP(1,('env Parameter'!$A:$A=$A693)*('env Parameter'!$B:$B=$K693)*('env Parameter'!$C:$C=$L693),'env Parameter'!H:H,""),"")</f>
        <v>생물상 조사</v>
      </c>
      <c r="C693" s="10" cm="1">
        <f t="array" ref="C693">IFERROR(_xlfn.XLOOKUP(1,('env Parameter'!$A:$A=$A693)*('env Parameter'!$B:$B=$K693)*('env Parameter'!$C:$C=$L693),'env Parameter'!E:E,""),"")</f>
        <v>2.14</v>
      </c>
      <c r="D693" s="10" cm="1">
        <f t="array" ref="D693">IFERROR(_xlfn.XLOOKUP(1,('env Parameter'!$A:$A=$A693)*('env Parameter'!$B:$B=$K693)*('env Parameter'!$C:$C=$L693),'env Parameter'!F:F,""),"")</f>
        <v>478</v>
      </c>
      <c r="E693" s="10" cm="1">
        <f t="array" ref="E693">IFERROR(_xlfn.XLOOKUP(1,('env Parameter'!$A:$A=$A693)*('env Parameter'!$B:$B=$K693)*('env Parameter'!$C:$C=$L693),'env Parameter'!G:G,""),"")</f>
        <v>7.6</v>
      </c>
      <c r="F693" t="str">
        <f>eDNA!F693</f>
        <v>MiFish</v>
      </c>
      <c r="G693" t="str">
        <f>eDNA!D693</f>
        <v>Felis catus</v>
      </c>
      <c r="H693" t="str">
        <f>_xlfn.XLOOKUP(G693,'Common name (master file)'!$B:$B,'Common name (master file)'!$A:$A,"-------------")</f>
        <v>고양이</v>
      </c>
      <c r="I693">
        <f>eDNA!E693</f>
        <v>21</v>
      </c>
      <c r="J693" t="str">
        <f>_xlfn.XLOOKUP(G693,'Common name (master file)'!$B:$B,'Common name (master file)'!$C:$C,"")</f>
        <v>포유류</v>
      </c>
      <c r="K693">
        <f>eDNA!B693</f>
        <v>126.85185540000001</v>
      </c>
      <c r="L693">
        <f>eDNA!C693</f>
        <v>37.406578799999998</v>
      </c>
      <c r="M693" s="10" t="str" cm="1">
        <f t="array" ref="M693">IFERROR(_xlfn.XLOOKUP(1,('env Parameter'!$A:$A=$A693)*('env Parameter'!$B:$B=$K693)*('env Parameter'!$C:$C=$L693),'env Parameter'!D:D,""),"")</f>
        <v>목감천-4</v>
      </c>
      <c r="N693" s="10" t="str" cm="1">
        <f t="array" ref="N693">IFERROR(_xlfn.XLOOKUP(1,('env Parameter'!$A:$A=$A693)*('env Parameter'!$B:$B=$K693)*('env Parameter'!$C:$C=$L693),'env Parameter'!I:I,""),"")</f>
        <v>YR</v>
      </c>
    </row>
    <row r="694" spans="1:14">
      <c r="A694">
        <f>eDNA!A694</f>
        <v>20200718</v>
      </c>
      <c r="B694" s="10" t="str" cm="1">
        <f t="array" ref="B694">IFERROR(_xlfn.XLOOKUP(1,('env Parameter'!$A:$A=$A694)*('env Parameter'!$B:$B=$K694)*('env Parameter'!$C:$C=$L694),'env Parameter'!H:H,""),"")</f>
        <v>생물상 조사</v>
      </c>
      <c r="C694" s="10" cm="1">
        <f t="array" ref="C694">IFERROR(_xlfn.XLOOKUP(1,('env Parameter'!$A:$A=$A694)*('env Parameter'!$B:$B=$K694)*('env Parameter'!$C:$C=$L694),'env Parameter'!E:E,""),"")</f>
        <v>2.14</v>
      </c>
      <c r="D694" s="10" cm="1">
        <f t="array" ref="D694">IFERROR(_xlfn.XLOOKUP(1,('env Parameter'!$A:$A=$A694)*('env Parameter'!$B:$B=$K694)*('env Parameter'!$C:$C=$L694),'env Parameter'!F:F,""),"")</f>
        <v>478</v>
      </c>
      <c r="E694" s="10" cm="1">
        <f t="array" ref="E694">IFERROR(_xlfn.XLOOKUP(1,('env Parameter'!$A:$A=$A694)*('env Parameter'!$B:$B=$K694)*('env Parameter'!$C:$C=$L694),'env Parameter'!G:G,""),"")</f>
        <v>7.6</v>
      </c>
      <c r="F694" t="str">
        <f>eDNA!F694</f>
        <v>MiFish</v>
      </c>
      <c r="G694" t="str">
        <f>eDNA!D694</f>
        <v>Tadorna tadorna</v>
      </c>
      <c r="H694" t="str">
        <f>_xlfn.XLOOKUP(G694,'Common name (master file)'!$B:$B,'Common name (master file)'!$A:$A,"-------------")</f>
        <v>혹부리오리</v>
      </c>
      <c r="I694">
        <f>eDNA!E694</f>
        <v>24</v>
      </c>
      <c r="J694" t="str">
        <f>_xlfn.XLOOKUP(G694,'Common name (master file)'!$B:$B,'Common name (master file)'!$C:$C,"")</f>
        <v>조류</v>
      </c>
      <c r="K694">
        <f>eDNA!B694</f>
        <v>126.9724018</v>
      </c>
      <c r="L694">
        <f>eDNA!C694</f>
        <v>37.348161500000003</v>
      </c>
      <c r="M694" s="10" t="str" cm="1">
        <f t="array" ref="M694">IFERROR(_xlfn.XLOOKUP(1,('env Parameter'!$A:$A=$A694)*('env Parameter'!$B:$B=$K694)*('env Parameter'!$C:$C=$L694),'env Parameter'!D:D,""),"")</f>
        <v>안양천-1</v>
      </c>
      <c r="N694" s="10" t="str" cm="1">
        <f t="array" ref="N694">IFERROR(_xlfn.XLOOKUP(1,('env Parameter'!$A:$A=$A694)*('env Parameter'!$B:$B=$K694)*('env Parameter'!$C:$C=$L694),'env Parameter'!I:I,""),"")</f>
        <v>YR</v>
      </c>
    </row>
    <row r="695" spans="1:14">
      <c r="A695">
        <f>eDNA!A695</f>
        <v>20200718</v>
      </c>
      <c r="B695" s="10" t="str" cm="1">
        <f t="array" ref="B695">IFERROR(_xlfn.XLOOKUP(1,('env Parameter'!$A:$A=$A695)*('env Parameter'!$B:$B=$K695)*('env Parameter'!$C:$C=$L695),'env Parameter'!H:H,""),"")</f>
        <v>생물상 조사</v>
      </c>
      <c r="C695" s="10" cm="1">
        <f t="array" ref="C695">IFERROR(_xlfn.XLOOKUP(1,('env Parameter'!$A:$A=$A695)*('env Parameter'!$B:$B=$K695)*('env Parameter'!$C:$C=$L695),'env Parameter'!E:E,""),"")</f>
        <v>2.14</v>
      </c>
      <c r="D695" s="10" cm="1">
        <f t="array" ref="D695">IFERROR(_xlfn.XLOOKUP(1,('env Parameter'!$A:$A=$A695)*('env Parameter'!$B:$B=$K695)*('env Parameter'!$C:$C=$L695),'env Parameter'!F:F,""),"")</f>
        <v>478</v>
      </c>
      <c r="E695" s="10" cm="1">
        <f t="array" ref="E695">IFERROR(_xlfn.XLOOKUP(1,('env Parameter'!$A:$A=$A695)*('env Parameter'!$B:$B=$K695)*('env Parameter'!$C:$C=$L695),'env Parameter'!G:G,""),"")</f>
        <v>7.6</v>
      </c>
      <c r="F695" t="str">
        <f>eDNA!F695</f>
        <v>MiFish</v>
      </c>
      <c r="G695" t="str">
        <f>eDNA!D695</f>
        <v>Carassius cuvieri</v>
      </c>
      <c r="H695" t="str">
        <f>_xlfn.XLOOKUP(G695,'Common name (master file)'!$B:$B,'Common name (master file)'!$A:$A,"-------------")</f>
        <v>떡붕어</v>
      </c>
      <c r="I695">
        <f>eDNA!E695</f>
        <v>56</v>
      </c>
      <c r="J695" t="str">
        <f>_xlfn.XLOOKUP(G695,'Common name (master file)'!$B:$B,'Common name (master file)'!$C:$C,"")</f>
        <v>어류</v>
      </c>
      <c r="K695">
        <f>eDNA!B695</f>
        <v>126.9724018</v>
      </c>
      <c r="L695">
        <f>eDNA!C695</f>
        <v>37.348161500000003</v>
      </c>
      <c r="M695" s="10" t="str" cm="1">
        <f t="array" ref="M695">IFERROR(_xlfn.XLOOKUP(1,('env Parameter'!$A:$A=$A695)*('env Parameter'!$B:$B=$K695)*('env Parameter'!$C:$C=$L695),'env Parameter'!D:D,""),"")</f>
        <v>안양천-1</v>
      </c>
      <c r="N695" s="10" t="str" cm="1">
        <f t="array" ref="N695">IFERROR(_xlfn.XLOOKUP(1,('env Parameter'!$A:$A=$A695)*('env Parameter'!$B:$B=$K695)*('env Parameter'!$C:$C=$L695),'env Parameter'!I:I,""),"")</f>
        <v>YR</v>
      </c>
    </row>
    <row r="696" spans="1:14">
      <c r="A696">
        <f>eDNA!A696</f>
        <v>20200718</v>
      </c>
      <c r="B696" s="10" t="str" cm="1">
        <f t="array" ref="B696">IFERROR(_xlfn.XLOOKUP(1,('env Parameter'!$A:$A=$A696)*('env Parameter'!$B:$B=$K696)*('env Parameter'!$C:$C=$L696),'env Parameter'!H:H,""),"")</f>
        <v>생물상 조사</v>
      </c>
      <c r="C696" s="10" cm="1">
        <f t="array" ref="C696">IFERROR(_xlfn.XLOOKUP(1,('env Parameter'!$A:$A=$A696)*('env Parameter'!$B:$B=$K696)*('env Parameter'!$C:$C=$L696),'env Parameter'!E:E,""),"")</f>
        <v>2.14</v>
      </c>
      <c r="D696" s="10" cm="1">
        <f t="array" ref="D696">IFERROR(_xlfn.XLOOKUP(1,('env Parameter'!$A:$A=$A696)*('env Parameter'!$B:$B=$K696)*('env Parameter'!$C:$C=$L696),'env Parameter'!F:F,""),"")</f>
        <v>478</v>
      </c>
      <c r="E696" s="10" cm="1">
        <f t="array" ref="E696">IFERROR(_xlfn.XLOOKUP(1,('env Parameter'!$A:$A=$A696)*('env Parameter'!$B:$B=$K696)*('env Parameter'!$C:$C=$L696),'env Parameter'!G:G,""),"")</f>
        <v>7.6</v>
      </c>
      <c r="F696" t="str">
        <f>eDNA!F696</f>
        <v>MiFish</v>
      </c>
      <c r="G696" t="str">
        <f>eDNA!D696</f>
        <v>Carassius sp.</v>
      </c>
      <c r="H696" t="str">
        <f>_xlfn.XLOOKUP(G696,'Common name (master file)'!$B:$B,'Common name (master file)'!$A:$A,"-------------")</f>
        <v>붕어 속</v>
      </c>
      <c r="I696">
        <f>eDNA!E696</f>
        <v>226</v>
      </c>
      <c r="J696" t="str">
        <f>_xlfn.XLOOKUP(G696,'Common name (master file)'!$B:$B,'Common name (master file)'!$C:$C,"")</f>
        <v>어류</v>
      </c>
      <c r="K696">
        <f>eDNA!B696</f>
        <v>126.9724018</v>
      </c>
      <c r="L696">
        <f>eDNA!C696</f>
        <v>37.348161500000003</v>
      </c>
      <c r="M696" s="10" t="str" cm="1">
        <f t="array" ref="M696">IFERROR(_xlfn.XLOOKUP(1,('env Parameter'!$A:$A=$A696)*('env Parameter'!$B:$B=$K696)*('env Parameter'!$C:$C=$L696),'env Parameter'!D:D,""),"")</f>
        <v>안양천-1</v>
      </c>
      <c r="N696" s="10" t="str" cm="1">
        <f t="array" ref="N696">IFERROR(_xlfn.XLOOKUP(1,('env Parameter'!$A:$A=$A696)*('env Parameter'!$B:$B=$K696)*('env Parameter'!$C:$C=$L696),'env Parameter'!I:I,""),"")</f>
        <v>YR</v>
      </c>
    </row>
    <row r="697" spans="1:14">
      <c r="A697">
        <f>eDNA!A697</f>
        <v>20200718</v>
      </c>
      <c r="B697" s="10" t="str" cm="1">
        <f t="array" ref="B697">IFERROR(_xlfn.XLOOKUP(1,('env Parameter'!$A:$A=$A697)*('env Parameter'!$B:$B=$K697)*('env Parameter'!$C:$C=$L697),'env Parameter'!H:H,""),"")</f>
        <v>생물상 조사</v>
      </c>
      <c r="C697" s="10" cm="1">
        <f t="array" ref="C697">IFERROR(_xlfn.XLOOKUP(1,('env Parameter'!$A:$A=$A697)*('env Parameter'!$B:$B=$K697)*('env Parameter'!$C:$C=$L697),'env Parameter'!E:E,""),"")</f>
        <v>2.14</v>
      </c>
      <c r="D697" s="10" cm="1">
        <f t="array" ref="D697">IFERROR(_xlfn.XLOOKUP(1,('env Parameter'!$A:$A=$A697)*('env Parameter'!$B:$B=$K697)*('env Parameter'!$C:$C=$L697),'env Parameter'!F:F,""),"")</f>
        <v>478</v>
      </c>
      <c r="E697" s="10" cm="1">
        <f t="array" ref="E697">IFERROR(_xlfn.XLOOKUP(1,('env Parameter'!$A:$A=$A697)*('env Parameter'!$B:$B=$K697)*('env Parameter'!$C:$C=$L697),'env Parameter'!G:G,""),"")</f>
        <v>7.6</v>
      </c>
      <c r="F697" t="str">
        <f>eDNA!F697</f>
        <v>MiFish</v>
      </c>
      <c r="G697" t="str">
        <f>eDNA!D697</f>
        <v>Homo sapiens</v>
      </c>
      <c r="H697" t="str">
        <f>_xlfn.XLOOKUP(G697,'Common name (master file)'!$B:$B,'Common name (master file)'!$A:$A,"-------------")</f>
        <v>사람</v>
      </c>
      <c r="I697">
        <f>eDNA!E697</f>
        <v>212</v>
      </c>
      <c r="J697" t="str">
        <f>_xlfn.XLOOKUP(G697,'Common name (master file)'!$B:$B,'Common name (master file)'!$C:$C,"")</f>
        <v>포유류</v>
      </c>
      <c r="K697">
        <f>eDNA!B697</f>
        <v>126.9724018</v>
      </c>
      <c r="L697">
        <f>eDNA!C697</f>
        <v>37.348161500000003</v>
      </c>
      <c r="M697" s="10" t="str" cm="1">
        <f t="array" ref="M697">IFERROR(_xlfn.XLOOKUP(1,('env Parameter'!$A:$A=$A697)*('env Parameter'!$B:$B=$K697)*('env Parameter'!$C:$C=$L697),'env Parameter'!D:D,""),"")</f>
        <v>안양천-1</v>
      </c>
      <c r="N697" s="10" t="str" cm="1">
        <f t="array" ref="N697">IFERROR(_xlfn.XLOOKUP(1,('env Parameter'!$A:$A=$A697)*('env Parameter'!$B:$B=$K697)*('env Parameter'!$C:$C=$L697),'env Parameter'!I:I,""),"")</f>
        <v>YR</v>
      </c>
    </row>
    <row r="698" spans="1:14">
      <c r="A698">
        <f>eDNA!A698</f>
        <v>20200718</v>
      </c>
      <c r="B698" s="10" t="str" cm="1">
        <f t="array" ref="B698">IFERROR(_xlfn.XLOOKUP(1,('env Parameter'!$A:$A=$A698)*('env Parameter'!$B:$B=$K698)*('env Parameter'!$C:$C=$L698),'env Parameter'!H:H,""),"")</f>
        <v>생물상 조사</v>
      </c>
      <c r="C698" s="10" cm="1">
        <f t="array" ref="C698">IFERROR(_xlfn.XLOOKUP(1,('env Parameter'!$A:$A=$A698)*('env Parameter'!$B:$B=$K698)*('env Parameter'!$C:$C=$L698),'env Parameter'!E:E,""),"")</f>
        <v>2.14</v>
      </c>
      <c r="D698" s="10" cm="1">
        <f t="array" ref="D698">IFERROR(_xlfn.XLOOKUP(1,('env Parameter'!$A:$A=$A698)*('env Parameter'!$B:$B=$K698)*('env Parameter'!$C:$C=$L698),'env Parameter'!F:F,""),"")</f>
        <v>478</v>
      </c>
      <c r="E698" s="10" cm="1">
        <f t="array" ref="E698">IFERROR(_xlfn.XLOOKUP(1,('env Parameter'!$A:$A=$A698)*('env Parameter'!$B:$B=$K698)*('env Parameter'!$C:$C=$L698),'env Parameter'!G:G,""),"")</f>
        <v>7.6</v>
      </c>
      <c r="F698" t="str">
        <f>eDNA!F698</f>
        <v>MiFish</v>
      </c>
      <c r="G698" t="str">
        <f>eDNA!D698</f>
        <v>Sus scrofa</v>
      </c>
      <c r="H698" t="str">
        <f>_xlfn.XLOOKUP(G698,'Common name (master file)'!$B:$B,'Common name (master file)'!$A:$A,"-------------")</f>
        <v>멧돼지</v>
      </c>
      <c r="I698">
        <f>eDNA!E698</f>
        <v>309</v>
      </c>
      <c r="J698" t="str">
        <f>_xlfn.XLOOKUP(G698,'Common name (master file)'!$B:$B,'Common name (master file)'!$C:$C,"")</f>
        <v>포유류</v>
      </c>
      <c r="K698">
        <f>eDNA!B698</f>
        <v>126.9724018</v>
      </c>
      <c r="L698">
        <f>eDNA!C698</f>
        <v>37.348161500000003</v>
      </c>
      <c r="M698" s="10" t="str" cm="1">
        <f t="array" ref="M698">IFERROR(_xlfn.XLOOKUP(1,('env Parameter'!$A:$A=$A698)*('env Parameter'!$B:$B=$K698)*('env Parameter'!$C:$C=$L698),'env Parameter'!D:D,""),"")</f>
        <v>안양천-1</v>
      </c>
      <c r="N698" s="10" t="str" cm="1">
        <f t="array" ref="N698">IFERROR(_xlfn.XLOOKUP(1,('env Parameter'!$A:$A=$A698)*('env Parameter'!$B:$B=$K698)*('env Parameter'!$C:$C=$L698),'env Parameter'!I:I,""),"")</f>
        <v>YR</v>
      </c>
    </row>
    <row r="699" spans="1:14">
      <c r="A699">
        <f>eDNA!A699</f>
        <v>20200718</v>
      </c>
      <c r="B699" s="10" t="str" cm="1">
        <f t="array" ref="B699">IFERROR(_xlfn.XLOOKUP(1,('env Parameter'!$A:$A=$A699)*('env Parameter'!$B:$B=$K699)*('env Parameter'!$C:$C=$L699),'env Parameter'!H:H,""),"")</f>
        <v>생물상 조사</v>
      </c>
      <c r="C699" s="10" cm="1">
        <f t="array" ref="C699">IFERROR(_xlfn.XLOOKUP(1,('env Parameter'!$A:$A=$A699)*('env Parameter'!$B:$B=$K699)*('env Parameter'!$C:$C=$L699),'env Parameter'!E:E,""),"")</f>
        <v>2.14</v>
      </c>
      <c r="D699" s="10" cm="1">
        <f t="array" ref="D699">IFERROR(_xlfn.XLOOKUP(1,('env Parameter'!$A:$A=$A699)*('env Parameter'!$B:$B=$K699)*('env Parameter'!$C:$C=$L699),'env Parameter'!F:F,""),"")</f>
        <v>478</v>
      </c>
      <c r="E699" s="10" cm="1">
        <f t="array" ref="E699">IFERROR(_xlfn.XLOOKUP(1,('env Parameter'!$A:$A=$A699)*('env Parameter'!$B:$B=$K699)*('env Parameter'!$C:$C=$L699),'env Parameter'!G:G,""),"")</f>
        <v>7.6</v>
      </c>
      <c r="F699" t="str">
        <f>eDNA!F699</f>
        <v>MiFish</v>
      </c>
      <c r="G699" t="str">
        <f>eDNA!D699</f>
        <v>Engraulis japonicus</v>
      </c>
      <c r="H699" t="str">
        <f>_xlfn.XLOOKUP(G699,'Common name (master file)'!$B:$B,'Common name (master file)'!$A:$A,"-------------")</f>
        <v>멸치</v>
      </c>
      <c r="I699">
        <f>eDNA!E699</f>
        <v>344</v>
      </c>
      <c r="J699" t="str">
        <f>_xlfn.XLOOKUP(G699,'Common name (master file)'!$B:$B,'Common name (master file)'!$C:$C,"")</f>
        <v>어류</v>
      </c>
      <c r="K699">
        <f>eDNA!B699</f>
        <v>126.9724018</v>
      </c>
      <c r="L699">
        <f>eDNA!C699</f>
        <v>37.348161500000003</v>
      </c>
      <c r="M699" s="10" t="str" cm="1">
        <f t="array" ref="M699">IFERROR(_xlfn.XLOOKUP(1,('env Parameter'!$A:$A=$A699)*('env Parameter'!$B:$B=$K699)*('env Parameter'!$C:$C=$L699),'env Parameter'!D:D,""),"")</f>
        <v>안양천-1</v>
      </c>
      <c r="N699" s="10" t="str" cm="1">
        <f t="array" ref="N699">IFERROR(_xlfn.XLOOKUP(1,('env Parameter'!$A:$A=$A699)*('env Parameter'!$B:$B=$K699)*('env Parameter'!$C:$C=$L699),'env Parameter'!I:I,""),"")</f>
        <v>YR</v>
      </c>
    </row>
    <row r="700" spans="1:14">
      <c r="A700">
        <f>eDNA!A700</f>
        <v>20200718</v>
      </c>
      <c r="B700" s="10" t="str" cm="1">
        <f t="array" ref="B700">IFERROR(_xlfn.XLOOKUP(1,('env Parameter'!$A:$A=$A700)*('env Parameter'!$B:$B=$K700)*('env Parameter'!$C:$C=$L700),'env Parameter'!H:H,""),"")</f>
        <v>생물상 조사</v>
      </c>
      <c r="C700" s="10" cm="1">
        <f t="array" ref="C700">IFERROR(_xlfn.XLOOKUP(1,('env Parameter'!$A:$A=$A700)*('env Parameter'!$B:$B=$K700)*('env Parameter'!$C:$C=$L700),'env Parameter'!E:E,""),"")</f>
        <v>2.14</v>
      </c>
      <c r="D700" s="10" cm="1">
        <f t="array" ref="D700">IFERROR(_xlfn.XLOOKUP(1,('env Parameter'!$A:$A=$A700)*('env Parameter'!$B:$B=$K700)*('env Parameter'!$C:$C=$L700),'env Parameter'!F:F,""),"")</f>
        <v>478</v>
      </c>
      <c r="E700" s="10" cm="1">
        <f t="array" ref="E700">IFERROR(_xlfn.XLOOKUP(1,('env Parameter'!$A:$A=$A700)*('env Parameter'!$B:$B=$K700)*('env Parameter'!$C:$C=$L700),'env Parameter'!G:G,""),"")</f>
        <v>7.6</v>
      </c>
      <c r="F700" t="str">
        <f>eDNA!F700</f>
        <v>MiFish</v>
      </c>
      <c r="G700" t="str">
        <f>eDNA!D700</f>
        <v>Misgurnus anguillicaudatus</v>
      </c>
      <c r="H700" t="str">
        <f>_xlfn.XLOOKUP(G700,'Common name (master file)'!$B:$B,'Common name (master file)'!$A:$A,"-------------")</f>
        <v>미꾸리</v>
      </c>
      <c r="I700">
        <f>eDNA!E700</f>
        <v>475</v>
      </c>
      <c r="J700" t="str">
        <f>_xlfn.XLOOKUP(G700,'Common name (master file)'!$B:$B,'Common name (master file)'!$C:$C,"")</f>
        <v>어류</v>
      </c>
      <c r="K700">
        <f>eDNA!B700</f>
        <v>126.9724018</v>
      </c>
      <c r="L700">
        <f>eDNA!C700</f>
        <v>37.348161500000003</v>
      </c>
      <c r="M700" s="10" t="str" cm="1">
        <f t="array" ref="M700">IFERROR(_xlfn.XLOOKUP(1,('env Parameter'!$A:$A=$A700)*('env Parameter'!$B:$B=$K700)*('env Parameter'!$C:$C=$L700),'env Parameter'!D:D,""),"")</f>
        <v>안양천-1</v>
      </c>
      <c r="N700" s="10" t="str" cm="1">
        <f t="array" ref="N700">IFERROR(_xlfn.XLOOKUP(1,('env Parameter'!$A:$A=$A700)*('env Parameter'!$B:$B=$K700)*('env Parameter'!$C:$C=$L700),'env Parameter'!I:I,""),"")</f>
        <v>YR</v>
      </c>
    </row>
    <row r="701" spans="1:14">
      <c r="A701">
        <f>eDNA!A701</f>
        <v>20200718</v>
      </c>
      <c r="B701" s="10" t="str" cm="1">
        <f t="array" ref="B701">IFERROR(_xlfn.XLOOKUP(1,('env Parameter'!$A:$A=$A701)*('env Parameter'!$B:$B=$K701)*('env Parameter'!$C:$C=$L701),'env Parameter'!H:H,""),"")</f>
        <v>생물상 조사</v>
      </c>
      <c r="C701" s="10" cm="1">
        <f t="array" ref="C701">IFERROR(_xlfn.XLOOKUP(1,('env Parameter'!$A:$A=$A701)*('env Parameter'!$B:$B=$K701)*('env Parameter'!$C:$C=$L701),'env Parameter'!E:E,""),"")</f>
        <v>2.14</v>
      </c>
      <c r="D701" s="10" cm="1">
        <f t="array" ref="D701">IFERROR(_xlfn.XLOOKUP(1,('env Parameter'!$A:$A=$A701)*('env Parameter'!$B:$B=$K701)*('env Parameter'!$C:$C=$L701),'env Parameter'!F:F,""),"")</f>
        <v>478</v>
      </c>
      <c r="E701" s="10" cm="1">
        <f t="array" ref="E701">IFERROR(_xlfn.XLOOKUP(1,('env Parameter'!$A:$A=$A701)*('env Parameter'!$B:$B=$K701)*('env Parameter'!$C:$C=$L701),'env Parameter'!G:G,""),"")</f>
        <v>7.6</v>
      </c>
      <c r="F701" t="str">
        <f>eDNA!F701</f>
        <v>MiFish</v>
      </c>
      <c r="G701" t="str">
        <f>eDNA!D701</f>
        <v>Gnathopogon strigatus</v>
      </c>
      <c r="H701" t="str">
        <f>_xlfn.XLOOKUP(G701,'Common name (master file)'!$B:$B,'Common name (master file)'!$A:$A,"-------------")</f>
        <v>줄몰개</v>
      </c>
      <c r="I701">
        <f>eDNA!E701</f>
        <v>557</v>
      </c>
      <c r="J701" t="str">
        <f>_xlfn.XLOOKUP(G701,'Common name (master file)'!$B:$B,'Common name (master file)'!$C:$C,"")</f>
        <v>어류</v>
      </c>
      <c r="K701">
        <f>eDNA!B701</f>
        <v>126.9724018</v>
      </c>
      <c r="L701">
        <f>eDNA!C701</f>
        <v>37.348161500000003</v>
      </c>
      <c r="M701" s="10" t="str" cm="1">
        <f t="array" ref="M701">IFERROR(_xlfn.XLOOKUP(1,('env Parameter'!$A:$A=$A701)*('env Parameter'!$B:$B=$K701)*('env Parameter'!$C:$C=$L701),'env Parameter'!D:D,""),"")</f>
        <v>안양천-1</v>
      </c>
      <c r="N701" s="10" t="str" cm="1">
        <f t="array" ref="N701">IFERROR(_xlfn.XLOOKUP(1,('env Parameter'!$A:$A=$A701)*('env Parameter'!$B:$B=$K701)*('env Parameter'!$C:$C=$L701),'env Parameter'!I:I,""),"")</f>
        <v>YR</v>
      </c>
    </row>
    <row r="702" spans="1:14">
      <c r="A702">
        <f>eDNA!A702</f>
        <v>20200718</v>
      </c>
      <c r="B702" s="10" t="str" cm="1">
        <f t="array" ref="B702">IFERROR(_xlfn.XLOOKUP(1,('env Parameter'!$A:$A=$A702)*('env Parameter'!$B:$B=$K702)*('env Parameter'!$C:$C=$L702),'env Parameter'!H:H,""),"")</f>
        <v>생물상 조사</v>
      </c>
      <c r="C702" s="10" cm="1">
        <f t="array" ref="C702">IFERROR(_xlfn.XLOOKUP(1,('env Parameter'!$A:$A=$A702)*('env Parameter'!$B:$B=$K702)*('env Parameter'!$C:$C=$L702),'env Parameter'!E:E,""),"")</f>
        <v>2.14</v>
      </c>
      <c r="D702" s="10" cm="1">
        <f t="array" ref="D702">IFERROR(_xlfn.XLOOKUP(1,('env Parameter'!$A:$A=$A702)*('env Parameter'!$B:$B=$K702)*('env Parameter'!$C:$C=$L702),'env Parameter'!F:F,""),"")</f>
        <v>478</v>
      </c>
      <c r="E702" s="10" cm="1">
        <f t="array" ref="E702">IFERROR(_xlfn.XLOOKUP(1,('env Parameter'!$A:$A=$A702)*('env Parameter'!$B:$B=$K702)*('env Parameter'!$C:$C=$L702),'env Parameter'!G:G,""),"")</f>
        <v>7.6</v>
      </c>
      <c r="F702" t="str">
        <f>eDNA!F702</f>
        <v>MiFish</v>
      </c>
      <c r="G702" t="str">
        <f>eDNA!D702</f>
        <v>Oryzias sinensis</v>
      </c>
      <c r="H702" t="str">
        <f>_xlfn.XLOOKUP(G702,'Common name (master file)'!$B:$B,'Common name (master file)'!$A:$A,"-------------")</f>
        <v>대륙송사리</v>
      </c>
      <c r="I702">
        <f>eDNA!E702</f>
        <v>683</v>
      </c>
      <c r="J702" t="str">
        <f>_xlfn.XLOOKUP(G702,'Common name (master file)'!$B:$B,'Common name (master file)'!$C:$C,"")</f>
        <v>어류</v>
      </c>
      <c r="K702">
        <f>eDNA!B702</f>
        <v>126.9724018</v>
      </c>
      <c r="L702">
        <f>eDNA!C702</f>
        <v>37.348161500000003</v>
      </c>
      <c r="M702" s="10" t="str" cm="1">
        <f t="array" ref="M702">IFERROR(_xlfn.XLOOKUP(1,('env Parameter'!$A:$A=$A702)*('env Parameter'!$B:$B=$K702)*('env Parameter'!$C:$C=$L702),'env Parameter'!D:D,""),"")</f>
        <v>안양천-1</v>
      </c>
      <c r="N702" s="10" t="str" cm="1">
        <f t="array" ref="N702">IFERROR(_xlfn.XLOOKUP(1,('env Parameter'!$A:$A=$A702)*('env Parameter'!$B:$B=$K702)*('env Parameter'!$C:$C=$L702),'env Parameter'!I:I,""),"")</f>
        <v>YR</v>
      </c>
    </row>
    <row r="703" spans="1:14">
      <c r="A703">
        <f>eDNA!A703</f>
        <v>20200718</v>
      </c>
      <c r="B703" s="10" t="str" cm="1">
        <f t="array" ref="B703">IFERROR(_xlfn.XLOOKUP(1,('env Parameter'!$A:$A=$A703)*('env Parameter'!$B:$B=$K703)*('env Parameter'!$C:$C=$L703),'env Parameter'!H:H,""),"")</f>
        <v>생물상 조사</v>
      </c>
      <c r="C703" s="10" cm="1">
        <f t="array" ref="C703">IFERROR(_xlfn.XLOOKUP(1,('env Parameter'!$A:$A=$A703)*('env Parameter'!$B:$B=$K703)*('env Parameter'!$C:$C=$L703),'env Parameter'!E:E,""),"")</f>
        <v>2.14</v>
      </c>
      <c r="D703" s="10" cm="1">
        <f t="array" ref="D703">IFERROR(_xlfn.XLOOKUP(1,('env Parameter'!$A:$A=$A703)*('env Parameter'!$B:$B=$K703)*('env Parameter'!$C:$C=$L703),'env Parameter'!F:F,""),"")</f>
        <v>478</v>
      </c>
      <c r="E703" s="10" cm="1">
        <f t="array" ref="E703">IFERROR(_xlfn.XLOOKUP(1,('env Parameter'!$A:$A=$A703)*('env Parameter'!$B:$B=$K703)*('env Parameter'!$C:$C=$L703),'env Parameter'!G:G,""),"")</f>
        <v>7.6</v>
      </c>
      <c r="F703" t="str">
        <f>eDNA!F703</f>
        <v>MiFish</v>
      </c>
      <c r="G703" t="str">
        <f>eDNA!D703</f>
        <v>Lophius litulon</v>
      </c>
      <c r="H703" t="str">
        <f>_xlfn.XLOOKUP(G703,'Common name (master file)'!$B:$B,'Common name (master file)'!$A:$A,"-------------")</f>
        <v>황아귀</v>
      </c>
      <c r="I703">
        <f>eDNA!E703</f>
        <v>1604</v>
      </c>
      <c r="J703" t="str">
        <f>_xlfn.XLOOKUP(G703,'Common name (master file)'!$B:$B,'Common name (master file)'!$C:$C,"")</f>
        <v>어류</v>
      </c>
      <c r="K703">
        <f>eDNA!B703</f>
        <v>126.9724018</v>
      </c>
      <c r="L703">
        <f>eDNA!C703</f>
        <v>37.348161500000003</v>
      </c>
      <c r="M703" s="10" t="str" cm="1">
        <f t="array" ref="M703">IFERROR(_xlfn.XLOOKUP(1,('env Parameter'!$A:$A=$A703)*('env Parameter'!$B:$B=$K703)*('env Parameter'!$C:$C=$L703),'env Parameter'!D:D,""),"")</f>
        <v>안양천-1</v>
      </c>
      <c r="N703" s="10" t="str" cm="1">
        <f t="array" ref="N703">IFERROR(_xlfn.XLOOKUP(1,('env Parameter'!$A:$A=$A703)*('env Parameter'!$B:$B=$K703)*('env Parameter'!$C:$C=$L703),'env Parameter'!I:I,""),"")</f>
        <v>YR</v>
      </c>
    </row>
    <row r="704" spans="1:14">
      <c r="A704">
        <f>eDNA!A704</f>
        <v>20200718</v>
      </c>
      <c r="B704" s="10" t="str" cm="1">
        <f t="array" ref="B704">IFERROR(_xlfn.XLOOKUP(1,('env Parameter'!$A:$A=$A704)*('env Parameter'!$B:$B=$K704)*('env Parameter'!$C:$C=$L704),'env Parameter'!H:H,""),"")</f>
        <v>생물상 조사</v>
      </c>
      <c r="C704" s="10" cm="1">
        <f t="array" ref="C704">IFERROR(_xlfn.XLOOKUP(1,('env Parameter'!$A:$A=$A704)*('env Parameter'!$B:$B=$K704)*('env Parameter'!$C:$C=$L704),'env Parameter'!E:E,""),"")</f>
        <v>2.14</v>
      </c>
      <c r="D704" s="10" cm="1">
        <f t="array" ref="D704">IFERROR(_xlfn.XLOOKUP(1,('env Parameter'!$A:$A=$A704)*('env Parameter'!$B:$B=$K704)*('env Parameter'!$C:$C=$L704),'env Parameter'!F:F,""),"")</f>
        <v>478</v>
      </c>
      <c r="E704" s="10" cm="1">
        <f t="array" ref="E704">IFERROR(_xlfn.XLOOKUP(1,('env Parameter'!$A:$A=$A704)*('env Parameter'!$B:$B=$K704)*('env Parameter'!$C:$C=$L704),'env Parameter'!G:G,""),"")</f>
        <v>7.6</v>
      </c>
      <c r="F704" t="str">
        <f>eDNA!F704</f>
        <v>MiFish</v>
      </c>
      <c r="G704" t="str">
        <f>eDNA!D704</f>
        <v>Felis catus</v>
      </c>
      <c r="H704" t="str">
        <f>_xlfn.XLOOKUP(G704,'Common name (master file)'!$B:$B,'Common name (master file)'!$A:$A,"-------------")</f>
        <v>고양이</v>
      </c>
      <c r="I704">
        <f>eDNA!E704</f>
        <v>21</v>
      </c>
      <c r="J704" t="str">
        <f>_xlfn.XLOOKUP(G704,'Common name (master file)'!$B:$B,'Common name (master file)'!$C:$C,"")</f>
        <v>포유류</v>
      </c>
      <c r="K704">
        <f>eDNA!B704</f>
        <v>126.9724018</v>
      </c>
      <c r="L704">
        <f>eDNA!C704</f>
        <v>37.348161500000003</v>
      </c>
      <c r="M704" s="10" t="str" cm="1">
        <f t="array" ref="M704">IFERROR(_xlfn.XLOOKUP(1,('env Parameter'!$A:$A=$A704)*('env Parameter'!$B:$B=$K704)*('env Parameter'!$C:$C=$L704),'env Parameter'!D:D,""),"")</f>
        <v>안양천-1</v>
      </c>
      <c r="N704" s="10" t="str" cm="1">
        <f t="array" ref="N704">IFERROR(_xlfn.XLOOKUP(1,('env Parameter'!$A:$A=$A704)*('env Parameter'!$B:$B=$K704)*('env Parameter'!$C:$C=$L704),'env Parameter'!I:I,""),"")</f>
        <v>YR</v>
      </c>
    </row>
    <row r="705" spans="1:14">
      <c r="A705">
        <f>eDNA!A705</f>
        <v>20200718</v>
      </c>
      <c r="B705" s="10" t="str" cm="1">
        <f t="array" ref="B705">IFERROR(_xlfn.XLOOKUP(1,('env Parameter'!$A:$A=$A705)*('env Parameter'!$B:$B=$K705)*('env Parameter'!$C:$C=$L705),'env Parameter'!H:H,""),"")</f>
        <v>생물상 조사</v>
      </c>
      <c r="C705" s="10" cm="1">
        <f t="array" ref="C705">IFERROR(_xlfn.XLOOKUP(1,('env Parameter'!$A:$A=$A705)*('env Parameter'!$B:$B=$K705)*('env Parameter'!$C:$C=$L705),'env Parameter'!E:E,""),"")</f>
        <v>2.14</v>
      </c>
      <c r="D705" s="10" cm="1">
        <f t="array" ref="D705">IFERROR(_xlfn.XLOOKUP(1,('env Parameter'!$A:$A=$A705)*('env Parameter'!$B:$B=$K705)*('env Parameter'!$C:$C=$L705),'env Parameter'!F:F,""),"")</f>
        <v>478</v>
      </c>
      <c r="E705" s="10" cm="1">
        <f t="array" ref="E705">IFERROR(_xlfn.XLOOKUP(1,('env Parameter'!$A:$A=$A705)*('env Parameter'!$B:$B=$K705)*('env Parameter'!$C:$C=$L705),'env Parameter'!G:G,""),"")</f>
        <v>7.6</v>
      </c>
      <c r="F705" t="str">
        <f>eDNA!F705</f>
        <v>MiFish</v>
      </c>
      <c r="G705" t="str">
        <f>eDNA!D705</f>
        <v>Misgurnus mizolepis</v>
      </c>
      <c r="H705" t="str">
        <f>_xlfn.XLOOKUP(G705,'Common name (master file)'!$B:$B,'Common name (master file)'!$A:$A,"-------------")</f>
        <v>미꾸라지</v>
      </c>
      <c r="I705">
        <f>eDNA!E705</f>
        <v>3846</v>
      </c>
      <c r="J705" t="str">
        <f>_xlfn.XLOOKUP(G705,'Common name (master file)'!$B:$B,'Common name (master file)'!$C:$C,"")</f>
        <v>어류</v>
      </c>
      <c r="K705">
        <f>eDNA!B705</f>
        <v>126.9724018</v>
      </c>
      <c r="L705">
        <f>eDNA!C705</f>
        <v>37.348161500000003</v>
      </c>
      <c r="M705" s="10" t="str" cm="1">
        <f t="array" ref="M705">IFERROR(_xlfn.XLOOKUP(1,('env Parameter'!$A:$A=$A705)*('env Parameter'!$B:$B=$K705)*('env Parameter'!$C:$C=$L705),'env Parameter'!D:D,""),"")</f>
        <v>안양천-1</v>
      </c>
      <c r="N705" s="10" t="str" cm="1">
        <f t="array" ref="N705">IFERROR(_xlfn.XLOOKUP(1,('env Parameter'!$A:$A=$A705)*('env Parameter'!$B:$B=$K705)*('env Parameter'!$C:$C=$L705),'env Parameter'!I:I,""),"")</f>
        <v>YR</v>
      </c>
    </row>
    <row r="706" spans="1:14">
      <c r="A706">
        <f>eDNA!A706</f>
        <v>20200718</v>
      </c>
      <c r="B706" s="10" t="str" cm="1">
        <f t="array" ref="B706">IFERROR(_xlfn.XLOOKUP(1,('env Parameter'!$A:$A=$A706)*('env Parameter'!$B:$B=$K706)*('env Parameter'!$C:$C=$L706),'env Parameter'!H:H,""),"")</f>
        <v>생물상 조사</v>
      </c>
      <c r="C706" s="10" cm="1">
        <f t="array" ref="C706">IFERROR(_xlfn.XLOOKUP(1,('env Parameter'!$A:$A=$A706)*('env Parameter'!$B:$B=$K706)*('env Parameter'!$C:$C=$L706),'env Parameter'!E:E,""),"")</f>
        <v>2.14</v>
      </c>
      <c r="D706" s="10" cm="1">
        <f t="array" ref="D706">IFERROR(_xlfn.XLOOKUP(1,('env Parameter'!$A:$A=$A706)*('env Parameter'!$B:$B=$K706)*('env Parameter'!$C:$C=$L706),'env Parameter'!F:F,""),"")</f>
        <v>478</v>
      </c>
      <c r="E706" s="10" cm="1">
        <f t="array" ref="E706">IFERROR(_xlfn.XLOOKUP(1,('env Parameter'!$A:$A=$A706)*('env Parameter'!$B:$B=$K706)*('env Parameter'!$C:$C=$L706),'env Parameter'!G:G,""),"")</f>
        <v>7.6</v>
      </c>
      <c r="F706" t="str">
        <f>eDNA!F706</f>
        <v>MiFish</v>
      </c>
      <c r="G706" t="str">
        <f>eDNA!D706</f>
        <v>Silurus soldatovi</v>
      </c>
      <c r="H706" t="str">
        <f>_xlfn.XLOOKUP(G706,'Common name (master file)'!$B:$B,'Common name (master file)'!$A:$A,"-------------")</f>
        <v>솔다토비 메기</v>
      </c>
      <c r="I706">
        <f>eDNA!E706</f>
        <v>2772</v>
      </c>
      <c r="J706" t="str">
        <f>_xlfn.XLOOKUP(G706,'Common name (master file)'!$B:$B,'Common name (master file)'!$C:$C,"")</f>
        <v>어류</v>
      </c>
      <c r="K706">
        <f>eDNA!B706</f>
        <v>126.9724018</v>
      </c>
      <c r="L706">
        <f>eDNA!C706</f>
        <v>37.348161500000003</v>
      </c>
      <c r="M706" s="10" t="str" cm="1">
        <f t="array" ref="M706">IFERROR(_xlfn.XLOOKUP(1,('env Parameter'!$A:$A=$A706)*('env Parameter'!$B:$B=$K706)*('env Parameter'!$C:$C=$L706),'env Parameter'!D:D,""),"")</f>
        <v>안양천-1</v>
      </c>
      <c r="N706" s="10" t="str" cm="1">
        <f t="array" ref="N706">IFERROR(_xlfn.XLOOKUP(1,('env Parameter'!$A:$A=$A706)*('env Parameter'!$B:$B=$K706)*('env Parameter'!$C:$C=$L706),'env Parameter'!I:I,""),"")</f>
        <v>YR</v>
      </c>
    </row>
    <row r="707" spans="1:14">
      <c r="A707">
        <f>eDNA!A707</f>
        <v>20200718</v>
      </c>
      <c r="B707" s="10" t="str" cm="1">
        <f t="array" ref="B707">IFERROR(_xlfn.XLOOKUP(1,('env Parameter'!$A:$A=$A707)*('env Parameter'!$B:$B=$K707)*('env Parameter'!$C:$C=$L707),'env Parameter'!H:H,""),"")</f>
        <v>생물상 조사</v>
      </c>
      <c r="C707" s="10" cm="1">
        <f t="array" ref="C707">IFERROR(_xlfn.XLOOKUP(1,('env Parameter'!$A:$A=$A707)*('env Parameter'!$B:$B=$K707)*('env Parameter'!$C:$C=$L707),'env Parameter'!E:E,""),"")</f>
        <v>2.14</v>
      </c>
      <c r="D707" s="10" cm="1">
        <f t="array" ref="D707">IFERROR(_xlfn.XLOOKUP(1,('env Parameter'!$A:$A=$A707)*('env Parameter'!$B:$B=$K707)*('env Parameter'!$C:$C=$L707),'env Parameter'!F:F,""),"")</f>
        <v>478</v>
      </c>
      <c r="E707" s="10" cm="1">
        <f t="array" ref="E707">IFERROR(_xlfn.XLOOKUP(1,('env Parameter'!$A:$A=$A707)*('env Parameter'!$B:$B=$K707)*('env Parameter'!$C:$C=$L707),'env Parameter'!G:G,""),"")</f>
        <v>7.6</v>
      </c>
      <c r="F707" t="str">
        <f>eDNA!F707</f>
        <v>MiFish</v>
      </c>
      <c r="G707" t="str">
        <f>eDNA!D707</f>
        <v>Theragra chalcogramma</v>
      </c>
      <c r="H707" t="str">
        <f>_xlfn.XLOOKUP(G707,'Common name (master file)'!$B:$B,'Common name (master file)'!$A:$A,"-------------")</f>
        <v>명태</v>
      </c>
      <c r="I707">
        <f>eDNA!E707</f>
        <v>8059</v>
      </c>
      <c r="J707" t="str">
        <f>_xlfn.XLOOKUP(G707,'Common name (master file)'!$B:$B,'Common name (master file)'!$C:$C,"")</f>
        <v>어류</v>
      </c>
      <c r="K707">
        <f>eDNA!B707</f>
        <v>126.9724018</v>
      </c>
      <c r="L707">
        <f>eDNA!C707</f>
        <v>37.348161500000003</v>
      </c>
      <c r="M707" s="10" t="str" cm="1">
        <f t="array" ref="M707">IFERROR(_xlfn.XLOOKUP(1,('env Parameter'!$A:$A=$A707)*('env Parameter'!$B:$B=$K707)*('env Parameter'!$C:$C=$L707),'env Parameter'!D:D,""),"")</f>
        <v>안양천-1</v>
      </c>
      <c r="N707" s="10" t="str" cm="1">
        <f t="array" ref="N707">IFERROR(_xlfn.XLOOKUP(1,('env Parameter'!$A:$A=$A707)*('env Parameter'!$B:$B=$K707)*('env Parameter'!$C:$C=$L707),'env Parameter'!I:I,""),"")</f>
        <v>YR</v>
      </c>
    </row>
    <row r="708" spans="1:14">
      <c r="A708">
        <f>eDNA!A708</f>
        <v>20200718</v>
      </c>
      <c r="B708" s="10" t="str" cm="1">
        <f t="array" ref="B708">IFERROR(_xlfn.XLOOKUP(1,('env Parameter'!$A:$A=$A708)*('env Parameter'!$B:$B=$K708)*('env Parameter'!$C:$C=$L708),'env Parameter'!H:H,""),"")</f>
        <v>생물상 조사</v>
      </c>
      <c r="C708" s="10" cm="1">
        <f t="array" ref="C708">IFERROR(_xlfn.XLOOKUP(1,('env Parameter'!$A:$A=$A708)*('env Parameter'!$B:$B=$K708)*('env Parameter'!$C:$C=$L708),'env Parameter'!E:E,""),"")</f>
        <v>2.14</v>
      </c>
      <c r="D708" s="10" cm="1">
        <f t="array" ref="D708">IFERROR(_xlfn.XLOOKUP(1,('env Parameter'!$A:$A=$A708)*('env Parameter'!$B:$B=$K708)*('env Parameter'!$C:$C=$L708),'env Parameter'!F:F,""),"")</f>
        <v>478</v>
      </c>
      <c r="E708" s="10" cm="1">
        <f t="array" ref="E708">IFERROR(_xlfn.XLOOKUP(1,('env Parameter'!$A:$A=$A708)*('env Parameter'!$B:$B=$K708)*('env Parameter'!$C:$C=$L708),'env Parameter'!G:G,""),"")</f>
        <v>7.6</v>
      </c>
      <c r="F708" t="str">
        <f>eDNA!F708</f>
        <v>MiFish</v>
      </c>
      <c r="G708" t="str">
        <f>eDNA!D708</f>
        <v>Carassius gibelio</v>
      </c>
      <c r="H708" t="str">
        <f>_xlfn.XLOOKUP(G708,'Common name (master file)'!$B:$B,'Common name (master file)'!$A:$A,"-------------")</f>
        <v>기벨리오 붕어</v>
      </c>
      <c r="I708">
        <f>eDNA!E708</f>
        <v>7451</v>
      </c>
      <c r="J708" t="str">
        <f>_xlfn.XLOOKUP(G708,'Common name (master file)'!$B:$B,'Common name (master file)'!$C:$C,"")</f>
        <v>어류</v>
      </c>
      <c r="K708">
        <f>eDNA!B708</f>
        <v>126.9724018</v>
      </c>
      <c r="L708">
        <f>eDNA!C708</f>
        <v>37.348161500000003</v>
      </c>
      <c r="M708" s="10" t="str" cm="1">
        <f t="array" ref="M708">IFERROR(_xlfn.XLOOKUP(1,('env Parameter'!$A:$A=$A708)*('env Parameter'!$B:$B=$K708)*('env Parameter'!$C:$C=$L708),'env Parameter'!D:D,""),"")</f>
        <v>안양천-1</v>
      </c>
      <c r="N708" s="10" t="str" cm="1">
        <f t="array" ref="N708">IFERROR(_xlfn.XLOOKUP(1,('env Parameter'!$A:$A=$A708)*('env Parameter'!$B:$B=$K708)*('env Parameter'!$C:$C=$L708),'env Parameter'!I:I,""),"")</f>
        <v>YR</v>
      </c>
    </row>
    <row r="709" spans="1:14">
      <c r="A709">
        <f>eDNA!A709</f>
        <v>20200916</v>
      </c>
      <c r="B709" s="10" t="str" cm="1">
        <f t="array" ref="B709">IFERROR(_xlfn.XLOOKUP(1,('env Parameter'!$A:$A=$A709)*('env Parameter'!$B:$B=$K709)*('env Parameter'!$C:$C=$L709),'env Parameter'!H:H,""),"")</f>
        <v>생물상 조사</v>
      </c>
      <c r="C709" s="10" cm="1">
        <f t="array" ref="C709">IFERROR(_xlfn.XLOOKUP(1,('env Parameter'!$A:$A=$A709)*('env Parameter'!$B:$B=$K709)*('env Parameter'!$C:$C=$L709),'env Parameter'!E:E,""),"")</f>
        <v>2.14</v>
      </c>
      <c r="D709" s="10" cm="1">
        <f t="array" ref="D709">IFERROR(_xlfn.XLOOKUP(1,('env Parameter'!$A:$A=$A709)*('env Parameter'!$B:$B=$K709)*('env Parameter'!$C:$C=$L709),'env Parameter'!F:F,""),"")</f>
        <v>478</v>
      </c>
      <c r="E709" s="10" cm="1">
        <f t="array" ref="E709">IFERROR(_xlfn.XLOOKUP(1,('env Parameter'!$A:$A=$A709)*('env Parameter'!$B:$B=$K709)*('env Parameter'!$C:$C=$L709),'env Parameter'!G:G,""),"")</f>
        <v>7.6</v>
      </c>
      <c r="F709" t="str">
        <f>eDNA!F709</f>
        <v>MiFish</v>
      </c>
      <c r="G709" t="str">
        <f>eDNA!D709</f>
        <v>Zacco platypus</v>
      </c>
      <c r="H709" t="str">
        <f>_xlfn.XLOOKUP(G709,'Common name (master file)'!$B:$B,'Common name (master file)'!$A:$A,"-------------")</f>
        <v>피라미</v>
      </c>
      <c r="I709">
        <f>eDNA!E709</f>
        <v>33431</v>
      </c>
      <c r="J709" t="str">
        <f>_xlfn.XLOOKUP(G709,'Common name (master file)'!$B:$B,'Common name (master file)'!$C:$C,"")</f>
        <v>어류</v>
      </c>
      <c r="K709">
        <f>eDNA!B709</f>
        <v>126.9724018</v>
      </c>
      <c r="L709">
        <f>eDNA!C709</f>
        <v>37.348161500000003</v>
      </c>
      <c r="M709" s="10" t="str" cm="1">
        <f t="array" ref="M709">IFERROR(_xlfn.XLOOKUP(1,('env Parameter'!$A:$A=$A709)*('env Parameter'!$B:$B=$K709)*('env Parameter'!$C:$C=$L709),'env Parameter'!D:D,""),"")</f>
        <v>안양천-1</v>
      </c>
      <c r="N709" s="10" t="str" cm="1">
        <f t="array" ref="N709">IFERROR(_xlfn.XLOOKUP(1,('env Parameter'!$A:$A=$A709)*('env Parameter'!$B:$B=$K709)*('env Parameter'!$C:$C=$L709),'env Parameter'!I:I,""),"")</f>
        <v>YR</v>
      </c>
    </row>
    <row r="710" spans="1:14">
      <c r="A710">
        <f>eDNA!A710</f>
        <v>20200916</v>
      </c>
      <c r="B710" s="10" t="str" cm="1">
        <f t="array" ref="B710">IFERROR(_xlfn.XLOOKUP(1,('env Parameter'!$A:$A=$A710)*('env Parameter'!$B:$B=$K710)*('env Parameter'!$C:$C=$L710),'env Parameter'!H:H,""),"")</f>
        <v>생물상 조사</v>
      </c>
      <c r="C710" s="10" cm="1">
        <f t="array" ref="C710">IFERROR(_xlfn.XLOOKUP(1,('env Parameter'!$A:$A=$A710)*('env Parameter'!$B:$B=$K710)*('env Parameter'!$C:$C=$L710),'env Parameter'!E:E,""),"")</f>
        <v>2.14</v>
      </c>
      <c r="D710" s="10" cm="1">
        <f t="array" ref="D710">IFERROR(_xlfn.XLOOKUP(1,('env Parameter'!$A:$A=$A710)*('env Parameter'!$B:$B=$K710)*('env Parameter'!$C:$C=$L710),'env Parameter'!F:F,""),"")</f>
        <v>478</v>
      </c>
      <c r="E710" s="10" cm="1">
        <f t="array" ref="E710">IFERROR(_xlfn.XLOOKUP(1,('env Parameter'!$A:$A=$A710)*('env Parameter'!$B:$B=$K710)*('env Parameter'!$C:$C=$L710),'env Parameter'!G:G,""),"")</f>
        <v>7.6</v>
      </c>
      <c r="F710" t="str">
        <f>eDNA!F710</f>
        <v>MiFish</v>
      </c>
      <c r="G710" t="str">
        <f>eDNA!D710</f>
        <v>Odontobutis interrupta</v>
      </c>
      <c r="H710" t="str">
        <f>_xlfn.XLOOKUP(G710,'Common name (master file)'!$B:$B,'Common name (master file)'!$A:$A,"-------------")</f>
        <v>얼록동사리</v>
      </c>
      <c r="I710">
        <f>eDNA!E710</f>
        <v>29604</v>
      </c>
      <c r="J710" t="str">
        <f>_xlfn.XLOOKUP(G710,'Common name (master file)'!$B:$B,'Common name (master file)'!$C:$C,"")</f>
        <v>어류</v>
      </c>
      <c r="K710">
        <f>eDNA!B710</f>
        <v>126.9724018</v>
      </c>
      <c r="L710">
        <f>eDNA!C710</f>
        <v>37.348161500000003</v>
      </c>
      <c r="M710" s="10" t="str" cm="1">
        <f t="array" ref="M710">IFERROR(_xlfn.XLOOKUP(1,('env Parameter'!$A:$A=$A710)*('env Parameter'!$B:$B=$K710)*('env Parameter'!$C:$C=$L710),'env Parameter'!D:D,""),"")</f>
        <v>안양천-1</v>
      </c>
      <c r="N710" s="10" t="str" cm="1">
        <f t="array" ref="N710">IFERROR(_xlfn.XLOOKUP(1,('env Parameter'!$A:$A=$A710)*('env Parameter'!$B:$B=$K710)*('env Parameter'!$C:$C=$L710),'env Parameter'!I:I,""),"")</f>
        <v>YR</v>
      </c>
    </row>
    <row r="711" spans="1:14">
      <c r="A711">
        <f>eDNA!A711</f>
        <v>20200916</v>
      </c>
      <c r="B711" s="10" t="str" cm="1">
        <f t="array" ref="B711">IFERROR(_xlfn.XLOOKUP(1,('env Parameter'!$A:$A=$A711)*('env Parameter'!$B:$B=$K711)*('env Parameter'!$C:$C=$L711),'env Parameter'!H:H,""),"")</f>
        <v>생물상 조사</v>
      </c>
      <c r="C711" s="10" cm="1">
        <f t="array" ref="C711">IFERROR(_xlfn.XLOOKUP(1,('env Parameter'!$A:$A=$A711)*('env Parameter'!$B:$B=$K711)*('env Parameter'!$C:$C=$L711),'env Parameter'!E:E,""),"")</f>
        <v>2.14</v>
      </c>
      <c r="D711" s="10" cm="1">
        <f t="array" ref="D711">IFERROR(_xlfn.XLOOKUP(1,('env Parameter'!$A:$A=$A711)*('env Parameter'!$B:$B=$K711)*('env Parameter'!$C:$C=$L711),'env Parameter'!F:F,""),"")</f>
        <v>478</v>
      </c>
      <c r="E711" s="10" cm="1">
        <f t="array" ref="E711">IFERROR(_xlfn.XLOOKUP(1,('env Parameter'!$A:$A=$A711)*('env Parameter'!$B:$B=$K711)*('env Parameter'!$C:$C=$L711),'env Parameter'!G:G,""),"")</f>
        <v>7.6</v>
      </c>
      <c r="F711" t="str">
        <f>eDNA!F711</f>
        <v>MiFish</v>
      </c>
      <c r="G711" t="str">
        <f>eDNA!D711</f>
        <v>Pseudorasbora parva</v>
      </c>
      <c r="H711" t="str">
        <f>_xlfn.XLOOKUP(G711,'Common name (master file)'!$B:$B,'Common name (master file)'!$A:$A,"-------------")</f>
        <v>참붕어</v>
      </c>
      <c r="I711">
        <f>eDNA!E711</f>
        <v>24502</v>
      </c>
      <c r="J711" t="str">
        <f>_xlfn.XLOOKUP(G711,'Common name (master file)'!$B:$B,'Common name (master file)'!$C:$C,"")</f>
        <v>어류</v>
      </c>
      <c r="K711">
        <f>eDNA!B711</f>
        <v>126.9724018</v>
      </c>
      <c r="L711">
        <f>eDNA!C711</f>
        <v>37.348161500000003</v>
      </c>
      <c r="M711" s="10" t="str" cm="1">
        <f t="array" ref="M711">IFERROR(_xlfn.XLOOKUP(1,('env Parameter'!$A:$A=$A711)*('env Parameter'!$B:$B=$K711)*('env Parameter'!$C:$C=$L711),'env Parameter'!D:D,""),"")</f>
        <v>안양천-1</v>
      </c>
      <c r="N711" s="10" t="str" cm="1">
        <f t="array" ref="N711">IFERROR(_xlfn.XLOOKUP(1,('env Parameter'!$A:$A=$A711)*('env Parameter'!$B:$B=$K711)*('env Parameter'!$C:$C=$L711),'env Parameter'!I:I,""),"")</f>
        <v>YR</v>
      </c>
    </row>
    <row r="712" spans="1:14">
      <c r="A712">
        <f>eDNA!A712</f>
        <v>20200916</v>
      </c>
      <c r="B712" s="10" t="str" cm="1">
        <f t="array" ref="B712">IFERROR(_xlfn.XLOOKUP(1,('env Parameter'!$A:$A=$A712)*('env Parameter'!$B:$B=$K712)*('env Parameter'!$C:$C=$L712),'env Parameter'!H:H,""),"")</f>
        <v>생물상 조사</v>
      </c>
      <c r="C712" s="10" cm="1">
        <f t="array" ref="C712">IFERROR(_xlfn.XLOOKUP(1,('env Parameter'!$A:$A=$A712)*('env Parameter'!$B:$B=$K712)*('env Parameter'!$C:$C=$L712),'env Parameter'!E:E,""),"")</f>
        <v>2.14</v>
      </c>
      <c r="D712" s="10" cm="1">
        <f t="array" ref="D712">IFERROR(_xlfn.XLOOKUP(1,('env Parameter'!$A:$A=$A712)*('env Parameter'!$B:$B=$K712)*('env Parameter'!$C:$C=$L712),'env Parameter'!F:F,""),"")</f>
        <v>478</v>
      </c>
      <c r="E712" s="10" cm="1">
        <f t="array" ref="E712">IFERROR(_xlfn.XLOOKUP(1,('env Parameter'!$A:$A=$A712)*('env Parameter'!$B:$B=$K712)*('env Parameter'!$C:$C=$L712),'env Parameter'!G:G,""),"")</f>
        <v>7.6</v>
      </c>
      <c r="F712" t="str">
        <f>eDNA!F712</f>
        <v>MiFish</v>
      </c>
      <c r="G712" t="str">
        <f>eDNA!D712</f>
        <v>Rhynchocypris oxycephalus</v>
      </c>
      <c r="H712" t="str">
        <f>_xlfn.XLOOKUP(G712,'Common name (master file)'!$B:$B,'Common name (master file)'!$A:$A,"-------------")</f>
        <v>버들치</v>
      </c>
      <c r="I712">
        <f>eDNA!E712</f>
        <v>50167</v>
      </c>
      <c r="J712" t="str">
        <f>_xlfn.XLOOKUP(G712,'Common name (master file)'!$B:$B,'Common name (master file)'!$C:$C,"")</f>
        <v>어류</v>
      </c>
      <c r="K712">
        <f>eDNA!B712</f>
        <v>126.9724018</v>
      </c>
      <c r="L712">
        <f>eDNA!C712</f>
        <v>37.348161500000003</v>
      </c>
      <c r="M712" s="10" t="str" cm="1">
        <f t="array" ref="M712">IFERROR(_xlfn.XLOOKUP(1,('env Parameter'!$A:$A=$A712)*('env Parameter'!$B:$B=$K712)*('env Parameter'!$C:$C=$L712),'env Parameter'!D:D,""),"")</f>
        <v>안양천-1</v>
      </c>
      <c r="N712" s="10" t="str" cm="1">
        <f t="array" ref="N712">IFERROR(_xlfn.XLOOKUP(1,('env Parameter'!$A:$A=$A712)*('env Parameter'!$B:$B=$K712)*('env Parameter'!$C:$C=$L712),'env Parameter'!I:I,""),"")</f>
        <v>YR</v>
      </c>
    </row>
    <row r="713" spans="1:14">
      <c r="A713">
        <f>eDNA!A713</f>
        <v>20200916</v>
      </c>
      <c r="B713" s="10" t="str" cm="1">
        <f t="array" ref="B713">IFERROR(_xlfn.XLOOKUP(1,('env Parameter'!$A:$A=$A713)*('env Parameter'!$B:$B=$K713)*('env Parameter'!$C:$C=$L713),'env Parameter'!H:H,""),"")</f>
        <v>생물상 조사</v>
      </c>
      <c r="C713" s="10" cm="1">
        <f t="array" ref="C713">IFERROR(_xlfn.XLOOKUP(1,('env Parameter'!$A:$A=$A713)*('env Parameter'!$B:$B=$K713)*('env Parameter'!$C:$C=$L713),'env Parameter'!E:E,""),"")</f>
        <v>2.14</v>
      </c>
      <c r="D713" s="10" cm="1">
        <f t="array" ref="D713">IFERROR(_xlfn.XLOOKUP(1,('env Parameter'!$A:$A=$A713)*('env Parameter'!$B:$B=$K713)*('env Parameter'!$C:$C=$L713),'env Parameter'!F:F,""),"")</f>
        <v>478</v>
      </c>
      <c r="E713" s="10" cm="1">
        <f t="array" ref="E713">IFERROR(_xlfn.XLOOKUP(1,('env Parameter'!$A:$A=$A713)*('env Parameter'!$B:$B=$K713)*('env Parameter'!$C:$C=$L713),'env Parameter'!G:G,""),"")</f>
        <v>7.6</v>
      </c>
      <c r="F713" t="str">
        <f>eDNA!F713</f>
        <v>MiFish</v>
      </c>
      <c r="G713" t="str">
        <f>eDNA!D713</f>
        <v>Carassius auratus</v>
      </c>
      <c r="H713" t="str">
        <f>_xlfn.XLOOKUP(G713,'Common name (master file)'!$B:$B,'Common name (master file)'!$A:$A,"-------------")</f>
        <v>붕어</v>
      </c>
      <c r="I713">
        <f>eDNA!E713</f>
        <v>23</v>
      </c>
      <c r="J713" t="str">
        <f>_xlfn.XLOOKUP(G713,'Common name (master file)'!$B:$B,'Common name (master file)'!$C:$C,"")</f>
        <v>어류</v>
      </c>
      <c r="K713">
        <f>eDNA!B713</f>
        <v>126.93147879999999</v>
      </c>
      <c r="L713">
        <f>eDNA!C713</f>
        <v>37.397387999999999</v>
      </c>
      <c r="M713" s="10" t="str" cm="1">
        <f t="array" ref="M713">IFERROR(_xlfn.XLOOKUP(1,('env Parameter'!$A:$A=$A713)*('env Parameter'!$B:$B=$K713)*('env Parameter'!$C:$C=$L713),'env Parameter'!D:D,""),"")</f>
        <v>안양천-4</v>
      </c>
      <c r="N713" s="10" t="str" cm="1">
        <f t="array" ref="N713">IFERROR(_xlfn.XLOOKUP(1,('env Parameter'!$A:$A=$A713)*('env Parameter'!$B:$B=$K713)*('env Parameter'!$C:$C=$L713),'env Parameter'!I:I,""),"")</f>
        <v>YR</v>
      </c>
    </row>
    <row r="714" spans="1:14">
      <c r="A714">
        <f>eDNA!A714</f>
        <v>20200916</v>
      </c>
      <c r="B714" s="10" t="str" cm="1">
        <f t="array" ref="B714">IFERROR(_xlfn.XLOOKUP(1,('env Parameter'!$A:$A=$A714)*('env Parameter'!$B:$B=$K714)*('env Parameter'!$C:$C=$L714),'env Parameter'!H:H,""),"")</f>
        <v>생물상 조사</v>
      </c>
      <c r="C714" s="10" cm="1">
        <f t="array" ref="C714">IFERROR(_xlfn.XLOOKUP(1,('env Parameter'!$A:$A=$A714)*('env Parameter'!$B:$B=$K714)*('env Parameter'!$C:$C=$L714),'env Parameter'!E:E,""),"")</f>
        <v>2.14</v>
      </c>
      <c r="D714" s="10" cm="1">
        <f t="array" ref="D714">IFERROR(_xlfn.XLOOKUP(1,('env Parameter'!$A:$A=$A714)*('env Parameter'!$B:$B=$K714)*('env Parameter'!$C:$C=$L714),'env Parameter'!F:F,""),"")</f>
        <v>478</v>
      </c>
      <c r="E714" s="10" cm="1">
        <f t="array" ref="E714">IFERROR(_xlfn.XLOOKUP(1,('env Parameter'!$A:$A=$A714)*('env Parameter'!$B:$B=$K714)*('env Parameter'!$C:$C=$L714),'env Parameter'!G:G,""),"")</f>
        <v>7.6</v>
      </c>
      <c r="F714" t="str">
        <f>eDNA!F714</f>
        <v>MiFish</v>
      </c>
      <c r="G714" t="str">
        <f>eDNA!D714</f>
        <v>Tadorna tadorna</v>
      </c>
      <c r="H714" t="str">
        <f>_xlfn.XLOOKUP(G714,'Common name (master file)'!$B:$B,'Common name (master file)'!$A:$A,"-------------")</f>
        <v>혹부리오리</v>
      </c>
      <c r="I714">
        <f>eDNA!E714</f>
        <v>28</v>
      </c>
      <c r="J714" t="str">
        <f>_xlfn.XLOOKUP(G714,'Common name (master file)'!$B:$B,'Common name (master file)'!$C:$C,"")</f>
        <v>조류</v>
      </c>
      <c r="K714">
        <f>eDNA!B714</f>
        <v>126.93147879999999</v>
      </c>
      <c r="L714">
        <f>eDNA!C714</f>
        <v>37.397387999999999</v>
      </c>
      <c r="M714" s="10" t="str" cm="1">
        <f t="array" ref="M714">IFERROR(_xlfn.XLOOKUP(1,('env Parameter'!$A:$A=$A714)*('env Parameter'!$B:$B=$K714)*('env Parameter'!$C:$C=$L714),'env Parameter'!D:D,""),"")</f>
        <v>안양천-4</v>
      </c>
      <c r="N714" s="10" t="str" cm="1">
        <f t="array" ref="N714">IFERROR(_xlfn.XLOOKUP(1,('env Parameter'!$A:$A=$A714)*('env Parameter'!$B:$B=$K714)*('env Parameter'!$C:$C=$L714),'env Parameter'!I:I,""),"")</f>
        <v>YR</v>
      </c>
    </row>
    <row r="715" spans="1:14">
      <c r="A715">
        <f>eDNA!A715</f>
        <v>20200916</v>
      </c>
      <c r="B715" s="10" t="str" cm="1">
        <f t="array" ref="B715">IFERROR(_xlfn.XLOOKUP(1,('env Parameter'!$A:$A=$A715)*('env Parameter'!$B:$B=$K715)*('env Parameter'!$C:$C=$L715),'env Parameter'!H:H,""),"")</f>
        <v>생물상 조사</v>
      </c>
      <c r="C715" s="10" cm="1">
        <f t="array" ref="C715">IFERROR(_xlfn.XLOOKUP(1,('env Parameter'!$A:$A=$A715)*('env Parameter'!$B:$B=$K715)*('env Parameter'!$C:$C=$L715),'env Parameter'!E:E,""),"")</f>
        <v>2.14</v>
      </c>
      <c r="D715" s="10" cm="1">
        <f t="array" ref="D715">IFERROR(_xlfn.XLOOKUP(1,('env Parameter'!$A:$A=$A715)*('env Parameter'!$B:$B=$K715)*('env Parameter'!$C:$C=$L715),'env Parameter'!F:F,""),"")</f>
        <v>478</v>
      </c>
      <c r="E715" s="10" cm="1">
        <f t="array" ref="E715">IFERROR(_xlfn.XLOOKUP(1,('env Parameter'!$A:$A=$A715)*('env Parameter'!$B:$B=$K715)*('env Parameter'!$C:$C=$L715),'env Parameter'!G:G,""),"")</f>
        <v>7.6</v>
      </c>
      <c r="F715" t="str">
        <f>eDNA!F715</f>
        <v>MiFish</v>
      </c>
      <c r="G715" t="str">
        <f>eDNA!D715</f>
        <v>Rattus norvegicus</v>
      </c>
      <c r="H715" t="str">
        <f>_xlfn.XLOOKUP(G715,'Common name (master file)'!$B:$B,'Common name (master file)'!$A:$A,"-------------")</f>
        <v>시궁쥐</v>
      </c>
      <c r="I715">
        <f>eDNA!E715</f>
        <v>30</v>
      </c>
      <c r="J715" t="str">
        <f>_xlfn.XLOOKUP(G715,'Common name (master file)'!$B:$B,'Common name (master file)'!$C:$C,"")</f>
        <v>포유류</v>
      </c>
      <c r="K715">
        <f>eDNA!B715</f>
        <v>126.93147879999999</v>
      </c>
      <c r="L715">
        <f>eDNA!C715</f>
        <v>37.397387999999999</v>
      </c>
      <c r="M715" s="10" t="str" cm="1">
        <f t="array" ref="M715">IFERROR(_xlfn.XLOOKUP(1,('env Parameter'!$A:$A=$A715)*('env Parameter'!$B:$B=$K715)*('env Parameter'!$C:$C=$L715),'env Parameter'!D:D,""),"")</f>
        <v>안양천-4</v>
      </c>
      <c r="N715" s="10" t="str" cm="1">
        <f t="array" ref="N715">IFERROR(_xlfn.XLOOKUP(1,('env Parameter'!$A:$A=$A715)*('env Parameter'!$B:$B=$K715)*('env Parameter'!$C:$C=$L715),'env Parameter'!I:I,""),"")</f>
        <v>YR</v>
      </c>
    </row>
    <row r="716" spans="1:14">
      <c r="A716">
        <f>eDNA!A716</f>
        <v>20200916</v>
      </c>
      <c r="B716" s="10" t="str" cm="1">
        <f t="array" ref="B716">IFERROR(_xlfn.XLOOKUP(1,('env Parameter'!$A:$A=$A716)*('env Parameter'!$B:$B=$K716)*('env Parameter'!$C:$C=$L716),'env Parameter'!H:H,""),"")</f>
        <v>생물상 조사</v>
      </c>
      <c r="C716" s="10" cm="1">
        <f t="array" ref="C716">IFERROR(_xlfn.XLOOKUP(1,('env Parameter'!$A:$A=$A716)*('env Parameter'!$B:$B=$K716)*('env Parameter'!$C:$C=$L716),'env Parameter'!E:E,""),"")</f>
        <v>2.14</v>
      </c>
      <c r="D716" s="10" cm="1">
        <f t="array" ref="D716">IFERROR(_xlfn.XLOOKUP(1,('env Parameter'!$A:$A=$A716)*('env Parameter'!$B:$B=$K716)*('env Parameter'!$C:$C=$L716),'env Parameter'!F:F,""),"")</f>
        <v>478</v>
      </c>
      <c r="E716" s="10" cm="1">
        <f t="array" ref="E716">IFERROR(_xlfn.XLOOKUP(1,('env Parameter'!$A:$A=$A716)*('env Parameter'!$B:$B=$K716)*('env Parameter'!$C:$C=$L716),'env Parameter'!G:G,""),"")</f>
        <v>7.6</v>
      </c>
      <c r="F716" t="str">
        <f>eDNA!F716</f>
        <v>MiFish</v>
      </c>
      <c r="G716" t="str">
        <f>eDNA!D716</f>
        <v>Gallus gallus domesticus</v>
      </c>
      <c r="H716" t="str">
        <f>_xlfn.XLOOKUP(G716,'Common name (master file)'!$B:$B,'Common name (master file)'!$A:$A,"-------------")</f>
        <v>닭</v>
      </c>
      <c r="I716">
        <f>eDNA!E716</f>
        <v>38</v>
      </c>
      <c r="J716" t="str">
        <f>_xlfn.XLOOKUP(G716,'Common name (master file)'!$B:$B,'Common name (master file)'!$C:$C,"")</f>
        <v>조류</v>
      </c>
      <c r="K716">
        <f>eDNA!B716</f>
        <v>126.93147879999999</v>
      </c>
      <c r="L716">
        <f>eDNA!C716</f>
        <v>37.397387999999999</v>
      </c>
      <c r="M716" s="10" t="str" cm="1">
        <f t="array" ref="M716">IFERROR(_xlfn.XLOOKUP(1,('env Parameter'!$A:$A=$A716)*('env Parameter'!$B:$B=$K716)*('env Parameter'!$C:$C=$L716),'env Parameter'!D:D,""),"")</f>
        <v>안양천-4</v>
      </c>
      <c r="N716" s="10" t="str" cm="1">
        <f t="array" ref="N716">IFERROR(_xlfn.XLOOKUP(1,('env Parameter'!$A:$A=$A716)*('env Parameter'!$B:$B=$K716)*('env Parameter'!$C:$C=$L716),'env Parameter'!I:I,""),"")</f>
        <v>YR</v>
      </c>
    </row>
    <row r="717" spans="1:14">
      <c r="A717">
        <f>eDNA!A717</f>
        <v>20200916</v>
      </c>
      <c r="B717" s="10" t="str" cm="1">
        <f t="array" ref="B717">IFERROR(_xlfn.XLOOKUP(1,('env Parameter'!$A:$A=$A717)*('env Parameter'!$B:$B=$K717)*('env Parameter'!$C:$C=$L717),'env Parameter'!H:H,""),"")</f>
        <v>생물상 조사</v>
      </c>
      <c r="C717" s="10" cm="1">
        <f t="array" ref="C717">IFERROR(_xlfn.XLOOKUP(1,('env Parameter'!$A:$A=$A717)*('env Parameter'!$B:$B=$K717)*('env Parameter'!$C:$C=$L717),'env Parameter'!E:E,""),"")</f>
        <v>2.14</v>
      </c>
      <c r="D717" s="10" cm="1">
        <f t="array" ref="D717">IFERROR(_xlfn.XLOOKUP(1,('env Parameter'!$A:$A=$A717)*('env Parameter'!$B:$B=$K717)*('env Parameter'!$C:$C=$L717),'env Parameter'!F:F,""),"")</f>
        <v>478</v>
      </c>
      <c r="E717" s="10" cm="1">
        <f t="array" ref="E717">IFERROR(_xlfn.XLOOKUP(1,('env Parameter'!$A:$A=$A717)*('env Parameter'!$B:$B=$K717)*('env Parameter'!$C:$C=$L717),'env Parameter'!G:G,""),"")</f>
        <v>7.6</v>
      </c>
      <c r="F717" t="str">
        <f>eDNA!F717</f>
        <v>MiFish</v>
      </c>
      <c r="G717" t="str">
        <f>eDNA!D717</f>
        <v>Homo sapiens</v>
      </c>
      <c r="H717" t="str">
        <f>_xlfn.XLOOKUP(G717,'Common name (master file)'!$B:$B,'Common name (master file)'!$A:$A,"-------------")</f>
        <v>사람</v>
      </c>
      <c r="I717">
        <f>eDNA!E717</f>
        <v>48</v>
      </c>
      <c r="J717" t="str">
        <f>_xlfn.XLOOKUP(G717,'Common name (master file)'!$B:$B,'Common name (master file)'!$C:$C,"")</f>
        <v>포유류</v>
      </c>
      <c r="K717">
        <f>eDNA!B717</f>
        <v>126.93147879999999</v>
      </c>
      <c r="L717">
        <f>eDNA!C717</f>
        <v>37.397387999999999</v>
      </c>
      <c r="M717" s="10" t="str" cm="1">
        <f t="array" ref="M717">IFERROR(_xlfn.XLOOKUP(1,('env Parameter'!$A:$A=$A717)*('env Parameter'!$B:$B=$K717)*('env Parameter'!$C:$C=$L717),'env Parameter'!D:D,""),"")</f>
        <v>안양천-4</v>
      </c>
      <c r="N717" s="10" t="str" cm="1">
        <f t="array" ref="N717">IFERROR(_xlfn.XLOOKUP(1,('env Parameter'!$A:$A=$A717)*('env Parameter'!$B:$B=$K717)*('env Parameter'!$C:$C=$L717),'env Parameter'!I:I,""),"")</f>
        <v>YR</v>
      </c>
    </row>
    <row r="718" spans="1:14">
      <c r="A718">
        <f>eDNA!A718</f>
        <v>20200916</v>
      </c>
      <c r="B718" s="10" t="str" cm="1">
        <f t="array" ref="B718">IFERROR(_xlfn.XLOOKUP(1,('env Parameter'!$A:$A=$A718)*('env Parameter'!$B:$B=$K718)*('env Parameter'!$C:$C=$L718),'env Parameter'!H:H,""),"")</f>
        <v>생물상 조사</v>
      </c>
      <c r="C718" s="10" cm="1">
        <f t="array" ref="C718">IFERROR(_xlfn.XLOOKUP(1,('env Parameter'!$A:$A=$A718)*('env Parameter'!$B:$B=$K718)*('env Parameter'!$C:$C=$L718),'env Parameter'!E:E,""),"")</f>
        <v>2.14</v>
      </c>
      <c r="D718" s="10" cm="1">
        <f t="array" ref="D718">IFERROR(_xlfn.XLOOKUP(1,('env Parameter'!$A:$A=$A718)*('env Parameter'!$B:$B=$K718)*('env Parameter'!$C:$C=$L718),'env Parameter'!F:F,""),"")</f>
        <v>478</v>
      </c>
      <c r="E718" s="10" cm="1">
        <f t="array" ref="E718">IFERROR(_xlfn.XLOOKUP(1,('env Parameter'!$A:$A=$A718)*('env Parameter'!$B:$B=$K718)*('env Parameter'!$C:$C=$L718),'env Parameter'!G:G,""),"")</f>
        <v>7.6</v>
      </c>
      <c r="F718" t="str">
        <f>eDNA!F718</f>
        <v>MiFish</v>
      </c>
      <c r="G718" t="str">
        <f>eDNA!D718</f>
        <v>Gnathopogon polytaenia</v>
      </c>
      <c r="H718" t="str">
        <f>_xlfn.XLOOKUP(G718,'Common name (master file)'!$B:$B,'Common name (master file)'!$A:$A,"-------------")</f>
        <v>폴리테니아 줄몰개</v>
      </c>
      <c r="I718">
        <f>eDNA!E718</f>
        <v>97</v>
      </c>
      <c r="J718" t="str">
        <f>_xlfn.XLOOKUP(G718,'Common name (master file)'!$B:$B,'Common name (master file)'!$C:$C,"")</f>
        <v>어류</v>
      </c>
      <c r="K718">
        <f>eDNA!B718</f>
        <v>126.93147879999999</v>
      </c>
      <c r="L718">
        <f>eDNA!C718</f>
        <v>37.397387999999999</v>
      </c>
      <c r="M718" s="10" t="str" cm="1">
        <f t="array" ref="M718">IFERROR(_xlfn.XLOOKUP(1,('env Parameter'!$A:$A=$A718)*('env Parameter'!$B:$B=$K718)*('env Parameter'!$C:$C=$L718),'env Parameter'!D:D,""),"")</f>
        <v>안양천-4</v>
      </c>
      <c r="N718" s="10" t="str" cm="1">
        <f t="array" ref="N718">IFERROR(_xlfn.XLOOKUP(1,('env Parameter'!$A:$A=$A718)*('env Parameter'!$B:$B=$K718)*('env Parameter'!$C:$C=$L718),'env Parameter'!I:I,""),"")</f>
        <v>YR</v>
      </c>
    </row>
    <row r="719" spans="1:14">
      <c r="A719">
        <f>eDNA!A719</f>
        <v>20200916</v>
      </c>
      <c r="B719" s="10" t="str" cm="1">
        <f t="array" ref="B719">IFERROR(_xlfn.XLOOKUP(1,('env Parameter'!$A:$A=$A719)*('env Parameter'!$B:$B=$K719)*('env Parameter'!$C:$C=$L719),'env Parameter'!H:H,""),"")</f>
        <v>생물상 조사</v>
      </c>
      <c r="C719" s="10" cm="1">
        <f t="array" ref="C719">IFERROR(_xlfn.XLOOKUP(1,('env Parameter'!$A:$A=$A719)*('env Parameter'!$B:$B=$K719)*('env Parameter'!$C:$C=$L719),'env Parameter'!E:E,""),"")</f>
        <v>2.14</v>
      </c>
      <c r="D719" s="10" cm="1">
        <f t="array" ref="D719">IFERROR(_xlfn.XLOOKUP(1,('env Parameter'!$A:$A=$A719)*('env Parameter'!$B:$B=$K719)*('env Parameter'!$C:$C=$L719),'env Parameter'!F:F,""),"")</f>
        <v>478</v>
      </c>
      <c r="E719" s="10" cm="1">
        <f t="array" ref="E719">IFERROR(_xlfn.XLOOKUP(1,('env Parameter'!$A:$A=$A719)*('env Parameter'!$B:$B=$K719)*('env Parameter'!$C:$C=$L719),'env Parameter'!G:G,""),"")</f>
        <v>7.6</v>
      </c>
      <c r="F719" t="str">
        <f>eDNA!F719</f>
        <v>MiFish</v>
      </c>
      <c r="G719" t="str">
        <f>eDNA!D719</f>
        <v>Carassius cuvieri</v>
      </c>
      <c r="H719" t="str">
        <f>_xlfn.XLOOKUP(G719,'Common name (master file)'!$B:$B,'Common name (master file)'!$A:$A,"-------------")</f>
        <v>떡붕어</v>
      </c>
      <c r="I719">
        <f>eDNA!E719</f>
        <v>52</v>
      </c>
      <c r="J719" t="str">
        <f>_xlfn.XLOOKUP(G719,'Common name (master file)'!$B:$B,'Common name (master file)'!$C:$C,"")</f>
        <v>어류</v>
      </c>
      <c r="K719">
        <f>eDNA!B719</f>
        <v>126.93147879999999</v>
      </c>
      <c r="L719">
        <f>eDNA!C719</f>
        <v>37.397387999999999</v>
      </c>
      <c r="M719" s="10" t="str" cm="1">
        <f t="array" ref="M719">IFERROR(_xlfn.XLOOKUP(1,('env Parameter'!$A:$A=$A719)*('env Parameter'!$B:$B=$K719)*('env Parameter'!$C:$C=$L719),'env Parameter'!D:D,""),"")</f>
        <v>안양천-4</v>
      </c>
      <c r="N719" s="10" t="str" cm="1">
        <f t="array" ref="N719">IFERROR(_xlfn.XLOOKUP(1,('env Parameter'!$A:$A=$A719)*('env Parameter'!$B:$B=$K719)*('env Parameter'!$C:$C=$L719),'env Parameter'!I:I,""),"")</f>
        <v>YR</v>
      </c>
    </row>
    <row r="720" spans="1:14">
      <c r="A720">
        <f>eDNA!A720</f>
        <v>20200916</v>
      </c>
      <c r="B720" s="10" t="str" cm="1">
        <f t="array" ref="B720">IFERROR(_xlfn.XLOOKUP(1,('env Parameter'!$A:$A=$A720)*('env Parameter'!$B:$B=$K720)*('env Parameter'!$C:$C=$L720),'env Parameter'!H:H,""),"")</f>
        <v>생물상 조사</v>
      </c>
      <c r="C720" s="10" cm="1">
        <f t="array" ref="C720">IFERROR(_xlfn.XLOOKUP(1,('env Parameter'!$A:$A=$A720)*('env Parameter'!$B:$B=$K720)*('env Parameter'!$C:$C=$L720),'env Parameter'!E:E,""),"")</f>
        <v>2.14</v>
      </c>
      <c r="D720" s="10" cm="1">
        <f t="array" ref="D720">IFERROR(_xlfn.XLOOKUP(1,('env Parameter'!$A:$A=$A720)*('env Parameter'!$B:$B=$K720)*('env Parameter'!$C:$C=$L720),'env Parameter'!F:F,""),"")</f>
        <v>478</v>
      </c>
      <c r="E720" s="10" cm="1">
        <f t="array" ref="E720">IFERROR(_xlfn.XLOOKUP(1,('env Parameter'!$A:$A=$A720)*('env Parameter'!$B:$B=$K720)*('env Parameter'!$C:$C=$L720),'env Parameter'!G:G,""),"")</f>
        <v>7.6</v>
      </c>
      <c r="F720" t="str">
        <f>eDNA!F720</f>
        <v>MiFish</v>
      </c>
      <c r="G720" t="str">
        <f>eDNA!D720</f>
        <v>Nipponocypris temminckii</v>
      </c>
      <c r="H720" t="str">
        <f>_xlfn.XLOOKUP(G720,'Common name (master file)'!$B:$B,'Common name (master file)'!$A:$A,"-------------")</f>
        <v>갈겨니</v>
      </c>
      <c r="I720">
        <f>eDNA!E720</f>
        <v>66</v>
      </c>
      <c r="J720" t="str">
        <f>_xlfn.XLOOKUP(G720,'Common name (master file)'!$B:$B,'Common name (master file)'!$C:$C,"")</f>
        <v>어류</v>
      </c>
      <c r="K720">
        <f>eDNA!B720</f>
        <v>126.93147879999999</v>
      </c>
      <c r="L720">
        <f>eDNA!C720</f>
        <v>37.397387999999999</v>
      </c>
      <c r="M720" s="10" t="str" cm="1">
        <f t="array" ref="M720">IFERROR(_xlfn.XLOOKUP(1,('env Parameter'!$A:$A=$A720)*('env Parameter'!$B:$B=$K720)*('env Parameter'!$C:$C=$L720),'env Parameter'!D:D,""),"")</f>
        <v>안양천-4</v>
      </c>
      <c r="N720" s="10" t="str" cm="1">
        <f t="array" ref="N720">IFERROR(_xlfn.XLOOKUP(1,('env Parameter'!$A:$A=$A720)*('env Parameter'!$B:$B=$K720)*('env Parameter'!$C:$C=$L720),'env Parameter'!I:I,""),"")</f>
        <v>YR</v>
      </c>
    </row>
    <row r="721" spans="1:14">
      <c r="A721">
        <f>eDNA!A721</f>
        <v>20200916</v>
      </c>
      <c r="B721" s="10" t="str" cm="1">
        <f t="array" ref="B721">IFERROR(_xlfn.XLOOKUP(1,('env Parameter'!$A:$A=$A721)*('env Parameter'!$B:$B=$K721)*('env Parameter'!$C:$C=$L721),'env Parameter'!H:H,""),"")</f>
        <v>생물상 조사</v>
      </c>
      <c r="C721" s="10" cm="1">
        <f t="array" ref="C721">IFERROR(_xlfn.XLOOKUP(1,('env Parameter'!$A:$A=$A721)*('env Parameter'!$B:$B=$K721)*('env Parameter'!$C:$C=$L721),'env Parameter'!E:E,""),"")</f>
        <v>2.14</v>
      </c>
      <c r="D721" s="10" cm="1">
        <f t="array" ref="D721">IFERROR(_xlfn.XLOOKUP(1,('env Parameter'!$A:$A=$A721)*('env Parameter'!$B:$B=$K721)*('env Parameter'!$C:$C=$L721),'env Parameter'!F:F,""),"")</f>
        <v>478</v>
      </c>
      <c r="E721" s="10" cm="1">
        <f t="array" ref="E721">IFERROR(_xlfn.XLOOKUP(1,('env Parameter'!$A:$A=$A721)*('env Parameter'!$B:$B=$K721)*('env Parameter'!$C:$C=$L721),'env Parameter'!G:G,""),"")</f>
        <v>7.6</v>
      </c>
      <c r="F721" t="str">
        <f>eDNA!F721</f>
        <v>MiFish</v>
      </c>
      <c r="G721" t="str">
        <f>eDNA!D721</f>
        <v>Bos taurus</v>
      </c>
      <c r="H721" t="str">
        <f>_xlfn.XLOOKUP(G721,'Common name (master file)'!$B:$B,'Common name (master file)'!$A:$A,"-------------")</f>
        <v>소</v>
      </c>
      <c r="I721">
        <f>eDNA!E721</f>
        <v>81</v>
      </c>
      <c r="J721" t="str">
        <f>_xlfn.XLOOKUP(G721,'Common name (master file)'!$B:$B,'Common name (master file)'!$C:$C,"")</f>
        <v>포유류</v>
      </c>
      <c r="K721">
        <f>eDNA!B721</f>
        <v>126.93147879999999</v>
      </c>
      <c r="L721">
        <f>eDNA!C721</f>
        <v>37.397387999999999</v>
      </c>
      <c r="M721" s="10" t="str" cm="1">
        <f t="array" ref="M721">IFERROR(_xlfn.XLOOKUP(1,('env Parameter'!$A:$A=$A721)*('env Parameter'!$B:$B=$K721)*('env Parameter'!$C:$C=$L721),'env Parameter'!D:D,""),"")</f>
        <v>안양천-4</v>
      </c>
      <c r="N721" s="10" t="str" cm="1">
        <f t="array" ref="N721">IFERROR(_xlfn.XLOOKUP(1,('env Parameter'!$A:$A=$A721)*('env Parameter'!$B:$B=$K721)*('env Parameter'!$C:$C=$L721),'env Parameter'!I:I,""),"")</f>
        <v>YR</v>
      </c>
    </row>
    <row r="722" spans="1:14">
      <c r="A722">
        <f>eDNA!A722</f>
        <v>20200916</v>
      </c>
      <c r="B722" s="10" t="str" cm="1">
        <f t="array" ref="B722">IFERROR(_xlfn.XLOOKUP(1,('env Parameter'!$A:$A=$A722)*('env Parameter'!$B:$B=$K722)*('env Parameter'!$C:$C=$L722),'env Parameter'!H:H,""),"")</f>
        <v>생물상 조사</v>
      </c>
      <c r="C722" s="10" cm="1">
        <f t="array" ref="C722">IFERROR(_xlfn.XLOOKUP(1,('env Parameter'!$A:$A=$A722)*('env Parameter'!$B:$B=$K722)*('env Parameter'!$C:$C=$L722),'env Parameter'!E:E,""),"")</f>
        <v>2.14</v>
      </c>
      <c r="D722" s="10" cm="1">
        <f t="array" ref="D722">IFERROR(_xlfn.XLOOKUP(1,('env Parameter'!$A:$A=$A722)*('env Parameter'!$B:$B=$K722)*('env Parameter'!$C:$C=$L722),'env Parameter'!F:F,""),"")</f>
        <v>478</v>
      </c>
      <c r="E722" s="10" cm="1">
        <f t="array" ref="E722">IFERROR(_xlfn.XLOOKUP(1,('env Parameter'!$A:$A=$A722)*('env Parameter'!$B:$B=$K722)*('env Parameter'!$C:$C=$L722),'env Parameter'!G:G,""),"")</f>
        <v>7.6</v>
      </c>
      <c r="F722" t="str">
        <f>eDNA!F722</f>
        <v>MiFish</v>
      </c>
      <c r="G722" t="str">
        <f>eDNA!D722</f>
        <v>Cyprinus megalophthalmus</v>
      </c>
      <c r="H722" t="str">
        <f>_xlfn.XLOOKUP(G722,'Common name (master file)'!$B:$B,'Common name (master file)'!$A:$A,"-------------")</f>
        <v>큰눈잉어</v>
      </c>
      <c r="I722">
        <f>eDNA!E722</f>
        <v>91</v>
      </c>
      <c r="J722" t="str">
        <f>_xlfn.XLOOKUP(G722,'Common name (master file)'!$B:$B,'Common name (master file)'!$C:$C,"")</f>
        <v>어류</v>
      </c>
      <c r="K722">
        <f>eDNA!B722</f>
        <v>126.93147879999999</v>
      </c>
      <c r="L722">
        <f>eDNA!C722</f>
        <v>37.397387999999999</v>
      </c>
      <c r="M722" s="10" t="str" cm="1">
        <f t="array" ref="M722">IFERROR(_xlfn.XLOOKUP(1,('env Parameter'!$A:$A=$A722)*('env Parameter'!$B:$B=$K722)*('env Parameter'!$C:$C=$L722),'env Parameter'!D:D,""),"")</f>
        <v>안양천-4</v>
      </c>
      <c r="N722" s="10" t="str" cm="1">
        <f t="array" ref="N722">IFERROR(_xlfn.XLOOKUP(1,('env Parameter'!$A:$A=$A722)*('env Parameter'!$B:$B=$K722)*('env Parameter'!$C:$C=$L722),'env Parameter'!I:I,""),"")</f>
        <v>YR</v>
      </c>
    </row>
    <row r="723" spans="1:14">
      <c r="A723">
        <f>eDNA!A723</f>
        <v>20200916</v>
      </c>
      <c r="B723" s="10" t="str" cm="1">
        <f t="array" ref="B723">IFERROR(_xlfn.XLOOKUP(1,('env Parameter'!$A:$A=$A723)*('env Parameter'!$B:$B=$K723)*('env Parameter'!$C:$C=$L723),'env Parameter'!H:H,""),"")</f>
        <v>생물상 조사</v>
      </c>
      <c r="C723" s="10" cm="1">
        <f t="array" ref="C723">IFERROR(_xlfn.XLOOKUP(1,('env Parameter'!$A:$A=$A723)*('env Parameter'!$B:$B=$K723)*('env Parameter'!$C:$C=$L723),'env Parameter'!E:E,""),"")</f>
        <v>2.14</v>
      </c>
      <c r="D723" s="10" cm="1">
        <f t="array" ref="D723">IFERROR(_xlfn.XLOOKUP(1,('env Parameter'!$A:$A=$A723)*('env Parameter'!$B:$B=$K723)*('env Parameter'!$C:$C=$L723),'env Parameter'!F:F,""),"")</f>
        <v>478</v>
      </c>
      <c r="E723" s="10" cm="1">
        <f t="array" ref="E723">IFERROR(_xlfn.XLOOKUP(1,('env Parameter'!$A:$A=$A723)*('env Parameter'!$B:$B=$K723)*('env Parameter'!$C:$C=$L723),'env Parameter'!G:G,""),"")</f>
        <v>7.6</v>
      </c>
      <c r="F723" t="str">
        <f>eDNA!F723</f>
        <v>MiFish</v>
      </c>
      <c r="G723" t="str">
        <f>eDNA!D723</f>
        <v>Culter dabryi</v>
      </c>
      <c r="H723" t="str">
        <f>_xlfn.XLOOKUP(G723,'Common name (master file)'!$B:$B,'Common name (master file)'!$A:$A,"-------------")</f>
        <v>다브리날카로운입치</v>
      </c>
      <c r="I723">
        <f>eDNA!E723</f>
        <v>111</v>
      </c>
      <c r="J723" t="str">
        <f>_xlfn.XLOOKUP(G723,'Common name (master file)'!$B:$B,'Common name (master file)'!$C:$C,"")</f>
        <v>어류</v>
      </c>
      <c r="K723">
        <f>eDNA!B723</f>
        <v>126.93147879999999</v>
      </c>
      <c r="L723">
        <f>eDNA!C723</f>
        <v>37.397387999999999</v>
      </c>
      <c r="M723" s="10" t="str" cm="1">
        <f t="array" ref="M723">IFERROR(_xlfn.XLOOKUP(1,('env Parameter'!$A:$A=$A723)*('env Parameter'!$B:$B=$K723)*('env Parameter'!$C:$C=$L723),'env Parameter'!D:D,""),"")</f>
        <v>안양천-4</v>
      </c>
      <c r="N723" s="10" t="str" cm="1">
        <f t="array" ref="N723">IFERROR(_xlfn.XLOOKUP(1,('env Parameter'!$A:$A=$A723)*('env Parameter'!$B:$B=$K723)*('env Parameter'!$C:$C=$L723),'env Parameter'!I:I,""),"")</f>
        <v>YR</v>
      </c>
    </row>
    <row r="724" spans="1:14">
      <c r="A724">
        <f>eDNA!A724</f>
        <v>20200916</v>
      </c>
      <c r="B724" s="10" t="str" cm="1">
        <f t="array" ref="B724">IFERROR(_xlfn.XLOOKUP(1,('env Parameter'!$A:$A=$A724)*('env Parameter'!$B:$B=$K724)*('env Parameter'!$C:$C=$L724),'env Parameter'!H:H,""),"")</f>
        <v>생물상 조사</v>
      </c>
      <c r="C724" s="10" cm="1">
        <f t="array" ref="C724">IFERROR(_xlfn.XLOOKUP(1,('env Parameter'!$A:$A=$A724)*('env Parameter'!$B:$B=$K724)*('env Parameter'!$C:$C=$L724),'env Parameter'!E:E,""),"")</f>
        <v>2.14</v>
      </c>
      <c r="D724" s="10" cm="1">
        <f t="array" ref="D724">IFERROR(_xlfn.XLOOKUP(1,('env Parameter'!$A:$A=$A724)*('env Parameter'!$B:$B=$K724)*('env Parameter'!$C:$C=$L724),'env Parameter'!F:F,""),"")</f>
        <v>478</v>
      </c>
      <c r="E724" s="10" cm="1">
        <f t="array" ref="E724">IFERROR(_xlfn.XLOOKUP(1,('env Parameter'!$A:$A=$A724)*('env Parameter'!$B:$B=$K724)*('env Parameter'!$C:$C=$L724),'env Parameter'!G:G,""),"")</f>
        <v>7.6</v>
      </c>
      <c r="F724" t="str">
        <f>eDNA!F724</f>
        <v>MiFish</v>
      </c>
      <c r="G724" t="str">
        <f>eDNA!D724</f>
        <v>Misgurnus bipartitus</v>
      </c>
      <c r="H724" t="str">
        <f>_xlfn.XLOOKUP(G724,'Common name (master file)'!$B:$B,'Common name (master file)'!$A:$A,"-------------")</f>
        <v>쌍무늬미꾸리</v>
      </c>
      <c r="I724">
        <f>eDNA!E724</f>
        <v>172</v>
      </c>
      <c r="J724" t="str">
        <f>_xlfn.XLOOKUP(G724,'Common name (master file)'!$B:$B,'Common name (master file)'!$C:$C,"")</f>
        <v>어류</v>
      </c>
      <c r="K724">
        <f>eDNA!B724</f>
        <v>126.93147879999999</v>
      </c>
      <c r="L724">
        <f>eDNA!C724</f>
        <v>37.397387999999999</v>
      </c>
      <c r="M724" s="10" t="str" cm="1">
        <f t="array" ref="M724">IFERROR(_xlfn.XLOOKUP(1,('env Parameter'!$A:$A=$A724)*('env Parameter'!$B:$B=$K724)*('env Parameter'!$C:$C=$L724),'env Parameter'!D:D,""),"")</f>
        <v>안양천-4</v>
      </c>
      <c r="N724" s="10" t="str" cm="1">
        <f t="array" ref="N724">IFERROR(_xlfn.XLOOKUP(1,('env Parameter'!$A:$A=$A724)*('env Parameter'!$B:$B=$K724)*('env Parameter'!$C:$C=$L724),'env Parameter'!I:I,""),"")</f>
        <v>YR</v>
      </c>
    </row>
    <row r="725" spans="1:14">
      <c r="A725">
        <f>eDNA!A725</f>
        <v>20200916</v>
      </c>
      <c r="B725" s="10" t="str" cm="1">
        <f t="array" ref="B725">IFERROR(_xlfn.XLOOKUP(1,('env Parameter'!$A:$A=$A725)*('env Parameter'!$B:$B=$K725)*('env Parameter'!$C:$C=$L725),'env Parameter'!H:H,""),"")</f>
        <v>생물상 조사</v>
      </c>
      <c r="C725" s="10" cm="1">
        <f t="array" ref="C725">IFERROR(_xlfn.XLOOKUP(1,('env Parameter'!$A:$A=$A725)*('env Parameter'!$B:$B=$K725)*('env Parameter'!$C:$C=$L725),'env Parameter'!E:E,""),"")</f>
        <v>2.14</v>
      </c>
      <c r="D725" s="10" cm="1">
        <f t="array" ref="D725">IFERROR(_xlfn.XLOOKUP(1,('env Parameter'!$A:$A=$A725)*('env Parameter'!$B:$B=$K725)*('env Parameter'!$C:$C=$L725),'env Parameter'!F:F,""),"")</f>
        <v>478</v>
      </c>
      <c r="E725" s="10" cm="1">
        <f t="array" ref="E725">IFERROR(_xlfn.XLOOKUP(1,('env Parameter'!$A:$A=$A725)*('env Parameter'!$B:$B=$K725)*('env Parameter'!$C:$C=$L725),'env Parameter'!G:G,""),"")</f>
        <v>7.6</v>
      </c>
      <c r="F725" t="str">
        <f>eDNA!F725</f>
        <v>MiFish</v>
      </c>
      <c r="G725" t="str">
        <f>eDNA!D725</f>
        <v>Pelodiscus sinensis</v>
      </c>
      <c r="H725" t="str">
        <f>_xlfn.XLOOKUP(G725,'Common name (master file)'!$B:$B,'Common name (master file)'!$A:$A,"-------------")</f>
        <v>중국자라</v>
      </c>
      <c r="I725">
        <f>eDNA!E725</f>
        <v>197</v>
      </c>
      <c r="J725" t="str">
        <f>_xlfn.XLOOKUP(G725,'Common name (master file)'!$B:$B,'Common name (master file)'!$C:$C,"")</f>
        <v>양서파충류</v>
      </c>
      <c r="K725">
        <f>eDNA!B725</f>
        <v>126.93147879999999</v>
      </c>
      <c r="L725">
        <f>eDNA!C725</f>
        <v>37.397387999999999</v>
      </c>
      <c r="M725" s="10" t="str" cm="1">
        <f t="array" ref="M725">IFERROR(_xlfn.XLOOKUP(1,('env Parameter'!$A:$A=$A725)*('env Parameter'!$B:$B=$K725)*('env Parameter'!$C:$C=$L725),'env Parameter'!D:D,""),"")</f>
        <v>안양천-4</v>
      </c>
      <c r="N725" s="10" t="str" cm="1">
        <f t="array" ref="N725">IFERROR(_xlfn.XLOOKUP(1,('env Parameter'!$A:$A=$A725)*('env Parameter'!$B:$B=$K725)*('env Parameter'!$C:$C=$L725),'env Parameter'!I:I,""),"")</f>
        <v>YR</v>
      </c>
    </row>
    <row r="726" spans="1:14">
      <c r="A726">
        <f>eDNA!A726</f>
        <v>20200916</v>
      </c>
      <c r="B726" s="10" t="str" cm="1">
        <f t="array" ref="B726">IFERROR(_xlfn.XLOOKUP(1,('env Parameter'!$A:$A=$A726)*('env Parameter'!$B:$B=$K726)*('env Parameter'!$C:$C=$L726),'env Parameter'!H:H,""),"")</f>
        <v>생물상 조사</v>
      </c>
      <c r="C726" s="10" cm="1">
        <f t="array" ref="C726">IFERROR(_xlfn.XLOOKUP(1,('env Parameter'!$A:$A=$A726)*('env Parameter'!$B:$B=$K726)*('env Parameter'!$C:$C=$L726),'env Parameter'!E:E,""),"")</f>
        <v>2.14</v>
      </c>
      <c r="D726" s="10" cm="1">
        <f t="array" ref="D726">IFERROR(_xlfn.XLOOKUP(1,('env Parameter'!$A:$A=$A726)*('env Parameter'!$B:$B=$K726)*('env Parameter'!$C:$C=$L726),'env Parameter'!F:F,""),"")</f>
        <v>478</v>
      </c>
      <c r="E726" s="10" cm="1">
        <f t="array" ref="E726">IFERROR(_xlfn.XLOOKUP(1,('env Parameter'!$A:$A=$A726)*('env Parameter'!$B:$B=$K726)*('env Parameter'!$C:$C=$L726),'env Parameter'!G:G,""),"")</f>
        <v>7.6</v>
      </c>
      <c r="F726" t="str">
        <f>eDNA!F726</f>
        <v>MiFish</v>
      </c>
      <c r="G726" t="str">
        <f>eDNA!D726</f>
        <v>Paramisgurnus dabryanus</v>
      </c>
      <c r="H726" t="str">
        <f>_xlfn.XLOOKUP(G726,'Common name (master file)'!$B:$B,'Common name (master file)'!$A:$A,"-------------")</f>
        <v>중국미꾸라지</v>
      </c>
      <c r="I726">
        <f>eDNA!E726</f>
        <v>199</v>
      </c>
      <c r="J726" t="str">
        <f>_xlfn.XLOOKUP(G726,'Common name (master file)'!$B:$B,'Common name (master file)'!$C:$C,"")</f>
        <v>어류</v>
      </c>
      <c r="K726">
        <f>eDNA!B726</f>
        <v>126.93147879999999</v>
      </c>
      <c r="L726">
        <f>eDNA!C726</f>
        <v>37.397387999999999</v>
      </c>
      <c r="M726" s="10" t="str" cm="1">
        <f t="array" ref="M726">IFERROR(_xlfn.XLOOKUP(1,('env Parameter'!$A:$A=$A726)*('env Parameter'!$B:$B=$K726)*('env Parameter'!$C:$C=$L726),'env Parameter'!D:D,""),"")</f>
        <v>안양천-4</v>
      </c>
      <c r="N726" s="10" t="str" cm="1">
        <f t="array" ref="N726">IFERROR(_xlfn.XLOOKUP(1,('env Parameter'!$A:$A=$A726)*('env Parameter'!$B:$B=$K726)*('env Parameter'!$C:$C=$L726),'env Parameter'!I:I,""),"")</f>
        <v>YR</v>
      </c>
    </row>
    <row r="727" spans="1:14">
      <c r="A727">
        <f>eDNA!A727</f>
        <v>20200916</v>
      </c>
      <c r="B727" s="10" t="str" cm="1">
        <f t="array" ref="B727">IFERROR(_xlfn.XLOOKUP(1,('env Parameter'!$A:$A=$A727)*('env Parameter'!$B:$B=$K727)*('env Parameter'!$C:$C=$L727),'env Parameter'!H:H,""),"")</f>
        <v>생물상 조사</v>
      </c>
      <c r="C727" s="10" cm="1">
        <f t="array" ref="C727">IFERROR(_xlfn.XLOOKUP(1,('env Parameter'!$A:$A=$A727)*('env Parameter'!$B:$B=$K727)*('env Parameter'!$C:$C=$L727),'env Parameter'!E:E,""),"")</f>
        <v>2.14</v>
      </c>
      <c r="D727" s="10" cm="1">
        <f t="array" ref="D727">IFERROR(_xlfn.XLOOKUP(1,('env Parameter'!$A:$A=$A727)*('env Parameter'!$B:$B=$K727)*('env Parameter'!$C:$C=$L727),'env Parameter'!F:F,""),"")</f>
        <v>478</v>
      </c>
      <c r="E727" s="10" cm="1">
        <f t="array" ref="E727">IFERROR(_xlfn.XLOOKUP(1,('env Parameter'!$A:$A=$A727)*('env Parameter'!$B:$B=$K727)*('env Parameter'!$C:$C=$L727),'env Parameter'!G:G,""),"")</f>
        <v>7.6</v>
      </c>
      <c r="F727" t="str">
        <f>eDNA!F727</f>
        <v>MiFish</v>
      </c>
      <c r="G727" t="str">
        <f>eDNA!D727</f>
        <v>Konosirus punctatus</v>
      </c>
      <c r="H727" t="str">
        <f>_xlfn.XLOOKUP(G727,'Common name (master file)'!$B:$B,'Common name (master file)'!$A:$A,"-------------")</f>
        <v>전어</v>
      </c>
      <c r="I727">
        <f>eDNA!E727</f>
        <v>285</v>
      </c>
      <c r="J727" t="str">
        <f>_xlfn.XLOOKUP(G727,'Common name (master file)'!$B:$B,'Common name (master file)'!$C:$C,"")</f>
        <v>어류</v>
      </c>
      <c r="K727">
        <f>eDNA!B727</f>
        <v>126.93147879999999</v>
      </c>
      <c r="L727">
        <f>eDNA!C727</f>
        <v>37.397387999999999</v>
      </c>
      <c r="M727" s="10" t="str" cm="1">
        <f t="array" ref="M727">IFERROR(_xlfn.XLOOKUP(1,('env Parameter'!$A:$A=$A727)*('env Parameter'!$B:$B=$K727)*('env Parameter'!$C:$C=$L727),'env Parameter'!D:D,""),"")</f>
        <v>안양천-4</v>
      </c>
      <c r="N727" s="10" t="str" cm="1">
        <f t="array" ref="N727">IFERROR(_xlfn.XLOOKUP(1,('env Parameter'!$A:$A=$A727)*('env Parameter'!$B:$B=$K727)*('env Parameter'!$C:$C=$L727),'env Parameter'!I:I,""),"")</f>
        <v>YR</v>
      </c>
    </row>
    <row r="728" spans="1:14">
      <c r="A728">
        <f>eDNA!A728</f>
        <v>20200916</v>
      </c>
      <c r="B728" s="10" t="str" cm="1">
        <f t="array" ref="B728">IFERROR(_xlfn.XLOOKUP(1,('env Parameter'!$A:$A=$A728)*('env Parameter'!$B:$B=$K728)*('env Parameter'!$C:$C=$L728),'env Parameter'!H:H,""),"")</f>
        <v>생물상 조사</v>
      </c>
      <c r="C728" s="10" cm="1">
        <f t="array" ref="C728">IFERROR(_xlfn.XLOOKUP(1,('env Parameter'!$A:$A=$A728)*('env Parameter'!$B:$B=$K728)*('env Parameter'!$C:$C=$L728),'env Parameter'!E:E,""),"")</f>
        <v>2.14</v>
      </c>
      <c r="D728" s="10" cm="1">
        <f t="array" ref="D728">IFERROR(_xlfn.XLOOKUP(1,('env Parameter'!$A:$A=$A728)*('env Parameter'!$B:$B=$K728)*('env Parameter'!$C:$C=$L728),'env Parameter'!F:F,""),"")</f>
        <v>478</v>
      </c>
      <c r="E728" s="10" cm="1">
        <f t="array" ref="E728">IFERROR(_xlfn.XLOOKUP(1,('env Parameter'!$A:$A=$A728)*('env Parameter'!$B:$B=$K728)*('env Parameter'!$C:$C=$L728),'env Parameter'!G:G,""),"")</f>
        <v>7.6</v>
      </c>
      <c r="F728" t="str">
        <f>eDNA!F728</f>
        <v>MiFish</v>
      </c>
      <c r="G728" t="str">
        <f>eDNA!D728</f>
        <v>Gymnogobius urotaenia</v>
      </c>
      <c r="H728" t="str">
        <f>_xlfn.XLOOKUP(G728,'Common name (master file)'!$B:$B,'Common name (master file)'!$A:$A,"-------------")</f>
        <v>꾹저구</v>
      </c>
      <c r="I728">
        <f>eDNA!E728</f>
        <v>252</v>
      </c>
      <c r="J728" t="str">
        <f>_xlfn.XLOOKUP(G728,'Common name (master file)'!$B:$B,'Common name (master file)'!$C:$C,"")</f>
        <v>어류</v>
      </c>
      <c r="K728">
        <f>eDNA!B728</f>
        <v>126.93147879999999</v>
      </c>
      <c r="L728">
        <f>eDNA!C728</f>
        <v>37.397387999999999</v>
      </c>
      <c r="M728" s="10" t="str" cm="1">
        <f t="array" ref="M728">IFERROR(_xlfn.XLOOKUP(1,('env Parameter'!$A:$A=$A728)*('env Parameter'!$B:$B=$K728)*('env Parameter'!$C:$C=$L728),'env Parameter'!D:D,""),"")</f>
        <v>안양천-4</v>
      </c>
      <c r="N728" s="10" t="str" cm="1">
        <f t="array" ref="N728">IFERROR(_xlfn.XLOOKUP(1,('env Parameter'!$A:$A=$A728)*('env Parameter'!$B:$B=$K728)*('env Parameter'!$C:$C=$L728),'env Parameter'!I:I,""),"")</f>
        <v>YR</v>
      </c>
    </row>
    <row r="729" spans="1:14">
      <c r="A729">
        <f>eDNA!A729</f>
        <v>20200916</v>
      </c>
      <c r="B729" s="10" t="str" cm="1">
        <f t="array" ref="B729">IFERROR(_xlfn.XLOOKUP(1,('env Parameter'!$A:$A=$A729)*('env Parameter'!$B:$B=$K729)*('env Parameter'!$C:$C=$L729),'env Parameter'!H:H,""),"")</f>
        <v>생물상 조사</v>
      </c>
      <c r="C729" s="10" cm="1">
        <f t="array" ref="C729">IFERROR(_xlfn.XLOOKUP(1,('env Parameter'!$A:$A=$A729)*('env Parameter'!$B:$B=$K729)*('env Parameter'!$C:$C=$L729),'env Parameter'!E:E,""),"")</f>
        <v>2.14</v>
      </c>
      <c r="D729" s="10" cm="1">
        <f t="array" ref="D729">IFERROR(_xlfn.XLOOKUP(1,('env Parameter'!$A:$A=$A729)*('env Parameter'!$B:$B=$K729)*('env Parameter'!$C:$C=$L729),'env Parameter'!F:F,""),"")</f>
        <v>478</v>
      </c>
      <c r="E729" s="10" cm="1">
        <f t="array" ref="E729">IFERROR(_xlfn.XLOOKUP(1,('env Parameter'!$A:$A=$A729)*('env Parameter'!$B:$B=$K729)*('env Parameter'!$C:$C=$L729),'env Parameter'!G:G,""),"")</f>
        <v>7.6</v>
      </c>
      <c r="F729" t="str">
        <f>eDNA!F729</f>
        <v>MiFish</v>
      </c>
      <c r="G729" t="str">
        <f>eDNA!D729</f>
        <v>Lepomis macrochirus</v>
      </c>
      <c r="H729" t="str">
        <f>_xlfn.XLOOKUP(G729,'Common name (master file)'!$B:$B,'Common name (master file)'!$A:$A,"-------------")</f>
        <v>블루길</v>
      </c>
      <c r="I729">
        <f>eDNA!E729</f>
        <v>295</v>
      </c>
      <c r="J729" t="str">
        <f>_xlfn.XLOOKUP(G729,'Common name (master file)'!$B:$B,'Common name (master file)'!$C:$C,"")</f>
        <v>어류</v>
      </c>
      <c r="K729">
        <f>eDNA!B729</f>
        <v>126.93147879999999</v>
      </c>
      <c r="L729">
        <f>eDNA!C729</f>
        <v>37.397387999999999</v>
      </c>
      <c r="M729" s="10" t="str" cm="1">
        <f t="array" ref="M729">IFERROR(_xlfn.XLOOKUP(1,('env Parameter'!$A:$A=$A729)*('env Parameter'!$B:$B=$K729)*('env Parameter'!$C:$C=$L729),'env Parameter'!D:D,""),"")</f>
        <v>안양천-4</v>
      </c>
      <c r="N729" s="10" t="str" cm="1">
        <f t="array" ref="N729">IFERROR(_xlfn.XLOOKUP(1,('env Parameter'!$A:$A=$A729)*('env Parameter'!$B:$B=$K729)*('env Parameter'!$C:$C=$L729),'env Parameter'!I:I,""),"")</f>
        <v>YR</v>
      </c>
    </row>
    <row r="730" spans="1:14">
      <c r="A730">
        <f>eDNA!A730</f>
        <v>20200916</v>
      </c>
      <c r="B730" s="10" t="str" cm="1">
        <f t="array" ref="B730">IFERROR(_xlfn.XLOOKUP(1,('env Parameter'!$A:$A=$A730)*('env Parameter'!$B:$B=$K730)*('env Parameter'!$C:$C=$L730),'env Parameter'!H:H,""),"")</f>
        <v>생물상 조사</v>
      </c>
      <c r="C730" s="10" cm="1">
        <f t="array" ref="C730">IFERROR(_xlfn.XLOOKUP(1,('env Parameter'!$A:$A=$A730)*('env Parameter'!$B:$B=$K730)*('env Parameter'!$C:$C=$L730),'env Parameter'!E:E,""),"")</f>
        <v>2.14</v>
      </c>
      <c r="D730" s="10" cm="1">
        <f t="array" ref="D730">IFERROR(_xlfn.XLOOKUP(1,('env Parameter'!$A:$A=$A730)*('env Parameter'!$B:$B=$K730)*('env Parameter'!$C:$C=$L730),'env Parameter'!F:F,""),"")</f>
        <v>478</v>
      </c>
      <c r="E730" s="10" cm="1">
        <f t="array" ref="E730">IFERROR(_xlfn.XLOOKUP(1,('env Parameter'!$A:$A=$A730)*('env Parameter'!$B:$B=$K730)*('env Parameter'!$C:$C=$L730),'env Parameter'!G:G,""),"")</f>
        <v>7.6</v>
      </c>
      <c r="F730" t="str">
        <f>eDNA!F730</f>
        <v>MiFish</v>
      </c>
      <c r="G730" t="str">
        <f>eDNA!D730</f>
        <v>Carassius sp.</v>
      </c>
      <c r="H730" t="str">
        <f>_xlfn.XLOOKUP(G730,'Common name (master file)'!$B:$B,'Common name (master file)'!$A:$A,"-------------")</f>
        <v>붕어 속</v>
      </c>
      <c r="I730">
        <f>eDNA!E730</f>
        <v>411</v>
      </c>
      <c r="J730" t="str">
        <f>_xlfn.XLOOKUP(G730,'Common name (master file)'!$B:$B,'Common name (master file)'!$C:$C,"")</f>
        <v>어류</v>
      </c>
      <c r="K730">
        <f>eDNA!B730</f>
        <v>126.93147879999999</v>
      </c>
      <c r="L730">
        <f>eDNA!C730</f>
        <v>37.397387999999999</v>
      </c>
      <c r="M730" s="10" t="str" cm="1">
        <f t="array" ref="M730">IFERROR(_xlfn.XLOOKUP(1,('env Parameter'!$A:$A=$A730)*('env Parameter'!$B:$B=$K730)*('env Parameter'!$C:$C=$L730),'env Parameter'!D:D,""),"")</f>
        <v>안양천-4</v>
      </c>
      <c r="N730" s="10" t="str" cm="1">
        <f t="array" ref="N730">IFERROR(_xlfn.XLOOKUP(1,('env Parameter'!$A:$A=$A730)*('env Parameter'!$B:$B=$K730)*('env Parameter'!$C:$C=$L730),'env Parameter'!I:I,""),"")</f>
        <v>YR</v>
      </c>
    </row>
    <row r="731" spans="1:14">
      <c r="A731">
        <f>eDNA!A731</f>
        <v>20200916</v>
      </c>
      <c r="B731" s="10" t="str" cm="1">
        <f t="array" ref="B731">IFERROR(_xlfn.XLOOKUP(1,('env Parameter'!$A:$A=$A731)*('env Parameter'!$B:$B=$K731)*('env Parameter'!$C:$C=$L731),'env Parameter'!H:H,""),"")</f>
        <v>생물상 조사</v>
      </c>
      <c r="C731" s="10" cm="1">
        <f t="array" ref="C731">IFERROR(_xlfn.XLOOKUP(1,('env Parameter'!$A:$A=$A731)*('env Parameter'!$B:$B=$K731)*('env Parameter'!$C:$C=$L731),'env Parameter'!E:E,""),"")</f>
        <v>2.14</v>
      </c>
      <c r="D731" s="10" cm="1">
        <f t="array" ref="D731">IFERROR(_xlfn.XLOOKUP(1,('env Parameter'!$A:$A=$A731)*('env Parameter'!$B:$B=$K731)*('env Parameter'!$C:$C=$L731),'env Parameter'!F:F,""),"")</f>
        <v>478</v>
      </c>
      <c r="E731" s="10" cm="1">
        <f t="array" ref="E731">IFERROR(_xlfn.XLOOKUP(1,('env Parameter'!$A:$A=$A731)*('env Parameter'!$B:$B=$K731)*('env Parameter'!$C:$C=$L731),'env Parameter'!G:G,""),"")</f>
        <v>7.6</v>
      </c>
      <c r="F731" t="str">
        <f>eDNA!F731</f>
        <v>MiFish</v>
      </c>
      <c r="G731" t="str">
        <f>eDNA!D731</f>
        <v>Hemibarbus sp.</v>
      </c>
      <c r="H731" t="str">
        <f>_xlfn.XLOOKUP(G731,'Common name (master file)'!$B:$B,'Common name (master file)'!$A:$A,"-------------")</f>
        <v>누치 속</v>
      </c>
      <c r="I731">
        <f>eDNA!E731</f>
        <v>549</v>
      </c>
      <c r="J731" t="str">
        <f>_xlfn.XLOOKUP(G731,'Common name (master file)'!$B:$B,'Common name (master file)'!$C:$C,"")</f>
        <v>어류</v>
      </c>
      <c r="K731">
        <f>eDNA!B731</f>
        <v>126.93147879999999</v>
      </c>
      <c r="L731">
        <f>eDNA!C731</f>
        <v>37.397387999999999</v>
      </c>
      <c r="M731" s="10" t="str" cm="1">
        <f t="array" ref="M731">IFERROR(_xlfn.XLOOKUP(1,('env Parameter'!$A:$A=$A731)*('env Parameter'!$B:$B=$K731)*('env Parameter'!$C:$C=$L731),'env Parameter'!D:D,""),"")</f>
        <v>안양천-4</v>
      </c>
      <c r="N731" s="10" t="str" cm="1">
        <f t="array" ref="N731">IFERROR(_xlfn.XLOOKUP(1,('env Parameter'!$A:$A=$A731)*('env Parameter'!$B:$B=$K731)*('env Parameter'!$C:$C=$L731),'env Parameter'!I:I,""),"")</f>
        <v>YR</v>
      </c>
    </row>
    <row r="732" spans="1:14">
      <c r="A732">
        <f>eDNA!A732</f>
        <v>20200916</v>
      </c>
      <c r="B732" s="10" t="str" cm="1">
        <f t="array" ref="B732">IFERROR(_xlfn.XLOOKUP(1,('env Parameter'!$A:$A=$A732)*('env Parameter'!$B:$B=$K732)*('env Parameter'!$C:$C=$L732),'env Parameter'!H:H,""),"")</f>
        <v>생물상 조사</v>
      </c>
      <c r="C732" s="10" cm="1">
        <f t="array" ref="C732">IFERROR(_xlfn.XLOOKUP(1,('env Parameter'!$A:$A=$A732)*('env Parameter'!$B:$B=$K732)*('env Parameter'!$C:$C=$L732),'env Parameter'!E:E,""),"")</f>
        <v>2.14</v>
      </c>
      <c r="D732" s="10" cm="1">
        <f t="array" ref="D732">IFERROR(_xlfn.XLOOKUP(1,('env Parameter'!$A:$A=$A732)*('env Parameter'!$B:$B=$K732)*('env Parameter'!$C:$C=$L732),'env Parameter'!F:F,""),"")</f>
        <v>478</v>
      </c>
      <c r="E732" s="10" cm="1">
        <f t="array" ref="E732">IFERROR(_xlfn.XLOOKUP(1,('env Parameter'!$A:$A=$A732)*('env Parameter'!$B:$B=$K732)*('env Parameter'!$C:$C=$L732),'env Parameter'!G:G,""),"")</f>
        <v>7.6</v>
      </c>
      <c r="F732" t="str">
        <f>eDNA!F732</f>
        <v>MiFish</v>
      </c>
      <c r="G732" t="str">
        <f>eDNA!D732</f>
        <v>Rhinogobius sp.</v>
      </c>
      <c r="H732" t="str">
        <f>_xlfn.XLOOKUP(G732,'Common name (master file)'!$B:$B,'Common name (master file)'!$A:$A,"-------------")</f>
        <v>밀어</v>
      </c>
      <c r="I732">
        <f>eDNA!E732</f>
        <v>805</v>
      </c>
      <c r="J732" t="str">
        <f>_xlfn.XLOOKUP(G732,'Common name (master file)'!$B:$B,'Common name (master file)'!$C:$C,"")</f>
        <v>어류</v>
      </c>
      <c r="K732">
        <f>eDNA!B732</f>
        <v>126.93147879999999</v>
      </c>
      <c r="L732">
        <f>eDNA!C732</f>
        <v>37.397387999999999</v>
      </c>
      <c r="M732" s="10" t="str" cm="1">
        <f t="array" ref="M732">IFERROR(_xlfn.XLOOKUP(1,('env Parameter'!$A:$A=$A732)*('env Parameter'!$B:$B=$K732)*('env Parameter'!$C:$C=$L732),'env Parameter'!D:D,""),"")</f>
        <v>안양천-4</v>
      </c>
      <c r="N732" s="10" t="str" cm="1">
        <f t="array" ref="N732">IFERROR(_xlfn.XLOOKUP(1,('env Parameter'!$A:$A=$A732)*('env Parameter'!$B:$B=$K732)*('env Parameter'!$C:$C=$L732),'env Parameter'!I:I,""),"")</f>
        <v>YR</v>
      </c>
    </row>
    <row r="733" spans="1:14">
      <c r="A733">
        <f>eDNA!A733</f>
        <v>20200916</v>
      </c>
      <c r="B733" s="10" t="str" cm="1">
        <f t="array" ref="B733">IFERROR(_xlfn.XLOOKUP(1,('env Parameter'!$A:$A=$A733)*('env Parameter'!$B:$B=$K733)*('env Parameter'!$C:$C=$L733),'env Parameter'!H:H,""),"")</f>
        <v>생물상 조사</v>
      </c>
      <c r="C733" s="10" cm="1">
        <f t="array" ref="C733">IFERROR(_xlfn.XLOOKUP(1,('env Parameter'!$A:$A=$A733)*('env Parameter'!$B:$B=$K733)*('env Parameter'!$C:$C=$L733),'env Parameter'!E:E,""),"")</f>
        <v>2.14</v>
      </c>
      <c r="D733" s="10" cm="1">
        <f t="array" ref="D733">IFERROR(_xlfn.XLOOKUP(1,('env Parameter'!$A:$A=$A733)*('env Parameter'!$B:$B=$K733)*('env Parameter'!$C:$C=$L733),'env Parameter'!F:F,""),"")</f>
        <v>478</v>
      </c>
      <c r="E733" s="10" cm="1">
        <f t="array" ref="E733">IFERROR(_xlfn.XLOOKUP(1,('env Parameter'!$A:$A=$A733)*('env Parameter'!$B:$B=$K733)*('env Parameter'!$C:$C=$L733),'env Parameter'!G:G,""),"")</f>
        <v>7.6</v>
      </c>
      <c r="F733" t="str">
        <f>eDNA!F733</f>
        <v>MiFish</v>
      </c>
      <c r="G733" t="str">
        <f>eDNA!D733</f>
        <v>Rhinogobius giurinus</v>
      </c>
      <c r="H733" t="str">
        <f>_xlfn.XLOOKUP(G733,'Common name (master file)'!$B:$B,'Common name (master file)'!$A:$A,"-------------")</f>
        <v>갈문망둑</v>
      </c>
      <c r="I733">
        <f>eDNA!E733</f>
        <v>1620</v>
      </c>
      <c r="J733" t="str">
        <f>_xlfn.XLOOKUP(G733,'Common name (master file)'!$B:$B,'Common name (master file)'!$C:$C,"")</f>
        <v>어류</v>
      </c>
      <c r="K733">
        <f>eDNA!B733</f>
        <v>126.93147879999999</v>
      </c>
      <c r="L733">
        <f>eDNA!C733</f>
        <v>37.397387999999999</v>
      </c>
      <c r="M733" s="10" t="str" cm="1">
        <f t="array" ref="M733">IFERROR(_xlfn.XLOOKUP(1,('env Parameter'!$A:$A=$A733)*('env Parameter'!$B:$B=$K733)*('env Parameter'!$C:$C=$L733),'env Parameter'!D:D,""),"")</f>
        <v>안양천-4</v>
      </c>
      <c r="N733" s="10" t="str" cm="1">
        <f t="array" ref="N733">IFERROR(_xlfn.XLOOKUP(1,('env Parameter'!$A:$A=$A733)*('env Parameter'!$B:$B=$K733)*('env Parameter'!$C:$C=$L733),'env Parameter'!I:I,""),"")</f>
        <v>YR</v>
      </c>
    </row>
    <row r="734" spans="1:14">
      <c r="A734">
        <f>eDNA!A734</f>
        <v>20200916</v>
      </c>
      <c r="B734" s="10" t="str" cm="1">
        <f t="array" ref="B734">IFERROR(_xlfn.XLOOKUP(1,('env Parameter'!$A:$A=$A734)*('env Parameter'!$B:$B=$K734)*('env Parameter'!$C:$C=$L734),'env Parameter'!H:H,""),"")</f>
        <v>생물상 조사</v>
      </c>
      <c r="C734" s="10" cm="1">
        <f t="array" ref="C734">IFERROR(_xlfn.XLOOKUP(1,('env Parameter'!$A:$A=$A734)*('env Parameter'!$B:$B=$K734)*('env Parameter'!$C:$C=$L734),'env Parameter'!E:E,""),"")</f>
        <v>2.14</v>
      </c>
      <c r="D734" s="10" cm="1">
        <f t="array" ref="D734">IFERROR(_xlfn.XLOOKUP(1,('env Parameter'!$A:$A=$A734)*('env Parameter'!$B:$B=$K734)*('env Parameter'!$C:$C=$L734),'env Parameter'!F:F,""),"")</f>
        <v>478</v>
      </c>
      <c r="E734" s="10" cm="1">
        <f t="array" ref="E734">IFERROR(_xlfn.XLOOKUP(1,('env Parameter'!$A:$A=$A734)*('env Parameter'!$B:$B=$K734)*('env Parameter'!$C:$C=$L734),'env Parameter'!G:G,""),"")</f>
        <v>7.6</v>
      </c>
      <c r="F734" t="str">
        <f>eDNA!F734</f>
        <v>MiFish</v>
      </c>
      <c r="G734" t="str">
        <f>eDNA!D734</f>
        <v>Cyprinus carpio</v>
      </c>
      <c r="H734" t="str">
        <f>_xlfn.XLOOKUP(G734,'Common name (master file)'!$B:$B,'Common name (master file)'!$A:$A,"-------------")</f>
        <v>잉어</v>
      </c>
      <c r="I734">
        <f>eDNA!E734</f>
        <v>1372</v>
      </c>
      <c r="J734" t="str">
        <f>_xlfn.XLOOKUP(G734,'Common name (master file)'!$B:$B,'Common name (master file)'!$C:$C,"")</f>
        <v>어류</v>
      </c>
      <c r="K734">
        <f>eDNA!B734</f>
        <v>126.93147879999999</v>
      </c>
      <c r="L734">
        <f>eDNA!C734</f>
        <v>37.397387999999999</v>
      </c>
      <c r="M734" s="10" t="str" cm="1">
        <f t="array" ref="M734">IFERROR(_xlfn.XLOOKUP(1,('env Parameter'!$A:$A=$A734)*('env Parameter'!$B:$B=$K734)*('env Parameter'!$C:$C=$L734),'env Parameter'!D:D,""),"")</f>
        <v>안양천-4</v>
      </c>
      <c r="N734" s="10" t="str" cm="1">
        <f t="array" ref="N734">IFERROR(_xlfn.XLOOKUP(1,('env Parameter'!$A:$A=$A734)*('env Parameter'!$B:$B=$K734)*('env Parameter'!$C:$C=$L734),'env Parameter'!I:I,""),"")</f>
        <v>YR</v>
      </c>
    </row>
    <row r="735" spans="1:14">
      <c r="A735">
        <f>eDNA!A735</f>
        <v>20200916</v>
      </c>
      <c r="B735" s="10" t="str" cm="1">
        <f t="array" ref="B735">IFERROR(_xlfn.XLOOKUP(1,('env Parameter'!$A:$A=$A735)*('env Parameter'!$B:$B=$K735)*('env Parameter'!$C:$C=$L735),'env Parameter'!H:H,""),"")</f>
        <v>생물상 조사</v>
      </c>
      <c r="C735" s="10" cm="1">
        <f t="array" ref="C735">IFERROR(_xlfn.XLOOKUP(1,('env Parameter'!$A:$A=$A735)*('env Parameter'!$B:$B=$K735)*('env Parameter'!$C:$C=$L735),'env Parameter'!E:E,""),"")</f>
        <v>2.14</v>
      </c>
      <c r="D735" s="10" cm="1">
        <f t="array" ref="D735">IFERROR(_xlfn.XLOOKUP(1,('env Parameter'!$A:$A=$A735)*('env Parameter'!$B:$B=$K735)*('env Parameter'!$C:$C=$L735),'env Parameter'!F:F,""),"")</f>
        <v>478</v>
      </c>
      <c r="E735" s="10" cm="1">
        <f t="array" ref="E735">IFERROR(_xlfn.XLOOKUP(1,('env Parameter'!$A:$A=$A735)*('env Parameter'!$B:$B=$K735)*('env Parameter'!$C:$C=$L735),'env Parameter'!G:G,""),"")</f>
        <v>7.6</v>
      </c>
      <c r="F735" t="str">
        <f>eDNA!F735</f>
        <v>MiFish</v>
      </c>
      <c r="G735" t="str">
        <f>eDNA!D735</f>
        <v>Silurus soldatovi</v>
      </c>
      <c r="H735" t="str">
        <f>_xlfn.XLOOKUP(G735,'Common name (master file)'!$B:$B,'Common name (master file)'!$A:$A,"-------------")</f>
        <v>솔다토비 메기</v>
      </c>
      <c r="I735">
        <f>eDNA!E735</f>
        <v>1670</v>
      </c>
      <c r="J735" t="str">
        <f>_xlfn.XLOOKUP(G735,'Common name (master file)'!$B:$B,'Common name (master file)'!$C:$C,"")</f>
        <v>어류</v>
      </c>
      <c r="K735">
        <f>eDNA!B735</f>
        <v>126.93147879999999</v>
      </c>
      <c r="L735">
        <f>eDNA!C735</f>
        <v>37.397387999999999</v>
      </c>
      <c r="M735" s="10" t="str" cm="1">
        <f t="array" ref="M735">IFERROR(_xlfn.XLOOKUP(1,('env Parameter'!$A:$A=$A735)*('env Parameter'!$B:$B=$K735)*('env Parameter'!$C:$C=$L735),'env Parameter'!D:D,""),"")</f>
        <v>안양천-4</v>
      </c>
      <c r="N735" s="10" t="str" cm="1">
        <f t="array" ref="N735">IFERROR(_xlfn.XLOOKUP(1,('env Parameter'!$A:$A=$A735)*('env Parameter'!$B:$B=$K735)*('env Parameter'!$C:$C=$L735),'env Parameter'!I:I,""),"")</f>
        <v>YR</v>
      </c>
    </row>
    <row r="736" spans="1:14">
      <c r="A736">
        <f>eDNA!A736</f>
        <v>20200916</v>
      </c>
      <c r="B736" s="10" t="str" cm="1">
        <f t="array" ref="B736">IFERROR(_xlfn.XLOOKUP(1,('env Parameter'!$A:$A=$A736)*('env Parameter'!$B:$B=$K736)*('env Parameter'!$C:$C=$L736),'env Parameter'!H:H,""),"")</f>
        <v>생물상 조사</v>
      </c>
      <c r="C736" s="10" cm="1">
        <f t="array" ref="C736">IFERROR(_xlfn.XLOOKUP(1,('env Parameter'!$A:$A=$A736)*('env Parameter'!$B:$B=$K736)*('env Parameter'!$C:$C=$L736),'env Parameter'!E:E,""),"")</f>
        <v>2.14</v>
      </c>
      <c r="D736" s="10" cm="1">
        <f t="array" ref="D736">IFERROR(_xlfn.XLOOKUP(1,('env Parameter'!$A:$A=$A736)*('env Parameter'!$B:$B=$K736)*('env Parameter'!$C:$C=$L736),'env Parameter'!F:F,""),"")</f>
        <v>478</v>
      </c>
      <c r="E736" s="10" cm="1">
        <f t="array" ref="E736">IFERROR(_xlfn.XLOOKUP(1,('env Parameter'!$A:$A=$A736)*('env Parameter'!$B:$B=$K736)*('env Parameter'!$C:$C=$L736),'env Parameter'!G:G,""),"")</f>
        <v>7.6</v>
      </c>
      <c r="F736" t="str">
        <f>eDNA!F736</f>
        <v>MiFish</v>
      </c>
      <c r="G736" t="str">
        <f>eDNA!D736</f>
        <v>Rhynchocypris oxycephalus</v>
      </c>
      <c r="H736" t="str">
        <f>_xlfn.XLOOKUP(G736,'Common name (master file)'!$B:$B,'Common name (master file)'!$A:$A,"-------------")</f>
        <v>버들치</v>
      </c>
      <c r="I736">
        <f>eDNA!E736</f>
        <v>1722</v>
      </c>
      <c r="J736" t="str">
        <f>_xlfn.XLOOKUP(G736,'Common name (master file)'!$B:$B,'Common name (master file)'!$C:$C,"")</f>
        <v>어류</v>
      </c>
      <c r="K736">
        <f>eDNA!B736</f>
        <v>126.93147879999999</v>
      </c>
      <c r="L736">
        <f>eDNA!C736</f>
        <v>37.397387999999999</v>
      </c>
      <c r="M736" s="10" t="str" cm="1">
        <f t="array" ref="M736">IFERROR(_xlfn.XLOOKUP(1,('env Parameter'!$A:$A=$A736)*('env Parameter'!$B:$B=$K736)*('env Parameter'!$C:$C=$L736),'env Parameter'!D:D,""),"")</f>
        <v>안양천-4</v>
      </c>
      <c r="N736" s="10" t="str" cm="1">
        <f t="array" ref="N736">IFERROR(_xlfn.XLOOKUP(1,('env Parameter'!$A:$A=$A736)*('env Parameter'!$B:$B=$K736)*('env Parameter'!$C:$C=$L736),'env Parameter'!I:I,""),"")</f>
        <v>YR</v>
      </c>
    </row>
    <row r="737" spans="1:14">
      <c r="A737">
        <f>eDNA!A737</f>
        <v>20200916</v>
      </c>
      <c r="B737" s="10" t="str" cm="1">
        <f t="array" ref="B737">IFERROR(_xlfn.XLOOKUP(1,('env Parameter'!$A:$A=$A737)*('env Parameter'!$B:$B=$K737)*('env Parameter'!$C:$C=$L737),'env Parameter'!H:H,""),"")</f>
        <v>생물상 조사</v>
      </c>
      <c r="C737" s="10" cm="1">
        <f t="array" ref="C737">IFERROR(_xlfn.XLOOKUP(1,('env Parameter'!$A:$A=$A737)*('env Parameter'!$B:$B=$K737)*('env Parameter'!$C:$C=$L737),'env Parameter'!E:E,""),"")</f>
        <v>2.14</v>
      </c>
      <c r="D737" s="10" cm="1">
        <f t="array" ref="D737">IFERROR(_xlfn.XLOOKUP(1,('env Parameter'!$A:$A=$A737)*('env Parameter'!$B:$B=$K737)*('env Parameter'!$C:$C=$L737),'env Parameter'!F:F,""),"")</f>
        <v>478</v>
      </c>
      <c r="E737" s="10" cm="1">
        <f t="array" ref="E737">IFERROR(_xlfn.XLOOKUP(1,('env Parameter'!$A:$A=$A737)*('env Parameter'!$B:$B=$K737)*('env Parameter'!$C:$C=$L737),'env Parameter'!G:G,""),"")</f>
        <v>7.6</v>
      </c>
      <c r="F737" t="str">
        <f>eDNA!F737</f>
        <v>MiFish</v>
      </c>
      <c r="G737" t="str">
        <f>eDNA!D737</f>
        <v>Micropterus salmoides</v>
      </c>
      <c r="H737" t="str">
        <f>_xlfn.XLOOKUP(G737,'Common name (master file)'!$B:$B,'Common name (master file)'!$A:$A,"-------------")</f>
        <v>큰입배스</v>
      </c>
      <c r="I737">
        <f>eDNA!E737</f>
        <v>2465</v>
      </c>
      <c r="J737" t="str">
        <f>_xlfn.XLOOKUP(G737,'Common name (master file)'!$B:$B,'Common name (master file)'!$C:$C,"")</f>
        <v>어류</v>
      </c>
      <c r="K737">
        <f>eDNA!B737</f>
        <v>126.93147879999999</v>
      </c>
      <c r="L737">
        <f>eDNA!C737</f>
        <v>37.397387999999999</v>
      </c>
      <c r="M737" s="10" t="str" cm="1">
        <f t="array" ref="M737">IFERROR(_xlfn.XLOOKUP(1,('env Parameter'!$A:$A=$A737)*('env Parameter'!$B:$B=$K737)*('env Parameter'!$C:$C=$L737),'env Parameter'!D:D,""),"")</f>
        <v>안양천-4</v>
      </c>
      <c r="N737" s="10" t="str" cm="1">
        <f t="array" ref="N737">IFERROR(_xlfn.XLOOKUP(1,('env Parameter'!$A:$A=$A737)*('env Parameter'!$B:$B=$K737)*('env Parameter'!$C:$C=$L737),'env Parameter'!I:I,""),"")</f>
        <v>YR</v>
      </c>
    </row>
    <row r="738" spans="1:14">
      <c r="A738">
        <f>eDNA!A738</f>
        <v>20200916</v>
      </c>
      <c r="B738" s="10" t="str" cm="1">
        <f t="array" ref="B738">IFERROR(_xlfn.XLOOKUP(1,('env Parameter'!$A:$A=$A738)*('env Parameter'!$B:$B=$K738)*('env Parameter'!$C:$C=$L738),'env Parameter'!H:H,""),"")</f>
        <v>생물상 조사</v>
      </c>
      <c r="C738" s="10" cm="1">
        <f t="array" ref="C738">IFERROR(_xlfn.XLOOKUP(1,('env Parameter'!$A:$A=$A738)*('env Parameter'!$B:$B=$K738)*('env Parameter'!$C:$C=$L738),'env Parameter'!E:E,""),"")</f>
        <v>2.14</v>
      </c>
      <c r="D738" s="10" cm="1">
        <f t="array" ref="D738">IFERROR(_xlfn.XLOOKUP(1,('env Parameter'!$A:$A=$A738)*('env Parameter'!$B:$B=$K738)*('env Parameter'!$C:$C=$L738),'env Parameter'!F:F,""),"")</f>
        <v>478</v>
      </c>
      <c r="E738" s="10" cm="1">
        <f t="array" ref="E738">IFERROR(_xlfn.XLOOKUP(1,('env Parameter'!$A:$A=$A738)*('env Parameter'!$B:$B=$K738)*('env Parameter'!$C:$C=$L738),'env Parameter'!G:G,""),"")</f>
        <v>7.6</v>
      </c>
      <c r="F738" t="str">
        <f>eDNA!F738</f>
        <v>MiFish</v>
      </c>
      <c r="G738" t="str">
        <f>eDNA!D738</f>
        <v>Gnathopogon strigatus</v>
      </c>
      <c r="H738" t="str">
        <f>_xlfn.XLOOKUP(G738,'Common name (master file)'!$B:$B,'Common name (master file)'!$A:$A,"-------------")</f>
        <v>줄몰개</v>
      </c>
      <c r="I738">
        <f>eDNA!E738</f>
        <v>2384</v>
      </c>
      <c r="J738" t="str">
        <f>_xlfn.XLOOKUP(G738,'Common name (master file)'!$B:$B,'Common name (master file)'!$C:$C,"")</f>
        <v>어류</v>
      </c>
      <c r="K738">
        <f>eDNA!B738</f>
        <v>126.93147879999999</v>
      </c>
      <c r="L738">
        <f>eDNA!C738</f>
        <v>37.397387999999999</v>
      </c>
      <c r="M738" s="10" t="str" cm="1">
        <f t="array" ref="M738">IFERROR(_xlfn.XLOOKUP(1,('env Parameter'!$A:$A=$A738)*('env Parameter'!$B:$B=$K738)*('env Parameter'!$C:$C=$L738),'env Parameter'!D:D,""),"")</f>
        <v>안양천-4</v>
      </c>
      <c r="N738" s="10" t="str" cm="1">
        <f t="array" ref="N738">IFERROR(_xlfn.XLOOKUP(1,('env Parameter'!$A:$A=$A738)*('env Parameter'!$B:$B=$K738)*('env Parameter'!$C:$C=$L738),'env Parameter'!I:I,""),"")</f>
        <v>YR</v>
      </c>
    </row>
    <row r="739" spans="1:14">
      <c r="A739">
        <f>eDNA!A739</f>
        <v>20200916</v>
      </c>
      <c r="B739" s="10" t="str" cm="1">
        <f t="array" ref="B739">IFERROR(_xlfn.XLOOKUP(1,('env Parameter'!$A:$A=$A739)*('env Parameter'!$B:$B=$K739)*('env Parameter'!$C:$C=$L739),'env Parameter'!H:H,""),"")</f>
        <v>생물상 조사</v>
      </c>
      <c r="C739" s="10" cm="1">
        <f t="array" ref="C739">IFERROR(_xlfn.XLOOKUP(1,('env Parameter'!$A:$A=$A739)*('env Parameter'!$B:$B=$K739)*('env Parameter'!$C:$C=$L739),'env Parameter'!E:E,""),"")</f>
        <v>2.14</v>
      </c>
      <c r="D739" s="10" cm="1">
        <f t="array" ref="D739">IFERROR(_xlfn.XLOOKUP(1,('env Parameter'!$A:$A=$A739)*('env Parameter'!$B:$B=$K739)*('env Parameter'!$C:$C=$L739),'env Parameter'!F:F,""),"")</f>
        <v>478</v>
      </c>
      <c r="E739" s="10" cm="1">
        <f t="array" ref="E739">IFERROR(_xlfn.XLOOKUP(1,('env Parameter'!$A:$A=$A739)*('env Parameter'!$B:$B=$K739)*('env Parameter'!$C:$C=$L739),'env Parameter'!G:G,""),"")</f>
        <v>7.6</v>
      </c>
      <c r="F739" t="str">
        <f>eDNA!F739</f>
        <v>MiFish</v>
      </c>
      <c r="G739" t="str">
        <f>eDNA!D739</f>
        <v>Misgurnus mizolepis</v>
      </c>
      <c r="H739" t="str">
        <f>_xlfn.XLOOKUP(G739,'Common name (master file)'!$B:$B,'Common name (master file)'!$A:$A,"-------------")</f>
        <v>미꾸라지</v>
      </c>
      <c r="I739">
        <f>eDNA!E739</f>
        <v>2297</v>
      </c>
      <c r="J739" t="str">
        <f>_xlfn.XLOOKUP(G739,'Common name (master file)'!$B:$B,'Common name (master file)'!$C:$C,"")</f>
        <v>어류</v>
      </c>
      <c r="K739">
        <f>eDNA!B739</f>
        <v>126.93147879999999</v>
      </c>
      <c r="L739">
        <f>eDNA!C739</f>
        <v>37.397387999999999</v>
      </c>
      <c r="M739" s="10" t="str" cm="1">
        <f t="array" ref="M739">IFERROR(_xlfn.XLOOKUP(1,('env Parameter'!$A:$A=$A739)*('env Parameter'!$B:$B=$K739)*('env Parameter'!$C:$C=$L739),'env Parameter'!D:D,""),"")</f>
        <v>안양천-4</v>
      </c>
      <c r="N739" s="10" t="str" cm="1">
        <f t="array" ref="N739">IFERROR(_xlfn.XLOOKUP(1,('env Parameter'!$A:$A=$A739)*('env Parameter'!$B:$B=$K739)*('env Parameter'!$C:$C=$L739),'env Parameter'!I:I,""),"")</f>
        <v>YR</v>
      </c>
    </row>
    <row r="740" spans="1:14">
      <c r="A740">
        <f>eDNA!A740</f>
        <v>20200916</v>
      </c>
      <c r="B740" s="10" t="str" cm="1">
        <f t="array" ref="B740">IFERROR(_xlfn.XLOOKUP(1,('env Parameter'!$A:$A=$A740)*('env Parameter'!$B:$B=$K740)*('env Parameter'!$C:$C=$L740),'env Parameter'!H:H,""),"")</f>
        <v>생물상 조사</v>
      </c>
      <c r="C740" s="10" cm="1">
        <f t="array" ref="C740">IFERROR(_xlfn.XLOOKUP(1,('env Parameter'!$A:$A=$A740)*('env Parameter'!$B:$B=$K740)*('env Parameter'!$C:$C=$L740),'env Parameter'!E:E,""),"")</f>
        <v>2.14</v>
      </c>
      <c r="D740" s="10" cm="1">
        <f t="array" ref="D740">IFERROR(_xlfn.XLOOKUP(1,('env Parameter'!$A:$A=$A740)*('env Parameter'!$B:$B=$K740)*('env Parameter'!$C:$C=$L740),'env Parameter'!F:F,""),"")</f>
        <v>478</v>
      </c>
      <c r="E740" s="10" cm="1">
        <f t="array" ref="E740">IFERROR(_xlfn.XLOOKUP(1,('env Parameter'!$A:$A=$A740)*('env Parameter'!$B:$B=$K740)*('env Parameter'!$C:$C=$L740),'env Parameter'!G:G,""),"")</f>
        <v>7.6</v>
      </c>
      <c r="F740" t="str">
        <f>eDNA!F740</f>
        <v>MiFish</v>
      </c>
      <c r="G740" t="str">
        <f>eDNA!D740</f>
        <v>Channa argus</v>
      </c>
      <c r="H740" t="str">
        <f>_xlfn.XLOOKUP(G740,'Common name (master file)'!$B:$B,'Common name (master file)'!$A:$A,"-------------")</f>
        <v>가물치</v>
      </c>
      <c r="I740">
        <f>eDNA!E740</f>
        <v>3415</v>
      </c>
      <c r="J740" t="str">
        <f>_xlfn.XLOOKUP(G740,'Common name (master file)'!$B:$B,'Common name (master file)'!$C:$C,"")</f>
        <v>어류</v>
      </c>
      <c r="K740">
        <f>eDNA!B740</f>
        <v>126.93147879999999</v>
      </c>
      <c r="L740">
        <f>eDNA!C740</f>
        <v>37.397387999999999</v>
      </c>
      <c r="M740" s="10" t="str" cm="1">
        <f t="array" ref="M740">IFERROR(_xlfn.XLOOKUP(1,('env Parameter'!$A:$A=$A740)*('env Parameter'!$B:$B=$K740)*('env Parameter'!$C:$C=$L740),'env Parameter'!D:D,""),"")</f>
        <v>안양천-4</v>
      </c>
      <c r="N740" s="10" t="str" cm="1">
        <f t="array" ref="N740">IFERROR(_xlfn.XLOOKUP(1,('env Parameter'!$A:$A=$A740)*('env Parameter'!$B:$B=$K740)*('env Parameter'!$C:$C=$L740),'env Parameter'!I:I,""),"")</f>
        <v>YR</v>
      </c>
    </row>
    <row r="741" spans="1:14">
      <c r="A741">
        <f>eDNA!A741</f>
        <v>20200916</v>
      </c>
      <c r="B741" s="10" t="str" cm="1">
        <f t="array" ref="B741">IFERROR(_xlfn.XLOOKUP(1,('env Parameter'!$A:$A=$A741)*('env Parameter'!$B:$B=$K741)*('env Parameter'!$C:$C=$L741),'env Parameter'!H:H,""),"")</f>
        <v>생물상 조사</v>
      </c>
      <c r="C741" s="10" cm="1">
        <f t="array" ref="C741">IFERROR(_xlfn.XLOOKUP(1,('env Parameter'!$A:$A=$A741)*('env Parameter'!$B:$B=$K741)*('env Parameter'!$C:$C=$L741),'env Parameter'!E:E,""),"")</f>
        <v>2.14</v>
      </c>
      <c r="D741" s="10" cm="1">
        <f t="array" ref="D741">IFERROR(_xlfn.XLOOKUP(1,('env Parameter'!$A:$A=$A741)*('env Parameter'!$B:$B=$K741)*('env Parameter'!$C:$C=$L741),'env Parameter'!F:F,""),"")</f>
        <v>478</v>
      </c>
      <c r="E741" s="10" cm="1">
        <f t="array" ref="E741">IFERROR(_xlfn.XLOOKUP(1,('env Parameter'!$A:$A=$A741)*('env Parameter'!$B:$B=$K741)*('env Parameter'!$C:$C=$L741),'env Parameter'!G:G,""),"")</f>
        <v>7.6</v>
      </c>
      <c r="F741" t="str">
        <f>eDNA!F741</f>
        <v>MiFish</v>
      </c>
      <c r="G741" t="str">
        <f>eDNA!D741</f>
        <v>Pseudogobio esocinus</v>
      </c>
      <c r="H741" t="str">
        <f>_xlfn.XLOOKUP(G741,'Common name (master file)'!$B:$B,'Common name (master file)'!$A:$A,"-------------")</f>
        <v>모래무지</v>
      </c>
      <c r="I741">
        <f>eDNA!E741</f>
        <v>4476</v>
      </c>
      <c r="J741" t="str">
        <f>_xlfn.XLOOKUP(G741,'Common name (master file)'!$B:$B,'Common name (master file)'!$C:$C,"")</f>
        <v>어류</v>
      </c>
      <c r="K741">
        <f>eDNA!B741</f>
        <v>126.93147879999999</v>
      </c>
      <c r="L741">
        <f>eDNA!C741</f>
        <v>37.397387999999999</v>
      </c>
      <c r="M741" s="10" t="str" cm="1">
        <f t="array" ref="M741">IFERROR(_xlfn.XLOOKUP(1,('env Parameter'!$A:$A=$A741)*('env Parameter'!$B:$B=$K741)*('env Parameter'!$C:$C=$L741),'env Parameter'!D:D,""),"")</f>
        <v>안양천-4</v>
      </c>
      <c r="N741" s="10" t="str" cm="1">
        <f t="array" ref="N741">IFERROR(_xlfn.XLOOKUP(1,('env Parameter'!$A:$A=$A741)*('env Parameter'!$B:$B=$K741)*('env Parameter'!$C:$C=$L741),'env Parameter'!I:I,""),"")</f>
        <v>YR</v>
      </c>
    </row>
    <row r="742" spans="1:14">
      <c r="A742">
        <f>eDNA!A742</f>
        <v>20200916</v>
      </c>
      <c r="B742" s="10" t="str" cm="1">
        <f t="array" ref="B742">IFERROR(_xlfn.XLOOKUP(1,('env Parameter'!$A:$A=$A742)*('env Parameter'!$B:$B=$K742)*('env Parameter'!$C:$C=$L742),'env Parameter'!H:H,""),"")</f>
        <v>생물상 조사</v>
      </c>
      <c r="C742" s="10" cm="1">
        <f t="array" ref="C742">IFERROR(_xlfn.XLOOKUP(1,('env Parameter'!$A:$A=$A742)*('env Parameter'!$B:$B=$K742)*('env Parameter'!$C:$C=$L742),'env Parameter'!E:E,""),"")</f>
        <v>2.14</v>
      </c>
      <c r="D742" s="10" cm="1">
        <f t="array" ref="D742">IFERROR(_xlfn.XLOOKUP(1,('env Parameter'!$A:$A=$A742)*('env Parameter'!$B:$B=$K742)*('env Parameter'!$C:$C=$L742),'env Parameter'!F:F,""),"")</f>
        <v>478</v>
      </c>
      <c r="E742" s="10" cm="1">
        <f t="array" ref="E742">IFERROR(_xlfn.XLOOKUP(1,('env Parameter'!$A:$A=$A742)*('env Parameter'!$B:$B=$K742)*('env Parameter'!$C:$C=$L742),'env Parameter'!G:G,""),"")</f>
        <v>7.6</v>
      </c>
      <c r="F742" t="str">
        <f>eDNA!F742</f>
        <v>MiFish</v>
      </c>
      <c r="G742" t="str">
        <f>eDNA!D742</f>
        <v>Odontobutis interrupta</v>
      </c>
      <c r="H742" t="str">
        <f>_xlfn.XLOOKUP(G742,'Common name (master file)'!$B:$B,'Common name (master file)'!$A:$A,"-------------")</f>
        <v>얼록동사리</v>
      </c>
      <c r="I742">
        <f>eDNA!E742</f>
        <v>8751</v>
      </c>
      <c r="J742" t="str">
        <f>_xlfn.XLOOKUP(G742,'Common name (master file)'!$B:$B,'Common name (master file)'!$C:$C,"")</f>
        <v>어류</v>
      </c>
      <c r="K742">
        <f>eDNA!B742</f>
        <v>126.93147879999999</v>
      </c>
      <c r="L742">
        <f>eDNA!C742</f>
        <v>37.397387999999999</v>
      </c>
      <c r="M742" s="10" t="str" cm="1">
        <f t="array" ref="M742">IFERROR(_xlfn.XLOOKUP(1,('env Parameter'!$A:$A=$A742)*('env Parameter'!$B:$B=$K742)*('env Parameter'!$C:$C=$L742),'env Parameter'!D:D,""),"")</f>
        <v>안양천-4</v>
      </c>
      <c r="N742" s="10" t="str" cm="1">
        <f t="array" ref="N742">IFERROR(_xlfn.XLOOKUP(1,('env Parameter'!$A:$A=$A742)*('env Parameter'!$B:$B=$K742)*('env Parameter'!$C:$C=$L742),'env Parameter'!I:I,""),"")</f>
        <v>YR</v>
      </c>
    </row>
    <row r="743" spans="1:14">
      <c r="A743">
        <f>eDNA!A743</f>
        <v>20200916</v>
      </c>
      <c r="B743" s="10" t="str" cm="1">
        <f t="array" ref="B743">IFERROR(_xlfn.XLOOKUP(1,('env Parameter'!$A:$A=$A743)*('env Parameter'!$B:$B=$K743)*('env Parameter'!$C:$C=$L743),'env Parameter'!H:H,""),"")</f>
        <v>생물상 조사</v>
      </c>
      <c r="C743" s="10" cm="1">
        <f t="array" ref="C743">IFERROR(_xlfn.XLOOKUP(1,('env Parameter'!$A:$A=$A743)*('env Parameter'!$B:$B=$K743)*('env Parameter'!$C:$C=$L743),'env Parameter'!E:E,""),"")</f>
        <v>2.14</v>
      </c>
      <c r="D743" s="10" cm="1">
        <f t="array" ref="D743">IFERROR(_xlfn.XLOOKUP(1,('env Parameter'!$A:$A=$A743)*('env Parameter'!$B:$B=$K743)*('env Parameter'!$C:$C=$L743),'env Parameter'!F:F,""),"")</f>
        <v>478</v>
      </c>
      <c r="E743" s="10" cm="1">
        <f t="array" ref="E743">IFERROR(_xlfn.XLOOKUP(1,('env Parameter'!$A:$A=$A743)*('env Parameter'!$B:$B=$K743)*('env Parameter'!$C:$C=$L743),'env Parameter'!G:G,""),"")</f>
        <v>7.6</v>
      </c>
      <c r="F743" t="str">
        <f>eDNA!F743</f>
        <v>MiFish</v>
      </c>
      <c r="G743" t="str">
        <f>eDNA!D743</f>
        <v>Carassius gibelio</v>
      </c>
      <c r="H743" t="str">
        <f>_xlfn.XLOOKUP(G743,'Common name (master file)'!$B:$B,'Common name (master file)'!$A:$A,"-------------")</f>
        <v>기벨리오 붕어</v>
      </c>
      <c r="I743">
        <f>eDNA!E743</f>
        <v>9049</v>
      </c>
      <c r="J743" t="str">
        <f>_xlfn.XLOOKUP(G743,'Common name (master file)'!$B:$B,'Common name (master file)'!$C:$C,"")</f>
        <v>어류</v>
      </c>
      <c r="K743">
        <f>eDNA!B743</f>
        <v>126.93147879999999</v>
      </c>
      <c r="L743">
        <f>eDNA!C743</f>
        <v>37.397387999999999</v>
      </c>
      <c r="M743" s="10" t="str" cm="1">
        <f t="array" ref="M743">IFERROR(_xlfn.XLOOKUP(1,('env Parameter'!$A:$A=$A743)*('env Parameter'!$B:$B=$K743)*('env Parameter'!$C:$C=$L743),'env Parameter'!D:D,""),"")</f>
        <v>안양천-4</v>
      </c>
      <c r="N743" s="10" t="str" cm="1">
        <f t="array" ref="N743">IFERROR(_xlfn.XLOOKUP(1,('env Parameter'!$A:$A=$A743)*('env Parameter'!$B:$B=$K743)*('env Parameter'!$C:$C=$L743),'env Parameter'!I:I,""),"")</f>
        <v>YR</v>
      </c>
    </row>
    <row r="744" spans="1:14">
      <c r="A744">
        <f>eDNA!A744</f>
        <v>20200916</v>
      </c>
      <c r="B744" s="10" t="str" cm="1">
        <f t="array" ref="B744">IFERROR(_xlfn.XLOOKUP(1,('env Parameter'!$A:$A=$A744)*('env Parameter'!$B:$B=$K744)*('env Parameter'!$C:$C=$L744),'env Parameter'!H:H,""),"")</f>
        <v>생물상 조사</v>
      </c>
      <c r="C744" s="10" cm="1">
        <f t="array" ref="C744">IFERROR(_xlfn.XLOOKUP(1,('env Parameter'!$A:$A=$A744)*('env Parameter'!$B:$B=$K744)*('env Parameter'!$C:$C=$L744),'env Parameter'!E:E,""),"")</f>
        <v>2.14</v>
      </c>
      <c r="D744" s="10" cm="1">
        <f t="array" ref="D744">IFERROR(_xlfn.XLOOKUP(1,('env Parameter'!$A:$A=$A744)*('env Parameter'!$B:$B=$K744)*('env Parameter'!$C:$C=$L744),'env Parameter'!F:F,""),"")</f>
        <v>478</v>
      </c>
      <c r="E744" s="10" cm="1">
        <f t="array" ref="E744">IFERROR(_xlfn.XLOOKUP(1,('env Parameter'!$A:$A=$A744)*('env Parameter'!$B:$B=$K744)*('env Parameter'!$C:$C=$L744),'env Parameter'!G:G,""),"")</f>
        <v>7.6</v>
      </c>
      <c r="F744" t="str">
        <f>eDNA!F744</f>
        <v>MiFish</v>
      </c>
      <c r="G744" t="str">
        <f>eDNA!D744</f>
        <v>Zacco platypus</v>
      </c>
      <c r="H744" t="str">
        <f>_xlfn.XLOOKUP(G744,'Common name (master file)'!$B:$B,'Common name (master file)'!$A:$A,"-------------")</f>
        <v>피라미</v>
      </c>
      <c r="I744">
        <f>eDNA!E744</f>
        <v>44502</v>
      </c>
      <c r="J744" t="str">
        <f>_xlfn.XLOOKUP(G744,'Common name (master file)'!$B:$B,'Common name (master file)'!$C:$C,"")</f>
        <v>어류</v>
      </c>
      <c r="K744">
        <f>eDNA!B744</f>
        <v>126.93147879999999</v>
      </c>
      <c r="L744">
        <f>eDNA!C744</f>
        <v>37.397387999999999</v>
      </c>
      <c r="M744" s="10" t="str" cm="1">
        <f t="array" ref="M744">IFERROR(_xlfn.XLOOKUP(1,('env Parameter'!$A:$A=$A744)*('env Parameter'!$B:$B=$K744)*('env Parameter'!$C:$C=$L744),'env Parameter'!D:D,""),"")</f>
        <v>안양천-4</v>
      </c>
      <c r="N744" s="10" t="str" cm="1">
        <f t="array" ref="N744">IFERROR(_xlfn.XLOOKUP(1,('env Parameter'!$A:$A=$A744)*('env Parameter'!$B:$B=$K744)*('env Parameter'!$C:$C=$L744),'env Parameter'!I:I,""),"")</f>
        <v>YR</v>
      </c>
    </row>
    <row r="745" spans="1:14">
      <c r="A745">
        <f>eDNA!A745</f>
        <v>20200916</v>
      </c>
      <c r="B745" s="10" t="str" cm="1">
        <f t="array" ref="B745">IFERROR(_xlfn.XLOOKUP(1,('env Parameter'!$A:$A=$A745)*('env Parameter'!$B:$B=$K745)*('env Parameter'!$C:$C=$L745),'env Parameter'!H:H,""),"")</f>
        <v>생물상 조사</v>
      </c>
      <c r="C745" s="10" cm="1">
        <f t="array" ref="C745">IFERROR(_xlfn.XLOOKUP(1,('env Parameter'!$A:$A=$A745)*('env Parameter'!$B:$B=$K745)*('env Parameter'!$C:$C=$L745),'env Parameter'!E:E,""),"")</f>
        <v>2.14</v>
      </c>
      <c r="D745" s="10" cm="1">
        <f t="array" ref="D745">IFERROR(_xlfn.XLOOKUP(1,('env Parameter'!$A:$A=$A745)*('env Parameter'!$B:$B=$K745)*('env Parameter'!$C:$C=$L745),'env Parameter'!F:F,""),"")</f>
        <v>478</v>
      </c>
      <c r="E745" s="10" cm="1">
        <f t="array" ref="E745">IFERROR(_xlfn.XLOOKUP(1,('env Parameter'!$A:$A=$A745)*('env Parameter'!$B:$B=$K745)*('env Parameter'!$C:$C=$L745),'env Parameter'!G:G,""),"")</f>
        <v>7.6</v>
      </c>
      <c r="F745" t="str">
        <f>eDNA!F745</f>
        <v>MiFish</v>
      </c>
      <c r="G745" t="str">
        <f>eDNA!D745</f>
        <v>Pseudorasbora parva</v>
      </c>
      <c r="H745" t="str">
        <f>_xlfn.XLOOKUP(G745,'Common name (master file)'!$B:$B,'Common name (master file)'!$A:$A,"-------------")</f>
        <v>참붕어</v>
      </c>
      <c r="I745">
        <f>eDNA!E745</f>
        <v>45033</v>
      </c>
      <c r="J745" t="str">
        <f>_xlfn.XLOOKUP(G745,'Common name (master file)'!$B:$B,'Common name (master file)'!$C:$C,"")</f>
        <v>어류</v>
      </c>
      <c r="K745">
        <f>eDNA!B745</f>
        <v>126.93147879999999</v>
      </c>
      <c r="L745">
        <f>eDNA!C745</f>
        <v>37.397387999999999</v>
      </c>
      <c r="M745" s="10" t="str" cm="1">
        <f t="array" ref="M745">IFERROR(_xlfn.XLOOKUP(1,('env Parameter'!$A:$A=$A745)*('env Parameter'!$B:$B=$K745)*('env Parameter'!$C:$C=$L745),'env Parameter'!D:D,""),"")</f>
        <v>안양천-4</v>
      </c>
      <c r="N745" s="10" t="str" cm="1">
        <f t="array" ref="N745">IFERROR(_xlfn.XLOOKUP(1,('env Parameter'!$A:$A=$A745)*('env Parameter'!$B:$B=$K745)*('env Parameter'!$C:$C=$L745),'env Parameter'!I:I,""),"")</f>
        <v>YR</v>
      </c>
    </row>
    <row r="746" spans="1:14">
      <c r="A746">
        <f>eDNA!A746</f>
        <v>20200916</v>
      </c>
      <c r="B746" s="10" t="str" cm="1">
        <f t="array" ref="B746">IFERROR(_xlfn.XLOOKUP(1,('env Parameter'!$A:$A=$A746)*('env Parameter'!$B:$B=$K746)*('env Parameter'!$C:$C=$L746),'env Parameter'!H:H,""),"")</f>
        <v>생물상 조사</v>
      </c>
      <c r="C746" s="10" cm="1">
        <f t="array" ref="C746">IFERROR(_xlfn.XLOOKUP(1,('env Parameter'!$A:$A=$A746)*('env Parameter'!$B:$B=$K746)*('env Parameter'!$C:$C=$L746),'env Parameter'!E:E,""),"")</f>
        <v>2.14</v>
      </c>
      <c r="D746" s="10" cm="1">
        <f t="array" ref="D746">IFERROR(_xlfn.XLOOKUP(1,('env Parameter'!$A:$A=$A746)*('env Parameter'!$B:$B=$K746)*('env Parameter'!$C:$C=$L746),'env Parameter'!F:F,""),"")</f>
        <v>478</v>
      </c>
      <c r="E746" s="10" cm="1">
        <f t="array" ref="E746">IFERROR(_xlfn.XLOOKUP(1,('env Parameter'!$A:$A=$A746)*('env Parameter'!$B:$B=$K746)*('env Parameter'!$C:$C=$L746),'env Parameter'!G:G,""),"")</f>
        <v>7.6</v>
      </c>
      <c r="F746" t="str">
        <f>eDNA!F746</f>
        <v>MiFish</v>
      </c>
      <c r="G746" t="str">
        <f>eDNA!D746</f>
        <v>Tachysurus fulvidraco</v>
      </c>
      <c r="H746" t="str">
        <f>_xlfn.XLOOKUP(G746,'Common name (master file)'!$B:$B,'Common name (master file)'!$A:$A,"-------------")</f>
        <v>동자개</v>
      </c>
      <c r="I746">
        <f>eDNA!E746</f>
        <v>22</v>
      </c>
      <c r="J746" t="str">
        <f>_xlfn.XLOOKUP(G746,'Common name (master file)'!$B:$B,'Common name (master file)'!$C:$C,"")</f>
        <v>어류</v>
      </c>
      <c r="K746">
        <f>eDNA!B746</f>
        <v>126.87358690000001</v>
      </c>
      <c r="L746">
        <f>eDNA!C746</f>
        <v>37.508467699999997</v>
      </c>
      <c r="M746" s="10" t="str" cm="1">
        <f t="array" ref="M746">IFERROR(_xlfn.XLOOKUP(1,('env Parameter'!$A:$A=$A746)*('env Parameter'!$B:$B=$K746)*('env Parameter'!$C:$C=$L746),'env Parameter'!D:D,""),"")</f>
        <v>안양천-13</v>
      </c>
      <c r="N746" s="10" t="str" cm="1">
        <f t="array" ref="N746">IFERROR(_xlfn.XLOOKUP(1,('env Parameter'!$A:$A=$A746)*('env Parameter'!$B:$B=$K746)*('env Parameter'!$C:$C=$L746),'env Parameter'!I:I,""),"")</f>
        <v>YR</v>
      </c>
    </row>
    <row r="747" spans="1:14">
      <c r="A747">
        <f>eDNA!A747</f>
        <v>20200916</v>
      </c>
      <c r="B747" s="10" t="str" cm="1">
        <f t="array" ref="B747">IFERROR(_xlfn.XLOOKUP(1,('env Parameter'!$A:$A=$A747)*('env Parameter'!$B:$B=$K747)*('env Parameter'!$C:$C=$L747),'env Parameter'!H:H,""),"")</f>
        <v>생물상 조사</v>
      </c>
      <c r="C747" s="10" cm="1">
        <f t="array" ref="C747">IFERROR(_xlfn.XLOOKUP(1,('env Parameter'!$A:$A=$A747)*('env Parameter'!$B:$B=$K747)*('env Parameter'!$C:$C=$L747),'env Parameter'!E:E,""),"")</f>
        <v>2.14</v>
      </c>
      <c r="D747" s="10" cm="1">
        <f t="array" ref="D747">IFERROR(_xlfn.XLOOKUP(1,('env Parameter'!$A:$A=$A747)*('env Parameter'!$B:$B=$K747)*('env Parameter'!$C:$C=$L747),'env Parameter'!F:F,""),"")</f>
        <v>478</v>
      </c>
      <c r="E747" s="10" cm="1">
        <f t="array" ref="E747">IFERROR(_xlfn.XLOOKUP(1,('env Parameter'!$A:$A=$A747)*('env Parameter'!$B:$B=$K747)*('env Parameter'!$C:$C=$L747),'env Parameter'!G:G,""),"")</f>
        <v>7.6</v>
      </c>
      <c r="F747" t="str">
        <f>eDNA!F747</f>
        <v>MiFish</v>
      </c>
      <c r="G747" t="str">
        <f>eDNA!D747</f>
        <v>Bos taurus</v>
      </c>
      <c r="H747" t="str">
        <f>_xlfn.XLOOKUP(G747,'Common name (master file)'!$B:$B,'Common name (master file)'!$A:$A,"-------------")</f>
        <v>소</v>
      </c>
      <c r="I747">
        <f>eDNA!E747</f>
        <v>23</v>
      </c>
      <c r="J747" t="str">
        <f>_xlfn.XLOOKUP(G747,'Common name (master file)'!$B:$B,'Common name (master file)'!$C:$C,"")</f>
        <v>포유류</v>
      </c>
      <c r="K747">
        <f>eDNA!B747</f>
        <v>126.87358690000001</v>
      </c>
      <c r="L747">
        <f>eDNA!C747</f>
        <v>37.508467699999997</v>
      </c>
      <c r="M747" s="10" t="str" cm="1">
        <f t="array" ref="M747">IFERROR(_xlfn.XLOOKUP(1,('env Parameter'!$A:$A=$A747)*('env Parameter'!$B:$B=$K747)*('env Parameter'!$C:$C=$L747),'env Parameter'!D:D,""),"")</f>
        <v>안양천-13</v>
      </c>
      <c r="N747" s="10" t="str" cm="1">
        <f t="array" ref="N747">IFERROR(_xlfn.XLOOKUP(1,('env Parameter'!$A:$A=$A747)*('env Parameter'!$B:$B=$K747)*('env Parameter'!$C:$C=$L747),'env Parameter'!I:I,""),"")</f>
        <v>YR</v>
      </c>
    </row>
    <row r="748" spans="1:14">
      <c r="A748">
        <f>eDNA!A748</f>
        <v>20200916</v>
      </c>
      <c r="B748" s="10" t="str" cm="1">
        <f t="array" ref="B748">IFERROR(_xlfn.XLOOKUP(1,('env Parameter'!$A:$A=$A748)*('env Parameter'!$B:$B=$K748)*('env Parameter'!$C:$C=$L748),'env Parameter'!H:H,""),"")</f>
        <v>생물상 조사</v>
      </c>
      <c r="C748" s="10" cm="1">
        <f t="array" ref="C748">IFERROR(_xlfn.XLOOKUP(1,('env Parameter'!$A:$A=$A748)*('env Parameter'!$B:$B=$K748)*('env Parameter'!$C:$C=$L748),'env Parameter'!E:E,""),"")</f>
        <v>2.14</v>
      </c>
      <c r="D748" s="10" cm="1">
        <f t="array" ref="D748">IFERROR(_xlfn.XLOOKUP(1,('env Parameter'!$A:$A=$A748)*('env Parameter'!$B:$B=$K748)*('env Parameter'!$C:$C=$L748),'env Parameter'!F:F,""),"")</f>
        <v>478</v>
      </c>
      <c r="E748" s="10" cm="1">
        <f t="array" ref="E748">IFERROR(_xlfn.XLOOKUP(1,('env Parameter'!$A:$A=$A748)*('env Parameter'!$B:$B=$K748)*('env Parameter'!$C:$C=$L748),'env Parameter'!G:G,""),"")</f>
        <v>7.6</v>
      </c>
      <c r="F748" t="str">
        <f>eDNA!F748</f>
        <v>MiFish</v>
      </c>
      <c r="G748" t="str">
        <f>eDNA!D748</f>
        <v>Hemibarbus umbrifer</v>
      </c>
      <c r="H748" t="str">
        <f>_xlfn.XLOOKUP(G748,'Common name (master file)'!$B:$B,'Common name (master file)'!$A:$A,"-------------")</f>
        <v>누치</v>
      </c>
      <c r="I748">
        <f>eDNA!E748</f>
        <v>25</v>
      </c>
      <c r="J748" t="str">
        <f>_xlfn.XLOOKUP(G748,'Common name (master file)'!$B:$B,'Common name (master file)'!$C:$C,"")</f>
        <v>어류</v>
      </c>
      <c r="K748">
        <f>eDNA!B748</f>
        <v>126.87358690000001</v>
      </c>
      <c r="L748">
        <f>eDNA!C748</f>
        <v>37.508467699999997</v>
      </c>
      <c r="M748" s="10" t="str" cm="1">
        <f t="array" ref="M748">IFERROR(_xlfn.XLOOKUP(1,('env Parameter'!$A:$A=$A748)*('env Parameter'!$B:$B=$K748)*('env Parameter'!$C:$C=$L748),'env Parameter'!D:D,""),"")</f>
        <v>안양천-13</v>
      </c>
      <c r="N748" s="10" t="str" cm="1">
        <f t="array" ref="N748">IFERROR(_xlfn.XLOOKUP(1,('env Parameter'!$A:$A=$A748)*('env Parameter'!$B:$B=$K748)*('env Parameter'!$C:$C=$L748),'env Parameter'!I:I,""),"")</f>
        <v>YR</v>
      </c>
    </row>
    <row r="749" spans="1:14">
      <c r="A749">
        <f>eDNA!A749</f>
        <v>20200916</v>
      </c>
      <c r="B749" s="10" t="str" cm="1">
        <f t="array" ref="B749">IFERROR(_xlfn.XLOOKUP(1,('env Parameter'!$A:$A=$A749)*('env Parameter'!$B:$B=$K749)*('env Parameter'!$C:$C=$L749),'env Parameter'!H:H,""),"")</f>
        <v>생물상 조사</v>
      </c>
      <c r="C749" s="10" cm="1">
        <f t="array" ref="C749">IFERROR(_xlfn.XLOOKUP(1,('env Parameter'!$A:$A=$A749)*('env Parameter'!$B:$B=$K749)*('env Parameter'!$C:$C=$L749),'env Parameter'!E:E,""),"")</f>
        <v>2.14</v>
      </c>
      <c r="D749" s="10" cm="1">
        <f t="array" ref="D749">IFERROR(_xlfn.XLOOKUP(1,('env Parameter'!$A:$A=$A749)*('env Parameter'!$B:$B=$K749)*('env Parameter'!$C:$C=$L749),'env Parameter'!F:F,""),"")</f>
        <v>478</v>
      </c>
      <c r="E749" s="10" cm="1">
        <f t="array" ref="E749">IFERROR(_xlfn.XLOOKUP(1,('env Parameter'!$A:$A=$A749)*('env Parameter'!$B:$B=$K749)*('env Parameter'!$C:$C=$L749),'env Parameter'!G:G,""),"")</f>
        <v>7.6</v>
      </c>
      <c r="F749" t="str">
        <f>eDNA!F749</f>
        <v>MiFish</v>
      </c>
      <c r="G749" t="str">
        <f>eDNA!D749</f>
        <v>Carassius auratus</v>
      </c>
      <c r="H749" t="str">
        <f>_xlfn.XLOOKUP(G749,'Common name (master file)'!$B:$B,'Common name (master file)'!$A:$A,"-------------")</f>
        <v>붕어</v>
      </c>
      <c r="I749">
        <f>eDNA!E749</f>
        <v>28</v>
      </c>
      <c r="J749" t="str">
        <f>_xlfn.XLOOKUP(G749,'Common name (master file)'!$B:$B,'Common name (master file)'!$C:$C,"")</f>
        <v>어류</v>
      </c>
      <c r="K749">
        <f>eDNA!B749</f>
        <v>126.87358690000001</v>
      </c>
      <c r="L749">
        <f>eDNA!C749</f>
        <v>37.508467699999997</v>
      </c>
      <c r="M749" s="10" t="str" cm="1">
        <f t="array" ref="M749">IFERROR(_xlfn.XLOOKUP(1,('env Parameter'!$A:$A=$A749)*('env Parameter'!$B:$B=$K749)*('env Parameter'!$C:$C=$L749),'env Parameter'!D:D,""),"")</f>
        <v>안양천-13</v>
      </c>
      <c r="N749" s="10" t="str" cm="1">
        <f t="array" ref="N749">IFERROR(_xlfn.XLOOKUP(1,('env Parameter'!$A:$A=$A749)*('env Parameter'!$B:$B=$K749)*('env Parameter'!$C:$C=$L749),'env Parameter'!I:I,""),"")</f>
        <v>YR</v>
      </c>
    </row>
    <row r="750" spans="1:14">
      <c r="A750">
        <f>eDNA!A750</f>
        <v>20200916</v>
      </c>
      <c r="B750" s="10" t="str" cm="1">
        <f t="array" ref="B750">IFERROR(_xlfn.XLOOKUP(1,('env Parameter'!$A:$A=$A750)*('env Parameter'!$B:$B=$K750)*('env Parameter'!$C:$C=$L750),'env Parameter'!H:H,""),"")</f>
        <v>생물상 조사</v>
      </c>
      <c r="C750" s="10" cm="1">
        <f t="array" ref="C750">IFERROR(_xlfn.XLOOKUP(1,('env Parameter'!$A:$A=$A750)*('env Parameter'!$B:$B=$K750)*('env Parameter'!$C:$C=$L750),'env Parameter'!E:E,""),"")</f>
        <v>2.14</v>
      </c>
      <c r="D750" s="10" cm="1">
        <f t="array" ref="D750">IFERROR(_xlfn.XLOOKUP(1,('env Parameter'!$A:$A=$A750)*('env Parameter'!$B:$B=$K750)*('env Parameter'!$C:$C=$L750),'env Parameter'!F:F,""),"")</f>
        <v>478</v>
      </c>
      <c r="E750" s="10" cm="1">
        <f t="array" ref="E750">IFERROR(_xlfn.XLOOKUP(1,('env Parameter'!$A:$A=$A750)*('env Parameter'!$B:$B=$K750)*('env Parameter'!$C:$C=$L750),'env Parameter'!G:G,""),"")</f>
        <v>7.6</v>
      </c>
      <c r="F750" t="str">
        <f>eDNA!F750</f>
        <v>MiFish</v>
      </c>
      <c r="G750" t="str">
        <f>eDNA!D750</f>
        <v>Bos taurus</v>
      </c>
      <c r="H750" t="str">
        <f>_xlfn.XLOOKUP(G750,'Common name (master file)'!$B:$B,'Common name (master file)'!$A:$A,"-------------")</f>
        <v>소</v>
      </c>
      <c r="I750">
        <f>eDNA!E750</f>
        <v>29</v>
      </c>
      <c r="J750" t="str">
        <f>_xlfn.XLOOKUP(G750,'Common name (master file)'!$B:$B,'Common name (master file)'!$C:$C,"")</f>
        <v>포유류</v>
      </c>
      <c r="K750">
        <f>eDNA!B750</f>
        <v>126.87358690000001</v>
      </c>
      <c r="L750">
        <f>eDNA!C750</f>
        <v>37.508467699999997</v>
      </c>
      <c r="M750" s="10" t="str" cm="1">
        <f t="array" ref="M750">IFERROR(_xlfn.XLOOKUP(1,('env Parameter'!$A:$A=$A750)*('env Parameter'!$B:$B=$K750)*('env Parameter'!$C:$C=$L750),'env Parameter'!D:D,""),"")</f>
        <v>안양천-13</v>
      </c>
      <c r="N750" s="10" t="str" cm="1">
        <f t="array" ref="N750">IFERROR(_xlfn.XLOOKUP(1,('env Parameter'!$A:$A=$A750)*('env Parameter'!$B:$B=$K750)*('env Parameter'!$C:$C=$L750),'env Parameter'!I:I,""),"")</f>
        <v>YR</v>
      </c>
    </row>
    <row r="751" spans="1:14">
      <c r="A751">
        <f>eDNA!A751</f>
        <v>20200916</v>
      </c>
      <c r="B751" s="10" t="str" cm="1">
        <f t="array" ref="B751">IFERROR(_xlfn.XLOOKUP(1,('env Parameter'!$A:$A=$A751)*('env Parameter'!$B:$B=$K751)*('env Parameter'!$C:$C=$L751),'env Parameter'!H:H,""),"")</f>
        <v>생물상 조사</v>
      </c>
      <c r="C751" s="10" cm="1">
        <f t="array" ref="C751">IFERROR(_xlfn.XLOOKUP(1,('env Parameter'!$A:$A=$A751)*('env Parameter'!$B:$B=$K751)*('env Parameter'!$C:$C=$L751),'env Parameter'!E:E,""),"")</f>
        <v>2.14</v>
      </c>
      <c r="D751" s="10" cm="1">
        <f t="array" ref="D751">IFERROR(_xlfn.XLOOKUP(1,('env Parameter'!$A:$A=$A751)*('env Parameter'!$B:$B=$K751)*('env Parameter'!$C:$C=$L751),'env Parameter'!F:F,""),"")</f>
        <v>478</v>
      </c>
      <c r="E751" s="10" cm="1">
        <f t="array" ref="E751">IFERROR(_xlfn.XLOOKUP(1,('env Parameter'!$A:$A=$A751)*('env Parameter'!$B:$B=$K751)*('env Parameter'!$C:$C=$L751),'env Parameter'!G:G,""),"")</f>
        <v>7.6</v>
      </c>
      <c r="F751" t="str">
        <f>eDNA!F751</f>
        <v>MiFish</v>
      </c>
      <c r="G751" t="str">
        <f>eDNA!D751</f>
        <v>Misgurnus anguillicaudatus</v>
      </c>
      <c r="H751" t="str">
        <f>_xlfn.XLOOKUP(G751,'Common name (master file)'!$B:$B,'Common name (master file)'!$A:$A,"-------------")</f>
        <v>미꾸리</v>
      </c>
      <c r="I751">
        <f>eDNA!E751</f>
        <v>33</v>
      </c>
      <c r="J751" t="str">
        <f>_xlfn.XLOOKUP(G751,'Common name (master file)'!$B:$B,'Common name (master file)'!$C:$C,"")</f>
        <v>어류</v>
      </c>
      <c r="K751">
        <f>eDNA!B751</f>
        <v>126.87358690000001</v>
      </c>
      <c r="L751">
        <f>eDNA!C751</f>
        <v>37.508467699999997</v>
      </c>
      <c r="M751" s="10" t="str" cm="1">
        <f t="array" ref="M751">IFERROR(_xlfn.XLOOKUP(1,('env Parameter'!$A:$A=$A751)*('env Parameter'!$B:$B=$K751)*('env Parameter'!$C:$C=$L751),'env Parameter'!D:D,""),"")</f>
        <v>안양천-13</v>
      </c>
      <c r="N751" s="10" t="str" cm="1">
        <f t="array" ref="N751">IFERROR(_xlfn.XLOOKUP(1,('env Parameter'!$A:$A=$A751)*('env Parameter'!$B:$B=$K751)*('env Parameter'!$C:$C=$L751),'env Parameter'!I:I,""),"")</f>
        <v>YR</v>
      </c>
    </row>
    <row r="752" spans="1:14">
      <c r="A752">
        <f>eDNA!A752</f>
        <v>20200916</v>
      </c>
      <c r="B752" s="10" t="str" cm="1">
        <f t="array" ref="B752">IFERROR(_xlfn.XLOOKUP(1,('env Parameter'!$A:$A=$A752)*('env Parameter'!$B:$B=$K752)*('env Parameter'!$C:$C=$L752),'env Parameter'!H:H,""),"")</f>
        <v>생물상 조사</v>
      </c>
      <c r="C752" s="10" cm="1">
        <f t="array" ref="C752">IFERROR(_xlfn.XLOOKUP(1,('env Parameter'!$A:$A=$A752)*('env Parameter'!$B:$B=$K752)*('env Parameter'!$C:$C=$L752),'env Parameter'!E:E,""),"")</f>
        <v>2.14</v>
      </c>
      <c r="D752" s="10" cm="1">
        <f t="array" ref="D752">IFERROR(_xlfn.XLOOKUP(1,('env Parameter'!$A:$A=$A752)*('env Parameter'!$B:$B=$K752)*('env Parameter'!$C:$C=$L752),'env Parameter'!F:F,""),"")</f>
        <v>478</v>
      </c>
      <c r="E752" s="10" cm="1">
        <f t="array" ref="E752">IFERROR(_xlfn.XLOOKUP(1,('env Parameter'!$A:$A=$A752)*('env Parameter'!$B:$B=$K752)*('env Parameter'!$C:$C=$L752),'env Parameter'!G:G,""),"")</f>
        <v>7.6</v>
      </c>
      <c r="F752" t="str">
        <f>eDNA!F752</f>
        <v>MiFish</v>
      </c>
      <c r="G752" t="str">
        <f>eDNA!D752</f>
        <v>Mugil cephalus</v>
      </c>
      <c r="H752" t="str">
        <f>_xlfn.XLOOKUP(G752,'Common name (master file)'!$B:$B,'Common name (master file)'!$A:$A,"-------------")</f>
        <v>숭어</v>
      </c>
      <c r="I752">
        <f>eDNA!E752</f>
        <v>35</v>
      </c>
      <c r="J752" t="str">
        <f>_xlfn.XLOOKUP(G752,'Common name (master file)'!$B:$B,'Common name (master file)'!$C:$C,"")</f>
        <v>어류</v>
      </c>
      <c r="K752">
        <f>eDNA!B752</f>
        <v>126.87358690000001</v>
      </c>
      <c r="L752">
        <f>eDNA!C752</f>
        <v>37.508467699999997</v>
      </c>
      <c r="M752" s="10" t="str" cm="1">
        <f t="array" ref="M752">IFERROR(_xlfn.XLOOKUP(1,('env Parameter'!$A:$A=$A752)*('env Parameter'!$B:$B=$K752)*('env Parameter'!$C:$C=$L752),'env Parameter'!D:D,""),"")</f>
        <v>안양천-13</v>
      </c>
      <c r="N752" s="10" t="str" cm="1">
        <f t="array" ref="N752">IFERROR(_xlfn.XLOOKUP(1,('env Parameter'!$A:$A=$A752)*('env Parameter'!$B:$B=$K752)*('env Parameter'!$C:$C=$L752),'env Parameter'!I:I,""),"")</f>
        <v>YR</v>
      </c>
    </row>
    <row r="753" spans="1:14">
      <c r="A753">
        <f>eDNA!A753</f>
        <v>20200916</v>
      </c>
      <c r="B753" s="10" t="str" cm="1">
        <f t="array" ref="B753">IFERROR(_xlfn.XLOOKUP(1,('env Parameter'!$A:$A=$A753)*('env Parameter'!$B:$B=$K753)*('env Parameter'!$C:$C=$L753),'env Parameter'!H:H,""),"")</f>
        <v>생물상 조사</v>
      </c>
      <c r="C753" s="10" cm="1">
        <f t="array" ref="C753">IFERROR(_xlfn.XLOOKUP(1,('env Parameter'!$A:$A=$A753)*('env Parameter'!$B:$B=$K753)*('env Parameter'!$C:$C=$L753),'env Parameter'!E:E,""),"")</f>
        <v>2.14</v>
      </c>
      <c r="D753" s="10" cm="1">
        <f t="array" ref="D753">IFERROR(_xlfn.XLOOKUP(1,('env Parameter'!$A:$A=$A753)*('env Parameter'!$B:$B=$K753)*('env Parameter'!$C:$C=$L753),'env Parameter'!F:F,""),"")</f>
        <v>478</v>
      </c>
      <c r="E753" s="10" cm="1">
        <f t="array" ref="E753">IFERROR(_xlfn.XLOOKUP(1,('env Parameter'!$A:$A=$A753)*('env Parameter'!$B:$B=$K753)*('env Parameter'!$C:$C=$L753),'env Parameter'!G:G,""),"")</f>
        <v>7.6</v>
      </c>
      <c r="F753" t="str">
        <f>eDNA!F753</f>
        <v>MiFish</v>
      </c>
      <c r="G753" t="str">
        <f>eDNA!D753</f>
        <v>Rhinogobius sp.</v>
      </c>
      <c r="H753" t="str">
        <f>_xlfn.XLOOKUP(G753,'Common name (master file)'!$B:$B,'Common name (master file)'!$A:$A,"-------------")</f>
        <v>밀어</v>
      </c>
      <c r="I753">
        <f>eDNA!E753</f>
        <v>39</v>
      </c>
      <c r="J753" t="str">
        <f>_xlfn.XLOOKUP(G753,'Common name (master file)'!$B:$B,'Common name (master file)'!$C:$C,"")</f>
        <v>어류</v>
      </c>
      <c r="K753">
        <f>eDNA!B753</f>
        <v>126.87358690000001</v>
      </c>
      <c r="L753">
        <f>eDNA!C753</f>
        <v>37.508467699999997</v>
      </c>
      <c r="M753" s="10" t="str" cm="1">
        <f t="array" ref="M753">IFERROR(_xlfn.XLOOKUP(1,('env Parameter'!$A:$A=$A753)*('env Parameter'!$B:$B=$K753)*('env Parameter'!$C:$C=$L753),'env Parameter'!D:D,""),"")</f>
        <v>안양천-13</v>
      </c>
      <c r="N753" s="10" t="str" cm="1">
        <f t="array" ref="N753">IFERROR(_xlfn.XLOOKUP(1,('env Parameter'!$A:$A=$A753)*('env Parameter'!$B:$B=$K753)*('env Parameter'!$C:$C=$L753),'env Parameter'!I:I,""),"")</f>
        <v>YR</v>
      </c>
    </row>
    <row r="754" spans="1:14">
      <c r="A754">
        <f>eDNA!A754</f>
        <v>20200916</v>
      </c>
      <c r="B754" s="10" t="str" cm="1">
        <f t="array" ref="B754">IFERROR(_xlfn.XLOOKUP(1,('env Parameter'!$A:$A=$A754)*('env Parameter'!$B:$B=$K754)*('env Parameter'!$C:$C=$L754),'env Parameter'!H:H,""),"")</f>
        <v>생물상 조사</v>
      </c>
      <c r="C754" s="10" cm="1">
        <f t="array" ref="C754">IFERROR(_xlfn.XLOOKUP(1,('env Parameter'!$A:$A=$A754)*('env Parameter'!$B:$B=$K754)*('env Parameter'!$C:$C=$L754),'env Parameter'!E:E,""),"")</f>
        <v>2.14</v>
      </c>
      <c r="D754" s="10" cm="1">
        <f t="array" ref="D754">IFERROR(_xlfn.XLOOKUP(1,('env Parameter'!$A:$A=$A754)*('env Parameter'!$B:$B=$K754)*('env Parameter'!$C:$C=$L754),'env Parameter'!F:F,""),"")</f>
        <v>478</v>
      </c>
      <c r="E754" s="10" cm="1">
        <f t="array" ref="E754">IFERROR(_xlfn.XLOOKUP(1,('env Parameter'!$A:$A=$A754)*('env Parameter'!$B:$B=$K754)*('env Parameter'!$C:$C=$L754),'env Parameter'!G:G,""),"")</f>
        <v>7.6</v>
      </c>
      <c r="F754" t="str">
        <f>eDNA!F754</f>
        <v>MiFish</v>
      </c>
      <c r="G754" t="str">
        <f>eDNA!D754</f>
        <v>Tridentiger trigonocephalus</v>
      </c>
      <c r="H754" t="str">
        <f>_xlfn.XLOOKUP(G754,'Common name (master file)'!$B:$B,'Common name (master file)'!$A:$A,"-------------")</f>
        <v>두줄망둑</v>
      </c>
      <c r="I754">
        <f>eDNA!E754</f>
        <v>47</v>
      </c>
      <c r="J754" t="str">
        <f>_xlfn.XLOOKUP(G754,'Common name (master file)'!$B:$B,'Common name (master file)'!$C:$C,"")</f>
        <v>어류</v>
      </c>
      <c r="K754">
        <f>eDNA!B754</f>
        <v>126.87358690000001</v>
      </c>
      <c r="L754">
        <f>eDNA!C754</f>
        <v>37.508467699999997</v>
      </c>
      <c r="M754" s="10" t="str" cm="1">
        <f t="array" ref="M754">IFERROR(_xlfn.XLOOKUP(1,('env Parameter'!$A:$A=$A754)*('env Parameter'!$B:$B=$K754)*('env Parameter'!$C:$C=$L754),'env Parameter'!D:D,""),"")</f>
        <v>안양천-13</v>
      </c>
      <c r="N754" s="10" t="str" cm="1">
        <f t="array" ref="N754">IFERROR(_xlfn.XLOOKUP(1,('env Parameter'!$A:$A=$A754)*('env Parameter'!$B:$B=$K754)*('env Parameter'!$C:$C=$L754),'env Parameter'!I:I,""),"")</f>
        <v>YR</v>
      </c>
    </row>
    <row r="755" spans="1:14">
      <c r="A755">
        <f>eDNA!A755</f>
        <v>20200916</v>
      </c>
      <c r="B755" s="10" t="str" cm="1">
        <f t="array" ref="B755">IFERROR(_xlfn.XLOOKUP(1,('env Parameter'!$A:$A=$A755)*('env Parameter'!$B:$B=$K755)*('env Parameter'!$C:$C=$L755),'env Parameter'!H:H,""),"")</f>
        <v>생물상 조사</v>
      </c>
      <c r="C755" s="10" cm="1">
        <f t="array" ref="C755">IFERROR(_xlfn.XLOOKUP(1,('env Parameter'!$A:$A=$A755)*('env Parameter'!$B:$B=$K755)*('env Parameter'!$C:$C=$L755),'env Parameter'!E:E,""),"")</f>
        <v>2.14</v>
      </c>
      <c r="D755" s="10" cm="1">
        <f t="array" ref="D755">IFERROR(_xlfn.XLOOKUP(1,('env Parameter'!$A:$A=$A755)*('env Parameter'!$B:$B=$K755)*('env Parameter'!$C:$C=$L755),'env Parameter'!F:F,""),"")</f>
        <v>478</v>
      </c>
      <c r="E755" s="10" cm="1">
        <f t="array" ref="E755">IFERROR(_xlfn.XLOOKUP(1,('env Parameter'!$A:$A=$A755)*('env Parameter'!$B:$B=$K755)*('env Parameter'!$C:$C=$L755),'env Parameter'!G:G,""),"")</f>
        <v>7.6</v>
      </c>
      <c r="F755" t="str">
        <f>eDNA!F755</f>
        <v>MiFish</v>
      </c>
      <c r="G755" t="str">
        <f>eDNA!D755</f>
        <v>Pelodiscus sinensis</v>
      </c>
      <c r="H755" t="str">
        <f>_xlfn.XLOOKUP(G755,'Common name (master file)'!$B:$B,'Common name (master file)'!$A:$A,"-------------")</f>
        <v>중국자라</v>
      </c>
      <c r="I755">
        <f>eDNA!E755</f>
        <v>78</v>
      </c>
      <c r="J755" t="str">
        <f>_xlfn.XLOOKUP(G755,'Common name (master file)'!$B:$B,'Common name (master file)'!$C:$C,"")</f>
        <v>양서파충류</v>
      </c>
      <c r="K755">
        <f>eDNA!B755</f>
        <v>126.87358690000001</v>
      </c>
      <c r="L755">
        <f>eDNA!C755</f>
        <v>37.508467699999997</v>
      </c>
      <c r="M755" s="10" t="str" cm="1">
        <f t="array" ref="M755">IFERROR(_xlfn.XLOOKUP(1,('env Parameter'!$A:$A=$A755)*('env Parameter'!$B:$B=$K755)*('env Parameter'!$C:$C=$L755),'env Parameter'!D:D,""),"")</f>
        <v>안양천-13</v>
      </c>
      <c r="N755" s="10" t="str" cm="1">
        <f t="array" ref="N755">IFERROR(_xlfn.XLOOKUP(1,('env Parameter'!$A:$A=$A755)*('env Parameter'!$B:$B=$K755)*('env Parameter'!$C:$C=$L755),'env Parameter'!I:I,""),"")</f>
        <v>YR</v>
      </c>
    </row>
    <row r="756" spans="1:14">
      <c r="A756">
        <f>eDNA!A756</f>
        <v>20200916</v>
      </c>
      <c r="B756" s="10" t="str" cm="1">
        <f t="array" ref="B756">IFERROR(_xlfn.XLOOKUP(1,('env Parameter'!$A:$A=$A756)*('env Parameter'!$B:$B=$K756)*('env Parameter'!$C:$C=$L756),'env Parameter'!H:H,""),"")</f>
        <v>생물상 조사</v>
      </c>
      <c r="C756" s="10" cm="1">
        <f t="array" ref="C756">IFERROR(_xlfn.XLOOKUP(1,('env Parameter'!$A:$A=$A756)*('env Parameter'!$B:$B=$K756)*('env Parameter'!$C:$C=$L756),'env Parameter'!E:E,""),"")</f>
        <v>2.14</v>
      </c>
      <c r="D756" s="10" cm="1">
        <f t="array" ref="D756">IFERROR(_xlfn.XLOOKUP(1,('env Parameter'!$A:$A=$A756)*('env Parameter'!$B:$B=$K756)*('env Parameter'!$C:$C=$L756),'env Parameter'!F:F,""),"")</f>
        <v>478</v>
      </c>
      <c r="E756" s="10" cm="1">
        <f t="array" ref="E756">IFERROR(_xlfn.XLOOKUP(1,('env Parameter'!$A:$A=$A756)*('env Parameter'!$B:$B=$K756)*('env Parameter'!$C:$C=$L756),'env Parameter'!G:G,""),"")</f>
        <v>7.6</v>
      </c>
      <c r="F756" t="str">
        <f>eDNA!F756</f>
        <v>MiFish</v>
      </c>
      <c r="G756" t="str">
        <f>eDNA!D756</f>
        <v>Carassius cuvieri</v>
      </c>
      <c r="H756" t="str">
        <f>_xlfn.XLOOKUP(G756,'Common name (master file)'!$B:$B,'Common name (master file)'!$A:$A,"-------------")</f>
        <v>떡붕어</v>
      </c>
      <c r="I756">
        <f>eDNA!E756</f>
        <v>103</v>
      </c>
      <c r="J756" t="str">
        <f>_xlfn.XLOOKUP(G756,'Common name (master file)'!$B:$B,'Common name (master file)'!$C:$C,"")</f>
        <v>어류</v>
      </c>
      <c r="K756">
        <f>eDNA!B756</f>
        <v>126.87358690000001</v>
      </c>
      <c r="L756">
        <f>eDNA!C756</f>
        <v>37.508467699999997</v>
      </c>
      <c r="M756" s="10" t="str" cm="1">
        <f t="array" ref="M756">IFERROR(_xlfn.XLOOKUP(1,('env Parameter'!$A:$A=$A756)*('env Parameter'!$B:$B=$K756)*('env Parameter'!$C:$C=$L756),'env Parameter'!D:D,""),"")</f>
        <v>안양천-13</v>
      </c>
      <c r="N756" s="10" t="str" cm="1">
        <f t="array" ref="N756">IFERROR(_xlfn.XLOOKUP(1,('env Parameter'!$A:$A=$A756)*('env Parameter'!$B:$B=$K756)*('env Parameter'!$C:$C=$L756),'env Parameter'!I:I,""),"")</f>
        <v>YR</v>
      </c>
    </row>
    <row r="757" spans="1:14">
      <c r="A757">
        <f>eDNA!A757</f>
        <v>20200916</v>
      </c>
      <c r="B757" s="10" t="str" cm="1">
        <f t="array" ref="B757">IFERROR(_xlfn.XLOOKUP(1,('env Parameter'!$A:$A=$A757)*('env Parameter'!$B:$B=$K757)*('env Parameter'!$C:$C=$L757),'env Parameter'!H:H,""),"")</f>
        <v>생물상 조사</v>
      </c>
      <c r="C757" s="10" cm="1">
        <f t="array" ref="C757">IFERROR(_xlfn.XLOOKUP(1,('env Parameter'!$A:$A=$A757)*('env Parameter'!$B:$B=$K757)*('env Parameter'!$C:$C=$L757),'env Parameter'!E:E,""),"")</f>
        <v>2.14</v>
      </c>
      <c r="D757" s="10" cm="1">
        <f t="array" ref="D757">IFERROR(_xlfn.XLOOKUP(1,('env Parameter'!$A:$A=$A757)*('env Parameter'!$B:$B=$K757)*('env Parameter'!$C:$C=$L757),'env Parameter'!F:F,""),"")</f>
        <v>478</v>
      </c>
      <c r="E757" s="10" cm="1">
        <f t="array" ref="E757">IFERROR(_xlfn.XLOOKUP(1,('env Parameter'!$A:$A=$A757)*('env Parameter'!$B:$B=$K757)*('env Parameter'!$C:$C=$L757),'env Parameter'!G:G,""),"")</f>
        <v>7.6</v>
      </c>
      <c r="F757" t="str">
        <f>eDNA!F757</f>
        <v>MiFish</v>
      </c>
      <c r="G757" t="str">
        <f>eDNA!D757</f>
        <v>Squalidus gracilis majimae</v>
      </c>
      <c r="H757" t="str">
        <f>_xlfn.XLOOKUP(G757,'Common name (master file)'!$B:$B,'Common name (master file)'!$A:$A,"-------------")</f>
        <v>긴몰개</v>
      </c>
      <c r="I757">
        <f>eDNA!E757</f>
        <v>76</v>
      </c>
      <c r="J757" t="str">
        <f>_xlfn.XLOOKUP(G757,'Common name (master file)'!$B:$B,'Common name (master file)'!$C:$C,"")</f>
        <v>어류</v>
      </c>
      <c r="K757">
        <f>eDNA!B757</f>
        <v>126.87358690000001</v>
      </c>
      <c r="L757">
        <f>eDNA!C757</f>
        <v>37.508467699999997</v>
      </c>
      <c r="M757" s="10" t="str" cm="1">
        <f t="array" ref="M757">IFERROR(_xlfn.XLOOKUP(1,('env Parameter'!$A:$A=$A757)*('env Parameter'!$B:$B=$K757)*('env Parameter'!$C:$C=$L757),'env Parameter'!D:D,""),"")</f>
        <v>안양천-13</v>
      </c>
      <c r="N757" s="10" t="str" cm="1">
        <f t="array" ref="N757">IFERROR(_xlfn.XLOOKUP(1,('env Parameter'!$A:$A=$A757)*('env Parameter'!$B:$B=$K757)*('env Parameter'!$C:$C=$L757),'env Parameter'!I:I,""),"")</f>
        <v>YR</v>
      </c>
    </row>
    <row r="758" spans="1:14">
      <c r="A758">
        <f>eDNA!A758</f>
        <v>20200916</v>
      </c>
      <c r="B758" s="10" t="str" cm="1">
        <f t="array" ref="B758">IFERROR(_xlfn.XLOOKUP(1,('env Parameter'!$A:$A=$A758)*('env Parameter'!$B:$B=$K758)*('env Parameter'!$C:$C=$L758),'env Parameter'!H:H,""),"")</f>
        <v>생물상 조사</v>
      </c>
      <c r="C758" s="10" cm="1">
        <f t="array" ref="C758">IFERROR(_xlfn.XLOOKUP(1,('env Parameter'!$A:$A=$A758)*('env Parameter'!$B:$B=$K758)*('env Parameter'!$C:$C=$L758),'env Parameter'!E:E,""),"")</f>
        <v>2.14</v>
      </c>
      <c r="D758" s="10" cm="1">
        <f t="array" ref="D758">IFERROR(_xlfn.XLOOKUP(1,('env Parameter'!$A:$A=$A758)*('env Parameter'!$B:$B=$K758)*('env Parameter'!$C:$C=$L758),'env Parameter'!F:F,""),"")</f>
        <v>478</v>
      </c>
      <c r="E758" s="10" cm="1">
        <f t="array" ref="E758">IFERROR(_xlfn.XLOOKUP(1,('env Parameter'!$A:$A=$A758)*('env Parameter'!$B:$B=$K758)*('env Parameter'!$C:$C=$L758),'env Parameter'!G:G,""),"")</f>
        <v>7.6</v>
      </c>
      <c r="F758" t="str">
        <f>eDNA!F758</f>
        <v>MiFish</v>
      </c>
      <c r="G758" t="str">
        <f>eDNA!D758</f>
        <v>Rhinogobius giurinus</v>
      </c>
      <c r="H758" t="str">
        <f>_xlfn.XLOOKUP(G758,'Common name (master file)'!$B:$B,'Common name (master file)'!$A:$A,"-------------")</f>
        <v>갈문망둑</v>
      </c>
      <c r="I758">
        <f>eDNA!E758</f>
        <v>114</v>
      </c>
      <c r="J758" t="str">
        <f>_xlfn.XLOOKUP(G758,'Common name (master file)'!$B:$B,'Common name (master file)'!$C:$C,"")</f>
        <v>어류</v>
      </c>
      <c r="K758">
        <f>eDNA!B758</f>
        <v>126.87358690000001</v>
      </c>
      <c r="L758">
        <f>eDNA!C758</f>
        <v>37.508467699999997</v>
      </c>
      <c r="M758" s="10" t="str" cm="1">
        <f t="array" ref="M758">IFERROR(_xlfn.XLOOKUP(1,('env Parameter'!$A:$A=$A758)*('env Parameter'!$B:$B=$K758)*('env Parameter'!$C:$C=$L758),'env Parameter'!D:D,""),"")</f>
        <v>안양천-13</v>
      </c>
      <c r="N758" s="10" t="str" cm="1">
        <f t="array" ref="N758">IFERROR(_xlfn.XLOOKUP(1,('env Parameter'!$A:$A=$A758)*('env Parameter'!$B:$B=$K758)*('env Parameter'!$C:$C=$L758),'env Parameter'!I:I,""),"")</f>
        <v>YR</v>
      </c>
    </row>
    <row r="759" spans="1:14">
      <c r="A759">
        <f>eDNA!A759</f>
        <v>20200916</v>
      </c>
      <c r="B759" s="10" t="str" cm="1">
        <f t="array" ref="B759">IFERROR(_xlfn.XLOOKUP(1,('env Parameter'!$A:$A=$A759)*('env Parameter'!$B:$B=$K759)*('env Parameter'!$C:$C=$L759),'env Parameter'!H:H,""),"")</f>
        <v>생물상 조사</v>
      </c>
      <c r="C759" s="10" cm="1">
        <f t="array" ref="C759">IFERROR(_xlfn.XLOOKUP(1,('env Parameter'!$A:$A=$A759)*('env Parameter'!$B:$B=$K759)*('env Parameter'!$C:$C=$L759),'env Parameter'!E:E,""),"")</f>
        <v>2.14</v>
      </c>
      <c r="D759" s="10" cm="1">
        <f t="array" ref="D759">IFERROR(_xlfn.XLOOKUP(1,('env Parameter'!$A:$A=$A759)*('env Parameter'!$B:$B=$K759)*('env Parameter'!$C:$C=$L759),'env Parameter'!F:F,""),"")</f>
        <v>478</v>
      </c>
      <c r="E759" s="10" cm="1">
        <f t="array" ref="E759">IFERROR(_xlfn.XLOOKUP(1,('env Parameter'!$A:$A=$A759)*('env Parameter'!$B:$B=$K759)*('env Parameter'!$C:$C=$L759),'env Parameter'!G:G,""),"")</f>
        <v>7.6</v>
      </c>
      <c r="F759" t="str">
        <f>eDNA!F759</f>
        <v>MiFish</v>
      </c>
      <c r="G759" t="str">
        <f>eDNA!D759</f>
        <v>Pseudogobio esocinus</v>
      </c>
      <c r="H759" t="str">
        <f>_xlfn.XLOOKUP(G759,'Common name (master file)'!$B:$B,'Common name (master file)'!$A:$A,"-------------")</f>
        <v>모래무지</v>
      </c>
      <c r="I759">
        <f>eDNA!E759</f>
        <v>206</v>
      </c>
      <c r="J759" t="str">
        <f>_xlfn.XLOOKUP(G759,'Common name (master file)'!$B:$B,'Common name (master file)'!$C:$C,"")</f>
        <v>어류</v>
      </c>
      <c r="K759">
        <f>eDNA!B759</f>
        <v>126.87358690000001</v>
      </c>
      <c r="L759">
        <f>eDNA!C759</f>
        <v>37.508467699999997</v>
      </c>
      <c r="M759" s="10" t="str" cm="1">
        <f t="array" ref="M759">IFERROR(_xlfn.XLOOKUP(1,('env Parameter'!$A:$A=$A759)*('env Parameter'!$B:$B=$K759)*('env Parameter'!$C:$C=$L759),'env Parameter'!D:D,""),"")</f>
        <v>안양천-13</v>
      </c>
      <c r="N759" s="10" t="str" cm="1">
        <f t="array" ref="N759">IFERROR(_xlfn.XLOOKUP(1,('env Parameter'!$A:$A=$A759)*('env Parameter'!$B:$B=$K759)*('env Parameter'!$C:$C=$L759),'env Parameter'!I:I,""),"")</f>
        <v>YR</v>
      </c>
    </row>
    <row r="760" spans="1:14">
      <c r="A760">
        <f>eDNA!A760</f>
        <v>20200916</v>
      </c>
      <c r="B760" s="10" t="str" cm="1">
        <f t="array" ref="B760">IFERROR(_xlfn.XLOOKUP(1,('env Parameter'!$A:$A=$A760)*('env Parameter'!$B:$B=$K760)*('env Parameter'!$C:$C=$L760),'env Parameter'!H:H,""),"")</f>
        <v>생물상 조사</v>
      </c>
      <c r="C760" s="10" cm="1">
        <f t="array" ref="C760">IFERROR(_xlfn.XLOOKUP(1,('env Parameter'!$A:$A=$A760)*('env Parameter'!$B:$B=$K760)*('env Parameter'!$C:$C=$L760),'env Parameter'!E:E,""),"")</f>
        <v>2.14</v>
      </c>
      <c r="D760" s="10" cm="1">
        <f t="array" ref="D760">IFERROR(_xlfn.XLOOKUP(1,('env Parameter'!$A:$A=$A760)*('env Parameter'!$B:$B=$K760)*('env Parameter'!$C:$C=$L760),'env Parameter'!F:F,""),"")</f>
        <v>478</v>
      </c>
      <c r="E760" s="10" cm="1">
        <f t="array" ref="E760">IFERROR(_xlfn.XLOOKUP(1,('env Parameter'!$A:$A=$A760)*('env Parameter'!$B:$B=$K760)*('env Parameter'!$C:$C=$L760),'env Parameter'!G:G,""),"")</f>
        <v>7.6</v>
      </c>
      <c r="F760" t="str">
        <f>eDNA!F760</f>
        <v>MiFish</v>
      </c>
      <c r="G760" t="str">
        <f>eDNA!D760</f>
        <v>Hemibarbus maculatus</v>
      </c>
      <c r="H760" t="str">
        <f>_xlfn.XLOOKUP(G760,'Common name (master file)'!$B:$B,'Common name (master file)'!$A:$A,"-------------")</f>
        <v>알락누치</v>
      </c>
      <c r="I760">
        <f>eDNA!E760</f>
        <v>107</v>
      </c>
      <c r="J760" t="str">
        <f>_xlfn.XLOOKUP(G760,'Common name (master file)'!$B:$B,'Common name (master file)'!$C:$C,"")</f>
        <v>어류</v>
      </c>
      <c r="K760">
        <f>eDNA!B760</f>
        <v>126.87358690000001</v>
      </c>
      <c r="L760">
        <f>eDNA!C760</f>
        <v>37.508467699999997</v>
      </c>
      <c r="M760" s="10" t="str" cm="1">
        <f t="array" ref="M760">IFERROR(_xlfn.XLOOKUP(1,('env Parameter'!$A:$A=$A760)*('env Parameter'!$B:$B=$K760)*('env Parameter'!$C:$C=$L760),'env Parameter'!D:D,""),"")</f>
        <v>안양천-13</v>
      </c>
      <c r="N760" s="10" t="str" cm="1">
        <f t="array" ref="N760">IFERROR(_xlfn.XLOOKUP(1,('env Parameter'!$A:$A=$A760)*('env Parameter'!$B:$B=$K760)*('env Parameter'!$C:$C=$L760),'env Parameter'!I:I,""),"")</f>
        <v>YR</v>
      </c>
    </row>
    <row r="761" spans="1:14">
      <c r="A761">
        <f>eDNA!A761</f>
        <v>20200916</v>
      </c>
      <c r="B761" s="10" t="str" cm="1">
        <f t="array" ref="B761">IFERROR(_xlfn.XLOOKUP(1,('env Parameter'!$A:$A=$A761)*('env Parameter'!$B:$B=$K761)*('env Parameter'!$C:$C=$L761),'env Parameter'!H:H,""),"")</f>
        <v>생물상 조사</v>
      </c>
      <c r="C761" s="10" cm="1">
        <f t="array" ref="C761">IFERROR(_xlfn.XLOOKUP(1,('env Parameter'!$A:$A=$A761)*('env Parameter'!$B:$B=$K761)*('env Parameter'!$C:$C=$L761),'env Parameter'!E:E,""),"")</f>
        <v>2.14</v>
      </c>
      <c r="D761" s="10" cm="1">
        <f t="array" ref="D761">IFERROR(_xlfn.XLOOKUP(1,('env Parameter'!$A:$A=$A761)*('env Parameter'!$B:$B=$K761)*('env Parameter'!$C:$C=$L761),'env Parameter'!F:F,""),"")</f>
        <v>478</v>
      </c>
      <c r="E761" s="10" cm="1">
        <f t="array" ref="E761">IFERROR(_xlfn.XLOOKUP(1,('env Parameter'!$A:$A=$A761)*('env Parameter'!$B:$B=$K761)*('env Parameter'!$C:$C=$L761),'env Parameter'!G:G,""),"")</f>
        <v>7.6</v>
      </c>
      <c r="F761" t="str">
        <f>eDNA!F761</f>
        <v>MiFish</v>
      </c>
      <c r="G761" t="str">
        <f>eDNA!D761</f>
        <v>Misgurnus mizolepis</v>
      </c>
      <c r="H761" t="str">
        <f>_xlfn.XLOOKUP(G761,'Common name (master file)'!$B:$B,'Common name (master file)'!$A:$A,"-------------")</f>
        <v>미꾸라지</v>
      </c>
      <c r="I761">
        <f>eDNA!E761</f>
        <v>182</v>
      </c>
      <c r="J761" t="str">
        <f>_xlfn.XLOOKUP(G761,'Common name (master file)'!$B:$B,'Common name (master file)'!$C:$C,"")</f>
        <v>어류</v>
      </c>
      <c r="K761">
        <f>eDNA!B761</f>
        <v>126.87358690000001</v>
      </c>
      <c r="L761">
        <f>eDNA!C761</f>
        <v>37.508467699999997</v>
      </c>
      <c r="M761" s="10" t="str" cm="1">
        <f t="array" ref="M761">IFERROR(_xlfn.XLOOKUP(1,('env Parameter'!$A:$A=$A761)*('env Parameter'!$B:$B=$K761)*('env Parameter'!$C:$C=$L761),'env Parameter'!D:D,""),"")</f>
        <v>안양천-13</v>
      </c>
      <c r="N761" s="10" t="str" cm="1">
        <f t="array" ref="N761">IFERROR(_xlfn.XLOOKUP(1,('env Parameter'!$A:$A=$A761)*('env Parameter'!$B:$B=$K761)*('env Parameter'!$C:$C=$L761),'env Parameter'!I:I,""),"")</f>
        <v>YR</v>
      </c>
    </row>
    <row r="762" spans="1:14">
      <c r="A762">
        <f>eDNA!A762</f>
        <v>20200916</v>
      </c>
      <c r="B762" s="10" t="str" cm="1">
        <f t="array" ref="B762">IFERROR(_xlfn.XLOOKUP(1,('env Parameter'!$A:$A=$A762)*('env Parameter'!$B:$B=$K762)*('env Parameter'!$C:$C=$L762),'env Parameter'!H:H,""),"")</f>
        <v>생물상 조사</v>
      </c>
      <c r="C762" s="10" cm="1">
        <f t="array" ref="C762">IFERROR(_xlfn.XLOOKUP(1,('env Parameter'!$A:$A=$A762)*('env Parameter'!$B:$B=$K762)*('env Parameter'!$C:$C=$L762),'env Parameter'!E:E,""),"")</f>
        <v>2.14</v>
      </c>
      <c r="D762" s="10" cm="1">
        <f t="array" ref="D762">IFERROR(_xlfn.XLOOKUP(1,('env Parameter'!$A:$A=$A762)*('env Parameter'!$B:$B=$K762)*('env Parameter'!$C:$C=$L762),'env Parameter'!F:F,""),"")</f>
        <v>478</v>
      </c>
      <c r="E762" s="10" cm="1">
        <f t="array" ref="E762">IFERROR(_xlfn.XLOOKUP(1,('env Parameter'!$A:$A=$A762)*('env Parameter'!$B:$B=$K762)*('env Parameter'!$C:$C=$L762),'env Parameter'!G:G,""),"")</f>
        <v>7.6</v>
      </c>
      <c r="F762" t="str">
        <f>eDNA!F762</f>
        <v>MiFish</v>
      </c>
      <c r="G762" t="str">
        <f>eDNA!D762</f>
        <v>Lateolabrax maculatus</v>
      </c>
      <c r="H762" t="str">
        <f>_xlfn.XLOOKUP(G762,'Common name (master file)'!$B:$B,'Common name (master file)'!$A:$A,"-------------")</f>
        <v>점농어</v>
      </c>
      <c r="I762">
        <f>eDNA!E762</f>
        <v>140</v>
      </c>
      <c r="J762" t="str">
        <f>_xlfn.XLOOKUP(G762,'Common name (master file)'!$B:$B,'Common name (master file)'!$C:$C,"")</f>
        <v>어류</v>
      </c>
      <c r="K762">
        <f>eDNA!B762</f>
        <v>126.87358690000001</v>
      </c>
      <c r="L762">
        <f>eDNA!C762</f>
        <v>37.508467699999997</v>
      </c>
      <c r="M762" s="10" t="str" cm="1">
        <f t="array" ref="M762">IFERROR(_xlfn.XLOOKUP(1,('env Parameter'!$A:$A=$A762)*('env Parameter'!$B:$B=$K762)*('env Parameter'!$C:$C=$L762),'env Parameter'!D:D,""),"")</f>
        <v>안양천-13</v>
      </c>
      <c r="N762" s="10" t="str" cm="1">
        <f t="array" ref="N762">IFERROR(_xlfn.XLOOKUP(1,('env Parameter'!$A:$A=$A762)*('env Parameter'!$B:$B=$K762)*('env Parameter'!$C:$C=$L762),'env Parameter'!I:I,""),"")</f>
        <v>YR</v>
      </c>
    </row>
    <row r="763" spans="1:14">
      <c r="A763">
        <f>eDNA!A763</f>
        <v>20200916</v>
      </c>
      <c r="B763" s="10" t="str" cm="1">
        <f t="array" ref="B763">IFERROR(_xlfn.XLOOKUP(1,('env Parameter'!$A:$A=$A763)*('env Parameter'!$B:$B=$K763)*('env Parameter'!$C:$C=$L763),'env Parameter'!H:H,""),"")</f>
        <v>생물상 조사</v>
      </c>
      <c r="C763" s="10" cm="1">
        <f t="array" ref="C763">IFERROR(_xlfn.XLOOKUP(1,('env Parameter'!$A:$A=$A763)*('env Parameter'!$B:$B=$K763)*('env Parameter'!$C:$C=$L763),'env Parameter'!E:E,""),"")</f>
        <v>2.14</v>
      </c>
      <c r="D763" s="10" cm="1">
        <f t="array" ref="D763">IFERROR(_xlfn.XLOOKUP(1,('env Parameter'!$A:$A=$A763)*('env Parameter'!$B:$B=$K763)*('env Parameter'!$C:$C=$L763),'env Parameter'!F:F,""),"")</f>
        <v>478</v>
      </c>
      <c r="E763" s="10" cm="1">
        <f t="array" ref="E763">IFERROR(_xlfn.XLOOKUP(1,('env Parameter'!$A:$A=$A763)*('env Parameter'!$B:$B=$K763)*('env Parameter'!$C:$C=$L763),'env Parameter'!G:G,""),"")</f>
        <v>7.6</v>
      </c>
      <c r="F763" t="str">
        <f>eDNA!F763</f>
        <v>MiFish</v>
      </c>
      <c r="G763" t="str">
        <f>eDNA!D763</f>
        <v>Homo sapiens</v>
      </c>
      <c r="H763" t="str">
        <f>_xlfn.XLOOKUP(G763,'Common name (master file)'!$B:$B,'Common name (master file)'!$A:$A,"-------------")</f>
        <v>사람</v>
      </c>
      <c r="I763">
        <f>eDNA!E763</f>
        <v>166</v>
      </c>
      <c r="J763" t="str">
        <f>_xlfn.XLOOKUP(G763,'Common name (master file)'!$B:$B,'Common name (master file)'!$C:$C,"")</f>
        <v>포유류</v>
      </c>
      <c r="K763">
        <f>eDNA!B763</f>
        <v>126.87358690000001</v>
      </c>
      <c r="L763">
        <f>eDNA!C763</f>
        <v>37.508467699999997</v>
      </c>
      <c r="M763" s="10" t="str" cm="1">
        <f t="array" ref="M763">IFERROR(_xlfn.XLOOKUP(1,('env Parameter'!$A:$A=$A763)*('env Parameter'!$B:$B=$K763)*('env Parameter'!$C:$C=$L763),'env Parameter'!D:D,""),"")</f>
        <v>안양천-13</v>
      </c>
      <c r="N763" s="10" t="str" cm="1">
        <f t="array" ref="N763">IFERROR(_xlfn.XLOOKUP(1,('env Parameter'!$A:$A=$A763)*('env Parameter'!$B:$B=$K763)*('env Parameter'!$C:$C=$L763),'env Parameter'!I:I,""),"")</f>
        <v>YR</v>
      </c>
    </row>
    <row r="764" spans="1:14">
      <c r="A764">
        <f>eDNA!A764</f>
        <v>20200916</v>
      </c>
      <c r="B764" s="10" t="str" cm="1">
        <f t="array" ref="B764">IFERROR(_xlfn.XLOOKUP(1,('env Parameter'!$A:$A=$A764)*('env Parameter'!$B:$B=$K764)*('env Parameter'!$C:$C=$L764),'env Parameter'!H:H,""),"")</f>
        <v>생물상 조사</v>
      </c>
      <c r="C764" s="10" cm="1">
        <f t="array" ref="C764">IFERROR(_xlfn.XLOOKUP(1,('env Parameter'!$A:$A=$A764)*('env Parameter'!$B:$B=$K764)*('env Parameter'!$C:$C=$L764),'env Parameter'!E:E,""),"")</f>
        <v>2.14</v>
      </c>
      <c r="D764" s="10" cm="1">
        <f t="array" ref="D764">IFERROR(_xlfn.XLOOKUP(1,('env Parameter'!$A:$A=$A764)*('env Parameter'!$B:$B=$K764)*('env Parameter'!$C:$C=$L764),'env Parameter'!F:F,""),"")</f>
        <v>478</v>
      </c>
      <c r="E764" s="10" cm="1">
        <f t="array" ref="E764">IFERROR(_xlfn.XLOOKUP(1,('env Parameter'!$A:$A=$A764)*('env Parameter'!$B:$B=$K764)*('env Parameter'!$C:$C=$L764),'env Parameter'!G:G,""),"")</f>
        <v>7.6</v>
      </c>
      <c r="F764" t="str">
        <f>eDNA!F764</f>
        <v>MiFish</v>
      </c>
      <c r="G764" t="str">
        <f>eDNA!D764</f>
        <v>Canis lupus familiaris</v>
      </c>
      <c r="H764" t="str">
        <f>_xlfn.XLOOKUP(G764,'Common name (master file)'!$B:$B,'Common name (master file)'!$A:$A,"-------------")</f>
        <v>개</v>
      </c>
      <c r="I764">
        <f>eDNA!E764</f>
        <v>251</v>
      </c>
      <c r="J764" t="str">
        <f>_xlfn.XLOOKUP(G764,'Common name (master file)'!$B:$B,'Common name (master file)'!$C:$C,"")</f>
        <v>포유류</v>
      </c>
      <c r="K764">
        <f>eDNA!B764</f>
        <v>126.87358690000001</v>
      </c>
      <c r="L764">
        <f>eDNA!C764</f>
        <v>37.508467699999997</v>
      </c>
      <c r="M764" s="10" t="str" cm="1">
        <f t="array" ref="M764">IFERROR(_xlfn.XLOOKUP(1,('env Parameter'!$A:$A=$A764)*('env Parameter'!$B:$B=$K764)*('env Parameter'!$C:$C=$L764),'env Parameter'!D:D,""),"")</f>
        <v>안양천-13</v>
      </c>
      <c r="N764" s="10" t="str" cm="1">
        <f t="array" ref="N764">IFERROR(_xlfn.XLOOKUP(1,('env Parameter'!$A:$A=$A764)*('env Parameter'!$B:$B=$K764)*('env Parameter'!$C:$C=$L764),'env Parameter'!I:I,""),"")</f>
        <v>YR</v>
      </c>
    </row>
    <row r="765" spans="1:14">
      <c r="A765">
        <f>eDNA!A765</f>
        <v>20200916</v>
      </c>
      <c r="B765" s="10" t="str" cm="1">
        <f t="array" ref="B765">IFERROR(_xlfn.XLOOKUP(1,('env Parameter'!$A:$A=$A765)*('env Parameter'!$B:$B=$K765)*('env Parameter'!$C:$C=$L765),'env Parameter'!H:H,""),"")</f>
        <v>생물상 조사</v>
      </c>
      <c r="C765" s="10" cm="1">
        <f t="array" ref="C765">IFERROR(_xlfn.XLOOKUP(1,('env Parameter'!$A:$A=$A765)*('env Parameter'!$B:$B=$K765)*('env Parameter'!$C:$C=$L765),'env Parameter'!E:E,""),"")</f>
        <v>2.14</v>
      </c>
      <c r="D765" s="10" cm="1">
        <f t="array" ref="D765">IFERROR(_xlfn.XLOOKUP(1,('env Parameter'!$A:$A=$A765)*('env Parameter'!$B:$B=$K765)*('env Parameter'!$C:$C=$L765),'env Parameter'!F:F,""),"")</f>
        <v>478</v>
      </c>
      <c r="E765" s="10" cm="1">
        <f t="array" ref="E765">IFERROR(_xlfn.XLOOKUP(1,('env Parameter'!$A:$A=$A765)*('env Parameter'!$B:$B=$K765)*('env Parameter'!$C:$C=$L765),'env Parameter'!G:G,""),"")</f>
        <v>7.6</v>
      </c>
      <c r="F765" t="str">
        <f>eDNA!F765</f>
        <v>MiFish</v>
      </c>
      <c r="G765" t="str">
        <f>eDNA!D765</f>
        <v>Culter dabryi</v>
      </c>
      <c r="H765" t="str">
        <f>_xlfn.XLOOKUP(G765,'Common name (master file)'!$B:$B,'Common name (master file)'!$A:$A,"-------------")</f>
        <v>다브리날카로운입치</v>
      </c>
      <c r="I765">
        <f>eDNA!E765</f>
        <v>263</v>
      </c>
      <c r="J765" t="str">
        <f>_xlfn.XLOOKUP(G765,'Common name (master file)'!$B:$B,'Common name (master file)'!$C:$C,"")</f>
        <v>어류</v>
      </c>
      <c r="K765">
        <f>eDNA!B765</f>
        <v>126.87358690000001</v>
      </c>
      <c r="L765">
        <f>eDNA!C765</f>
        <v>37.508467699999997</v>
      </c>
      <c r="M765" s="10" t="str" cm="1">
        <f t="array" ref="M765">IFERROR(_xlfn.XLOOKUP(1,('env Parameter'!$A:$A=$A765)*('env Parameter'!$B:$B=$K765)*('env Parameter'!$C:$C=$L765),'env Parameter'!D:D,""),"")</f>
        <v>안양천-13</v>
      </c>
      <c r="N765" s="10" t="str" cm="1">
        <f t="array" ref="N765">IFERROR(_xlfn.XLOOKUP(1,('env Parameter'!$A:$A=$A765)*('env Parameter'!$B:$B=$K765)*('env Parameter'!$C:$C=$L765),'env Parameter'!I:I,""),"")</f>
        <v>YR</v>
      </c>
    </row>
    <row r="766" spans="1:14">
      <c r="A766">
        <f>eDNA!A766</f>
        <v>20200916</v>
      </c>
      <c r="B766" s="10" t="str" cm="1">
        <f t="array" ref="B766">IFERROR(_xlfn.XLOOKUP(1,('env Parameter'!$A:$A=$A766)*('env Parameter'!$B:$B=$K766)*('env Parameter'!$C:$C=$L766),'env Parameter'!H:H,""),"")</f>
        <v>생물상 조사</v>
      </c>
      <c r="C766" s="10" cm="1">
        <f t="array" ref="C766">IFERROR(_xlfn.XLOOKUP(1,('env Parameter'!$A:$A=$A766)*('env Parameter'!$B:$B=$K766)*('env Parameter'!$C:$C=$L766),'env Parameter'!E:E,""),"")</f>
        <v>2.14</v>
      </c>
      <c r="D766" s="10" cm="1">
        <f t="array" ref="D766">IFERROR(_xlfn.XLOOKUP(1,('env Parameter'!$A:$A=$A766)*('env Parameter'!$B:$B=$K766)*('env Parameter'!$C:$C=$L766),'env Parameter'!F:F,""),"")</f>
        <v>478</v>
      </c>
      <c r="E766" s="10" cm="1">
        <f t="array" ref="E766">IFERROR(_xlfn.XLOOKUP(1,('env Parameter'!$A:$A=$A766)*('env Parameter'!$B:$B=$K766)*('env Parameter'!$C:$C=$L766),'env Parameter'!G:G,""),"")</f>
        <v>7.6</v>
      </c>
      <c r="F766" t="str">
        <f>eDNA!F766</f>
        <v>MiFish</v>
      </c>
      <c r="G766" t="str">
        <f>eDNA!D766</f>
        <v>Synechogobius hasta</v>
      </c>
      <c r="H766" t="str">
        <f>_xlfn.XLOOKUP(G766,'Common name (master file)'!$B:$B,'Common name (master file)'!$A:$A,"-------------")</f>
        <v>풀망둑</v>
      </c>
      <c r="I766">
        <f>eDNA!E766</f>
        <v>280</v>
      </c>
      <c r="J766" t="str">
        <f>_xlfn.XLOOKUP(G766,'Common name (master file)'!$B:$B,'Common name (master file)'!$C:$C,"")</f>
        <v>어류</v>
      </c>
      <c r="K766">
        <f>eDNA!B766</f>
        <v>126.87358690000001</v>
      </c>
      <c r="L766">
        <f>eDNA!C766</f>
        <v>37.508467699999997</v>
      </c>
      <c r="M766" s="10" t="str" cm="1">
        <f t="array" ref="M766">IFERROR(_xlfn.XLOOKUP(1,('env Parameter'!$A:$A=$A766)*('env Parameter'!$B:$B=$K766)*('env Parameter'!$C:$C=$L766),'env Parameter'!D:D,""),"")</f>
        <v>안양천-13</v>
      </c>
      <c r="N766" s="10" t="str" cm="1">
        <f t="array" ref="N766">IFERROR(_xlfn.XLOOKUP(1,('env Parameter'!$A:$A=$A766)*('env Parameter'!$B:$B=$K766)*('env Parameter'!$C:$C=$L766),'env Parameter'!I:I,""),"")</f>
        <v>YR</v>
      </c>
    </row>
    <row r="767" spans="1:14">
      <c r="A767">
        <f>eDNA!A767</f>
        <v>20200916</v>
      </c>
      <c r="B767" s="10" t="str" cm="1">
        <f t="array" ref="B767">IFERROR(_xlfn.XLOOKUP(1,('env Parameter'!$A:$A=$A767)*('env Parameter'!$B:$B=$K767)*('env Parameter'!$C:$C=$L767),'env Parameter'!H:H,""),"")</f>
        <v>생물상 조사</v>
      </c>
      <c r="C767" s="10" cm="1">
        <f t="array" ref="C767">IFERROR(_xlfn.XLOOKUP(1,('env Parameter'!$A:$A=$A767)*('env Parameter'!$B:$B=$K767)*('env Parameter'!$C:$C=$L767),'env Parameter'!E:E,""),"")</f>
        <v>2.14</v>
      </c>
      <c r="D767" s="10" cm="1">
        <f t="array" ref="D767">IFERROR(_xlfn.XLOOKUP(1,('env Parameter'!$A:$A=$A767)*('env Parameter'!$B:$B=$K767)*('env Parameter'!$C:$C=$L767),'env Parameter'!F:F,""),"")</f>
        <v>478</v>
      </c>
      <c r="E767" s="10" cm="1">
        <f t="array" ref="E767">IFERROR(_xlfn.XLOOKUP(1,('env Parameter'!$A:$A=$A767)*('env Parameter'!$B:$B=$K767)*('env Parameter'!$C:$C=$L767),'env Parameter'!G:G,""),"")</f>
        <v>7.6</v>
      </c>
      <c r="F767" t="str">
        <f>eDNA!F767</f>
        <v>MiFish</v>
      </c>
      <c r="G767" t="str">
        <f>eDNA!D767</f>
        <v>Tridentiger obscurus</v>
      </c>
      <c r="H767" t="str">
        <f>_xlfn.XLOOKUP(G767,'Common name (master file)'!$B:$B,'Common name (master file)'!$A:$A,"-------------")</f>
        <v>검정망둑</v>
      </c>
      <c r="I767">
        <f>eDNA!E767</f>
        <v>340</v>
      </c>
      <c r="J767" t="str">
        <f>_xlfn.XLOOKUP(G767,'Common name (master file)'!$B:$B,'Common name (master file)'!$C:$C,"")</f>
        <v>어류</v>
      </c>
      <c r="K767">
        <f>eDNA!B767</f>
        <v>126.87358690000001</v>
      </c>
      <c r="L767">
        <f>eDNA!C767</f>
        <v>37.508467699999997</v>
      </c>
      <c r="M767" s="10" t="str" cm="1">
        <f t="array" ref="M767">IFERROR(_xlfn.XLOOKUP(1,('env Parameter'!$A:$A=$A767)*('env Parameter'!$B:$B=$K767)*('env Parameter'!$C:$C=$L767),'env Parameter'!D:D,""),"")</f>
        <v>안양천-13</v>
      </c>
      <c r="N767" s="10" t="str" cm="1">
        <f t="array" ref="N767">IFERROR(_xlfn.XLOOKUP(1,('env Parameter'!$A:$A=$A767)*('env Parameter'!$B:$B=$K767)*('env Parameter'!$C:$C=$L767),'env Parameter'!I:I,""),"")</f>
        <v>YR</v>
      </c>
    </row>
    <row r="768" spans="1:14">
      <c r="A768">
        <f>eDNA!A768</f>
        <v>20200916</v>
      </c>
      <c r="B768" s="10" t="str" cm="1">
        <f t="array" ref="B768">IFERROR(_xlfn.XLOOKUP(1,('env Parameter'!$A:$A=$A768)*('env Parameter'!$B:$B=$K768)*('env Parameter'!$C:$C=$L768),'env Parameter'!H:H,""),"")</f>
        <v>생물상 조사</v>
      </c>
      <c r="C768" s="10" cm="1">
        <f t="array" ref="C768">IFERROR(_xlfn.XLOOKUP(1,('env Parameter'!$A:$A=$A768)*('env Parameter'!$B:$B=$K768)*('env Parameter'!$C:$C=$L768),'env Parameter'!E:E,""),"")</f>
        <v>2.14</v>
      </c>
      <c r="D768" s="10" cm="1">
        <f t="array" ref="D768">IFERROR(_xlfn.XLOOKUP(1,('env Parameter'!$A:$A=$A768)*('env Parameter'!$B:$B=$K768)*('env Parameter'!$C:$C=$L768),'env Parameter'!F:F,""),"")</f>
        <v>478</v>
      </c>
      <c r="E768" s="10" cm="1">
        <f t="array" ref="E768">IFERROR(_xlfn.XLOOKUP(1,('env Parameter'!$A:$A=$A768)*('env Parameter'!$B:$B=$K768)*('env Parameter'!$C:$C=$L768),'env Parameter'!G:G,""),"")</f>
        <v>7.6</v>
      </c>
      <c r="F768" t="str">
        <f>eDNA!F768</f>
        <v>MiFish</v>
      </c>
      <c r="G768" t="str">
        <f>eDNA!D768</f>
        <v>Cyprinus carpio</v>
      </c>
      <c r="H768" t="str">
        <f>_xlfn.XLOOKUP(G768,'Common name (master file)'!$B:$B,'Common name (master file)'!$A:$A,"-------------")</f>
        <v>잉어</v>
      </c>
      <c r="I768">
        <f>eDNA!E768</f>
        <v>479</v>
      </c>
      <c r="J768" t="str">
        <f>_xlfn.XLOOKUP(G768,'Common name (master file)'!$B:$B,'Common name (master file)'!$C:$C,"")</f>
        <v>어류</v>
      </c>
      <c r="K768">
        <f>eDNA!B768</f>
        <v>126.87358690000001</v>
      </c>
      <c r="L768">
        <f>eDNA!C768</f>
        <v>37.508467699999997</v>
      </c>
      <c r="M768" s="10" t="str" cm="1">
        <f t="array" ref="M768">IFERROR(_xlfn.XLOOKUP(1,('env Parameter'!$A:$A=$A768)*('env Parameter'!$B:$B=$K768)*('env Parameter'!$C:$C=$L768),'env Parameter'!D:D,""),"")</f>
        <v>안양천-13</v>
      </c>
      <c r="N768" s="10" t="str" cm="1">
        <f t="array" ref="N768">IFERROR(_xlfn.XLOOKUP(1,('env Parameter'!$A:$A=$A768)*('env Parameter'!$B:$B=$K768)*('env Parameter'!$C:$C=$L768),'env Parameter'!I:I,""),"")</f>
        <v>YR</v>
      </c>
    </row>
    <row r="769" spans="1:14">
      <c r="A769">
        <f>eDNA!A769</f>
        <v>20200916</v>
      </c>
      <c r="B769" s="10" t="str" cm="1">
        <f t="array" ref="B769">IFERROR(_xlfn.XLOOKUP(1,('env Parameter'!$A:$A=$A769)*('env Parameter'!$B:$B=$K769)*('env Parameter'!$C:$C=$L769),'env Parameter'!H:H,""),"")</f>
        <v>생물상 조사</v>
      </c>
      <c r="C769" s="10" cm="1">
        <f t="array" ref="C769">IFERROR(_xlfn.XLOOKUP(1,('env Parameter'!$A:$A=$A769)*('env Parameter'!$B:$B=$K769)*('env Parameter'!$C:$C=$L769),'env Parameter'!E:E,""),"")</f>
        <v>2.14</v>
      </c>
      <c r="D769" s="10" cm="1">
        <f t="array" ref="D769">IFERROR(_xlfn.XLOOKUP(1,('env Parameter'!$A:$A=$A769)*('env Parameter'!$B:$B=$K769)*('env Parameter'!$C:$C=$L769),'env Parameter'!F:F,""),"")</f>
        <v>478</v>
      </c>
      <c r="E769" s="10" cm="1">
        <f t="array" ref="E769">IFERROR(_xlfn.XLOOKUP(1,('env Parameter'!$A:$A=$A769)*('env Parameter'!$B:$B=$K769)*('env Parameter'!$C:$C=$L769),'env Parameter'!G:G,""),"")</f>
        <v>7.6</v>
      </c>
      <c r="F769" t="str">
        <f>eDNA!F769</f>
        <v>MiFish</v>
      </c>
      <c r="G769" t="str">
        <f>eDNA!D769</f>
        <v>Odontobutis interrupta</v>
      </c>
      <c r="H769" t="str">
        <f>_xlfn.XLOOKUP(G769,'Common name (master file)'!$B:$B,'Common name (master file)'!$A:$A,"-------------")</f>
        <v>얼록동사리</v>
      </c>
      <c r="I769">
        <f>eDNA!E769</f>
        <v>622</v>
      </c>
      <c r="J769" t="str">
        <f>_xlfn.XLOOKUP(G769,'Common name (master file)'!$B:$B,'Common name (master file)'!$C:$C,"")</f>
        <v>어류</v>
      </c>
      <c r="K769">
        <f>eDNA!B769</f>
        <v>126.87358690000001</v>
      </c>
      <c r="L769">
        <f>eDNA!C769</f>
        <v>37.508467699999997</v>
      </c>
      <c r="M769" s="10" t="str" cm="1">
        <f t="array" ref="M769">IFERROR(_xlfn.XLOOKUP(1,('env Parameter'!$A:$A=$A769)*('env Parameter'!$B:$B=$K769)*('env Parameter'!$C:$C=$L769),'env Parameter'!D:D,""),"")</f>
        <v>안양천-13</v>
      </c>
      <c r="N769" s="10" t="str" cm="1">
        <f t="array" ref="N769">IFERROR(_xlfn.XLOOKUP(1,('env Parameter'!$A:$A=$A769)*('env Parameter'!$B:$B=$K769)*('env Parameter'!$C:$C=$L769),'env Parameter'!I:I,""),"")</f>
        <v>YR</v>
      </c>
    </row>
    <row r="770" spans="1:14">
      <c r="A770">
        <f>eDNA!A770</f>
        <v>20200916</v>
      </c>
      <c r="B770" s="10" t="str" cm="1">
        <f t="array" ref="B770">IFERROR(_xlfn.XLOOKUP(1,('env Parameter'!$A:$A=$A770)*('env Parameter'!$B:$B=$K770)*('env Parameter'!$C:$C=$L770),'env Parameter'!H:H,""),"")</f>
        <v>생물상 조사</v>
      </c>
      <c r="C770" s="10" cm="1">
        <f t="array" ref="C770">IFERROR(_xlfn.XLOOKUP(1,('env Parameter'!$A:$A=$A770)*('env Parameter'!$B:$B=$K770)*('env Parameter'!$C:$C=$L770),'env Parameter'!E:E,""),"")</f>
        <v>2.14</v>
      </c>
      <c r="D770" s="10" cm="1">
        <f t="array" ref="D770">IFERROR(_xlfn.XLOOKUP(1,('env Parameter'!$A:$A=$A770)*('env Parameter'!$B:$B=$K770)*('env Parameter'!$C:$C=$L770),'env Parameter'!F:F,""),"")</f>
        <v>478</v>
      </c>
      <c r="E770" s="10" cm="1">
        <f t="array" ref="E770">IFERROR(_xlfn.XLOOKUP(1,('env Parameter'!$A:$A=$A770)*('env Parameter'!$B:$B=$K770)*('env Parameter'!$C:$C=$L770),'env Parameter'!G:G,""),"")</f>
        <v>7.6</v>
      </c>
      <c r="F770" t="str">
        <f>eDNA!F770</f>
        <v>MiFish</v>
      </c>
      <c r="G770" t="str">
        <f>eDNA!D770</f>
        <v>Anguilla japonica</v>
      </c>
      <c r="H770" t="str">
        <f>_xlfn.XLOOKUP(G770,'Common name (master file)'!$B:$B,'Common name (master file)'!$A:$A,"-------------")</f>
        <v>뱀장어</v>
      </c>
      <c r="I770">
        <f>eDNA!E770</f>
        <v>567</v>
      </c>
      <c r="J770" t="str">
        <f>_xlfn.XLOOKUP(G770,'Common name (master file)'!$B:$B,'Common name (master file)'!$C:$C,"")</f>
        <v>어류</v>
      </c>
      <c r="K770">
        <f>eDNA!B770</f>
        <v>126.87358690000001</v>
      </c>
      <c r="L770">
        <f>eDNA!C770</f>
        <v>37.508467699999997</v>
      </c>
      <c r="M770" s="10" t="str" cm="1">
        <f t="array" ref="M770">IFERROR(_xlfn.XLOOKUP(1,('env Parameter'!$A:$A=$A770)*('env Parameter'!$B:$B=$K770)*('env Parameter'!$C:$C=$L770),'env Parameter'!D:D,""),"")</f>
        <v>안양천-13</v>
      </c>
      <c r="N770" s="10" t="str" cm="1">
        <f t="array" ref="N770">IFERROR(_xlfn.XLOOKUP(1,('env Parameter'!$A:$A=$A770)*('env Parameter'!$B:$B=$K770)*('env Parameter'!$C:$C=$L770),'env Parameter'!I:I,""),"")</f>
        <v>YR</v>
      </c>
    </row>
    <row r="771" spans="1:14">
      <c r="A771">
        <f>eDNA!A771</f>
        <v>20200916</v>
      </c>
      <c r="B771" s="10" t="str" cm="1">
        <f t="array" ref="B771">IFERROR(_xlfn.XLOOKUP(1,('env Parameter'!$A:$A=$A771)*('env Parameter'!$B:$B=$K771)*('env Parameter'!$C:$C=$L771),'env Parameter'!H:H,""),"")</f>
        <v>생물상 조사</v>
      </c>
      <c r="C771" s="10" cm="1">
        <f t="array" ref="C771">IFERROR(_xlfn.XLOOKUP(1,('env Parameter'!$A:$A=$A771)*('env Parameter'!$B:$B=$K771)*('env Parameter'!$C:$C=$L771),'env Parameter'!E:E,""),"")</f>
        <v>2.14</v>
      </c>
      <c r="D771" s="10" cm="1">
        <f t="array" ref="D771">IFERROR(_xlfn.XLOOKUP(1,('env Parameter'!$A:$A=$A771)*('env Parameter'!$B:$B=$K771)*('env Parameter'!$C:$C=$L771),'env Parameter'!F:F,""),"")</f>
        <v>478</v>
      </c>
      <c r="E771" s="10" cm="1">
        <f t="array" ref="E771">IFERROR(_xlfn.XLOOKUP(1,('env Parameter'!$A:$A=$A771)*('env Parameter'!$B:$B=$K771)*('env Parameter'!$C:$C=$L771),'env Parameter'!G:G,""),"")</f>
        <v>7.6</v>
      </c>
      <c r="F771" t="str">
        <f>eDNA!F771</f>
        <v>MiFish</v>
      </c>
      <c r="G771" t="str">
        <f>eDNA!D771</f>
        <v>Plagiognathops microlepis</v>
      </c>
      <c r="H771" t="str">
        <f>_xlfn.XLOOKUP(G771,'Common name (master file)'!$B:$B,'Common name (master file)'!$A:$A,"-------------")</f>
        <v>왜몰개</v>
      </c>
      <c r="I771">
        <f>eDNA!E771</f>
        <v>670</v>
      </c>
      <c r="J771" t="str">
        <f>_xlfn.XLOOKUP(G771,'Common name (master file)'!$B:$B,'Common name (master file)'!$C:$C,"")</f>
        <v>어류</v>
      </c>
      <c r="K771">
        <f>eDNA!B771</f>
        <v>126.87358690000001</v>
      </c>
      <c r="L771">
        <f>eDNA!C771</f>
        <v>37.508467699999997</v>
      </c>
      <c r="M771" s="10" t="str" cm="1">
        <f t="array" ref="M771">IFERROR(_xlfn.XLOOKUP(1,('env Parameter'!$A:$A=$A771)*('env Parameter'!$B:$B=$K771)*('env Parameter'!$C:$C=$L771),'env Parameter'!D:D,""),"")</f>
        <v>안양천-13</v>
      </c>
      <c r="N771" s="10" t="str" cm="1">
        <f t="array" ref="N771">IFERROR(_xlfn.XLOOKUP(1,('env Parameter'!$A:$A=$A771)*('env Parameter'!$B:$B=$K771)*('env Parameter'!$C:$C=$L771),'env Parameter'!I:I,""),"")</f>
        <v>YR</v>
      </c>
    </row>
    <row r="772" spans="1:14">
      <c r="A772">
        <f>eDNA!A772</f>
        <v>20201024</v>
      </c>
      <c r="B772" s="10" t="str" cm="1">
        <f t="array" ref="B772">IFERROR(_xlfn.XLOOKUP(1,('env Parameter'!$A:$A=$A772)*('env Parameter'!$B:$B=$K772)*('env Parameter'!$C:$C=$L772),'env Parameter'!H:H,""),"")</f>
        <v>생물상 조사</v>
      </c>
      <c r="C772" s="10" cm="1">
        <f t="array" ref="C772">IFERROR(_xlfn.XLOOKUP(1,('env Parameter'!$A:$A=$A772)*('env Parameter'!$B:$B=$K772)*('env Parameter'!$C:$C=$L772),'env Parameter'!E:E,""),"")</f>
        <v>2.14</v>
      </c>
      <c r="D772" s="10" cm="1">
        <f t="array" ref="D772">IFERROR(_xlfn.XLOOKUP(1,('env Parameter'!$A:$A=$A772)*('env Parameter'!$B:$B=$K772)*('env Parameter'!$C:$C=$L772),'env Parameter'!F:F,""),"")</f>
        <v>478</v>
      </c>
      <c r="E772" s="10" cm="1">
        <f t="array" ref="E772">IFERROR(_xlfn.XLOOKUP(1,('env Parameter'!$A:$A=$A772)*('env Parameter'!$B:$B=$K772)*('env Parameter'!$C:$C=$L772),'env Parameter'!G:G,""),"")</f>
        <v>7.6</v>
      </c>
      <c r="F772" t="str">
        <f>eDNA!F772</f>
        <v>MiFish</v>
      </c>
      <c r="G772" t="str">
        <f>eDNA!D772</f>
        <v>Felis catus</v>
      </c>
      <c r="H772" t="str">
        <f>_xlfn.XLOOKUP(G772,'Common name (master file)'!$B:$B,'Common name (master file)'!$A:$A,"-------------")</f>
        <v>고양이</v>
      </c>
      <c r="I772">
        <f>eDNA!E772</f>
        <v>419</v>
      </c>
      <c r="J772" t="str">
        <f>_xlfn.XLOOKUP(G772,'Common name (master file)'!$B:$B,'Common name (master file)'!$C:$C,"")</f>
        <v>포유류</v>
      </c>
      <c r="K772">
        <f>eDNA!B772</f>
        <v>126.95619790000001</v>
      </c>
      <c r="L772">
        <f>eDNA!C772</f>
        <v>37.363509200000003</v>
      </c>
      <c r="M772" s="10" t="str" cm="1">
        <f t="array" ref="M772">IFERROR(_xlfn.XLOOKUP(1,('env Parameter'!$A:$A=$A772)*('env Parameter'!$B:$B=$K772)*('env Parameter'!$C:$C=$L772),'env Parameter'!D:D,""),"")</f>
        <v>안양천-2</v>
      </c>
      <c r="N772" s="10" t="str" cm="1">
        <f t="array" ref="N772">IFERROR(_xlfn.XLOOKUP(1,('env Parameter'!$A:$A=$A772)*('env Parameter'!$B:$B=$K772)*('env Parameter'!$C:$C=$L772),'env Parameter'!I:I,""),"")</f>
        <v>YR</v>
      </c>
    </row>
    <row r="773" spans="1:14">
      <c r="A773">
        <f>eDNA!A773</f>
        <v>20200916</v>
      </c>
      <c r="B773" s="10" t="str" cm="1">
        <f t="array" ref="B773">IFERROR(_xlfn.XLOOKUP(1,('env Parameter'!$A:$A=$A773)*('env Parameter'!$B:$B=$K773)*('env Parameter'!$C:$C=$L773),'env Parameter'!H:H,""),"")</f>
        <v>생물상 조사</v>
      </c>
      <c r="C773" s="10" cm="1">
        <f t="array" ref="C773">IFERROR(_xlfn.XLOOKUP(1,('env Parameter'!$A:$A=$A773)*('env Parameter'!$B:$B=$K773)*('env Parameter'!$C:$C=$L773),'env Parameter'!E:E,""),"")</f>
        <v>2.14</v>
      </c>
      <c r="D773" s="10" cm="1">
        <f t="array" ref="D773">IFERROR(_xlfn.XLOOKUP(1,('env Parameter'!$A:$A=$A773)*('env Parameter'!$B:$B=$K773)*('env Parameter'!$C:$C=$L773),'env Parameter'!F:F,""),"")</f>
        <v>478</v>
      </c>
      <c r="E773" s="10" cm="1">
        <f t="array" ref="E773">IFERROR(_xlfn.XLOOKUP(1,('env Parameter'!$A:$A=$A773)*('env Parameter'!$B:$B=$K773)*('env Parameter'!$C:$C=$L773),'env Parameter'!G:G,""),"")</f>
        <v>7.6</v>
      </c>
      <c r="F773" t="str">
        <f>eDNA!F773</f>
        <v>MiFish</v>
      </c>
      <c r="G773" t="str">
        <f>eDNA!D773</f>
        <v>Sus scrofa</v>
      </c>
      <c r="H773" t="str">
        <f>_xlfn.XLOOKUP(G773,'Common name (master file)'!$B:$B,'Common name (master file)'!$A:$A,"-------------")</f>
        <v>멧돼지</v>
      </c>
      <c r="I773">
        <f>eDNA!E773</f>
        <v>2517</v>
      </c>
      <c r="J773" t="str">
        <f>_xlfn.XLOOKUP(G773,'Common name (master file)'!$B:$B,'Common name (master file)'!$C:$C,"")</f>
        <v>포유류</v>
      </c>
      <c r="K773">
        <f>eDNA!B773</f>
        <v>126.87358690000001</v>
      </c>
      <c r="L773">
        <f>eDNA!C773</f>
        <v>37.508467699999997</v>
      </c>
      <c r="M773" s="10" t="str" cm="1">
        <f t="array" ref="M773">IFERROR(_xlfn.XLOOKUP(1,('env Parameter'!$A:$A=$A773)*('env Parameter'!$B:$B=$K773)*('env Parameter'!$C:$C=$L773),'env Parameter'!D:D,""),"")</f>
        <v>안양천-13</v>
      </c>
      <c r="N773" s="10" t="str" cm="1">
        <f t="array" ref="N773">IFERROR(_xlfn.XLOOKUP(1,('env Parameter'!$A:$A=$A773)*('env Parameter'!$B:$B=$K773)*('env Parameter'!$C:$C=$L773),'env Parameter'!I:I,""),"")</f>
        <v>YR</v>
      </c>
    </row>
    <row r="774" spans="1:14">
      <c r="A774">
        <f>eDNA!A774</f>
        <v>20200916</v>
      </c>
      <c r="B774" s="10" t="str" cm="1">
        <f t="array" ref="B774">IFERROR(_xlfn.XLOOKUP(1,('env Parameter'!$A:$A=$A774)*('env Parameter'!$B:$B=$K774)*('env Parameter'!$C:$C=$L774),'env Parameter'!H:H,""),"")</f>
        <v>생물상 조사</v>
      </c>
      <c r="C774" s="10" cm="1">
        <f t="array" ref="C774">IFERROR(_xlfn.XLOOKUP(1,('env Parameter'!$A:$A=$A774)*('env Parameter'!$B:$B=$K774)*('env Parameter'!$C:$C=$L774),'env Parameter'!E:E,""),"")</f>
        <v>2.14</v>
      </c>
      <c r="D774" s="10" cm="1">
        <f t="array" ref="D774">IFERROR(_xlfn.XLOOKUP(1,('env Parameter'!$A:$A=$A774)*('env Parameter'!$B:$B=$K774)*('env Parameter'!$C:$C=$L774),'env Parameter'!F:F,""),"")</f>
        <v>478</v>
      </c>
      <c r="E774" s="10" cm="1">
        <f t="array" ref="E774">IFERROR(_xlfn.XLOOKUP(1,('env Parameter'!$A:$A=$A774)*('env Parameter'!$B:$B=$K774)*('env Parameter'!$C:$C=$L774),'env Parameter'!G:G,""),"")</f>
        <v>7.6</v>
      </c>
      <c r="F774" t="str">
        <f>eDNA!F774</f>
        <v>MiFish</v>
      </c>
      <c r="G774" t="str">
        <f>eDNA!D774</f>
        <v>Gnathopogon strigatus</v>
      </c>
      <c r="H774" t="str">
        <f>_xlfn.XLOOKUP(G774,'Common name (master file)'!$B:$B,'Common name (master file)'!$A:$A,"-------------")</f>
        <v>줄몰개</v>
      </c>
      <c r="I774">
        <f>eDNA!E774</f>
        <v>1245</v>
      </c>
      <c r="J774" t="str">
        <f>_xlfn.XLOOKUP(G774,'Common name (master file)'!$B:$B,'Common name (master file)'!$C:$C,"")</f>
        <v>어류</v>
      </c>
      <c r="K774">
        <f>eDNA!B774</f>
        <v>126.87358690000001</v>
      </c>
      <c r="L774">
        <f>eDNA!C774</f>
        <v>37.508467699999997</v>
      </c>
      <c r="M774" s="10" t="str" cm="1">
        <f t="array" ref="M774">IFERROR(_xlfn.XLOOKUP(1,('env Parameter'!$A:$A=$A774)*('env Parameter'!$B:$B=$K774)*('env Parameter'!$C:$C=$L774),'env Parameter'!D:D,""),"")</f>
        <v>안양천-13</v>
      </c>
      <c r="N774" s="10" t="str" cm="1">
        <f t="array" ref="N774">IFERROR(_xlfn.XLOOKUP(1,('env Parameter'!$A:$A=$A774)*('env Parameter'!$B:$B=$K774)*('env Parameter'!$C:$C=$L774),'env Parameter'!I:I,""),"")</f>
        <v>YR</v>
      </c>
    </row>
    <row r="775" spans="1:14">
      <c r="A775">
        <f>eDNA!A775</f>
        <v>20200916</v>
      </c>
      <c r="B775" s="10" t="str" cm="1">
        <f t="array" ref="B775">IFERROR(_xlfn.XLOOKUP(1,('env Parameter'!$A:$A=$A775)*('env Parameter'!$B:$B=$K775)*('env Parameter'!$C:$C=$L775),'env Parameter'!H:H,""),"")</f>
        <v>생물상 조사</v>
      </c>
      <c r="C775" s="10" cm="1">
        <f t="array" ref="C775">IFERROR(_xlfn.XLOOKUP(1,('env Parameter'!$A:$A=$A775)*('env Parameter'!$B:$B=$K775)*('env Parameter'!$C:$C=$L775),'env Parameter'!E:E,""),"")</f>
        <v>2.14</v>
      </c>
      <c r="D775" s="10" cm="1">
        <f t="array" ref="D775">IFERROR(_xlfn.XLOOKUP(1,('env Parameter'!$A:$A=$A775)*('env Parameter'!$B:$B=$K775)*('env Parameter'!$C:$C=$L775),'env Parameter'!F:F,""),"")</f>
        <v>478</v>
      </c>
      <c r="E775" s="10" cm="1">
        <f t="array" ref="E775">IFERROR(_xlfn.XLOOKUP(1,('env Parameter'!$A:$A=$A775)*('env Parameter'!$B:$B=$K775)*('env Parameter'!$C:$C=$L775),'env Parameter'!G:G,""),"")</f>
        <v>7.6</v>
      </c>
      <c r="F775" t="str">
        <f>eDNA!F775</f>
        <v>MiFish</v>
      </c>
      <c r="G775" t="str">
        <f>eDNA!D775</f>
        <v>Carassius sp.</v>
      </c>
      <c r="H775" t="str">
        <f>_xlfn.XLOOKUP(G775,'Common name (master file)'!$B:$B,'Common name (master file)'!$A:$A,"-------------")</f>
        <v>붕어 속</v>
      </c>
      <c r="I775">
        <f>eDNA!E775</f>
        <v>1108</v>
      </c>
      <c r="J775" t="str">
        <f>_xlfn.XLOOKUP(G775,'Common name (master file)'!$B:$B,'Common name (master file)'!$C:$C,"")</f>
        <v>어류</v>
      </c>
      <c r="K775">
        <f>eDNA!B775</f>
        <v>126.87358690000001</v>
      </c>
      <c r="L775">
        <f>eDNA!C775</f>
        <v>37.508467699999997</v>
      </c>
      <c r="M775" s="10" t="str" cm="1">
        <f t="array" ref="M775">IFERROR(_xlfn.XLOOKUP(1,('env Parameter'!$A:$A=$A775)*('env Parameter'!$B:$B=$K775)*('env Parameter'!$C:$C=$L775),'env Parameter'!D:D,""),"")</f>
        <v>안양천-13</v>
      </c>
      <c r="N775" s="10" t="str" cm="1">
        <f t="array" ref="N775">IFERROR(_xlfn.XLOOKUP(1,('env Parameter'!$A:$A=$A775)*('env Parameter'!$B:$B=$K775)*('env Parameter'!$C:$C=$L775),'env Parameter'!I:I,""),"")</f>
        <v>YR</v>
      </c>
    </row>
    <row r="776" spans="1:14">
      <c r="A776">
        <f>eDNA!A776</f>
        <v>20200916</v>
      </c>
      <c r="B776" s="10" t="str" cm="1">
        <f t="array" ref="B776">IFERROR(_xlfn.XLOOKUP(1,('env Parameter'!$A:$A=$A776)*('env Parameter'!$B:$B=$K776)*('env Parameter'!$C:$C=$L776),'env Parameter'!H:H,""),"")</f>
        <v>생물상 조사</v>
      </c>
      <c r="C776" s="10" cm="1">
        <f t="array" ref="C776">IFERROR(_xlfn.XLOOKUP(1,('env Parameter'!$A:$A=$A776)*('env Parameter'!$B:$B=$K776)*('env Parameter'!$C:$C=$L776),'env Parameter'!E:E,""),"")</f>
        <v>2.14</v>
      </c>
      <c r="D776" s="10" cm="1">
        <f t="array" ref="D776">IFERROR(_xlfn.XLOOKUP(1,('env Parameter'!$A:$A=$A776)*('env Parameter'!$B:$B=$K776)*('env Parameter'!$C:$C=$L776),'env Parameter'!F:F,""),"")</f>
        <v>478</v>
      </c>
      <c r="E776" s="10" cm="1">
        <f t="array" ref="E776">IFERROR(_xlfn.XLOOKUP(1,('env Parameter'!$A:$A=$A776)*('env Parameter'!$B:$B=$K776)*('env Parameter'!$C:$C=$L776),'env Parameter'!G:G,""),"")</f>
        <v>7.6</v>
      </c>
      <c r="F776" t="str">
        <f>eDNA!F776</f>
        <v>MiFish</v>
      </c>
      <c r="G776" t="str">
        <f>eDNA!D776</f>
        <v>Lepomis macrochirus</v>
      </c>
      <c r="H776" t="str">
        <f>_xlfn.XLOOKUP(G776,'Common name (master file)'!$B:$B,'Common name (master file)'!$A:$A,"-------------")</f>
        <v>블루길</v>
      </c>
      <c r="I776">
        <f>eDNA!E776</f>
        <v>1046</v>
      </c>
      <c r="J776" t="str">
        <f>_xlfn.XLOOKUP(G776,'Common name (master file)'!$B:$B,'Common name (master file)'!$C:$C,"")</f>
        <v>어류</v>
      </c>
      <c r="K776">
        <f>eDNA!B776</f>
        <v>126.87358690000001</v>
      </c>
      <c r="L776">
        <f>eDNA!C776</f>
        <v>37.508467699999997</v>
      </c>
      <c r="M776" s="10" t="str" cm="1">
        <f t="array" ref="M776">IFERROR(_xlfn.XLOOKUP(1,('env Parameter'!$A:$A=$A776)*('env Parameter'!$B:$B=$K776)*('env Parameter'!$C:$C=$L776),'env Parameter'!D:D,""),"")</f>
        <v>안양천-13</v>
      </c>
      <c r="N776" s="10" t="str" cm="1">
        <f t="array" ref="N776">IFERROR(_xlfn.XLOOKUP(1,('env Parameter'!$A:$A=$A776)*('env Parameter'!$B:$B=$K776)*('env Parameter'!$C:$C=$L776),'env Parameter'!I:I,""),"")</f>
        <v>YR</v>
      </c>
    </row>
    <row r="777" spans="1:14">
      <c r="A777">
        <f>eDNA!A777</f>
        <v>20200916</v>
      </c>
      <c r="B777" s="10" t="str" cm="1">
        <f t="array" ref="B777">IFERROR(_xlfn.XLOOKUP(1,('env Parameter'!$A:$A=$A777)*('env Parameter'!$B:$B=$K777)*('env Parameter'!$C:$C=$L777),'env Parameter'!H:H,""),"")</f>
        <v>생물상 조사</v>
      </c>
      <c r="C777" s="10" cm="1">
        <f t="array" ref="C777">IFERROR(_xlfn.XLOOKUP(1,('env Parameter'!$A:$A=$A777)*('env Parameter'!$B:$B=$K777)*('env Parameter'!$C:$C=$L777),'env Parameter'!E:E,""),"")</f>
        <v>2.14</v>
      </c>
      <c r="D777" s="10" cm="1">
        <f t="array" ref="D777">IFERROR(_xlfn.XLOOKUP(1,('env Parameter'!$A:$A=$A777)*('env Parameter'!$B:$B=$K777)*('env Parameter'!$C:$C=$L777),'env Parameter'!F:F,""),"")</f>
        <v>478</v>
      </c>
      <c r="E777" s="10" cm="1">
        <f t="array" ref="E777">IFERROR(_xlfn.XLOOKUP(1,('env Parameter'!$A:$A=$A777)*('env Parameter'!$B:$B=$K777)*('env Parameter'!$C:$C=$L777),'env Parameter'!G:G,""),"")</f>
        <v>7.6</v>
      </c>
      <c r="F777" t="str">
        <f>eDNA!F777</f>
        <v>MiFish</v>
      </c>
      <c r="G777" t="str">
        <f>eDNA!D777</f>
        <v>Acanthorhodeus chankaensis</v>
      </c>
      <c r="H777" t="str">
        <f>_xlfn.XLOOKUP(G777,'Common name (master file)'!$B:$B,'Common name (master file)'!$A:$A,"-------------")</f>
        <v>가시납지리</v>
      </c>
      <c r="I777">
        <f>eDNA!E777</f>
        <v>1712</v>
      </c>
      <c r="J777" t="str">
        <f>_xlfn.XLOOKUP(G777,'Common name (master file)'!$B:$B,'Common name (master file)'!$C:$C,"")</f>
        <v>어류</v>
      </c>
      <c r="K777">
        <f>eDNA!B777</f>
        <v>126.87358690000001</v>
      </c>
      <c r="L777">
        <f>eDNA!C777</f>
        <v>37.508467699999997</v>
      </c>
      <c r="M777" s="10" t="str" cm="1">
        <f t="array" ref="M777">IFERROR(_xlfn.XLOOKUP(1,('env Parameter'!$A:$A=$A777)*('env Parameter'!$B:$B=$K777)*('env Parameter'!$C:$C=$L777),'env Parameter'!D:D,""),"")</f>
        <v>안양천-13</v>
      </c>
      <c r="N777" s="10" t="str" cm="1">
        <f t="array" ref="N777">IFERROR(_xlfn.XLOOKUP(1,('env Parameter'!$A:$A=$A777)*('env Parameter'!$B:$B=$K777)*('env Parameter'!$C:$C=$L777),'env Parameter'!I:I,""),"")</f>
        <v>YR</v>
      </c>
    </row>
    <row r="778" spans="1:14">
      <c r="A778">
        <f>eDNA!A778</f>
        <v>20200916</v>
      </c>
      <c r="B778" s="10" t="str" cm="1">
        <f t="array" ref="B778">IFERROR(_xlfn.XLOOKUP(1,('env Parameter'!$A:$A=$A778)*('env Parameter'!$B:$B=$K778)*('env Parameter'!$C:$C=$L778),'env Parameter'!H:H,""),"")</f>
        <v>생물상 조사</v>
      </c>
      <c r="C778" s="10" cm="1">
        <f t="array" ref="C778">IFERROR(_xlfn.XLOOKUP(1,('env Parameter'!$A:$A=$A778)*('env Parameter'!$B:$B=$K778)*('env Parameter'!$C:$C=$L778),'env Parameter'!E:E,""),"")</f>
        <v>2.14</v>
      </c>
      <c r="D778" s="10" cm="1">
        <f t="array" ref="D778">IFERROR(_xlfn.XLOOKUP(1,('env Parameter'!$A:$A=$A778)*('env Parameter'!$B:$B=$K778)*('env Parameter'!$C:$C=$L778),'env Parameter'!F:F,""),"")</f>
        <v>478</v>
      </c>
      <c r="E778" s="10" cm="1">
        <f t="array" ref="E778">IFERROR(_xlfn.XLOOKUP(1,('env Parameter'!$A:$A=$A778)*('env Parameter'!$B:$B=$K778)*('env Parameter'!$C:$C=$L778),'env Parameter'!G:G,""),"")</f>
        <v>7.6</v>
      </c>
      <c r="F778" t="str">
        <f>eDNA!F778</f>
        <v>MiFish</v>
      </c>
      <c r="G778" t="str">
        <f>eDNA!D778</f>
        <v>Zacco platypus</v>
      </c>
      <c r="H778" t="str">
        <f>_xlfn.XLOOKUP(G778,'Common name (master file)'!$B:$B,'Common name (master file)'!$A:$A,"-------------")</f>
        <v>피라미</v>
      </c>
      <c r="I778">
        <f>eDNA!E778</f>
        <v>2078</v>
      </c>
      <c r="J778" t="str">
        <f>_xlfn.XLOOKUP(G778,'Common name (master file)'!$B:$B,'Common name (master file)'!$C:$C,"")</f>
        <v>어류</v>
      </c>
      <c r="K778">
        <f>eDNA!B778</f>
        <v>126.87358690000001</v>
      </c>
      <c r="L778">
        <f>eDNA!C778</f>
        <v>37.508467699999997</v>
      </c>
      <c r="M778" s="10" t="str" cm="1">
        <f t="array" ref="M778">IFERROR(_xlfn.XLOOKUP(1,('env Parameter'!$A:$A=$A778)*('env Parameter'!$B:$B=$K778)*('env Parameter'!$C:$C=$L778),'env Parameter'!D:D,""),"")</f>
        <v>안양천-13</v>
      </c>
      <c r="N778" s="10" t="str" cm="1">
        <f t="array" ref="N778">IFERROR(_xlfn.XLOOKUP(1,('env Parameter'!$A:$A=$A778)*('env Parameter'!$B:$B=$K778)*('env Parameter'!$C:$C=$L778),'env Parameter'!I:I,""),"")</f>
        <v>YR</v>
      </c>
    </row>
    <row r="779" spans="1:14">
      <c r="A779">
        <f>eDNA!A779</f>
        <v>20200916</v>
      </c>
      <c r="B779" s="10" t="str" cm="1">
        <f t="array" ref="B779">IFERROR(_xlfn.XLOOKUP(1,('env Parameter'!$A:$A=$A779)*('env Parameter'!$B:$B=$K779)*('env Parameter'!$C:$C=$L779),'env Parameter'!H:H,""),"")</f>
        <v>생물상 조사</v>
      </c>
      <c r="C779" s="10" cm="1">
        <f t="array" ref="C779">IFERROR(_xlfn.XLOOKUP(1,('env Parameter'!$A:$A=$A779)*('env Parameter'!$B:$B=$K779)*('env Parameter'!$C:$C=$L779),'env Parameter'!E:E,""),"")</f>
        <v>2.14</v>
      </c>
      <c r="D779" s="10" cm="1">
        <f t="array" ref="D779">IFERROR(_xlfn.XLOOKUP(1,('env Parameter'!$A:$A=$A779)*('env Parameter'!$B:$B=$K779)*('env Parameter'!$C:$C=$L779),'env Parameter'!F:F,""),"")</f>
        <v>478</v>
      </c>
      <c r="E779" s="10" cm="1">
        <f t="array" ref="E779">IFERROR(_xlfn.XLOOKUP(1,('env Parameter'!$A:$A=$A779)*('env Parameter'!$B:$B=$K779)*('env Parameter'!$C:$C=$L779),'env Parameter'!G:G,""),"")</f>
        <v>7.6</v>
      </c>
      <c r="F779" t="str">
        <f>eDNA!F779</f>
        <v>MiFish</v>
      </c>
      <c r="G779" t="str">
        <f>eDNA!D779</f>
        <v>Channa argus</v>
      </c>
      <c r="H779" t="str">
        <f>_xlfn.XLOOKUP(G779,'Common name (master file)'!$B:$B,'Common name (master file)'!$A:$A,"-------------")</f>
        <v>가물치</v>
      </c>
      <c r="I779">
        <f>eDNA!E779</f>
        <v>3191</v>
      </c>
      <c r="J779" t="str">
        <f>_xlfn.XLOOKUP(G779,'Common name (master file)'!$B:$B,'Common name (master file)'!$C:$C,"")</f>
        <v>어류</v>
      </c>
      <c r="K779">
        <f>eDNA!B779</f>
        <v>126.87358690000001</v>
      </c>
      <c r="L779">
        <f>eDNA!C779</f>
        <v>37.508467699999997</v>
      </c>
      <c r="M779" s="10" t="str" cm="1">
        <f t="array" ref="M779">IFERROR(_xlfn.XLOOKUP(1,('env Parameter'!$A:$A=$A779)*('env Parameter'!$B:$B=$K779)*('env Parameter'!$C:$C=$L779),'env Parameter'!D:D,""),"")</f>
        <v>안양천-13</v>
      </c>
      <c r="N779" s="10" t="str" cm="1">
        <f t="array" ref="N779">IFERROR(_xlfn.XLOOKUP(1,('env Parameter'!$A:$A=$A779)*('env Parameter'!$B:$B=$K779)*('env Parameter'!$C:$C=$L779),'env Parameter'!I:I,""),"")</f>
        <v>YR</v>
      </c>
    </row>
    <row r="780" spans="1:14">
      <c r="A780">
        <f>eDNA!A780</f>
        <v>20200916</v>
      </c>
      <c r="B780" s="10" t="str" cm="1">
        <f t="array" ref="B780">IFERROR(_xlfn.XLOOKUP(1,('env Parameter'!$A:$A=$A780)*('env Parameter'!$B:$B=$K780)*('env Parameter'!$C:$C=$L780),'env Parameter'!H:H,""),"")</f>
        <v>생물상 조사</v>
      </c>
      <c r="C780" s="10" cm="1">
        <f t="array" ref="C780">IFERROR(_xlfn.XLOOKUP(1,('env Parameter'!$A:$A=$A780)*('env Parameter'!$B:$B=$K780)*('env Parameter'!$C:$C=$L780),'env Parameter'!E:E,""),"")</f>
        <v>2.14</v>
      </c>
      <c r="D780" s="10" cm="1">
        <f t="array" ref="D780">IFERROR(_xlfn.XLOOKUP(1,('env Parameter'!$A:$A=$A780)*('env Parameter'!$B:$B=$K780)*('env Parameter'!$C:$C=$L780),'env Parameter'!F:F,""),"")</f>
        <v>478</v>
      </c>
      <c r="E780" s="10" cm="1">
        <f t="array" ref="E780">IFERROR(_xlfn.XLOOKUP(1,('env Parameter'!$A:$A=$A780)*('env Parameter'!$B:$B=$K780)*('env Parameter'!$C:$C=$L780),'env Parameter'!G:G,""),"")</f>
        <v>7.6</v>
      </c>
      <c r="F780" t="str">
        <f>eDNA!F780</f>
        <v>MiFish</v>
      </c>
      <c r="G780" t="str">
        <f>eDNA!D780</f>
        <v>Acheilognathus macropterus</v>
      </c>
      <c r="H780" t="str">
        <f>_xlfn.XLOOKUP(G780,'Common name (master file)'!$B:$B,'Common name (master file)'!$A:$A,"-------------")</f>
        <v>큰납지리</v>
      </c>
      <c r="I780">
        <f>eDNA!E780</f>
        <v>3003</v>
      </c>
      <c r="J780" t="str">
        <f>_xlfn.XLOOKUP(G780,'Common name (master file)'!$B:$B,'Common name (master file)'!$C:$C,"")</f>
        <v>어류</v>
      </c>
      <c r="K780">
        <f>eDNA!B780</f>
        <v>126.87358690000001</v>
      </c>
      <c r="L780">
        <f>eDNA!C780</f>
        <v>37.508467699999997</v>
      </c>
      <c r="M780" s="10" t="str" cm="1">
        <f t="array" ref="M780">IFERROR(_xlfn.XLOOKUP(1,('env Parameter'!$A:$A=$A780)*('env Parameter'!$B:$B=$K780)*('env Parameter'!$C:$C=$L780),'env Parameter'!D:D,""),"")</f>
        <v>안양천-13</v>
      </c>
      <c r="N780" s="10" t="str" cm="1">
        <f t="array" ref="N780">IFERROR(_xlfn.XLOOKUP(1,('env Parameter'!$A:$A=$A780)*('env Parameter'!$B:$B=$K780)*('env Parameter'!$C:$C=$L780),'env Parameter'!I:I,""),"")</f>
        <v>YR</v>
      </c>
    </row>
    <row r="781" spans="1:14">
      <c r="A781">
        <f>eDNA!A781</f>
        <v>20200916</v>
      </c>
      <c r="B781" s="10" t="str" cm="1">
        <f t="array" ref="B781">IFERROR(_xlfn.XLOOKUP(1,('env Parameter'!$A:$A=$A781)*('env Parameter'!$B:$B=$K781)*('env Parameter'!$C:$C=$L781),'env Parameter'!H:H,""),"")</f>
        <v>생물상 조사</v>
      </c>
      <c r="C781" s="10" cm="1">
        <f t="array" ref="C781">IFERROR(_xlfn.XLOOKUP(1,('env Parameter'!$A:$A=$A781)*('env Parameter'!$B:$B=$K781)*('env Parameter'!$C:$C=$L781),'env Parameter'!E:E,""),"")</f>
        <v>2.14</v>
      </c>
      <c r="D781" s="10" cm="1">
        <f t="array" ref="D781">IFERROR(_xlfn.XLOOKUP(1,('env Parameter'!$A:$A=$A781)*('env Parameter'!$B:$B=$K781)*('env Parameter'!$C:$C=$L781),'env Parameter'!F:F,""),"")</f>
        <v>478</v>
      </c>
      <c r="E781" s="10" cm="1">
        <f t="array" ref="E781">IFERROR(_xlfn.XLOOKUP(1,('env Parameter'!$A:$A=$A781)*('env Parameter'!$B:$B=$K781)*('env Parameter'!$C:$C=$L781),'env Parameter'!G:G,""),"")</f>
        <v>7.6</v>
      </c>
      <c r="F781" t="str">
        <f>eDNA!F781</f>
        <v>MiFish</v>
      </c>
      <c r="G781" t="str">
        <f>eDNA!D781</f>
        <v>Silurus soldatovi</v>
      </c>
      <c r="H781" t="str">
        <f>_xlfn.XLOOKUP(G781,'Common name (master file)'!$B:$B,'Common name (master file)'!$A:$A,"-------------")</f>
        <v>솔다토비 메기</v>
      </c>
      <c r="I781">
        <f>eDNA!E781</f>
        <v>2526</v>
      </c>
      <c r="J781" t="str">
        <f>_xlfn.XLOOKUP(G781,'Common name (master file)'!$B:$B,'Common name (master file)'!$C:$C,"")</f>
        <v>어류</v>
      </c>
      <c r="K781">
        <f>eDNA!B781</f>
        <v>126.87358690000001</v>
      </c>
      <c r="L781">
        <f>eDNA!C781</f>
        <v>37.508467699999997</v>
      </c>
      <c r="M781" s="10" t="str" cm="1">
        <f t="array" ref="M781">IFERROR(_xlfn.XLOOKUP(1,('env Parameter'!$A:$A=$A781)*('env Parameter'!$B:$B=$K781)*('env Parameter'!$C:$C=$L781),'env Parameter'!D:D,""),"")</f>
        <v>안양천-13</v>
      </c>
      <c r="N781" s="10" t="str" cm="1">
        <f t="array" ref="N781">IFERROR(_xlfn.XLOOKUP(1,('env Parameter'!$A:$A=$A781)*('env Parameter'!$B:$B=$K781)*('env Parameter'!$C:$C=$L781),'env Parameter'!I:I,""),"")</f>
        <v>YR</v>
      </c>
    </row>
    <row r="782" spans="1:14">
      <c r="A782">
        <f>eDNA!A782</f>
        <v>20200916</v>
      </c>
      <c r="B782" s="10" t="str" cm="1">
        <f t="array" ref="B782">IFERROR(_xlfn.XLOOKUP(1,('env Parameter'!$A:$A=$A782)*('env Parameter'!$B:$B=$K782)*('env Parameter'!$C:$C=$L782),'env Parameter'!H:H,""),"")</f>
        <v>생물상 조사</v>
      </c>
      <c r="C782" s="10" cm="1">
        <f t="array" ref="C782">IFERROR(_xlfn.XLOOKUP(1,('env Parameter'!$A:$A=$A782)*('env Parameter'!$B:$B=$K782)*('env Parameter'!$C:$C=$L782),'env Parameter'!E:E,""),"")</f>
        <v>2.14</v>
      </c>
      <c r="D782" s="10" cm="1">
        <f t="array" ref="D782">IFERROR(_xlfn.XLOOKUP(1,('env Parameter'!$A:$A=$A782)*('env Parameter'!$B:$B=$K782)*('env Parameter'!$C:$C=$L782),'env Parameter'!F:F,""),"")</f>
        <v>478</v>
      </c>
      <c r="E782" s="10" cm="1">
        <f t="array" ref="E782">IFERROR(_xlfn.XLOOKUP(1,('env Parameter'!$A:$A=$A782)*('env Parameter'!$B:$B=$K782)*('env Parameter'!$C:$C=$L782),'env Parameter'!G:G,""),"")</f>
        <v>7.6</v>
      </c>
      <c r="F782" t="str">
        <f>eDNA!F782</f>
        <v>MiFish</v>
      </c>
      <c r="G782" t="str">
        <f>eDNA!D782</f>
        <v>Hemibarbus sp.</v>
      </c>
      <c r="H782" t="str">
        <f>_xlfn.XLOOKUP(G782,'Common name (master file)'!$B:$B,'Common name (master file)'!$A:$A,"-------------")</f>
        <v>누치 속</v>
      </c>
      <c r="I782">
        <f>eDNA!E782</f>
        <v>3148</v>
      </c>
      <c r="J782" t="str">
        <f>_xlfn.XLOOKUP(G782,'Common name (master file)'!$B:$B,'Common name (master file)'!$C:$C,"")</f>
        <v>어류</v>
      </c>
      <c r="K782">
        <f>eDNA!B782</f>
        <v>126.87358690000001</v>
      </c>
      <c r="L782">
        <f>eDNA!C782</f>
        <v>37.508467699999997</v>
      </c>
      <c r="M782" s="10" t="str" cm="1">
        <f t="array" ref="M782">IFERROR(_xlfn.XLOOKUP(1,('env Parameter'!$A:$A=$A782)*('env Parameter'!$B:$B=$K782)*('env Parameter'!$C:$C=$L782),'env Parameter'!D:D,""),"")</f>
        <v>안양천-13</v>
      </c>
      <c r="N782" s="10" t="str" cm="1">
        <f t="array" ref="N782">IFERROR(_xlfn.XLOOKUP(1,('env Parameter'!$A:$A=$A782)*('env Parameter'!$B:$B=$K782)*('env Parameter'!$C:$C=$L782),'env Parameter'!I:I,""),"")</f>
        <v>YR</v>
      </c>
    </row>
    <row r="783" spans="1:14">
      <c r="A783">
        <f>eDNA!A783</f>
        <v>20200916</v>
      </c>
      <c r="B783" s="10" t="str" cm="1">
        <f t="array" ref="B783">IFERROR(_xlfn.XLOOKUP(1,('env Parameter'!$A:$A=$A783)*('env Parameter'!$B:$B=$K783)*('env Parameter'!$C:$C=$L783),'env Parameter'!H:H,""),"")</f>
        <v>생물상 조사</v>
      </c>
      <c r="C783" s="10" cm="1">
        <f t="array" ref="C783">IFERROR(_xlfn.XLOOKUP(1,('env Parameter'!$A:$A=$A783)*('env Parameter'!$B:$B=$K783)*('env Parameter'!$C:$C=$L783),'env Parameter'!E:E,""),"")</f>
        <v>2.14</v>
      </c>
      <c r="D783" s="10" cm="1">
        <f t="array" ref="D783">IFERROR(_xlfn.XLOOKUP(1,('env Parameter'!$A:$A=$A783)*('env Parameter'!$B:$B=$K783)*('env Parameter'!$C:$C=$L783),'env Parameter'!F:F,""),"")</f>
        <v>478</v>
      </c>
      <c r="E783" s="10" cm="1">
        <f t="array" ref="E783">IFERROR(_xlfn.XLOOKUP(1,('env Parameter'!$A:$A=$A783)*('env Parameter'!$B:$B=$K783)*('env Parameter'!$C:$C=$L783),'env Parameter'!G:G,""),"")</f>
        <v>7.6</v>
      </c>
      <c r="F783" t="str">
        <f>eDNA!F783</f>
        <v>MiFish</v>
      </c>
      <c r="G783" t="str">
        <f>eDNA!D783</f>
        <v>Planiliza haematocheila</v>
      </c>
      <c r="H783" t="str">
        <f>_xlfn.XLOOKUP(G783,'Common name (master file)'!$B:$B,'Common name (master file)'!$A:$A,"-------------")</f>
        <v>가숭어</v>
      </c>
      <c r="I783">
        <f>eDNA!E783</f>
        <v>6859</v>
      </c>
      <c r="J783" t="str">
        <f>_xlfn.XLOOKUP(G783,'Common name (master file)'!$B:$B,'Common name (master file)'!$C:$C,"")</f>
        <v>어류</v>
      </c>
      <c r="K783">
        <f>eDNA!B783</f>
        <v>126.87358690000001</v>
      </c>
      <c r="L783">
        <f>eDNA!C783</f>
        <v>37.508467699999997</v>
      </c>
      <c r="M783" s="10" t="str" cm="1">
        <f t="array" ref="M783">IFERROR(_xlfn.XLOOKUP(1,('env Parameter'!$A:$A=$A783)*('env Parameter'!$B:$B=$K783)*('env Parameter'!$C:$C=$L783),'env Parameter'!D:D,""),"")</f>
        <v>안양천-13</v>
      </c>
      <c r="N783" s="10" t="str" cm="1">
        <f t="array" ref="N783">IFERROR(_xlfn.XLOOKUP(1,('env Parameter'!$A:$A=$A783)*('env Parameter'!$B:$B=$K783)*('env Parameter'!$C:$C=$L783),'env Parameter'!I:I,""),"")</f>
        <v>YR</v>
      </c>
    </row>
    <row r="784" spans="1:14">
      <c r="A784">
        <f>eDNA!A784</f>
        <v>20200916</v>
      </c>
      <c r="B784" s="10" t="str" cm="1">
        <f t="array" ref="B784">IFERROR(_xlfn.XLOOKUP(1,('env Parameter'!$A:$A=$A784)*('env Parameter'!$B:$B=$K784)*('env Parameter'!$C:$C=$L784),'env Parameter'!H:H,""),"")</f>
        <v>생물상 조사</v>
      </c>
      <c r="C784" s="10" cm="1">
        <f t="array" ref="C784">IFERROR(_xlfn.XLOOKUP(1,('env Parameter'!$A:$A=$A784)*('env Parameter'!$B:$B=$K784)*('env Parameter'!$C:$C=$L784),'env Parameter'!E:E,""),"")</f>
        <v>2.14</v>
      </c>
      <c r="D784" s="10" cm="1">
        <f t="array" ref="D784">IFERROR(_xlfn.XLOOKUP(1,('env Parameter'!$A:$A=$A784)*('env Parameter'!$B:$B=$K784)*('env Parameter'!$C:$C=$L784),'env Parameter'!F:F,""),"")</f>
        <v>478</v>
      </c>
      <c r="E784" s="10" cm="1">
        <f t="array" ref="E784">IFERROR(_xlfn.XLOOKUP(1,('env Parameter'!$A:$A=$A784)*('env Parameter'!$B:$B=$K784)*('env Parameter'!$C:$C=$L784),'env Parameter'!G:G,""),"")</f>
        <v>7.6</v>
      </c>
      <c r="F784" t="str">
        <f>eDNA!F784</f>
        <v>MiFish</v>
      </c>
      <c r="G784" t="str">
        <f>eDNA!D784</f>
        <v>Pseudorasbora parva</v>
      </c>
      <c r="H784" t="str">
        <f>_xlfn.XLOOKUP(G784,'Common name (master file)'!$B:$B,'Common name (master file)'!$A:$A,"-------------")</f>
        <v>참붕어</v>
      </c>
      <c r="I784">
        <f>eDNA!E784</f>
        <v>22062</v>
      </c>
      <c r="J784" t="str">
        <f>_xlfn.XLOOKUP(G784,'Common name (master file)'!$B:$B,'Common name (master file)'!$C:$C,"")</f>
        <v>어류</v>
      </c>
      <c r="K784">
        <f>eDNA!B784</f>
        <v>126.87358690000001</v>
      </c>
      <c r="L784">
        <f>eDNA!C784</f>
        <v>37.508467699999997</v>
      </c>
      <c r="M784" s="10" t="str" cm="1">
        <f t="array" ref="M784">IFERROR(_xlfn.XLOOKUP(1,('env Parameter'!$A:$A=$A784)*('env Parameter'!$B:$B=$K784)*('env Parameter'!$C:$C=$L784),'env Parameter'!D:D,""),"")</f>
        <v>안양천-13</v>
      </c>
      <c r="N784" s="10" t="str" cm="1">
        <f t="array" ref="N784">IFERROR(_xlfn.XLOOKUP(1,('env Parameter'!$A:$A=$A784)*('env Parameter'!$B:$B=$K784)*('env Parameter'!$C:$C=$L784),'env Parameter'!I:I,""),"")</f>
        <v>YR</v>
      </c>
    </row>
    <row r="785" spans="1:14">
      <c r="A785">
        <f>eDNA!A785</f>
        <v>20200916</v>
      </c>
      <c r="B785" s="10" t="str" cm="1">
        <f t="array" ref="B785">IFERROR(_xlfn.XLOOKUP(1,('env Parameter'!$A:$A=$A785)*('env Parameter'!$B:$B=$K785)*('env Parameter'!$C:$C=$L785),'env Parameter'!H:H,""),"")</f>
        <v>생물상 조사</v>
      </c>
      <c r="C785" s="10" cm="1">
        <f t="array" ref="C785">IFERROR(_xlfn.XLOOKUP(1,('env Parameter'!$A:$A=$A785)*('env Parameter'!$B:$B=$K785)*('env Parameter'!$C:$C=$L785),'env Parameter'!E:E,""),"")</f>
        <v>2.14</v>
      </c>
      <c r="D785" s="10" cm="1">
        <f t="array" ref="D785">IFERROR(_xlfn.XLOOKUP(1,('env Parameter'!$A:$A=$A785)*('env Parameter'!$B:$B=$K785)*('env Parameter'!$C:$C=$L785),'env Parameter'!F:F,""),"")</f>
        <v>478</v>
      </c>
      <c r="E785" s="10" cm="1">
        <f t="array" ref="E785">IFERROR(_xlfn.XLOOKUP(1,('env Parameter'!$A:$A=$A785)*('env Parameter'!$B:$B=$K785)*('env Parameter'!$C:$C=$L785),'env Parameter'!G:G,""),"")</f>
        <v>7.6</v>
      </c>
      <c r="F785" t="str">
        <f>eDNA!F785</f>
        <v>MiFish</v>
      </c>
      <c r="G785" t="str">
        <f>eDNA!D785</f>
        <v>Carassius gibelio</v>
      </c>
      <c r="H785" t="str">
        <f>_xlfn.XLOOKUP(G785,'Common name (master file)'!$B:$B,'Common name (master file)'!$A:$A,"-------------")</f>
        <v>기벨리오 붕어</v>
      </c>
      <c r="I785">
        <f>eDNA!E785</f>
        <v>43707</v>
      </c>
      <c r="J785" t="str">
        <f>_xlfn.XLOOKUP(G785,'Common name (master file)'!$B:$B,'Common name (master file)'!$C:$C,"")</f>
        <v>어류</v>
      </c>
      <c r="K785">
        <f>eDNA!B785</f>
        <v>126.87358690000001</v>
      </c>
      <c r="L785">
        <f>eDNA!C785</f>
        <v>37.508467699999997</v>
      </c>
      <c r="M785" s="10" t="str" cm="1">
        <f t="array" ref="M785">IFERROR(_xlfn.XLOOKUP(1,('env Parameter'!$A:$A=$A785)*('env Parameter'!$B:$B=$K785)*('env Parameter'!$C:$C=$L785),'env Parameter'!D:D,""),"")</f>
        <v>안양천-13</v>
      </c>
      <c r="N785" s="10" t="str" cm="1">
        <f t="array" ref="N785">IFERROR(_xlfn.XLOOKUP(1,('env Parameter'!$A:$A=$A785)*('env Parameter'!$B:$B=$K785)*('env Parameter'!$C:$C=$L785),'env Parameter'!I:I,""),"")</f>
        <v>YR</v>
      </c>
    </row>
    <row r="786" spans="1:14">
      <c r="A786">
        <f>eDNA!A786</f>
        <v>20200916</v>
      </c>
      <c r="B786" s="10" t="str" cm="1">
        <f t="array" ref="B786">IFERROR(_xlfn.XLOOKUP(1,('env Parameter'!$A:$A=$A786)*('env Parameter'!$B:$B=$K786)*('env Parameter'!$C:$C=$L786),'env Parameter'!H:H,""),"")</f>
        <v>생물상 조사</v>
      </c>
      <c r="C786" s="10" cm="1">
        <f t="array" ref="C786">IFERROR(_xlfn.XLOOKUP(1,('env Parameter'!$A:$A=$A786)*('env Parameter'!$B:$B=$K786)*('env Parameter'!$C:$C=$L786),'env Parameter'!E:E,""),"")</f>
        <v>2.14</v>
      </c>
      <c r="D786" s="10" cm="1">
        <f t="array" ref="D786">IFERROR(_xlfn.XLOOKUP(1,('env Parameter'!$A:$A=$A786)*('env Parameter'!$B:$B=$K786)*('env Parameter'!$C:$C=$L786),'env Parameter'!F:F,""),"")</f>
        <v>478</v>
      </c>
      <c r="E786" s="10" cm="1">
        <f t="array" ref="E786">IFERROR(_xlfn.XLOOKUP(1,('env Parameter'!$A:$A=$A786)*('env Parameter'!$B:$B=$K786)*('env Parameter'!$C:$C=$L786),'env Parameter'!G:G,""),"")</f>
        <v>7.6</v>
      </c>
      <c r="F786" t="str">
        <f>eDNA!F786</f>
        <v>MiFish</v>
      </c>
      <c r="G786" t="str">
        <f>eDNA!D786</f>
        <v>Mugil cephalus</v>
      </c>
      <c r="H786" t="str">
        <f>_xlfn.XLOOKUP(G786,'Common name (master file)'!$B:$B,'Common name (master file)'!$A:$A,"-------------")</f>
        <v>숭어</v>
      </c>
      <c r="I786">
        <f>eDNA!E786</f>
        <v>12</v>
      </c>
      <c r="J786" t="str">
        <f>_xlfn.XLOOKUP(G786,'Common name (master file)'!$B:$B,'Common name (master file)'!$C:$C,"")</f>
        <v>어류</v>
      </c>
      <c r="K786">
        <f>eDNA!B786</f>
        <v>126.85185540000001</v>
      </c>
      <c r="L786">
        <f>eDNA!C786</f>
        <v>37.406578799999998</v>
      </c>
      <c r="M786" s="10" t="str" cm="1">
        <f t="array" ref="M786">IFERROR(_xlfn.XLOOKUP(1,('env Parameter'!$A:$A=$A786)*('env Parameter'!$B:$B=$K786)*('env Parameter'!$C:$C=$L786),'env Parameter'!D:D,""),"")</f>
        <v>목감천-4</v>
      </c>
      <c r="N786" s="10" t="str" cm="1">
        <f t="array" ref="N786">IFERROR(_xlfn.XLOOKUP(1,('env Parameter'!$A:$A=$A786)*('env Parameter'!$B:$B=$K786)*('env Parameter'!$C:$C=$L786),'env Parameter'!I:I,""),"")</f>
        <v>YR</v>
      </c>
    </row>
    <row r="787" spans="1:14">
      <c r="A787">
        <f>eDNA!A787</f>
        <v>20200916</v>
      </c>
      <c r="B787" s="10" t="str" cm="1">
        <f t="array" ref="B787">IFERROR(_xlfn.XLOOKUP(1,('env Parameter'!$A:$A=$A787)*('env Parameter'!$B:$B=$K787)*('env Parameter'!$C:$C=$L787),'env Parameter'!H:H,""),"")</f>
        <v>생물상 조사</v>
      </c>
      <c r="C787" s="10" cm="1">
        <f t="array" ref="C787">IFERROR(_xlfn.XLOOKUP(1,('env Parameter'!$A:$A=$A787)*('env Parameter'!$B:$B=$K787)*('env Parameter'!$C:$C=$L787),'env Parameter'!E:E,""),"")</f>
        <v>2.14</v>
      </c>
      <c r="D787" s="10" cm="1">
        <f t="array" ref="D787">IFERROR(_xlfn.XLOOKUP(1,('env Parameter'!$A:$A=$A787)*('env Parameter'!$B:$B=$K787)*('env Parameter'!$C:$C=$L787),'env Parameter'!F:F,""),"")</f>
        <v>478</v>
      </c>
      <c r="E787" s="10" cm="1">
        <f t="array" ref="E787">IFERROR(_xlfn.XLOOKUP(1,('env Parameter'!$A:$A=$A787)*('env Parameter'!$B:$B=$K787)*('env Parameter'!$C:$C=$L787),'env Parameter'!G:G,""),"")</f>
        <v>7.6</v>
      </c>
      <c r="F787" t="str">
        <f>eDNA!F787</f>
        <v>MiFish</v>
      </c>
      <c r="G787" t="str">
        <f>eDNA!D787</f>
        <v>Channa argus</v>
      </c>
      <c r="H787" t="str">
        <f>_xlfn.XLOOKUP(G787,'Common name (master file)'!$B:$B,'Common name (master file)'!$A:$A,"-------------")</f>
        <v>가물치</v>
      </c>
      <c r="I787">
        <f>eDNA!E787</f>
        <v>13</v>
      </c>
      <c r="J787" t="str">
        <f>_xlfn.XLOOKUP(G787,'Common name (master file)'!$B:$B,'Common name (master file)'!$C:$C,"")</f>
        <v>어류</v>
      </c>
      <c r="K787">
        <f>eDNA!B787</f>
        <v>126.85185540000001</v>
      </c>
      <c r="L787">
        <f>eDNA!C787</f>
        <v>37.406578799999998</v>
      </c>
      <c r="M787" s="10" t="str" cm="1">
        <f t="array" ref="M787">IFERROR(_xlfn.XLOOKUP(1,('env Parameter'!$A:$A=$A787)*('env Parameter'!$B:$B=$K787)*('env Parameter'!$C:$C=$L787),'env Parameter'!D:D,""),"")</f>
        <v>목감천-4</v>
      </c>
      <c r="N787" s="10" t="str" cm="1">
        <f t="array" ref="N787">IFERROR(_xlfn.XLOOKUP(1,('env Parameter'!$A:$A=$A787)*('env Parameter'!$B:$B=$K787)*('env Parameter'!$C:$C=$L787),'env Parameter'!I:I,""),"")</f>
        <v>YR</v>
      </c>
    </row>
    <row r="788" spans="1:14">
      <c r="A788">
        <f>eDNA!A788</f>
        <v>20200916</v>
      </c>
      <c r="B788" s="10" t="str" cm="1">
        <f t="array" ref="B788">IFERROR(_xlfn.XLOOKUP(1,('env Parameter'!$A:$A=$A788)*('env Parameter'!$B:$B=$K788)*('env Parameter'!$C:$C=$L788),'env Parameter'!H:H,""),"")</f>
        <v>생물상 조사</v>
      </c>
      <c r="C788" s="10" cm="1">
        <f t="array" ref="C788">IFERROR(_xlfn.XLOOKUP(1,('env Parameter'!$A:$A=$A788)*('env Parameter'!$B:$B=$K788)*('env Parameter'!$C:$C=$L788),'env Parameter'!E:E,""),"")</f>
        <v>2.14</v>
      </c>
      <c r="D788" s="10" cm="1">
        <f t="array" ref="D788">IFERROR(_xlfn.XLOOKUP(1,('env Parameter'!$A:$A=$A788)*('env Parameter'!$B:$B=$K788)*('env Parameter'!$C:$C=$L788),'env Parameter'!F:F,""),"")</f>
        <v>478</v>
      </c>
      <c r="E788" s="10" cm="1">
        <f t="array" ref="E788">IFERROR(_xlfn.XLOOKUP(1,('env Parameter'!$A:$A=$A788)*('env Parameter'!$B:$B=$K788)*('env Parameter'!$C:$C=$L788),'env Parameter'!G:G,""),"")</f>
        <v>7.6</v>
      </c>
      <c r="F788" t="str">
        <f>eDNA!F788</f>
        <v>MiFish</v>
      </c>
      <c r="G788" t="str">
        <f>eDNA!D788</f>
        <v>Acanthorhodeus chankaensis</v>
      </c>
      <c r="H788" t="str">
        <f>_xlfn.XLOOKUP(G788,'Common name (master file)'!$B:$B,'Common name (master file)'!$A:$A,"-------------")</f>
        <v>가시납지리</v>
      </c>
      <c r="I788">
        <f>eDNA!E788</f>
        <v>13</v>
      </c>
      <c r="J788" t="str">
        <f>_xlfn.XLOOKUP(G788,'Common name (master file)'!$B:$B,'Common name (master file)'!$C:$C,"")</f>
        <v>어류</v>
      </c>
      <c r="K788">
        <f>eDNA!B788</f>
        <v>126.85185540000001</v>
      </c>
      <c r="L788">
        <f>eDNA!C788</f>
        <v>37.406578799999998</v>
      </c>
      <c r="M788" s="10" t="str" cm="1">
        <f t="array" ref="M788">IFERROR(_xlfn.XLOOKUP(1,('env Parameter'!$A:$A=$A788)*('env Parameter'!$B:$B=$K788)*('env Parameter'!$C:$C=$L788),'env Parameter'!D:D,""),"")</f>
        <v>목감천-4</v>
      </c>
      <c r="N788" s="10" t="str" cm="1">
        <f t="array" ref="N788">IFERROR(_xlfn.XLOOKUP(1,('env Parameter'!$A:$A=$A788)*('env Parameter'!$B:$B=$K788)*('env Parameter'!$C:$C=$L788),'env Parameter'!I:I,""),"")</f>
        <v>YR</v>
      </c>
    </row>
    <row r="789" spans="1:14">
      <c r="A789">
        <f>eDNA!A789</f>
        <v>20200916</v>
      </c>
      <c r="B789" s="10" t="str" cm="1">
        <f t="array" ref="B789">IFERROR(_xlfn.XLOOKUP(1,('env Parameter'!$A:$A=$A789)*('env Parameter'!$B:$B=$K789)*('env Parameter'!$C:$C=$L789),'env Parameter'!H:H,""),"")</f>
        <v>생물상 조사</v>
      </c>
      <c r="C789" s="10" cm="1">
        <f t="array" ref="C789">IFERROR(_xlfn.XLOOKUP(1,('env Parameter'!$A:$A=$A789)*('env Parameter'!$B:$B=$K789)*('env Parameter'!$C:$C=$L789),'env Parameter'!E:E,""),"")</f>
        <v>2.14</v>
      </c>
      <c r="D789" s="10" cm="1">
        <f t="array" ref="D789">IFERROR(_xlfn.XLOOKUP(1,('env Parameter'!$A:$A=$A789)*('env Parameter'!$B:$B=$K789)*('env Parameter'!$C:$C=$L789),'env Parameter'!F:F,""),"")</f>
        <v>478</v>
      </c>
      <c r="E789" s="10" cm="1">
        <f t="array" ref="E789">IFERROR(_xlfn.XLOOKUP(1,('env Parameter'!$A:$A=$A789)*('env Parameter'!$B:$B=$K789)*('env Parameter'!$C:$C=$L789),'env Parameter'!G:G,""),"")</f>
        <v>7.6</v>
      </c>
      <c r="F789" t="str">
        <f>eDNA!F789</f>
        <v>MiFish</v>
      </c>
      <c r="G789" t="str">
        <f>eDNA!D789</f>
        <v>Rhinogobius giurinus</v>
      </c>
      <c r="H789" t="str">
        <f>_xlfn.XLOOKUP(G789,'Common name (master file)'!$B:$B,'Common name (master file)'!$A:$A,"-------------")</f>
        <v>갈문망둑</v>
      </c>
      <c r="I789">
        <f>eDNA!E789</f>
        <v>14</v>
      </c>
      <c r="J789" t="str">
        <f>_xlfn.XLOOKUP(G789,'Common name (master file)'!$B:$B,'Common name (master file)'!$C:$C,"")</f>
        <v>어류</v>
      </c>
      <c r="K789">
        <f>eDNA!B789</f>
        <v>126.85185540000001</v>
      </c>
      <c r="L789">
        <f>eDNA!C789</f>
        <v>37.406578799999998</v>
      </c>
      <c r="M789" s="10" t="str" cm="1">
        <f t="array" ref="M789">IFERROR(_xlfn.XLOOKUP(1,('env Parameter'!$A:$A=$A789)*('env Parameter'!$B:$B=$K789)*('env Parameter'!$C:$C=$L789),'env Parameter'!D:D,""),"")</f>
        <v>목감천-4</v>
      </c>
      <c r="N789" s="10" t="str" cm="1">
        <f t="array" ref="N789">IFERROR(_xlfn.XLOOKUP(1,('env Parameter'!$A:$A=$A789)*('env Parameter'!$B:$B=$K789)*('env Parameter'!$C:$C=$L789),'env Parameter'!I:I,""),"")</f>
        <v>YR</v>
      </c>
    </row>
    <row r="790" spans="1:14">
      <c r="A790">
        <f>eDNA!A790</f>
        <v>20200916</v>
      </c>
      <c r="B790" s="10" t="str" cm="1">
        <f t="array" ref="B790">IFERROR(_xlfn.XLOOKUP(1,('env Parameter'!$A:$A=$A790)*('env Parameter'!$B:$B=$K790)*('env Parameter'!$C:$C=$L790),'env Parameter'!H:H,""),"")</f>
        <v>생물상 조사</v>
      </c>
      <c r="C790" s="10" cm="1">
        <f t="array" ref="C790">IFERROR(_xlfn.XLOOKUP(1,('env Parameter'!$A:$A=$A790)*('env Parameter'!$B:$B=$K790)*('env Parameter'!$C:$C=$L790),'env Parameter'!E:E,""),"")</f>
        <v>2.14</v>
      </c>
      <c r="D790" s="10" cm="1">
        <f t="array" ref="D790">IFERROR(_xlfn.XLOOKUP(1,('env Parameter'!$A:$A=$A790)*('env Parameter'!$B:$B=$K790)*('env Parameter'!$C:$C=$L790),'env Parameter'!F:F,""),"")</f>
        <v>478</v>
      </c>
      <c r="E790" s="10" cm="1">
        <f t="array" ref="E790">IFERROR(_xlfn.XLOOKUP(1,('env Parameter'!$A:$A=$A790)*('env Parameter'!$B:$B=$K790)*('env Parameter'!$C:$C=$L790),'env Parameter'!G:G,""),"")</f>
        <v>7.6</v>
      </c>
      <c r="F790" t="str">
        <f>eDNA!F790</f>
        <v>MiFish</v>
      </c>
      <c r="G790" t="str">
        <f>eDNA!D790</f>
        <v>Carassius cuvieri</v>
      </c>
      <c r="H790" t="str">
        <f>_xlfn.XLOOKUP(G790,'Common name (master file)'!$B:$B,'Common name (master file)'!$A:$A,"-------------")</f>
        <v>떡붕어</v>
      </c>
      <c r="I790">
        <f>eDNA!E790</f>
        <v>15</v>
      </c>
      <c r="J790" t="str">
        <f>_xlfn.XLOOKUP(G790,'Common name (master file)'!$B:$B,'Common name (master file)'!$C:$C,"")</f>
        <v>어류</v>
      </c>
      <c r="K790">
        <f>eDNA!B790</f>
        <v>126.85185540000001</v>
      </c>
      <c r="L790">
        <f>eDNA!C790</f>
        <v>37.406578799999998</v>
      </c>
      <c r="M790" s="10" t="str" cm="1">
        <f t="array" ref="M790">IFERROR(_xlfn.XLOOKUP(1,('env Parameter'!$A:$A=$A790)*('env Parameter'!$B:$B=$K790)*('env Parameter'!$C:$C=$L790),'env Parameter'!D:D,""),"")</f>
        <v>목감천-4</v>
      </c>
      <c r="N790" s="10" t="str" cm="1">
        <f t="array" ref="N790">IFERROR(_xlfn.XLOOKUP(1,('env Parameter'!$A:$A=$A790)*('env Parameter'!$B:$B=$K790)*('env Parameter'!$C:$C=$L790),'env Parameter'!I:I,""),"")</f>
        <v>YR</v>
      </c>
    </row>
    <row r="791" spans="1:14">
      <c r="A791">
        <f>eDNA!A791</f>
        <v>20200916</v>
      </c>
      <c r="B791" s="10" t="str" cm="1">
        <f t="array" ref="B791">IFERROR(_xlfn.XLOOKUP(1,('env Parameter'!$A:$A=$A791)*('env Parameter'!$B:$B=$K791)*('env Parameter'!$C:$C=$L791),'env Parameter'!H:H,""),"")</f>
        <v>생물상 조사</v>
      </c>
      <c r="C791" s="10" cm="1">
        <f t="array" ref="C791">IFERROR(_xlfn.XLOOKUP(1,('env Parameter'!$A:$A=$A791)*('env Parameter'!$B:$B=$K791)*('env Parameter'!$C:$C=$L791),'env Parameter'!E:E,""),"")</f>
        <v>2.14</v>
      </c>
      <c r="D791" s="10" cm="1">
        <f t="array" ref="D791">IFERROR(_xlfn.XLOOKUP(1,('env Parameter'!$A:$A=$A791)*('env Parameter'!$B:$B=$K791)*('env Parameter'!$C:$C=$L791),'env Parameter'!F:F,""),"")</f>
        <v>478</v>
      </c>
      <c r="E791" s="10" cm="1">
        <f t="array" ref="E791">IFERROR(_xlfn.XLOOKUP(1,('env Parameter'!$A:$A=$A791)*('env Parameter'!$B:$B=$K791)*('env Parameter'!$C:$C=$L791),'env Parameter'!G:G,""),"")</f>
        <v>7.6</v>
      </c>
      <c r="F791" t="str">
        <f>eDNA!F791</f>
        <v>MiFish</v>
      </c>
      <c r="G791" t="str">
        <f>eDNA!D791</f>
        <v>Engraulis japonicus</v>
      </c>
      <c r="H791" t="str">
        <f>_xlfn.XLOOKUP(G791,'Common name (master file)'!$B:$B,'Common name (master file)'!$A:$A,"-------------")</f>
        <v>멸치</v>
      </c>
      <c r="I791">
        <f>eDNA!E791</f>
        <v>16</v>
      </c>
      <c r="J791" t="str">
        <f>_xlfn.XLOOKUP(G791,'Common name (master file)'!$B:$B,'Common name (master file)'!$C:$C,"")</f>
        <v>어류</v>
      </c>
      <c r="K791">
        <f>eDNA!B791</f>
        <v>126.85185540000001</v>
      </c>
      <c r="L791">
        <f>eDNA!C791</f>
        <v>37.406578799999998</v>
      </c>
      <c r="M791" s="10" t="str" cm="1">
        <f t="array" ref="M791">IFERROR(_xlfn.XLOOKUP(1,('env Parameter'!$A:$A=$A791)*('env Parameter'!$B:$B=$K791)*('env Parameter'!$C:$C=$L791),'env Parameter'!D:D,""),"")</f>
        <v>목감천-4</v>
      </c>
      <c r="N791" s="10" t="str" cm="1">
        <f t="array" ref="N791">IFERROR(_xlfn.XLOOKUP(1,('env Parameter'!$A:$A=$A791)*('env Parameter'!$B:$B=$K791)*('env Parameter'!$C:$C=$L791),'env Parameter'!I:I,""),"")</f>
        <v>YR</v>
      </c>
    </row>
    <row r="792" spans="1:14">
      <c r="A792">
        <f>eDNA!A792</f>
        <v>20200916</v>
      </c>
      <c r="B792" s="10" t="str" cm="1">
        <f t="array" ref="B792">IFERROR(_xlfn.XLOOKUP(1,('env Parameter'!$A:$A=$A792)*('env Parameter'!$B:$B=$K792)*('env Parameter'!$C:$C=$L792),'env Parameter'!H:H,""),"")</f>
        <v>생물상 조사</v>
      </c>
      <c r="C792" s="10" cm="1">
        <f t="array" ref="C792">IFERROR(_xlfn.XLOOKUP(1,('env Parameter'!$A:$A=$A792)*('env Parameter'!$B:$B=$K792)*('env Parameter'!$C:$C=$L792),'env Parameter'!E:E,""),"")</f>
        <v>2.14</v>
      </c>
      <c r="D792" s="10" cm="1">
        <f t="array" ref="D792">IFERROR(_xlfn.XLOOKUP(1,('env Parameter'!$A:$A=$A792)*('env Parameter'!$B:$B=$K792)*('env Parameter'!$C:$C=$L792),'env Parameter'!F:F,""),"")</f>
        <v>478</v>
      </c>
      <c r="E792" s="10" cm="1">
        <f t="array" ref="E792">IFERROR(_xlfn.XLOOKUP(1,('env Parameter'!$A:$A=$A792)*('env Parameter'!$B:$B=$K792)*('env Parameter'!$C:$C=$L792),'env Parameter'!G:G,""),"")</f>
        <v>7.6</v>
      </c>
      <c r="F792" t="str">
        <f>eDNA!F792</f>
        <v>MiFish</v>
      </c>
      <c r="G792" t="str">
        <f>eDNA!D792</f>
        <v>Zacco platypus</v>
      </c>
      <c r="H792" t="str">
        <f>_xlfn.XLOOKUP(G792,'Common name (master file)'!$B:$B,'Common name (master file)'!$A:$A,"-------------")</f>
        <v>피라미</v>
      </c>
      <c r="I792">
        <f>eDNA!E792</f>
        <v>35</v>
      </c>
      <c r="J792" t="str">
        <f>_xlfn.XLOOKUP(G792,'Common name (master file)'!$B:$B,'Common name (master file)'!$C:$C,"")</f>
        <v>어류</v>
      </c>
      <c r="K792">
        <f>eDNA!B792</f>
        <v>126.85185540000001</v>
      </c>
      <c r="L792">
        <f>eDNA!C792</f>
        <v>37.406578799999998</v>
      </c>
      <c r="M792" s="10" t="str" cm="1">
        <f t="array" ref="M792">IFERROR(_xlfn.XLOOKUP(1,('env Parameter'!$A:$A=$A792)*('env Parameter'!$B:$B=$K792)*('env Parameter'!$C:$C=$L792),'env Parameter'!D:D,""),"")</f>
        <v>목감천-4</v>
      </c>
      <c r="N792" s="10" t="str" cm="1">
        <f t="array" ref="N792">IFERROR(_xlfn.XLOOKUP(1,('env Parameter'!$A:$A=$A792)*('env Parameter'!$B:$B=$K792)*('env Parameter'!$C:$C=$L792),'env Parameter'!I:I,""),"")</f>
        <v>YR</v>
      </c>
    </row>
    <row r="793" spans="1:14">
      <c r="A793">
        <f>eDNA!A793</f>
        <v>20201024</v>
      </c>
      <c r="B793" s="10" t="str" cm="1">
        <f t="array" ref="B793">IFERROR(_xlfn.XLOOKUP(1,('env Parameter'!$A:$A=$A793)*('env Parameter'!$B:$B=$K793)*('env Parameter'!$C:$C=$L793),'env Parameter'!H:H,""),"")</f>
        <v>생물상 조사</v>
      </c>
      <c r="C793" s="10" cm="1">
        <f t="array" ref="C793">IFERROR(_xlfn.XLOOKUP(1,('env Parameter'!$A:$A=$A793)*('env Parameter'!$B:$B=$K793)*('env Parameter'!$C:$C=$L793),'env Parameter'!E:E,""),"")</f>
        <v>2.14</v>
      </c>
      <c r="D793" s="10" cm="1">
        <f t="array" ref="D793">IFERROR(_xlfn.XLOOKUP(1,('env Parameter'!$A:$A=$A793)*('env Parameter'!$B:$B=$K793)*('env Parameter'!$C:$C=$L793),'env Parameter'!F:F,""),"")</f>
        <v>478</v>
      </c>
      <c r="E793" s="10" cm="1">
        <f t="array" ref="E793">IFERROR(_xlfn.XLOOKUP(1,('env Parameter'!$A:$A=$A793)*('env Parameter'!$B:$B=$K793)*('env Parameter'!$C:$C=$L793),'env Parameter'!G:G,""),"")</f>
        <v>7.6</v>
      </c>
      <c r="F793" t="str">
        <f>eDNA!F793</f>
        <v>MiFish</v>
      </c>
      <c r="G793" t="str">
        <f>eDNA!D793</f>
        <v>Felis catus</v>
      </c>
      <c r="H793" t="str">
        <f>_xlfn.XLOOKUP(G793,'Common name (master file)'!$B:$B,'Common name (master file)'!$A:$A,"-------------")</f>
        <v>고양이</v>
      </c>
      <c r="I793">
        <f>eDNA!E793</f>
        <v>42</v>
      </c>
      <c r="J793" t="str">
        <f>_xlfn.XLOOKUP(G793,'Common name (master file)'!$B:$B,'Common name (master file)'!$C:$C,"")</f>
        <v>포유류</v>
      </c>
      <c r="K793">
        <f>eDNA!B793</f>
        <v>126.94555939999999</v>
      </c>
      <c r="L793">
        <f>eDNA!C793</f>
        <v>37.373177800000001</v>
      </c>
      <c r="M793" s="10" t="str" cm="1">
        <f t="array" ref="M793">IFERROR(_xlfn.XLOOKUP(1,('env Parameter'!$A:$A=$A793)*('env Parameter'!$B:$B=$K793)*('env Parameter'!$C:$C=$L793),'env Parameter'!D:D,""),"")</f>
        <v>안양천-3</v>
      </c>
      <c r="N793" s="10" t="str" cm="1">
        <f t="array" ref="N793">IFERROR(_xlfn.XLOOKUP(1,('env Parameter'!$A:$A=$A793)*('env Parameter'!$B:$B=$K793)*('env Parameter'!$C:$C=$L793),'env Parameter'!I:I,""),"")</f>
        <v>YR</v>
      </c>
    </row>
    <row r="794" spans="1:14">
      <c r="A794">
        <f>eDNA!A794</f>
        <v>20200916</v>
      </c>
      <c r="B794" s="10" t="str" cm="1">
        <f t="array" ref="B794">IFERROR(_xlfn.XLOOKUP(1,('env Parameter'!$A:$A=$A794)*('env Parameter'!$B:$B=$K794)*('env Parameter'!$C:$C=$L794),'env Parameter'!H:H,""),"")</f>
        <v>생물상 조사</v>
      </c>
      <c r="C794" s="10" cm="1">
        <f t="array" ref="C794">IFERROR(_xlfn.XLOOKUP(1,('env Parameter'!$A:$A=$A794)*('env Parameter'!$B:$B=$K794)*('env Parameter'!$C:$C=$L794),'env Parameter'!E:E,""),"")</f>
        <v>2.14</v>
      </c>
      <c r="D794" s="10" cm="1">
        <f t="array" ref="D794">IFERROR(_xlfn.XLOOKUP(1,('env Parameter'!$A:$A=$A794)*('env Parameter'!$B:$B=$K794)*('env Parameter'!$C:$C=$L794),'env Parameter'!F:F,""),"")</f>
        <v>478</v>
      </c>
      <c r="E794" s="10" cm="1">
        <f t="array" ref="E794">IFERROR(_xlfn.XLOOKUP(1,('env Parameter'!$A:$A=$A794)*('env Parameter'!$B:$B=$K794)*('env Parameter'!$C:$C=$L794),'env Parameter'!G:G,""),"")</f>
        <v>7.6</v>
      </c>
      <c r="F794" t="str">
        <f>eDNA!F794</f>
        <v>MiFish</v>
      </c>
      <c r="G794" t="str">
        <f>eDNA!D794</f>
        <v>Micropterus salmoides</v>
      </c>
      <c r="H794" t="str">
        <f>_xlfn.XLOOKUP(G794,'Common name (master file)'!$B:$B,'Common name (master file)'!$A:$A,"-------------")</f>
        <v>큰입배스</v>
      </c>
      <c r="I794">
        <f>eDNA!E794</f>
        <v>27</v>
      </c>
      <c r="J794" t="str">
        <f>_xlfn.XLOOKUP(G794,'Common name (master file)'!$B:$B,'Common name (master file)'!$C:$C,"")</f>
        <v>어류</v>
      </c>
      <c r="K794">
        <f>eDNA!B794</f>
        <v>126.85185540000001</v>
      </c>
      <c r="L794">
        <f>eDNA!C794</f>
        <v>37.406578799999998</v>
      </c>
      <c r="M794" s="10" t="str" cm="1">
        <f t="array" ref="M794">IFERROR(_xlfn.XLOOKUP(1,('env Parameter'!$A:$A=$A794)*('env Parameter'!$B:$B=$K794)*('env Parameter'!$C:$C=$L794),'env Parameter'!D:D,""),"")</f>
        <v>목감천-4</v>
      </c>
      <c r="N794" s="10" t="str" cm="1">
        <f t="array" ref="N794">IFERROR(_xlfn.XLOOKUP(1,('env Parameter'!$A:$A=$A794)*('env Parameter'!$B:$B=$K794)*('env Parameter'!$C:$C=$L794),'env Parameter'!I:I,""),"")</f>
        <v>YR</v>
      </c>
    </row>
    <row r="795" spans="1:14">
      <c r="A795">
        <f>eDNA!A795</f>
        <v>20200916</v>
      </c>
      <c r="B795" s="10" t="str" cm="1">
        <f t="array" ref="B795">IFERROR(_xlfn.XLOOKUP(1,('env Parameter'!$A:$A=$A795)*('env Parameter'!$B:$B=$K795)*('env Parameter'!$C:$C=$L795),'env Parameter'!H:H,""),"")</f>
        <v>생물상 조사</v>
      </c>
      <c r="C795" s="10" cm="1">
        <f t="array" ref="C795">IFERROR(_xlfn.XLOOKUP(1,('env Parameter'!$A:$A=$A795)*('env Parameter'!$B:$B=$K795)*('env Parameter'!$C:$C=$L795),'env Parameter'!E:E,""),"")</f>
        <v>2.14</v>
      </c>
      <c r="D795" s="10" cm="1">
        <f t="array" ref="D795">IFERROR(_xlfn.XLOOKUP(1,('env Parameter'!$A:$A=$A795)*('env Parameter'!$B:$B=$K795)*('env Parameter'!$C:$C=$L795),'env Parameter'!F:F,""),"")</f>
        <v>478</v>
      </c>
      <c r="E795" s="10" cm="1">
        <f t="array" ref="E795">IFERROR(_xlfn.XLOOKUP(1,('env Parameter'!$A:$A=$A795)*('env Parameter'!$B:$B=$K795)*('env Parameter'!$C:$C=$L795),'env Parameter'!G:G,""),"")</f>
        <v>7.6</v>
      </c>
      <c r="F795" t="str">
        <f>eDNA!F795</f>
        <v>MiFish</v>
      </c>
      <c r="G795" t="str">
        <f>eDNA!D795</f>
        <v>Sus scrofa</v>
      </c>
      <c r="H795" t="str">
        <f>_xlfn.XLOOKUP(G795,'Common name (master file)'!$B:$B,'Common name (master file)'!$A:$A,"-------------")</f>
        <v>멧돼지</v>
      </c>
      <c r="I795">
        <f>eDNA!E795</f>
        <v>88</v>
      </c>
      <c r="J795" t="str">
        <f>_xlfn.XLOOKUP(G795,'Common name (master file)'!$B:$B,'Common name (master file)'!$C:$C,"")</f>
        <v>포유류</v>
      </c>
      <c r="K795">
        <f>eDNA!B795</f>
        <v>126.85185540000001</v>
      </c>
      <c r="L795">
        <f>eDNA!C795</f>
        <v>37.406578799999998</v>
      </c>
      <c r="M795" s="10" t="str" cm="1">
        <f t="array" ref="M795">IFERROR(_xlfn.XLOOKUP(1,('env Parameter'!$A:$A=$A795)*('env Parameter'!$B:$B=$K795)*('env Parameter'!$C:$C=$L795),'env Parameter'!D:D,""),"")</f>
        <v>목감천-4</v>
      </c>
      <c r="N795" s="10" t="str" cm="1">
        <f t="array" ref="N795">IFERROR(_xlfn.XLOOKUP(1,('env Parameter'!$A:$A=$A795)*('env Parameter'!$B:$B=$K795)*('env Parameter'!$C:$C=$L795),'env Parameter'!I:I,""),"")</f>
        <v>YR</v>
      </c>
    </row>
    <row r="796" spans="1:14">
      <c r="A796">
        <f>eDNA!A796</f>
        <v>20200916</v>
      </c>
      <c r="B796" s="10" t="str" cm="1">
        <f t="array" ref="B796">IFERROR(_xlfn.XLOOKUP(1,('env Parameter'!$A:$A=$A796)*('env Parameter'!$B:$B=$K796)*('env Parameter'!$C:$C=$L796),'env Parameter'!H:H,""),"")</f>
        <v>생물상 조사</v>
      </c>
      <c r="C796" s="10" cm="1">
        <f t="array" ref="C796">IFERROR(_xlfn.XLOOKUP(1,('env Parameter'!$A:$A=$A796)*('env Parameter'!$B:$B=$K796)*('env Parameter'!$C:$C=$L796),'env Parameter'!E:E,""),"")</f>
        <v>2.14</v>
      </c>
      <c r="D796" s="10" cm="1">
        <f t="array" ref="D796">IFERROR(_xlfn.XLOOKUP(1,('env Parameter'!$A:$A=$A796)*('env Parameter'!$B:$B=$K796)*('env Parameter'!$C:$C=$L796),'env Parameter'!F:F,""),"")</f>
        <v>478</v>
      </c>
      <c r="E796" s="10" cm="1">
        <f t="array" ref="E796">IFERROR(_xlfn.XLOOKUP(1,('env Parameter'!$A:$A=$A796)*('env Parameter'!$B:$B=$K796)*('env Parameter'!$C:$C=$L796),'env Parameter'!G:G,""),"")</f>
        <v>7.6</v>
      </c>
      <c r="F796" t="str">
        <f>eDNA!F796</f>
        <v>MiFish</v>
      </c>
      <c r="G796" t="str">
        <f>eDNA!D796</f>
        <v>Lepomis macrochirus</v>
      </c>
      <c r="H796" t="str">
        <f>_xlfn.XLOOKUP(G796,'Common name (master file)'!$B:$B,'Common name (master file)'!$A:$A,"-------------")</f>
        <v>블루길</v>
      </c>
      <c r="I796">
        <f>eDNA!E796</f>
        <v>34</v>
      </c>
      <c r="J796" t="str">
        <f>_xlfn.XLOOKUP(G796,'Common name (master file)'!$B:$B,'Common name (master file)'!$C:$C,"")</f>
        <v>어류</v>
      </c>
      <c r="K796">
        <f>eDNA!B796</f>
        <v>126.85185540000001</v>
      </c>
      <c r="L796">
        <f>eDNA!C796</f>
        <v>37.406578799999998</v>
      </c>
      <c r="M796" s="10" t="str" cm="1">
        <f t="array" ref="M796">IFERROR(_xlfn.XLOOKUP(1,('env Parameter'!$A:$A=$A796)*('env Parameter'!$B:$B=$K796)*('env Parameter'!$C:$C=$L796),'env Parameter'!D:D,""),"")</f>
        <v>목감천-4</v>
      </c>
      <c r="N796" s="10" t="str" cm="1">
        <f t="array" ref="N796">IFERROR(_xlfn.XLOOKUP(1,('env Parameter'!$A:$A=$A796)*('env Parameter'!$B:$B=$K796)*('env Parameter'!$C:$C=$L796),'env Parameter'!I:I,""),"")</f>
        <v>YR</v>
      </c>
    </row>
    <row r="797" spans="1:14">
      <c r="A797">
        <f>eDNA!A797</f>
        <v>20200916</v>
      </c>
      <c r="B797" s="10" t="str" cm="1">
        <f t="array" ref="B797">IFERROR(_xlfn.XLOOKUP(1,('env Parameter'!$A:$A=$A797)*('env Parameter'!$B:$B=$K797)*('env Parameter'!$C:$C=$L797),'env Parameter'!H:H,""),"")</f>
        <v>생물상 조사</v>
      </c>
      <c r="C797" s="10" cm="1">
        <f t="array" ref="C797">IFERROR(_xlfn.XLOOKUP(1,('env Parameter'!$A:$A=$A797)*('env Parameter'!$B:$B=$K797)*('env Parameter'!$C:$C=$L797),'env Parameter'!E:E,""),"")</f>
        <v>2.14</v>
      </c>
      <c r="D797" s="10" cm="1">
        <f t="array" ref="D797">IFERROR(_xlfn.XLOOKUP(1,('env Parameter'!$A:$A=$A797)*('env Parameter'!$B:$B=$K797)*('env Parameter'!$C:$C=$L797),'env Parameter'!F:F,""),"")</f>
        <v>478</v>
      </c>
      <c r="E797" s="10" cm="1">
        <f t="array" ref="E797">IFERROR(_xlfn.XLOOKUP(1,('env Parameter'!$A:$A=$A797)*('env Parameter'!$B:$B=$K797)*('env Parameter'!$C:$C=$L797),'env Parameter'!G:G,""),"")</f>
        <v>7.6</v>
      </c>
      <c r="F797" t="str">
        <f>eDNA!F797</f>
        <v>MiFish</v>
      </c>
      <c r="G797" t="str">
        <f>eDNA!D797</f>
        <v>Carassius sp.</v>
      </c>
      <c r="H797" t="str">
        <f>_xlfn.XLOOKUP(G797,'Common name (master file)'!$B:$B,'Common name (master file)'!$A:$A,"-------------")</f>
        <v>붕어 속</v>
      </c>
      <c r="I797">
        <f>eDNA!E797</f>
        <v>58</v>
      </c>
      <c r="J797" t="str">
        <f>_xlfn.XLOOKUP(G797,'Common name (master file)'!$B:$B,'Common name (master file)'!$C:$C,"")</f>
        <v>어류</v>
      </c>
      <c r="K797">
        <f>eDNA!B797</f>
        <v>126.85185540000001</v>
      </c>
      <c r="L797">
        <f>eDNA!C797</f>
        <v>37.406578799999998</v>
      </c>
      <c r="M797" s="10" t="str" cm="1">
        <f t="array" ref="M797">IFERROR(_xlfn.XLOOKUP(1,('env Parameter'!$A:$A=$A797)*('env Parameter'!$B:$B=$K797)*('env Parameter'!$C:$C=$L797),'env Parameter'!D:D,""),"")</f>
        <v>목감천-4</v>
      </c>
      <c r="N797" s="10" t="str" cm="1">
        <f t="array" ref="N797">IFERROR(_xlfn.XLOOKUP(1,('env Parameter'!$A:$A=$A797)*('env Parameter'!$B:$B=$K797)*('env Parameter'!$C:$C=$L797),'env Parameter'!I:I,""),"")</f>
        <v>YR</v>
      </c>
    </row>
    <row r="798" spans="1:14">
      <c r="A798">
        <f>eDNA!A798</f>
        <v>20200916</v>
      </c>
      <c r="B798" s="10" t="str" cm="1">
        <f t="array" ref="B798">IFERROR(_xlfn.XLOOKUP(1,('env Parameter'!$A:$A=$A798)*('env Parameter'!$B:$B=$K798)*('env Parameter'!$C:$C=$L798),'env Parameter'!H:H,""),"")</f>
        <v>생물상 조사</v>
      </c>
      <c r="C798" s="10" cm="1">
        <f t="array" ref="C798">IFERROR(_xlfn.XLOOKUP(1,('env Parameter'!$A:$A=$A798)*('env Parameter'!$B:$B=$K798)*('env Parameter'!$C:$C=$L798),'env Parameter'!E:E,""),"")</f>
        <v>2.14</v>
      </c>
      <c r="D798" s="10" cm="1">
        <f t="array" ref="D798">IFERROR(_xlfn.XLOOKUP(1,('env Parameter'!$A:$A=$A798)*('env Parameter'!$B:$B=$K798)*('env Parameter'!$C:$C=$L798),'env Parameter'!F:F,""),"")</f>
        <v>478</v>
      </c>
      <c r="E798" s="10" cm="1">
        <f t="array" ref="E798">IFERROR(_xlfn.XLOOKUP(1,('env Parameter'!$A:$A=$A798)*('env Parameter'!$B:$B=$K798)*('env Parameter'!$C:$C=$L798),'env Parameter'!G:G,""),"")</f>
        <v>7.6</v>
      </c>
      <c r="F798" t="str">
        <f>eDNA!F798</f>
        <v>MiFish</v>
      </c>
      <c r="G798" t="str">
        <f>eDNA!D798</f>
        <v>Rhinogobius sp.</v>
      </c>
      <c r="H798" t="str">
        <f>_xlfn.XLOOKUP(G798,'Common name (master file)'!$B:$B,'Common name (master file)'!$A:$A,"-------------")</f>
        <v>밀어</v>
      </c>
      <c r="I798">
        <f>eDNA!E798</f>
        <v>91</v>
      </c>
      <c r="J798" t="str">
        <f>_xlfn.XLOOKUP(G798,'Common name (master file)'!$B:$B,'Common name (master file)'!$C:$C,"")</f>
        <v>어류</v>
      </c>
      <c r="K798">
        <f>eDNA!B798</f>
        <v>126.85185540000001</v>
      </c>
      <c r="L798">
        <f>eDNA!C798</f>
        <v>37.406578799999998</v>
      </c>
      <c r="M798" s="10" t="str" cm="1">
        <f t="array" ref="M798">IFERROR(_xlfn.XLOOKUP(1,('env Parameter'!$A:$A=$A798)*('env Parameter'!$B:$B=$K798)*('env Parameter'!$C:$C=$L798),'env Parameter'!D:D,""),"")</f>
        <v>목감천-4</v>
      </c>
      <c r="N798" s="10" t="str" cm="1">
        <f t="array" ref="N798">IFERROR(_xlfn.XLOOKUP(1,('env Parameter'!$A:$A=$A798)*('env Parameter'!$B:$B=$K798)*('env Parameter'!$C:$C=$L798),'env Parameter'!I:I,""),"")</f>
        <v>YR</v>
      </c>
    </row>
    <row r="799" spans="1:14">
      <c r="A799">
        <f>eDNA!A799</f>
        <v>20200916</v>
      </c>
      <c r="B799" s="10" t="str" cm="1">
        <f t="array" ref="B799">IFERROR(_xlfn.XLOOKUP(1,('env Parameter'!$A:$A=$A799)*('env Parameter'!$B:$B=$K799)*('env Parameter'!$C:$C=$L799),'env Parameter'!H:H,""),"")</f>
        <v>생물상 조사</v>
      </c>
      <c r="C799" s="10" cm="1">
        <f t="array" ref="C799">IFERROR(_xlfn.XLOOKUP(1,('env Parameter'!$A:$A=$A799)*('env Parameter'!$B:$B=$K799)*('env Parameter'!$C:$C=$L799),'env Parameter'!E:E,""),"")</f>
        <v>2.14</v>
      </c>
      <c r="D799" s="10" cm="1">
        <f t="array" ref="D799">IFERROR(_xlfn.XLOOKUP(1,('env Parameter'!$A:$A=$A799)*('env Parameter'!$B:$B=$K799)*('env Parameter'!$C:$C=$L799),'env Parameter'!F:F,""),"")</f>
        <v>478</v>
      </c>
      <c r="E799" s="10" cm="1">
        <f t="array" ref="E799">IFERROR(_xlfn.XLOOKUP(1,('env Parameter'!$A:$A=$A799)*('env Parameter'!$B:$B=$K799)*('env Parameter'!$C:$C=$L799),'env Parameter'!G:G,""),"")</f>
        <v>7.6</v>
      </c>
      <c r="F799" t="str">
        <f>eDNA!F799</f>
        <v>MiFish</v>
      </c>
      <c r="G799" t="str">
        <f>eDNA!D799</f>
        <v>Homo sapiens</v>
      </c>
      <c r="H799" t="str">
        <f>_xlfn.XLOOKUP(G799,'Common name (master file)'!$B:$B,'Common name (master file)'!$A:$A,"-------------")</f>
        <v>사람</v>
      </c>
      <c r="I799">
        <f>eDNA!E799</f>
        <v>114</v>
      </c>
      <c r="J799" t="str">
        <f>_xlfn.XLOOKUP(G799,'Common name (master file)'!$B:$B,'Common name (master file)'!$C:$C,"")</f>
        <v>포유류</v>
      </c>
      <c r="K799">
        <f>eDNA!B799</f>
        <v>126.85185540000001</v>
      </c>
      <c r="L799">
        <f>eDNA!C799</f>
        <v>37.406578799999998</v>
      </c>
      <c r="M799" s="10" t="str" cm="1">
        <f t="array" ref="M799">IFERROR(_xlfn.XLOOKUP(1,('env Parameter'!$A:$A=$A799)*('env Parameter'!$B:$B=$K799)*('env Parameter'!$C:$C=$L799),'env Parameter'!D:D,""),"")</f>
        <v>목감천-4</v>
      </c>
      <c r="N799" s="10" t="str" cm="1">
        <f t="array" ref="N799">IFERROR(_xlfn.XLOOKUP(1,('env Parameter'!$A:$A=$A799)*('env Parameter'!$B:$B=$K799)*('env Parameter'!$C:$C=$L799),'env Parameter'!I:I,""),"")</f>
        <v>YR</v>
      </c>
    </row>
    <row r="800" spans="1:14">
      <c r="A800">
        <f>eDNA!A800</f>
        <v>20200916</v>
      </c>
      <c r="B800" s="10" t="str" cm="1">
        <f t="array" ref="B800">IFERROR(_xlfn.XLOOKUP(1,('env Parameter'!$A:$A=$A800)*('env Parameter'!$B:$B=$K800)*('env Parameter'!$C:$C=$L800),'env Parameter'!H:H,""),"")</f>
        <v>생물상 조사</v>
      </c>
      <c r="C800" s="10" cm="1">
        <f t="array" ref="C800">IFERROR(_xlfn.XLOOKUP(1,('env Parameter'!$A:$A=$A800)*('env Parameter'!$B:$B=$K800)*('env Parameter'!$C:$C=$L800),'env Parameter'!E:E,""),"")</f>
        <v>2.14</v>
      </c>
      <c r="D800" s="10" cm="1">
        <f t="array" ref="D800">IFERROR(_xlfn.XLOOKUP(1,('env Parameter'!$A:$A=$A800)*('env Parameter'!$B:$B=$K800)*('env Parameter'!$C:$C=$L800),'env Parameter'!F:F,""),"")</f>
        <v>478</v>
      </c>
      <c r="E800" s="10" cm="1">
        <f t="array" ref="E800">IFERROR(_xlfn.XLOOKUP(1,('env Parameter'!$A:$A=$A800)*('env Parameter'!$B:$B=$K800)*('env Parameter'!$C:$C=$L800),'env Parameter'!G:G,""),"")</f>
        <v>7.6</v>
      </c>
      <c r="F800" t="str">
        <f>eDNA!F800</f>
        <v>MiFish</v>
      </c>
      <c r="G800" t="str">
        <f>eDNA!D800</f>
        <v>Paramisgurnus dabryanus</v>
      </c>
      <c r="H800" t="str">
        <f>_xlfn.XLOOKUP(G800,'Common name (master file)'!$B:$B,'Common name (master file)'!$A:$A,"-------------")</f>
        <v>중국미꾸라지</v>
      </c>
      <c r="I800">
        <f>eDNA!E800</f>
        <v>139</v>
      </c>
      <c r="J800" t="str">
        <f>_xlfn.XLOOKUP(G800,'Common name (master file)'!$B:$B,'Common name (master file)'!$C:$C,"")</f>
        <v>어류</v>
      </c>
      <c r="K800">
        <f>eDNA!B800</f>
        <v>126.85185540000001</v>
      </c>
      <c r="L800">
        <f>eDNA!C800</f>
        <v>37.406578799999998</v>
      </c>
      <c r="M800" s="10" t="str" cm="1">
        <f t="array" ref="M800">IFERROR(_xlfn.XLOOKUP(1,('env Parameter'!$A:$A=$A800)*('env Parameter'!$B:$B=$K800)*('env Parameter'!$C:$C=$L800),'env Parameter'!D:D,""),"")</f>
        <v>목감천-4</v>
      </c>
      <c r="N800" s="10" t="str" cm="1">
        <f t="array" ref="N800">IFERROR(_xlfn.XLOOKUP(1,('env Parameter'!$A:$A=$A800)*('env Parameter'!$B:$B=$K800)*('env Parameter'!$C:$C=$L800),'env Parameter'!I:I,""),"")</f>
        <v>YR</v>
      </c>
    </row>
    <row r="801" spans="1:14">
      <c r="A801">
        <f>eDNA!A801</f>
        <v>20200916</v>
      </c>
      <c r="B801" s="10" t="str" cm="1">
        <f t="array" ref="B801">IFERROR(_xlfn.XLOOKUP(1,('env Parameter'!$A:$A=$A801)*('env Parameter'!$B:$B=$K801)*('env Parameter'!$C:$C=$L801),'env Parameter'!H:H,""),"")</f>
        <v>생물상 조사</v>
      </c>
      <c r="C801" s="10" cm="1">
        <f t="array" ref="C801">IFERROR(_xlfn.XLOOKUP(1,('env Parameter'!$A:$A=$A801)*('env Parameter'!$B:$B=$K801)*('env Parameter'!$C:$C=$L801),'env Parameter'!E:E,""),"")</f>
        <v>2.14</v>
      </c>
      <c r="D801" s="10" cm="1">
        <f t="array" ref="D801">IFERROR(_xlfn.XLOOKUP(1,('env Parameter'!$A:$A=$A801)*('env Parameter'!$B:$B=$K801)*('env Parameter'!$C:$C=$L801),'env Parameter'!F:F,""),"")</f>
        <v>478</v>
      </c>
      <c r="E801" s="10" cm="1">
        <f t="array" ref="E801">IFERROR(_xlfn.XLOOKUP(1,('env Parameter'!$A:$A=$A801)*('env Parameter'!$B:$B=$K801)*('env Parameter'!$C:$C=$L801),'env Parameter'!G:G,""),"")</f>
        <v>7.6</v>
      </c>
      <c r="F801" t="str">
        <f>eDNA!F801</f>
        <v>MiFish</v>
      </c>
      <c r="G801" t="str">
        <f>eDNA!D801</f>
        <v>Misgurnus anguillicaudatus</v>
      </c>
      <c r="H801" t="str">
        <f>_xlfn.XLOOKUP(G801,'Common name (master file)'!$B:$B,'Common name (master file)'!$A:$A,"-------------")</f>
        <v>미꾸리</v>
      </c>
      <c r="I801">
        <f>eDNA!E801</f>
        <v>204</v>
      </c>
      <c r="J801" t="str">
        <f>_xlfn.XLOOKUP(G801,'Common name (master file)'!$B:$B,'Common name (master file)'!$C:$C,"")</f>
        <v>어류</v>
      </c>
      <c r="K801">
        <f>eDNA!B801</f>
        <v>126.85185540000001</v>
      </c>
      <c r="L801">
        <f>eDNA!C801</f>
        <v>37.406578799999998</v>
      </c>
      <c r="M801" s="10" t="str" cm="1">
        <f t="array" ref="M801">IFERROR(_xlfn.XLOOKUP(1,('env Parameter'!$A:$A=$A801)*('env Parameter'!$B:$B=$K801)*('env Parameter'!$C:$C=$L801),'env Parameter'!D:D,""),"")</f>
        <v>목감천-4</v>
      </c>
      <c r="N801" s="10" t="str" cm="1">
        <f t="array" ref="N801">IFERROR(_xlfn.XLOOKUP(1,('env Parameter'!$A:$A=$A801)*('env Parameter'!$B:$B=$K801)*('env Parameter'!$C:$C=$L801),'env Parameter'!I:I,""),"")</f>
        <v>YR</v>
      </c>
    </row>
    <row r="802" spans="1:14">
      <c r="A802">
        <f>eDNA!A802</f>
        <v>20200916</v>
      </c>
      <c r="B802" s="10" t="str" cm="1">
        <f t="array" ref="B802">IFERROR(_xlfn.XLOOKUP(1,('env Parameter'!$A:$A=$A802)*('env Parameter'!$B:$B=$K802)*('env Parameter'!$C:$C=$L802),'env Parameter'!H:H,""),"")</f>
        <v>생물상 조사</v>
      </c>
      <c r="C802" s="10" cm="1">
        <f t="array" ref="C802">IFERROR(_xlfn.XLOOKUP(1,('env Parameter'!$A:$A=$A802)*('env Parameter'!$B:$B=$K802)*('env Parameter'!$C:$C=$L802),'env Parameter'!E:E,""),"")</f>
        <v>2.14</v>
      </c>
      <c r="D802" s="10" cm="1">
        <f t="array" ref="D802">IFERROR(_xlfn.XLOOKUP(1,('env Parameter'!$A:$A=$A802)*('env Parameter'!$B:$B=$K802)*('env Parameter'!$C:$C=$L802),'env Parameter'!F:F,""),"")</f>
        <v>478</v>
      </c>
      <c r="E802" s="10" cm="1">
        <f t="array" ref="E802">IFERROR(_xlfn.XLOOKUP(1,('env Parameter'!$A:$A=$A802)*('env Parameter'!$B:$B=$K802)*('env Parameter'!$C:$C=$L802),'env Parameter'!G:G,""),"")</f>
        <v>7.6</v>
      </c>
      <c r="F802" t="str">
        <f>eDNA!F802</f>
        <v>MiFish</v>
      </c>
      <c r="G802" t="str">
        <f>eDNA!D802</f>
        <v>Misgurnus bipartitus</v>
      </c>
      <c r="H802" t="str">
        <f>_xlfn.XLOOKUP(G802,'Common name (master file)'!$B:$B,'Common name (master file)'!$A:$A,"-------------")</f>
        <v>쌍무늬미꾸리</v>
      </c>
      <c r="I802">
        <f>eDNA!E802</f>
        <v>208</v>
      </c>
      <c r="J802" t="str">
        <f>_xlfn.XLOOKUP(G802,'Common name (master file)'!$B:$B,'Common name (master file)'!$C:$C,"")</f>
        <v>어류</v>
      </c>
      <c r="K802">
        <f>eDNA!B802</f>
        <v>126.85185540000001</v>
      </c>
      <c r="L802">
        <f>eDNA!C802</f>
        <v>37.406578799999998</v>
      </c>
      <c r="M802" s="10" t="str" cm="1">
        <f t="array" ref="M802">IFERROR(_xlfn.XLOOKUP(1,('env Parameter'!$A:$A=$A802)*('env Parameter'!$B:$B=$K802)*('env Parameter'!$C:$C=$L802),'env Parameter'!D:D,""),"")</f>
        <v>목감천-4</v>
      </c>
      <c r="N802" s="10" t="str" cm="1">
        <f t="array" ref="N802">IFERROR(_xlfn.XLOOKUP(1,('env Parameter'!$A:$A=$A802)*('env Parameter'!$B:$B=$K802)*('env Parameter'!$C:$C=$L802),'env Parameter'!I:I,""),"")</f>
        <v>YR</v>
      </c>
    </row>
    <row r="803" spans="1:14">
      <c r="A803">
        <f>eDNA!A803</f>
        <v>20200916</v>
      </c>
      <c r="B803" s="10" t="str" cm="1">
        <f t="array" ref="B803">IFERROR(_xlfn.XLOOKUP(1,('env Parameter'!$A:$A=$A803)*('env Parameter'!$B:$B=$K803)*('env Parameter'!$C:$C=$L803),'env Parameter'!H:H,""),"")</f>
        <v>생물상 조사</v>
      </c>
      <c r="C803" s="10" cm="1">
        <f t="array" ref="C803">IFERROR(_xlfn.XLOOKUP(1,('env Parameter'!$A:$A=$A803)*('env Parameter'!$B:$B=$K803)*('env Parameter'!$C:$C=$L803),'env Parameter'!E:E,""),"")</f>
        <v>2.14</v>
      </c>
      <c r="D803" s="10" cm="1">
        <f t="array" ref="D803">IFERROR(_xlfn.XLOOKUP(1,('env Parameter'!$A:$A=$A803)*('env Parameter'!$B:$B=$K803)*('env Parameter'!$C:$C=$L803),'env Parameter'!F:F,""),"")</f>
        <v>478</v>
      </c>
      <c r="E803" s="10" cm="1">
        <f t="array" ref="E803">IFERROR(_xlfn.XLOOKUP(1,('env Parameter'!$A:$A=$A803)*('env Parameter'!$B:$B=$K803)*('env Parameter'!$C:$C=$L803),'env Parameter'!G:G,""),"")</f>
        <v>7.6</v>
      </c>
      <c r="F803" t="str">
        <f>eDNA!F803</f>
        <v>MiFish</v>
      </c>
      <c r="G803" t="str">
        <f>eDNA!D803</f>
        <v>Pelodiscus sinensis</v>
      </c>
      <c r="H803" t="str">
        <f>_xlfn.XLOOKUP(G803,'Common name (master file)'!$B:$B,'Common name (master file)'!$A:$A,"-------------")</f>
        <v>중국자라</v>
      </c>
      <c r="I803">
        <f>eDNA!E803</f>
        <v>295</v>
      </c>
      <c r="J803" t="str">
        <f>_xlfn.XLOOKUP(G803,'Common name (master file)'!$B:$B,'Common name (master file)'!$C:$C,"")</f>
        <v>양서파충류</v>
      </c>
      <c r="K803">
        <f>eDNA!B803</f>
        <v>126.85185540000001</v>
      </c>
      <c r="L803">
        <f>eDNA!C803</f>
        <v>37.406578799999998</v>
      </c>
      <c r="M803" s="10" t="str" cm="1">
        <f t="array" ref="M803">IFERROR(_xlfn.XLOOKUP(1,('env Parameter'!$A:$A=$A803)*('env Parameter'!$B:$B=$K803)*('env Parameter'!$C:$C=$L803),'env Parameter'!D:D,""),"")</f>
        <v>목감천-4</v>
      </c>
      <c r="N803" s="10" t="str" cm="1">
        <f t="array" ref="N803">IFERROR(_xlfn.XLOOKUP(1,('env Parameter'!$A:$A=$A803)*('env Parameter'!$B:$B=$K803)*('env Parameter'!$C:$C=$L803),'env Parameter'!I:I,""),"")</f>
        <v>YR</v>
      </c>
    </row>
    <row r="804" spans="1:14">
      <c r="A804">
        <f>eDNA!A804</f>
        <v>20201024</v>
      </c>
      <c r="B804" s="10" t="str" cm="1">
        <f t="array" ref="B804">IFERROR(_xlfn.XLOOKUP(1,('env Parameter'!$A:$A=$A804)*('env Parameter'!$B:$B=$K804)*('env Parameter'!$C:$C=$L804),'env Parameter'!H:H,""),"")</f>
        <v>생물상 조사</v>
      </c>
      <c r="C804" s="10" cm="1">
        <f t="array" ref="C804">IFERROR(_xlfn.XLOOKUP(1,('env Parameter'!$A:$A=$A804)*('env Parameter'!$B:$B=$K804)*('env Parameter'!$C:$C=$L804),'env Parameter'!E:E,""),"")</f>
        <v>2.14</v>
      </c>
      <c r="D804" s="10" cm="1">
        <f t="array" ref="D804">IFERROR(_xlfn.XLOOKUP(1,('env Parameter'!$A:$A=$A804)*('env Parameter'!$B:$B=$K804)*('env Parameter'!$C:$C=$L804),'env Parameter'!F:F,""),"")</f>
        <v>478</v>
      </c>
      <c r="E804" s="10" cm="1">
        <f t="array" ref="E804">IFERROR(_xlfn.XLOOKUP(1,('env Parameter'!$A:$A=$A804)*('env Parameter'!$B:$B=$K804)*('env Parameter'!$C:$C=$L804),'env Parameter'!G:G,""),"")</f>
        <v>7.6</v>
      </c>
      <c r="F804" t="str">
        <f>eDNA!F804</f>
        <v>MiFish</v>
      </c>
      <c r="G804" t="str">
        <f>eDNA!D804</f>
        <v>Felis catus</v>
      </c>
      <c r="H804" t="str">
        <f>_xlfn.XLOOKUP(G804,'Common name (master file)'!$B:$B,'Common name (master file)'!$A:$A,"-------------")</f>
        <v>고양이</v>
      </c>
      <c r="I804">
        <f>eDNA!E804</f>
        <v>27</v>
      </c>
      <c r="J804" t="str">
        <f>_xlfn.XLOOKUP(G804,'Common name (master file)'!$B:$B,'Common name (master file)'!$C:$C,"")</f>
        <v>포유류</v>
      </c>
      <c r="K804">
        <f>eDNA!B804</f>
        <v>126.9070155</v>
      </c>
      <c r="L804">
        <f>eDNA!C804</f>
        <v>37.385953200000003</v>
      </c>
      <c r="M804" s="10" t="str" cm="1">
        <f t="array" ref="M804">IFERROR(_xlfn.XLOOKUP(1,('env Parameter'!$A:$A=$A804)*('env Parameter'!$B:$B=$K804)*('env Parameter'!$C:$C=$L804),'env Parameter'!D:D,""),"")</f>
        <v>수암천</v>
      </c>
      <c r="N804" s="10" t="str" cm="1">
        <f t="array" ref="N804">IFERROR(_xlfn.XLOOKUP(1,('env Parameter'!$A:$A=$A804)*('env Parameter'!$B:$B=$K804)*('env Parameter'!$C:$C=$L804),'env Parameter'!I:I,""),"")</f>
        <v>YR</v>
      </c>
    </row>
    <row r="805" spans="1:14">
      <c r="A805">
        <f>eDNA!A805</f>
        <v>20200916</v>
      </c>
      <c r="B805" s="10" t="str" cm="1">
        <f t="array" ref="B805">IFERROR(_xlfn.XLOOKUP(1,('env Parameter'!$A:$A=$A805)*('env Parameter'!$B:$B=$K805)*('env Parameter'!$C:$C=$L805),'env Parameter'!H:H,""),"")</f>
        <v>생물상 조사</v>
      </c>
      <c r="C805" s="10" cm="1">
        <f t="array" ref="C805">IFERROR(_xlfn.XLOOKUP(1,('env Parameter'!$A:$A=$A805)*('env Parameter'!$B:$B=$K805)*('env Parameter'!$C:$C=$L805),'env Parameter'!E:E,""),"")</f>
        <v>2.14</v>
      </c>
      <c r="D805" s="10" cm="1">
        <f t="array" ref="D805">IFERROR(_xlfn.XLOOKUP(1,('env Parameter'!$A:$A=$A805)*('env Parameter'!$B:$B=$K805)*('env Parameter'!$C:$C=$L805),'env Parameter'!F:F,""),"")</f>
        <v>478</v>
      </c>
      <c r="E805" s="10" cm="1">
        <f t="array" ref="E805">IFERROR(_xlfn.XLOOKUP(1,('env Parameter'!$A:$A=$A805)*('env Parameter'!$B:$B=$K805)*('env Parameter'!$C:$C=$L805),'env Parameter'!G:G,""),"")</f>
        <v>7.6</v>
      </c>
      <c r="F805" t="str">
        <f>eDNA!F805</f>
        <v>MiFish</v>
      </c>
      <c r="G805" t="str">
        <f>eDNA!D805</f>
        <v>Bos taurus</v>
      </c>
      <c r="H805" t="str">
        <f>_xlfn.XLOOKUP(G805,'Common name (master file)'!$B:$B,'Common name (master file)'!$A:$A,"-------------")</f>
        <v>소</v>
      </c>
      <c r="I805">
        <f>eDNA!E805</f>
        <v>363</v>
      </c>
      <c r="J805" t="str">
        <f>_xlfn.XLOOKUP(G805,'Common name (master file)'!$B:$B,'Common name (master file)'!$C:$C,"")</f>
        <v>포유류</v>
      </c>
      <c r="K805">
        <f>eDNA!B805</f>
        <v>126.85185540000001</v>
      </c>
      <c r="L805">
        <f>eDNA!C805</f>
        <v>37.406578799999998</v>
      </c>
      <c r="M805" s="10" t="str" cm="1">
        <f t="array" ref="M805">IFERROR(_xlfn.XLOOKUP(1,('env Parameter'!$A:$A=$A805)*('env Parameter'!$B:$B=$K805)*('env Parameter'!$C:$C=$L805),'env Parameter'!D:D,""),"")</f>
        <v>목감천-4</v>
      </c>
      <c r="N805" s="10" t="str" cm="1">
        <f t="array" ref="N805">IFERROR(_xlfn.XLOOKUP(1,('env Parameter'!$A:$A=$A805)*('env Parameter'!$B:$B=$K805)*('env Parameter'!$C:$C=$L805),'env Parameter'!I:I,""),"")</f>
        <v>YR</v>
      </c>
    </row>
    <row r="806" spans="1:14">
      <c r="A806">
        <f>eDNA!A806</f>
        <v>20200916</v>
      </c>
      <c r="B806" s="10" t="str" cm="1">
        <f t="array" ref="B806">IFERROR(_xlfn.XLOOKUP(1,('env Parameter'!$A:$A=$A806)*('env Parameter'!$B:$B=$K806)*('env Parameter'!$C:$C=$L806),'env Parameter'!H:H,""),"")</f>
        <v>생물상 조사</v>
      </c>
      <c r="C806" s="10" cm="1">
        <f t="array" ref="C806">IFERROR(_xlfn.XLOOKUP(1,('env Parameter'!$A:$A=$A806)*('env Parameter'!$B:$B=$K806)*('env Parameter'!$C:$C=$L806),'env Parameter'!E:E,""),"")</f>
        <v>2.14</v>
      </c>
      <c r="D806" s="10" cm="1">
        <f t="array" ref="D806">IFERROR(_xlfn.XLOOKUP(1,('env Parameter'!$A:$A=$A806)*('env Parameter'!$B:$B=$K806)*('env Parameter'!$C:$C=$L806),'env Parameter'!F:F,""),"")</f>
        <v>478</v>
      </c>
      <c r="E806" s="10" cm="1">
        <f t="array" ref="E806">IFERROR(_xlfn.XLOOKUP(1,('env Parameter'!$A:$A=$A806)*('env Parameter'!$B:$B=$K806)*('env Parameter'!$C:$C=$L806),'env Parameter'!G:G,""),"")</f>
        <v>7.6</v>
      </c>
      <c r="F806" t="str">
        <f>eDNA!F806</f>
        <v>MiFish</v>
      </c>
      <c r="G806" t="str">
        <f>eDNA!D806</f>
        <v>Perciformes sp.</v>
      </c>
      <c r="H806" t="str">
        <f>_xlfn.XLOOKUP(G806,'Common name (master file)'!$B:$B,'Common name (master file)'!$A:$A,"-------------")</f>
        <v>농어목 바닷물고기</v>
      </c>
      <c r="I806">
        <f>eDNA!E806</f>
        <v>666</v>
      </c>
      <c r="J806" t="str">
        <f>_xlfn.XLOOKUP(G806,'Common name (master file)'!$B:$B,'Common name (master file)'!$C:$C,"")</f>
        <v>어류</v>
      </c>
      <c r="K806">
        <f>eDNA!B806</f>
        <v>126.85185540000001</v>
      </c>
      <c r="L806">
        <f>eDNA!C806</f>
        <v>37.406578799999998</v>
      </c>
      <c r="M806" s="10" t="str" cm="1">
        <f t="array" ref="M806">IFERROR(_xlfn.XLOOKUP(1,('env Parameter'!$A:$A=$A806)*('env Parameter'!$B:$B=$K806)*('env Parameter'!$C:$C=$L806),'env Parameter'!D:D,""),"")</f>
        <v>목감천-4</v>
      </c>
      <c r="N806" s="10" t="str" cm="1">
        <f t="array" ref="N806">IFERROR(_xlfn.XLOOKUP(1,('env Parameter'!$A:$A=$A806)*('env Parameter'!$B:$B=$K806)*('env Parameter'!$C:$C=$L806),'env Parameter'!I:I,""),"")</f>
        <v>YR</v>
      </c>
    </row>
    <row r="807" spans="1:14">
      <c r="A807">
        <f>eDNA!A807</f>
        <v>20200916</v>
      </c>
      <c r="B807" s="10" t="str" cm="1">
        <f t="array" ref="B807">IFERROR(_xlfn.XLOOKUP(1,('env Parameter'!$A:$A=$A807)*('env Parameter'!$B:$B=$K807)*('env Parameter'!$C:$C=$L807),'env Parameter'!H:H,""),"")</f>
        <v>생물상 조사</v>
      </c>
      <c r="C807" s="10" cm="1">
        <f t="array" ref="C807">IFERROR(_xlfn.XLOOKUP(1,('env Parameter'!$A:$A=$A807)*('env Parameter'!$B:$B=$K807)*('env Parameter'!$C:$C=$L807),'env Parameter'!E:E,""),"")</f>
        <v>2.14</v>
      </c>
      <c r="D807" s="10" cm="1">
        <f t="array" ref="D807">IFERROR(_xlfn.XLOOKUP(1,('env Parameter'!$A:$A=$A807)*('env Parameter'!$B:$B=$K807)*('env Parameter'!$C:$C=$L807),'env Parameter'!F:F,""),"")</f>
        <v>478</v>
      </c>
      <c r="E807" s="10" cm="1">
        <f t="array" ref="E807">IFERROR(_xlfn.XLOOKUP(1,('env Parameter'!$A:$A=$A807)*('env Parameter'!$B:$B=$K807)*('env Parameter'!$C:$C=$L807),'env Parameter'!G:G,""),"")</f>
        <v>7.6</v>
      </c>
      <c r="F807" t="str">
        <f>eDNA!F807</f>
        <v>MiFish</v>
      </c>
      <c r="G807" t="str">
        <f>eDNA!D807</f>
        <v>Pseudorasbora parva</v>
      </c>
      <c r="H807" t="str">
        <f>_xlfn.XLOOKUP(G807,'Common name (master file)'!$B:$B,'Common name (master file)'!$A:$A,"-------------")</f>
        <v>참붕어</v>
      </c>
      <c r="I807">
        <f>eDNA!E807</f>
        <v>1766</v>
      </c>
      <c r="J807" t="str">
        <f>_xlfn.XLOOKUP(G807,'Common name (master file)'!$B:$B,'Common name (master file)'!$C:$C,"")</f>
        <v>어류</v>
      </c>
      <c r="K807">
        <f>eDNA!B807</f>
        <v>126.85185540000001</v>
      </c>
      <c r="L807">
        <f>eDNA!C807</f>
        <v>37.406578799999998</v>
      </c>
      <c r="M807" s="10" t="str" cm="1">
        <f t="array" ref="M807">IFERROR(_xlfn.XLOOKUP(1,('env Parameter'!$A:$A=$A807)*('env Parameter'!$B:$B=$K807)*('env Parameter'!$C:$C=$L807),'env Parameter'!D:D,""),"")</f>
        <v>목감천-4</v>
      </c>
      <c r="N807" s="10" t="str" cm="1">
        <f t="array" ref="N807">IFERROR(_xlfn.XLOOKUP(1,('env Parameter'!$A:$A=$A807)*('env Parameter'!$B:$B=$K807)*('env Parameter'!$C:$C=$L807),'env Parameter'!I:I,""),"")</f>
        <v>YR</v>
      </c>
    </row>
    <row r="808" spans="1:14">
      <c r="A808">
        <f>eDNA!A808</f>
        <v>20200916</v>
      </c>
      <c r="B808" s="10" t="str" cm="1">
        <f t="array" ref="B808">IFERROR(_xlfn.XLOOKUP(1,('env Parameter'!$A:$A=$A808)*('env Parameter'!$B:$B=$K808)*('env Parameter'!$C:$C=$L808),'env Parameter'!H:H,""),"")</f>
        <v>생물상 조사</v>
      </c>
      <c r="C808" s="10" cm="1">
        <f t="array" ref="C808">IFERROR(_xlfn.XLOOKUP(1,('env Parameter'!$A:$A=$A808)*('env Parameter'!$B:$B=$K808)*('env Parameter'!$C:$C=$L808),'env Parameter'!E:E,""),"")</f>
        <v>2.14</v>
      </c>
      <c r="D808" s="10" cm="1">
        <f t="array" ref="D808">IFERROR(_xlfn.XLOOKUP(1,('env Parameter'!$A:$A=$A808)*('env Parameter'!$B:$B=$K808)*('env Parameter'!$C:$C=$L808),'env Parameter'!F:F,""),"")</f>
        <v>478</v>
      </c>
      <c r="E808" s="10" cm="1">
        <f t="array" ref="E808">IFERROR(_xlfn.XLOOKUP(1,('env Parameter'!$A:$A=$A808)*('env Parameter'!$B:$B=$K808)*('env Parameter'!$C:$C=$L808),'env Parameter'!G:G,""),"")</f>
        <v>7.6</v>
      </c>
      <c r="F808" t="str">
        <f>eDNA!F808</f>
        <v>MiFish</v>
      </c>
      <c r="G808" t="str">
        <f>eDNA!D808</f>
        <v>Canis lupus familiaris</v>
      </c>
      <c r="H808" t="str">
        <f>_xlfn.XLOOKUP(G808,'Common name (master file)'!$B:$B,'Common name (master file)'!$A:$A,"-------------")</f>
        <v>개</v>
      </c>
      <c r="I808">
        <f>eDNA!E808</f>
        <v>13119</v>
      </c>
      <c r="J808" t="str">
        <f>_xlfn.XLOOKUP(G808,'Common name (master file)'!$B:$B,'Common name (master file)'!$C:$C,"")</f>
        <v>포유류</v>
      </c>
      <c r="K808">
        <f>eDNA!B808</f>
        <v>126.85185540000001</v>
      </c>
      <c r="L808">
        <f>eDNA!C808</f>
        <v>37.406578799999998</v>
      </c>
      <c r="M808" s="10" t="str" cm="1">
        <f t="array" ref="M808">IFERROR(_xlfn.XLOOKUP(1,('env Parameter'!$A:$A=$A808)*('env Parameter'!$B:$B=$K808)*('env Parameter'!$C:$C=$L808),'env Parameter'!D:D,""),"")</f>
        <v>목감천-4</v>
      </c>
      <c r="N808" s="10" t="str" cm="1">
        <f t="array" ref="N808">IFERROR(_xlfn.XLOOKUP(1,('env Parameter'!$A:$A=$A808)*('env Parameter'!$B:$B=$K808)*('env Parameter'!$C:$C=$L808),'env Parameter'!I:I,""),"")</f>
        <v>YR</v>
      </c>
    </row>
    <row r="809" spans="1:14">
      <c r="A809">
        <f>eDNA!A809</f>
        <v>20200916</v>
      </c>
      <c r="B809" s="10" t="str" cm="1">
        <f t="array" ref="B809">IFERROR(_xlfn.XLOOKUP(1,('env Parameter'!$A:$A=$A809)*('env Parameter'!$B:$B=$K809)*('env Parameter'!$C:$C=$L809),'env Parameter'!H:H,""),"")</f>
        <v>생물상 조사</v>
      </c>
      <c r="C809" s="10" cm="1">
        <f t="array" ref="C809">IFERROR(_xlfn.XLOOKUP(1,('env Parameter'!$A:$A=$A809)*('env Parameter'!$B:$B=$K809)*('env Parameter'!$C:$C=$L809),'env Parameter'!E:E,""),"")</f>
        <v>2.14</v>
      </c>
      <c r="D809" s="10" cm="1">
        <f t="array" ref="D809">IFERROR(_xlfn.XLOOKUP(1,('env Parameter'!$A:$A=$A809)*('env Parameter'!$B:$B=$K809)*('env Parameter'!$C:$C=$L809),'env Parameter'!F:F,""),"")</f>
        <v>478</v>
      </c>
      <c r="E809" s="10" cm="1">
        <f t="array" ref="E809">IFERROR(_xlfn.XLOOKUP(1,('env Parameter'!$A:$A=$A809)*('env Parameter'!$B:$B=$K809)*('env Parameter'!$C:$C=$L809),'env Parameter'!G:G,""),"")</f>
        <v>7.6</v>
      </c>
      <c r="F809" t="str">
        <f>eDNA!F809</f>
        <v>MiFish</v>
      </c>
      <c r="G809" t="str">
        <f>eDNA!D809</f>
        <v>Silurus soldatovi</v>
      </c>
      <c r="H809" t="str">
        <f>_xlfn.XLOOKUP(G809,'Common name (master file)'!$B:$B,'Common name (master file)'!$A:$A,"-------------")</f>
        <v>솔다토비 메기</v>
      </c>
      <c r="I809">
        <f>eDNA!E809</f>
        <v>17281</v>
      </c>
      <c r="J809" t="str">
        <f>_xlfn.XLOOKUP(G809,'Common name (master file)'!$B:$B,'Common name (master file)'!$C:$C,"")</f>
        <v>어류</v>
      </c>
      <c r="K809">
        <f>eDNA!B809</f>
        <v>126.85185540000001</v>
      </c>
      <c r="L809">
        <f>eDNA!C809</f>
        <v>37.406578799999998</v>
      </c>
      <c r="M809" s="10" t="str" cm="1">
        <f t="array" ref="M809">IFERROR(_xlfn.XLOOKUP(1,('env Parameter'!$A:$A=$A809)*('env Parameter'!$B:$B=$K809)*('env Parameter'!$C:$C=$L809),'env Parameter'!D:D,""),"")</f>
        <v>목감천-4</v>
      </c>
      <c r="N809" s="10" t="str" cm="1">
        <f t="array" ref="N809">IFERROR(_xlfn.XLOOKUP(1,('env Parameter'!$A:$A=$A809)*('env Parameter'!$B:$B=$K809)*('env Parameter'!$C:$C=$L809),'env Parameter'!I:I,""),"")</f>
        <v>YR</v>
      </c>
    </row>
    <row r="810" spans="1:14">
      <c r="A810">
        <f>eDNA!A810</f>
        <v>20200916</v>
      </c>
      <c r="B810" s="10" t="str" cm="1">
        <f t="array" ref="B810">IFERROR(_xlfn.XLOOKUP(1,('env Parameter'!$A:$A=$A810)*('env Parameter'!$B:$B=$K810)*('env Parameter'!$C:$C=$L810),'env Parameter'!H:H,""),"")</f>
        <v>생물상 조사</v>
      </c>
      <c r="C810" s="10" cm="1">
        <f t="array" ref="C810">IFERROR(_xlfn.XLOOKUP(1,('env Parameter'!$A:$A=$A810)*('env Parameter'!$B:$B=$K810)*('env Parameter'!$C:$C=$L810),'env Parameter'!E:E,""),"")</f>
        <v>2.14</v>
      </c>
      <c r="D810" s="10" cm="1">
        <f t="array" ref="D810">IFERROR(_xlfn.XLOOKUP(1,('env Parameter'!$A:$A=$A810)*('env Parameter'!$B:$B=$K810)*('env Parameter'!$C:$C=$L810),'env Parameter'!F:F,""),"")</f>
        <v>478</v>
      </c>
      <c r="E810" s="10" cm="1">
        <f t="array" ref="E810">IFERROR(_xlfn.XLOOKUP(1,('env Parameter'!$A:$A=$A810)*('env Parameter'!$B:$B=$K810)*('env Parameter'!$C:$C=$L810),'env Parameter'!G:G,""),"")</f>
        <v>7.6</v>
      </c>
      <c r="F810" t="str">
        <f>eDNA!F810</f>
        <v>MiFish</v>
      </c>
      <c r="G810" t="str">
        <f>eDNA!D810</f>
        <v>Misgurnus mizolepis</v>
      </c>
      <c r="H810" t="str">
        <f>_xlfn.XLOOKUP(G810,'Common name (master file)'!$B:$B,'Common name (master file)'!$A:$A,"-------------")</f>
        <v>미꾸라지</v>
      </c>
      <c r="I810">
        <f>eDNA!E810</f>
        <v>17870</v>
      </c>
      <c r="J810" t="str">
        <f>_xlfn.XLOOKUP(G810,'Common name (master file)'!$B:$B,'Common name (master file)'!$C:$C,"")</f>
        <v>어류</v>
      </c>
      <c r="K810">
        <f>eDNA!B810</f>
        <v>126.85185540000001</v>
      </c>
      <c r="L810">
        <f>eDNA!C810</f>
        <v>37.406578799999998</v>
      </c>
      <c r="M810" s="10" t="str" cm="1">
        <f t="array" ref="M810">IFERROR(_xlfn.XLOOKUP(1,('env Parameter'!$A:$A=$A810)*('env Parameter'!$B:$B=$K810)*('env Parameter'!$C:$C=$L810),'env Parameter'!D:D,""),"")</f>
        <v>목감천-4</v>
      </c>
      <c r="N810" s="10" t="str" cm="1">
        <f t="array" ref="N810">IFERROR(_xlfn.XLOOKUP(1,('env Parameter'!$A:$A=$A810)*('env Parameter'!$B:$B=$K810)*('env Parameter'!$C:$C=$L810),'env Parameter'!I:I,""),"")</f>
        <v>YR</v>
      </c>
    </row>
    <row r="811" spans="1:14">
      <c r="A811">
        <f>eDNA!A811</f>
        <v>20200916</v>
      </c>
      <c r="B811" s="10" t="str" cm="1">
        <f t="array" ref="B811">IFERROR(_xlfn.XLOOKUP(1,('env Parameter'!$A:$A=$A811)*('env Parameter'!$B:$B=$K811)*('env Parameter'!$C:$C=$L811),'env Parameter'!H:H,""),"")</f>
        <v>생물상 조사</v>
      </c>
      <c r="C811" s="10" cm="1">
        <f t="array" ref="C811">IFERROR(_xlfn.XLOOKUP(1,('env Parameter'!$A:$A=$A811)*('env Parameter'!$B:$B=$K811)*('env Parameter'!$C:$C=$L811),'env Parameter'!E:E,""),"")</f>
        <v>2.14</v>
      </c>
      <c r="D811" s="10" cm="1">
        <f t="array" ref="D811">IFERROR(_xlfn.XLOOKUP(1,('env Parameter'!$A:$A=$A811)*('env Parameter'!$B:$B=$K811)*('env Parameter'!$C:$C=$L811),'env Parameter'!F:F,""),"")</f>
        <v>478</v>
      </c>
      <c r="E811" s="10" cm="1">
        <f t="array" ref="E811">IFERROR(_xlfn.XLOOKUP(1,('env Parameter'!$A:$A=$A811)*('env Parameter'!$B:$B=$K811)*('env Parameter'!$C:$C=$L811),'env Parameter'!G:G,""),"")</f>
        <v>7.6</v>
      </c>
      <c r="F811" t="str">
        <f>eDNA!F811</f>
        <v>MiFish</v>
      </c>
      <c r="G811" t="str">
        <f>eDNA!D811</f>
        <v>Carassius gibelio</v>
      </c>
      <c r="H811" t="str">
        <f>_xlfn.XLOOKUP(G811,'Common name (master file)'!$B:$B,'Common name (master file)'!$A:$A,"-------------")</f>
        <v>기벨리오 붕어</v>
      </c>
      <c r="I811">
        <f>eDNA!E811</f>
        <v>20356</v>
      </c>
      <c r="J811" t="str">
        <f>_xlfn.XLOOKUP(G811,'Common name (master file)'!$B:$B,'Common name (master file)'!$C:$C,"")</f>
        <v>어류</v>
      </c>
      <c r="K811">
        <f>eDNA!B811</f>
        <v>126.85185540000001</v>
      </c>
      <c r="L811">
        <f>eDNA!C811</f>
        <v>37.406578799999998</v>
      </c>
      <c r="M811" s="10" t="str" cm="1">
        <f t="array" ref="M811">IFERROR(_xlfn.XLOOKUP(1,('env Parameter'!$A:$A=$A811)*('env Parameter'!$B:$B=$K811)*('env Parameter'!$C:$C=$L811),'env Parameter'!D:D,""),"")</f>
        <v>목감천-4</v>
      </c>
      <c r="N811" s="10" t="str" cm="1">
        <f t="array" ref="N811">IFERROR(_xlfn.XLOOKUP(1,('env Parameter'!$A:$A=$A811)*('env Parameter'!$B:$B=$K811)*('env Parameter'!$C:$C=$L811),'env Parameter'!I:I,""),"")</f>
        <v>YR</v>
      </c>
    </row>
    <row r="812" spans="1:14">
      <c r="A812">
        <f>eDNA!A812</f>
        <v>20200916</v>
      </c>
      <c r="B812" s="10" t="str" cm="1">
        <f t="array" ref="B812">IFERROR(_xlfn.XLOOKUP(1,('env Parameter'!$A:$A=$A812)*('env Parameter'!$B:$B=$K812)*('env Parameter'!$C:$C=$L812),'env Parameter'!H:H,""),"")</f>
        <v>생물상 조사</v>
      </c>
      <c r="C812" s="10" cm="1">
        <f t="array" ref="C812">IFERROR(_xlfn.XLOOKUP(1,('env Parameter'!$A:$A=$A812)*('env Parameter'!$B:$B=$K812)*('env Parameter'!$C:$C=$L812),'env Parameter'!E:E,""),"")</f>
        <v>2.14</v>
      </c>
      <c r="D812" s="10" cm="1">
        <f t="array" ref="D812">IFERROR(_xlfn.XLOOKUP(1,('env Parameter'!$A:$A=$A812)*('env Parameter'!$B:$B=$K812)*('env Parameter'!$C:$C=$L812),'env Parameter'!F:F,""),"")</f>
        <v>478</v>
      </c>
      <c r="E812" s="10" cm="1">
        <f t="array" ref="E812">IFERROR(_xlfn.XLOOKUP(1,('env Parameter'!$A:$A=$A812)*('env Parameter'!$B:$B=$K812)*('env Parameter'!$C:$C=$L812),'env Parameter'!G:G,""),"")</f>
        <v>7.6</v>
      </c>
      <c r="F812" t="str">
        <f>eDNA!F812</f>
        <v>MiFish</v>
      </c>
      <c r="G812" t="str">
        <f>eDNA!D812</f>
        <v>Pagrus major</v>
      </c>
      <c r="H812" t="str">
        <f>_xlfn.XLOOKUP(G812,'Common name (master file)'!$B:$B,'Common name (master file)'!$A:$A,"-------------")</f>
        <v>참돔</v>
      </c>
      <c r="I812">
        <f>eDNA!E812</f>
        <v>52649</v>
      </c>
      <c r="J812" t="str">
        <f>_xlfn.XLOOKUP(G812,'Common name (master file)'!$B:$B,'Common name (master file)'!$C:$C,"")</f>
        <v>어류</v>
      </c>
      <c r="K812">
        <f>eDNA!B812</f>
        <v>126.85185540000001</v>
      </c>
      <c r="L812">
        <f>eDNA!C812</f>
        <v>37.406578799999998</v>
      </c>
      <c r="M812" s="10" t="str" cm="1">
        <f t="array" ref="M812">IFERROR(_xlfn.XLOOKUP(1,('env Parameter'!$A:$A=$A812)*('env Parameter'!$B:$B=$K812)*('env Parameter'!$C:$C=$L812),'env Parameter'!D:D,""),"")</f>
        <v>목감천-4</v>
      </c>
      <c r="N812" s="10" t="str" cm="1">
        <f t="array" ref="N812">IFERROR(_xlfn.XLOOKUP(1,('env Parameter'!$A:$A=$A812)*('env Parameter'!$B:$B=$K812)*('env Parameter'!$C:$C=$L812),'env Parameter'!I:I,""),"")</f>
        <v>YR</v>
      </c>
    </row>
    <row r="813" spans="1:14">
      <c r="A813">
        <f>eDNA!A813</f>
        <v>20200916</v>
      </c>
      <c r="B813" s="10" t="str" cm="1">
        <f t="array" ref="B813">IFERROR(_xlfn.XLOOKUP(1,('env Parameter'!$A:$A=$A813)*('env Parameter'!$B:$B=$K813)*('env Parameter'!$C:$C=$L813),'env Parameter'!H:H,""),"")</f>
        <v>생물상 조사</v>
      </c>
      <c r="C813" s="10" cm="1">
        <f t="array" ref="C813">IFERROR(_xlfn.XLOOKUP(1,('env Parameter'!$A:$A=$A813)*('env Parameter'!$B:$B=$K813)*('env Parameter'!$C:$C=$L813),'env Parameter'!E:E,""),"")</f>
        <v>2.14</v>
      </c>
      <c r="D813" s="10" cm="1">
        <f t="array" ref="D813">IFERROR(_xlfn.XLOOKUP(1,('env Parameter'!$A:$A=$A813)*('env Parameter'!$B:$B=$K813)*('env Parameter'!$C:$C=$L813),'env Parameter'!F:F,""),"")</f>
        <v>478</v>
      </c>
      <c r="E813" s="10" cm="1">
        <f t="array" ref="E813">IFERROR(_xlfn.XLOOKUP(1,('env Parameter'!$A:$A=$A813)*('env Parameter'!$B:$B=$K813)*('env Parameter'!$C:$C=$L813),'env Parameter'!G:G,""),"")</f>
        <v>7.6</v>
      </c>
      <c r="F813" t="str">
        <f>eDNA!F813</f>
        <v>MiFish</v>
      </c>
      <c r="G813" t="str">
        <f>eDNA!D813</f>
        <v>Rhinogobius sp.</v>
      </c>
      <c r="H813" t="str">
        <f>_xlfn.XLOOKUP(G813,'Common name (master file)'!$B:$B,'Common name (master file)'!$A:$A,"-------------")</f>
        <v>밀어</v>
      </c>
      <c r="I813">
        <f>eDNA!E813</f>
        <v>13</v>
      </c>
      <c r="J813" t="str">
        <f>_xlfn.XLOOKUP(G813,'Common name (master file)'!$B:$B,'Common name (master file)'!$C:$C,"")</f>
        <v>어류</v>
      </c>
      <c r="K813">
        <f>eDNA!B813</f>
        <v>126.83793110000001</v>
      </c>
      <c r="L813">
        <f>eDNA!C813</f>
        <v>37.441797600000001</v>
      </c>
      <c r="M813" s="10" t="str" cm="1">
        <f t="array" ref="M813">IFERROR(_xlfn.XLOOKUP(1,('env Parameter'!$A:$A=$A813)*('env Parameter'!$B:$B=$K813)*('env Parameter'!$C:$C=$L813),'env Parameter'!D:D,""),"")</f>
        <v>목감천-2</v>
      </c>
      <c r="N813" s="10" t="str" cm="1">
        <f t="array" ref="N813">IFERROR(_xlfn.XLOOKUP(1,('env Parameter'!$A:$A=$A813)*('env Parameter'!$B:$B=$K813)*('env Parameter'!$C:$C=$L813),'env Parameter'!I:I,""),"")</f>
        <v>YR</v>
      </c>
    </row>
    <row r="814" spans="1:14">
      <c r="A814">
        <f>eDNA!A814</f>
        <v>20200916</v>
      </c>
      <c r="B814" s="10" t="str" cm="1">
        <f t="array" ref="B814">IFERROR(_xlfn.XLOOKUP(1,('env Parameter'!$A:$A=$A814)*('env Parameter'!$B:$B=$K814)*('env Parameter'!$C:$C=$L814),'env Parameter'!H:H,""),"")</f>
        <v>생물상 조사</v>
      </c>
      <c r="C814" s="10" cm="1">
        <f t="array" ref="C814">IFERROR(_xlfn.XLOOKUP(1,('env Parameter'!$A:$A=$A814)*('env Parameter'!$B:$B=$K814)*('env Parameter'!$C:$C=$L814),'env Parameter'!E:E,""),"")</f>
        <v>2.14</v>
      </c>
      <c r="D814" s="10" cm="1">
        <f t="array" ref="D814">IFERROR(_xlfn.XLOOKUP(1,('env Parameter'!$A:$A=$A814)*('env Parameter'!$B:$B=$K814)*('env Parameter'!$C:$C=$L814),'env Parameter'!F:F,""),"")</f>
        <v>478</v>
      </c>
      <c r="E814" s="10" cm="1">
        <f t="array" ref="E814">IFERROR(_xlfn.XLOOKUP(1,('env Parameter'!$A:$A=$A814)*('env Parameter'!$B:$B=$K814)*('env Parameter'!$C:$C=$L814),'env Parameter'!G:G,""),"")</f>
        <v>7.6</v>
      </c>
      <c r="F814" t="str">
        <f>eDNA!F814</f>
        <v>MiFish</v>
      </c>
      <c r="G814" t="str">
        <f>eDNA!D814</f>
        <v>Carassius auratus</v>
      </c>
      <c r="H814" t="str">
        <f>_xlfn.XLOOKUP(G814,'Common name (master file)'!$B:$B,'Common name (master file)'!$A:$A,"-------------")</f>
        <v>붕어</v>
      </c>
      <c r="I814">
        <f>eDNA!E814</f>
        <v>27</v>
      </c>
      <c r="J814" t="str">
        <f>_xlfn.XLOOKUP(G814,'Common name (master file)'!$B:$B,'Common name (master file)'!$C:$C,"")</f>
        <v>어류</v>
      </c>
      <c r="K814">
        <f>eDNA!B814</f>
        <v>126.83793110000001</v>
      </c>
      <c r="L814">
        <f>eDNA!C814</f>
        <v>37.441797600000001</v>
      </c>
      <c r="M814" s="10" t="str" cm="1">
        <f t="array" ref="M814">IFERROR(_xlfn.XLOOKUP(1,('env Parameter'!$A:$A=$A814)*('env Parameter'!$B:$B=$K814)*('env Parameter'!$C:$C=$L814),'env Parameter'!D:D,""),"")</f>
        <v>목감천-2</v>
      </c>
      <c r="N814" s="10" t="str" cm="1">
        <f t="array" ref="N814">IFERROR(_xlfn.XLOOKUP(1,('env Parameter'!$A:$A=$A814)*('env Parameter'!$B:$B=$K814)*('env Parameter'!$C:$C=$L814),'env Parameter'!I:I,""),"")</f>
        <v>YR</v>
      </c>
    </row>
    <row r="815" spans="1:14">
      <c r="A815">
        <f>eDNA!A815</f>
        <v>20200916</v>
      </c>
      <c r="B815" s="10" t="str" cm="1">
        <f t="array" ref="B815">IFERROR(_xlfn.XLOOKUP(1,('env Parameter'!$A:$A=$A815)*('env Parameter'!$B:$B=$K815)*('env Parameter'!$C:$C=$L815),'env Parameter'!H:H,""),"")</f>
        <v>생물상 조사</v>
      </c>
      <c r="C815" s="10" cm="1">
        <f t="array" ref="C815">IFERROR(_xlfn.XLOOKUP(1,('env Parameter'!$A:$A=$A815)*('env Parameter'!$B:$B=$K815)*('env Parameter'!$C:$C=$L815),'env Parameter'!E:E,""),"")</f>
        <v>2.14</v>
      </c>
      <c r="D815" s="10" cm="1">
        <f t="array" ref="D815">IFERROR(_xlfn.XLOOKUP(1,('env Parameter'!$A:$A=$A815)*('env Parameter'!$B:$B=$K815)*('env Parameter'!$C:$C=$L815),'env Parameter'!F:F,""),"")</f>
        <v>478</v>
      </c>
      <c r="E815" s="10" cm="1">
        <f t="array" ref="E815">IFERROR(_xlfn.XLOOKUP(1,('env Parameter'!$A:$A=$A815)*('env Parameter'!$B:$B=$K815)*('env Parameter'!$C:$C=$L815),'env Parameter'!G:G,""),"")</f>
        <v>7.6</v>
      </c>
      <c r="F815" t="str">
        <f>eDNA!F815</f>
        <v>MiFish</v>
      </c>
      <c r="G815" t="str">
        <f>eDNA!D815</f>
        <v>Plagiognathops microlepis</v>
      </c>
      <c r="H815" t="str">
        <f>_xlfn.XLOOKUP(G815,'Common name (master file)'!$B:$B,'Common name (master file)'!$A:$A,"-------------")</f>
        <v>왜몰개</v>
      </c>
      <c r="I815">
        <f>eDNA!E815</f>
        <v>28</v>
      </c>
      <c r="J815" t="str">
        <f>_xlfn.XLOOKUP(G815,'Common name (master file)'!$B:$B,'Common name (master file)'!$C:$C,"")</f>
        <v>어류</v>
      </c>
      <c r="K815">
        <f>eDNA!B815</f>
        <v>126.83793110000001</v>
      </c>
      <c r="L815">
        <f>eDNA!C815</f>
        <v>37.441797600000001</v>
      </c>
      <c r="M815" s="10" t="str" cm="1">
        <f t="array" ref="M815">IFERROR(_xlfn.XLOOKUP(1,('env Parameter'!$A:$A=$A815)*('env Parameter'!$B:$B=$K815)*('env Parameter'!$C:$C=$L815),'env Parameter'!D:D,""),"")</f>
        <v>목감천-2</v>
      </c>
      <c r="N815" s="10" t="str" cm="1">
        <f t="array" ref="N815">IFERROR(_xlfn.XLOOKUP(1,('env Parameter'!$A:$A=$A815)*('env Parameter'!$B:$B=$K815)*('env Parameter'!$C:$C=$L815),'env Parameter'!I:I,""),"")</f>
        <v>YR</v>
      </c>
    </row>
    <row r="816" spans="1:14">
      <c r="A816">
        <f>eDNA!A816</f>
        <v>20200916</v>
      </c>
      <c r="B816" s="10" t="str" cm="1">
        <f t="array" ref="B816">IFERROR(_xlfn.XLOOKUP(1,('env Parameter'!$A:$A=$A816)*('env Parameter'!$B:$B=$K816)*('env Parameter'!$C:$C=$L816),'env Parameter'!H:H,""),"")</f>
        <v>생물상 조사</v>
      </c>
      <c r="C816" s="10" cm="1">
        <f t="array" ref="C816">IFERROR(_xlfn.XLOOKUP(1,('env Parameter'!$A:$A=$A816)*('env Parameter'!$B:$B=$K816)*('env Parameter'!$C:$C=$L816),'env Parameter'!E:E,""),"")</f>
        <v>2.14</v>
      </c>
      <c r="D816" s="10" cm="1">
        <f t="array" ref="D816">IFERROR(_xlfn.XLOOKUP(1,('env Parameter'!$A:$A=$A816)*('env Parameter'!$B:$B=$K816)*('env Parameter'!$C:$C=$L816),'env Parameter'!F:F,""),"")</f>
        <v>478</v>
      </c>
      <c r="E816" s="10" cm="1">
        <f t="array" ref="E816">IFERROR(_xlfn.XLOOKUP(1,('env Parameter'!$A:$A=$A816)*('env Parameter'!$B:$B=$K816)*('env Parameter'!$C:$C=$L816),'env Parameter'!G:G,""),"")</f>
        <v>7.6</v>
      </c>
      <c r="F816" t="str">
        <f>eDNA!F816</f>
        <v>MiFish</v>
      </c>
      <c r="G816" t="str">
        <f>eDNA!D816</f>
        <v>Carassius cuvieri</v>
      </c>
      <c r="H816" t="str">
        <f>_xlfn.XLOOKUP(G816,'Common name (master file)'!$B:$B,'Common name (master file)'!$A:$A,"-------------")</f>
        <v>떡붕어</v>
      </c>
      <c r="I816">
        <f>eDNA!E816</f>
        <v>129</v>
      </c>
      <c r="J816" t="str">
        <f>_xlfn.XLOOKUP(G816,'Common name (master file)'!$B:$B,'Common name (master file)'!$C:$C,"")</f>
        <v>어류</v>
      </c>
      <c r="K816">
        <f>eDNA!B816</f>
        <v>126.83793110000001</v>
      </c>
      <c r="L816">
        <f>eDNA!C816</f>
        <v>37.441797600000001</v>
      </c>
      <c r="M816" s="10" t="str" cm="1">
        <f t="array" ref="M816">IFERROR(_xlfn.XLOOKUP(1,('env Parameter'!$A:$A=$A816)*('env Parameter'!$B:$B=$K816)*('env Parameter'!$C:$C=$L816),'env Parameter'!D:D,""),"")</f>
        <v>목감천-2</v>
      </c>
      <c r="N816" s="10" t="str" cm="1">
        <f t="array" ref="N816">IFERROR(_xlfn.XLOOKUP(1,('env Parameter'!$A:$A=$A816)*('env Parameter'!$B:$B=$K816)*('env Parameter'!$C:$C=$L816),'env Parameter'!I:I,""),"")</f>
        <v>YR</v>
      </c>
    </row>
    <row r="817" spans="1:14">
      <c r="A817">
        <f>eDNA!A817</f>
        <v>20200916</v>
      </c>
      <c r="B817" s="10" t="str" cm="1">
        <f t="array" ref="B817">IFERROR(_xlfn.XLOOKUP(1,('env Parameter'!$A:$A=$A817)*('env Parameter'!$B:$B=$K817)*('env Parameter'!$C:$C=$L817),'env Parameter'!H:H,""),"")</f>
        <v>생물상 조사</v>
      </c>
      <c r="C817" s="10" cm="1">
        <f t="array" ref="C817">IFERROR(_xlfn.XLOOKUP(1,('env Parameter'!$A:$A=$A817)*('env Parameter'!$B:$B=$K817)*('env Parameter'!$C:$C=$L817),'env Parameter'!E:E,""),"")</f>
        <v>2.14</v>
      </c>
      <c r="D817" s="10" cm="1">
        <f t="array" ref="D817">IFERROR(_xlfn.XLOOKUP(1,('env Parameter'!$A:$A=$A817)*('env Parameter'!$B:$B=$K817)*('env Parameter'!$C:$C=$L817),'env Parameter'!F:F,""),"")</f>
        <v>478</v>
      </c>
      <c r="E817" s="10" cm="1">
        <f t="array" ref="E817">IFERROR(_xlfn.XLOOKUP(1,('env Parameter'!$A:$A=$A817)*('env Parameter'!$B:$B=$K817)*('env Parameter'!$C:$C=$L817),'env Parameter'!G:G,""),"")</f>
        <v>7.6</v>
      </c>
      <c r="F817" t="str">
        <f>eDNA!F817</f>
        <v>MiFish</v>
      </c>
      <c r="G817" t="str">
        <f>eDNA!D817</f>
        <v>Anguilla japonica</v>
      </c>
      <c r="H817" t="str">
        <f>_xlfn.XLOOKUP(G817,'Common name (master file)'!$B:$B,'Common name (master file)'!$A:$A,"-------------")</f>
        <v>뱀장어</v>
      </c>
      <c r="I817">
        <f>eDNA!E817</f>
        <v>50</v>
      </c>
      <c r="J817" t="str">
        <f>_xlfn.XLOOKUP(G817,'Common name (master file)'!$B:$B,'Common name (master file)'!$C:$C,"")</f>
        <v>어류</v>
      </c>
      <c r="K817">
        <f>eDNA!B817</f>
        <v>126.83793110000001</v>
      </c>
      <c r="L817">
        <f>eDNA!C817</f>
        <v>37.441797600000001</v>
      </c>
      <c r="M817" s="10" t="str" cm="1">
        <f t="array" ref="M817">IFERROR(_xlfn.XLOOKUP(1,('env Parameter'!$A:$A=$A817)*('env Parameter'!$B:$B=$K817)*('env Parameter'!$C:$C=$L817),'env Parameter'!D:D,""),"")</f>
        <v>목감천-2</v>
      </c>
      <c r="N817" s="10" t="str" cm="1">
        <f t="array" ref="N817">IFERROR(_xlfn.XLOOKUP(1,('env Parameter'!$A:$A=$A817)*('env Parameter'!$B:$B=$K817)*('env Parameter'!$C:$C=$L817),'env Parameter'!I:I,""),"")</f>
        <v>YR</v>
      </c>
    </row>
    <row r="818" spans="1:14">
      <c r="A818">
        <f>eDNA!A818</f>
        <v>20200916</v>
      </c>
      <c r="B818" s="10" t="str" cm="1">
        <f t="array" ref="B818">IFERROR(_xlfn.XLOOKUP(1,('env Parameter'!$A:$A=$A818)*('env Parameter'!$B:$B=$K818)*('env Parameter'!$C:$C=$L818),'env Parameter'!H:H,""),"")</f>
        <v>생물상 조사</v>
      </c>
      <c r="C818" s="10" cm="1">
        <f t="array" ref="C818">IFERROR(_xlfn.XLOOKUP(1,('env Parameter'!$A:$A=$A818)*('env Parameter'!$B:$B=$K818)*('env Parameter'!$C:$C=$L818),'env Parameter'!E:E,""),"")</f>
        <v>2.14</v>
      </c>
      <c r="D818" s="10" cm="1">
        <f t="array" ref="D818">IFERROR(_xlfn.XLOOKUP(1,('env Parameter'!$A:$A=$A818)*('env Parameter'!$B:$B=$K818)*('env Parameter'!$C:$C=$L818),'env Parameter'!F:F,""),"")</f>
        <v>478</v>
      </c>
      <c r="E818" s="10" cm="1">
        <f t="array" ref="E818">IFERROR(_xlfn.XLOOKUP(1,('env Parameter'!$A:$A=$A818)*('env Parameter'!$B:$B=$K818)*('env Parameter'!$C:$C=$L818),'env Parameter'!G:G,""),"")</f>
        <v>7.6</v>
      </c>
      <c r="F818" t="str">
        <f>eDNA!F818</f>
        <v>MiFish</v>
      </c>
      <c r="G818" t="str">
        <f>eDNA!D818</f>
        <v>Bos taurus</v>
      </c>
      <c r="H818" t="str">
        <f>_xlfn.XLOOKUP(G818,'Common name (master file)'!$B:$B,'Common name (master file)'!$A:$A,"-------------")</f>
        <v>소</v>
      </c>
      <c r="I818">
        <f>eDNA!E818</f>
        <v>102</v>
      </c>
      <c r="J818" t="str">
        <f>_xlfn.XLOOKUP(G818,'Common name (master file)'!$B:$B,'Common name (master file)'!$C:$C,"")</f>
        <v>포유류</v>
      </c>
      <c r="K818">
        <f>eDNA!B818</f>
        <v>126.83793110000001</v>
      </c>
      <c r="L818">
        <f>eDNA!C818</f>
        <v>37.441797600000001</v>
      </c>
      <c r="M818" s="10" t="str" cm="1">
        <f t="array" ref="M818">IFERROR(_xlfn.XLOOKUP(1,('env Parameter'!$A:$A=$A818)*('env Parameter'!$B:$B=$K818)*('env Parameter'!$C:$C=$L818),'env Parameter'!D:D,""),"")</f>
        <v>목감천-2</v>
      </c>
      <c r="N818" s="10" t="str" cm="1">
        <f t="array" ref="N818">IFERROR(_xlfn.XLOOKUP(1,('env Parameter'!$A:$A=$A818)*('env Parameter'!$B:$B=$K818)*('env Parameter'!$C:$C=$L818),'env Parameter'!I:I,""),"")</f>
        <v>YR</v>
      </c>
    </row>
    <row r="819" spans="1:14">
      <c r="A819">
        <f>eDNA!A819</f>
        <v>20200916</v>
      </c>
      <c r="B819" s="10" t="str" cm="1">
        <f t="array" ref="B819">IFERROR(_xlfn.XLOOKUP(1,('env Parameter'!$A:$A=$A819)*('env Parameter'!$B:$B=$K819)*('env Parameter'!$C:$C=$L819),'env Parameter'!H:H,""),"")</f>
        <v>생물상 조사</v>
      </c>
      <c r="C819" s="10" cm="1">
        <f t="array" ref="C819">IFERROR(_xlfn.XLOOKUP(1,('env Parameter'!$A:$A=$A819)*('env Parameter'!$B:$B=$K819)*('env Parameter'!$C:$C=$L819),'env Parameter'!E:E,""),"")</f>
        <v>2.14</v>
      </c>
      <c r="D819" s="10" cm="1">
        <f t="array" ref="D819">IFERROR(_xlfn.XLOOKUP(1,('env Parameter'!$A:$A=$A819)*('env Parameter'!$B:$B=$K819)*('env Parameter'!$C:$C=$L819),'env Parameter'!F:F,""),"")</f>
        <v>478</v>
      </c>
      <c r="E819" s="10" cm="1">
        <f t="array" ref="E819">IFERROR(_xlfn.XLOOKUP(1,('env Parameter'!$A:$A=$A819)*('env Parameter'!$B:$B=$K819)*('env Parameter'!$C:$C=$L819),'env Parameter'!G:G,""),"")</f>
        <v>7.6</v>
      </c>
      <c r="F819" t="str">
        <f>eDNA!F819</f>
        <v>MiFish</v>
      </c>
      <c r="G819" t="str">
        <f>eDNA!D819</f>
        <v>Misgurnus anguillicaudatus</v>
      </c>
      <c r="H819" t="str">
        <f>_xlfn.XLOOKUP(G819,'Common name (master file)'!$B:$B,'Common name (master file)'!$A:$A,"-------------")</f>
        <v>미꾸리</v>
      </c>
      <c r="I819">
        <f>eDNA!E819</f>
        <v>166</v>
      </c>
      <c r="J819" t="str">
        <f>_xlfn.XLOOKUP(G819,'Common name (master file)'!$B:$B,'Common name (master file)'!$C:$C,"")</f>
        <v>어류</v>
      </c>
      <c r="K819">
        <f>eDNA!B819</f>
        <v>126.83793110000001</v>
      </c>
      <c r="L819">
        <f>eDNA!C819</f>
        <v>37.441797600000001</v>
      </c>
      <c r="M819" s="10" t="str" cm="1">
        <f t="array" ref="M819">IFERROR(_xlfn.XLOOKUP(1,('env Parameter'!$A:$A=$A819)*('env Parameter'!$B:$B=$K819)*('env Parameter'!$C:$C=$L819),'env Parameter'!D:D,""),"")</f>
        <v>목감천-2</v>
      </c>
      <c r="N819" s="10" t="str" cm="1">
        <f t="array" ref="N819">IFERROR(_xlfn.XLOOKUP(1,('env Parameter'!$A:$A=$A819)*('env Parameter'!$B:$B=$K819)*('env Parameter'!$C:$C=$L819),'env Parameter'!I:I,""),"")</f>
        <v>YR</v>
      </c>
    </row>
    <row r="820" spans="1:14">
      <c r="A820">
        <f>eDNA!A820</f>
        <v>20200916</v>
      </c>
      <c r="B820" s="10" t="str" cm="1">
        <f t="array" ref="B820">IFERROR(_xlfn.XLOOKUP(1,('env Parameter'!$A:$A=$A820)*('env Parameter'!$B:$B=$K820)*('env Parameter'!$C:$C=$L820),'env Parameter'!H:H,""),"")</f>
        <v>생물상 조사</v>
      </c>
      <c r="C820" s="10" cm="1">
        <f t="array" ref="C820">IFERROR(_xlfn.XLOOKUP(1,('env Parameter'!$A:$A=$A820)*('env Parameter'!$B:$B=$K820)*('env Parameter'!$C:$C=$L820),'env Parameter'!E:E,""),"")</f>
        <v>2.14</v>
      </c>
      <c r="D820" s="10" cm="1">
        <f t="array" ref="D820">IFERROR(_xlfn.XLOOKUP(1,('env Parameter'!$A:$A=$A820)*('env Parameter'!$B:$B=$K820)*('env Parameter'!$C:$C=$L820),'env Parameter'!F:F,""),"")</f>
        <v>478</v>
      </c>
      <c r="E820" s="10" cm="1">
        <f t="array" ref="E820">IFERROR(_xlfn.XLOOKUP(1,('env Parameter'!$A:$A=$A820)*('env Parameter'!$B:$B=$K820)*('env Parameter'!$C:$C=$L820),'env Parameter'!G:G,""),"")</f>
        <v>7.6</v>
      </c>
      <c r="F820" t="str">
        <f>eDNA!F820</f>
        <v>MiFish</v>
      </c>
      <c r="G820" t="str">
        <f>eDNA!D820</f>
        <v>Konosirus punctatus</v>
      </c>
      <c r="H820" t="str">
        <f>_xlfn.XLOOKUP(G820,'Common name (master file)'!$B:$B,'Common name (master file)'!$A:$A,"-------------")</f>
        <v>전어</v>
      </c>
      <c r="I820">
        <f>eDNA!E820</f>
        <v>108</v>
      </c>
      <c r="J820" t="str">
        <f>_xlfn.XLOOKUP(G820,'Common name (master file)'!$B:$B,'Common name (master file)'!$C:$C,"")</f>
        <v>어류</v>
      </c>
      <c r="K820">
        <f>eDNA!B820</f>
        <v>126.83793110000001</v>
      </c>
      <c r="L820">
        <f>eDNA!C820</f>
        <v>37.441797600000001</v>
      </c>
      <c r="M820" s="10" t="str" cm="1">
        <f t="array" ref="M820">IFERROR(_xlfn.XLOOKUP(1,('env Parameter'!$A:$A=$A820)*('env Parameter'!$B:$B=$K820)*('env Parameter'!$C:$C=$L820),'env Parameter'!D:D,""),"")</f>
        <v>목감천-2</v>
      </c>
      <c r="N820" s="10" t="str" cm="1">
        <f t="array" ref="N820">IFERROR(_xlfn.XLOOKUP(1,('env Parameter'!$A:$A=$A820)*('env Parameter'!$B:$B=$K820)*('env Parameter'!$C:$C=$L820),'env Parameter'!I:I,""),"")</f>
        <v>YR</v>
      </c>
    </row>
    <row r="821" spans="1:14">
      <c r="A821">
        <f>eDNA!A821</f>
        <v>20200916</v>
      </c>
      <c r="B821" s="10" t="str" cm="1">
        <f t="array" ref="B821">IFERROR(_xlfn.XLOOKUP(1,('env Parameter'!$A:$A=$A821)*('env Parameter'!$B:$B=$K821)*('env Parameter'!$C:$C=$L821),'env Parameter'!H:H,""),"")</f>
        <v>생물상 조사</v>
      </c>
      <c r="C821" s="10" cm="1">
        <f t="array" ref="C821">IFERROR(_xlfn.XLOOKUP(1,('env Parameter'!$A:$A=$A821)*('env Parameter'!$B:$B=$K821)*('env Parameter'!$C:$C=$L821),'env Parameter'!E:E,""),"")</f>
        <v>2.14</v>
      </c>
      <c r="D821" s="10" cm="1">
        <f t="array" ref="D821">IFERROR(_xlfn.XLOOKUP(1,('env Parameter'!$A:$A=$A821)*('env Parameter'!$B:$B=$K821)*('env Parameter'!$C:$C=$L821),'env Parameter'!F:F,""),"")</f>
        <v>478</v>
      </c>
      <c r="E821" s="10" cm="1">
        <f t="array" ref="E821">IFERROR(_xlfn.XLOOKUP(1,('env Parameter'!$A:$A=$A821)*('env Parameter'!$B:$B=$K821)*('env Parameter'!$C:$C=$L821),'env Parameter'!G:G,""),"")</f>
        <v>7.6</v>
      </c>
      <c r="F821" t="str">
        <f>eDNA!F821</f>
        <v>MiFish</v>
      </c>
      <c r="G821" t="str">
        <f>eDNA!D821</f>
        <v>Pseudogobio esocinus</v>
      </c>
      <c r="H821" t="str">
        <f>_xlfn.XLOOKUP(G821,'Common name (master file)'!$B:$B,'Common name (master file)'!$A:$A,"-------------")</f>
        <v>모래무지</v>
      </c>
      <c r="I821">
        <f>eDNA!E821</f>
        <v>133</v>
      </c>
      <c r="J821" t="str">
        <f>_xlfn.XLOOKUP(G821,'Common name (master file)'!$B:$B,'Common name (master file)'!$C:$C,"")</f>
        <v>어류</v>
      </c>
      <c r="K821">
        <f>eDNA!B821</f>
        <v>126.83793110000001</v>
      </c>
      <c r="L821">
        <f>eDNA!C821</f>
        <v>37.441797600000001</v>
      </c>
      <c r="M821" s="10" t="str" cm="1">
        <f t="array" ref="M821">IFERROR(_xlfn.XLOOKUP(1,('env Parameter'!$A:$A=$A821)*('env Parameter'!$B:$B=$K821)*('env Parameter'!$C:$C=$L821),'env Parameter'!D:D,""),"")</f>
        <v>목감천-2</v>
      </c>
      <c r="N821" s="10" t="str" cm="1">
        <f t="array" ref="N821">IFERROR(_xlfn.XLOOKUP(1,('env Parameter'!$A:$A=$A821)*('env Parameter'!$B:$B=$K821)*('env Parameter'!$C:$C=$L821),'env Parameter'!I:I,""),"")</f>
        <v>YR</v>
      </c>
    </row>
    <row r="822" spans="1:14">
      <c r="A822">
        <f>eDNA!A822</f>
        <v>20200916</v>
      </c>
      <c r="B822" s="10" t="str" cm="1">
        <f t="array" ref="B822">IFERROR(_xlfn.XLOOKUP(1,('env Parameter'!$A:$A=$A822)*('env Parameter'!$B:$B=$K822)*('env Parameter'!$C:$C=$L822),'env Parameter'!H:H,""),"")</f>
        <v/>
      </c>
      <c r="C822" s="10" t="str" cm="1">
        <f t="array" ref="C822">IFERROR(_xlfn.XLOOKUP(1,('env Parameter'!$A:$A=$A822)*('env Parameter'!$B:$B=$K822)*('env Parameter'!$C:$C=$L822),'env Parameter'!E:E,""),"")</f>
        <v/>
      </c>
      <c r="D822" s="10" t="str" cm="1">
        <f t="array" ref="D822">IFERROR(_xlfn.XLOOKUP(1,('env Parameter'!$A:$A=$A822)*('env Parameter'!$B:$B=$K822)*('env Parameter'!$C:$C=$L822),'env Parameter'!F:F,""),"")</f>
        <v/>
      </c>
      <c r="E822" s="10" t="str" cm="1">
        <f t="array" ref="E822">IFERROR(_xlfn.XLOOKUP(1,('env Parameter'!$A:$A=$A822)*('env Parameter'!$B:$B=$K822)*('env Parameter'!$C:$C=$L822),'env Parameter'!G:G,""),"")</f>
        <v/>
      </c>
      <c r="F822" t="str">
        <f>eDNA!F822</f>
        <v>MiFish</v>
      </c>
      <c r="G822" t="str">
        <f>eDNA!D822</f>
        <v>Trachidermus fasciatus</v>
      </c>
      <c r="H822" t="str">
        <f>_xlfn.XLOOKUP(G822,'Common name (master file)'!$B:$B,'Common name (master file)'!$A:$A,"-------------")</f>
        <v>꺽정이</v>
      </c>
      <c r="I822">
        <f>eDNA!E822</f>
        <v>68</v>
      </c>
      <c r="J822" t="str">
        <f>_xlfn.XLOOKUP(G822,'Common name (master file)'!$B:$B,'Common name (master file)'!$C:$C,"")</f>
        <v>어류</v>
      </c>
      <c r="K822">
        <f>eDNA!B822</f>
        <v>126.8797805</v>
      </c>
      <c r="L822">
        <f>eDNA!C822</f>
        <v>37.523914499999997</v>
      </c>
      <c r="M822" s="10" t="str" cm="1">
        <f t="array" ref="M822">IFERROR(_xlfn.XLOOKUP(1,('env Parameter'!$A:$A=$A822)*('env Parameter'!$B:$B=$K822)*('env Parameter'!$C:$C=$L822),'env Parameter'!D:D,""),"")</f>
        <v/>
      </c>
      <c r="N822" s="10" t="str" cm="1">
        <f t="array" ref="N822">IFERROR(_xlfn.XLOOKUP(1,('env Parameter'!$A:$A=$A822)*('env Parameter'!$B:$B=$K822)*('env Parameter'!$C:$C=$L822),'env Parameter'!I:I,""),"")</f>
        <v/>
      </c>
    </row>
    <row r="823" spans="1:14">
      <c r="A823">
        <f>eDNA!A823</f>
        <v>20200916</v>
      </c>
      <c r="B823" s="10" t="str" cm="1">
        <f t="array" ref="B823">IFERROR(_xlfn.XLOOKUP(1,('env Parameter'!$A:$A=$A823)*('env Parameter'!$B:$B=$K823)*('env Parameter'!$C:$C=$L823),'env Parameter'!H:H,""),"")</f>
        <v>생물상 조사</v>
      </c>
      <c r="C823" s="10" cm="1">
        <f t="array" ref="C823">IFERROR(_xlfn.XLOOKUP(1,('env Parameter'!$A:$A=$A823)*('env Parameter'!$B:$B=$K823)*('env Parameter'!$C:$C=$L823),'env Parameter'!E:E,""),"")</f>
        <v>2.14</v>
      </c>
      <c r="D823" s="10" cm="1">
        <f t="array" ref="D823">IFERROR(_xlfn.XLOOKUP(1,('env Parameter'!$A:$A=$A823)*('env Parameter'!$B:$B=$K823)*('env Parameter'!$C:$C=$L823),'env Parameter'!F:F,""),"")</f>
        <v>478</v>
      </c>
      <c r="E823" s="10" cm="1">
        <f t="array" ref="E823">IFERROR(_xlfn.XLOOKUP(1,('env Parameter'!$A:$A=$A823)*('env Parameter'!$B:$B=$K823)*('env Parameter'!$C:$C=$L823),'env Parameter'!G:G,""),"")</f>
        <v>7.6</v>
      </c>
      <c r="F823" t="str">
        <f>eDNA!F823</f>
        <v>MiFish</v>
      </c>
      <c r="G823" t="str">
        <f>eDNA!D823</f>
        <v>Hemibarbus sp.</v>
      </c>
      <c r="H823" t="str">
        <f>_xlfn.XLOOKUP(G823,'Common name (master file)'!$B:$B,'Common name (master file)'!$A:$A,"-------------")</f>
        <v>누치 속</v>
      </c>
      <c r="I823">
        <f>eDNA!E823</f>
        <v>141</v>
      </c>
      <c r="J823" t="str">
        <f>_xlfn.XLOOKUP(G823,'Common name (master file)'!$B:$B,'Common name (master file)'!$C:$C,"")</f>
        <v>어류</v>
      </c>
      <c r="K823">
        <f>eDNA!B823</f>
        <v>126.83793110000001</v>
      </c>
      <c r="L823">
        <f>eDNA!C823</f>
        <v>37.441797600000001</v>
      </c>
      <c r="M823" s="10" t="str" cm="1">
        <f t="array" ref="M823">IFERROR(_xlfn.XLOOKUP(1,('env Parameter'!$A:$A=$A823)*('env Parameter'!$B:$B=$K823)*('env Parameter'!$C:$C=$L823),'env Parameter'!D:D,""),"")</f>
        <v>목감천-2</v>
      </c>
      <c r="N823" s="10" t="str" cm="1">
        <f t="array" ref="N823">IFERROR(_xlfn.XLOOKUP(1,('env Parameter'!$A:$A=$A823)*('env Parameter'!$B:$B=$K823)*('env Parameter'!$C:$C=$L823),'env Parameter'!I:I,""),"")</f>
        <v>YR</v>
      </c>
    </row>
    <row r="824" spans="1:14">
      <c r="A824">
        <f>eDNA!A824</f>
        <v>20200916</v>
      </c>
      <c r="B824" s="10" t="str" cm="1">
        <f t="array" ref="B824">IFERROR(_xlfn.XLOOKUP(1,('env Parameter'!$A:$A=$A824)*('env Parameter'!$B:$B=$K824)*('env Parameter'!$C:$C=$L824),'env Parameter'!H:H,""),"")</f>
        <v>생물상 조사</v>
      </c>
      <c r="C824" s="10" cm="1">
        <f t="array" ref="C824">IFERROR(_xlfn.XLOOKUP(1,('env Parameter'!$A:$A=$A824)*('env Parameter'!$B:$B=$K824)*('env Parameter'!$C:$C=$L824),'env Parameter'!E:E,""),"")</f>
        <v>2.14</v>
      </c>
      <c r="D824" s="10" cm="1">
        <f t="array" ref="D824">IFERROR(_xlfn.XLOOKUP(1,('env Parameter'!$A:$A=$A824)*('env Parameter'!$B:$B=$K824)*('env Parameter'!$C:$C=$L824),'env Parameter'!F:F,""),"")</f>
        <v>478</v>
      </c>
      <c r="E824" s="10" cm="1">
        <f t="array" ref="E824">IFERROR(_xlfn.XLOOKUP(1,('env Parameter'!$A:$A=$A824)*('env Parameter'!$B:$B=$K824)*('env Parameter'!$C:$C=$L824),'env Parameter'!G:G,""),"")</f>
        <v>7.6</v>
      </c>
      <c r="F824" t="str">
        <f>eDNA!F824</f>
        <v>MiFish</v>
      </c>
      <c r="G824" t="str">
        <f>eDNA!D824</f>
        <v>Homo sapiens</v>
      </c>
      <c r="H824" t="str">
        <f>_xlfn.XLOOKUP(G824,'Common name (master file)'!$B:$B,'Common name (master file)'!$A:$A,"-------------")</f>
        <v>사람</v>
      </c>
      <c r="I824">
        <f>eDNA!E824</f>
        <v>167</v>
      </c>
      <c r="J824" t="str">
        <f>_xlfn.XLOOKUP(G824,'Common name (master file)'!$B:$B,'Common name (master file)'!$C:$C,"")</f>
        <v>포유류</v>
      </c>
      <c r="K824">
        <f>eDNA!B824</f>
        <v>126.83793110000001</v>
      </c>
      <c r="L824">
        <f>eDNA!C824</f>
        <v>37.441797600000001</v>
      </c>
      <c r="M824" s="10" t="str" cm="1">
        <f t="array" ref="M824">IFERROR(_xlfn.XLOOKUP(1,('env Parameter'!$A:$A=$A824)*('env Parameter'!$B:$B=$K824)*('env Parameter'!$C:$C=$L824),'env Parameter'!D:D,""),"")</f>
        <v>목감천-2</v>
      </c>
      <c r="N824" s="10" t="str" cm="1">
        <f t="array" ref="N824">IFERROR(_xlfn.XLOOKUP(1,('env Parameter'!$A:$A=$A824)*('env Parameter'!$B:$B=$K824)*('env Parameter'!$C:$C=$L824),'env Parameter'!I:I,""),"")</f>
        <v>YR</v>
      </c>
    </row>
    <row r="825" spans="1:14">
      <c r="A825">
        <f>eDNA!A825</f>
        <v>20200916</v>
      </c>
      <c r="B825" s="10" t="str" cm="1">
        <f t="array" ref="B825">IFERROR(_xlfn.XLOOKUP(1,('env Parameter'!$A:$A=$A825)*('env Parameter'!$B:$B=$K825)*('env Parameter'!$C:$C=$L825),'env Parameter'!H:H,""),"")</f>
        <v>생물상 조사</v>
      </c>
      <c r="C825" s="10" cm="1">
        <f t="array" ref="C825">IFERROR(_xlfn.XLOOKUP(1,('env Parameter'!$A:$A=$A825)*('env Parameter'!$B:$B=$K825)*('env Parameter'!$C:$C=$L825),'env Parameter'!E:E,""),"")</f>
        <v>2.14</v>
      </c>
      <c r="D825" s="10" cm="1">
        <f t="array" ref="D825">IFERROR(_xlfn.XLOOKUP(1,('env Parameter'!$A:$A=$A825)*('env Parameter'!$B:$B=$K825)*('env Parameter'!$C:$C=$L825),'env Parameter'!F:F,""),"")</f>
        <v>478</v>
      </c>
      <c r="E825" s="10" cm="1">
        <f t="array" ref="E825">IFERROR(_xlfn.XLOOKUP(1,('env Parameter'!$A:$A=$A825)*('env Parameter'!$B:$B=$K825)*('env Parameter'!$C:$C=$L825),'env Parameter'!G:G,""),"")</f>
        <v>7.6</v>
      </c>
      <c r="F825" t="str">
        <f>eDNA!F825</f>
        <v>MiFish</v>
      </c>
      <c r="G825" t="str">
        <f>eDNA!D825</f>
        <v>Gnathopogon strigatus</v>
      </c>
      <c r="H825" t="str">
        <f>_xlfn.XLOOKUP(G825,'Common name (master file)'!$B:$B,'Common name (master file)'!$A:$A,"-------------")</f>
        <v>줄몰개</v>
      </c>
      <c r="I825">
        <f>eDNA!E825</f>
        <v>178</v>
      </c>
      <c r="J825" t="str">
        <f>_xlfn.XLOOKUP(G825,'Common name (master file)'!$B:$B,'Common name (master file)'!$C:$C,"")</f>
        <v>어류</v>
      </c>
      <c r="K825">
        <f>eDNA!B825</f>
        <v>126.83793110000001</v>
      </c>
      <c r="L825">
        <f>eDNA!C825</f>
        <v>37.441797600000001</v>
      </c>
      <c r="M825" s="10" t="str" cm="1">
        <f t="array" ref="M825">IFERROR(_xlfn.XLOOKUP(1,('env Parameter'!$A:$A=$A825)*('env Parameter'!$B:$B=$K825)*('env Parameter'!$C:$C=$L825),'env Parameter'!D:D,""),"")</f>
        <v>목감천-2</v>
      </c>
      <c r="N825" s="10" t="str" cm="1">
        <f t="array" ref="N825">IFERROR(_xlfn.XLOOKUP(1,('env Parameter'!$A:$A=$A825)*('env Parameter'!$B:$B=$K825)*('env Parameter'!$C:$C=$L825),'env Parameter'!I:I,""),"")</f>
        <v>YR</v>
      </c>
    </row>
    <row r="826" spans="1:14">
      <c r="A826">
        <f>eDNA!A826</f>
        <v>20200916</v>
      </c>
      <c r="B826" s="10" t="str" cm="1">
        <f t="array" ref="B826">IFERROR(_xlfn.XLOOKUP(1,('env Parameter'!$A:$A=$A826)*('env Parameter'!$B:$B=$K826)*('env Parameter'!$C:$C=$L826),'env Parameter'!H:H,""),"")</f>
        <v>생물상 조사</v>
      </c>
      <c r="C826" s="10" cm="1">
        <f t="array" ref="C826">IFERROR(_xlfn.XLOOKUP(1,('env Parameter'!$A:$A=$A826)*('env Parameter'!$B:$B=$K826)*('env Parameter'!$C:$C=$L826),'env Parameter'!E:E,""),"")</f>
        <v>2.14</v>
      </c>
      <c r="D826" s="10" cm="1">
        <f t="array" ref="D826">IFERROR(_xlfn.XLOOKUP(1,('env Parameter'!$A:$A=$A826)*('env Parameter'!$B:$B=$K826)*('env Parameter'!$C:$C=$L826),'env Parameter'!F:F,""),"")</f>
        <v>478</v>
      </c>
      <c r="E826" s="10" cm="1">
        <f t="array" ref="E826">IFERROR(_xlfn.XLOOKUP(1,('env Parameter'!$A:$A=$A826)*('env Parameter'!$B:$B=$K826)*('env Parameter'!$C:$C=$L826),'env Parameter'!G:G,""),"")</f>
        <v>7.6</v>
      </c>
      <c r="F826" t="str">
        <f>eDNA!F826</f>
        <v>MiFish</v>
      </c>
      <c r="G826" t="str">
        <f>eDNA!D826</f>
        <v>Oryzias sinensis</v>
      </c>
      <c r="H826" t="str">
        <f>_xlfn.XLOOKUP(G826,'Common name (master file)'!$B:$B,'Common name (master file)'!$A:$A,"-------------")</f>
        <v>대륙송사리</v>
      </c>
      <c r="I826">
        <f>eDNA!E826</f>
        <v>284</v>
      </c>
      <c r="J826" t="str">
        <f>_xlfn.XLOOKUP(G826,'Common name (master file)'!$B:$B,'Common name (master file)'!$C:$C,"")</f>
        <v>어류</v>
      </c>
      <c r="K826">
        <f>eDNA!B826</f>
        <v>126.83793110000001</v>
      </c>
      <c r="L826">
        <f>eDNA!C826</f>
        <v>37.441797600000001</v>
      </c>
      <c r="M826" s="10" t="str" cm="1">
        <f t="array" ref="M826">IFERROR(_xlfn.XLOOKUP(1,('env Parameter'!$A:$A=$A826)*('env Parameter'!$B:$B=$K826)*('env Parameter'!$C:$C=$L826),'env Parameter'!D:D,""),"")</f>
        <v>목감천-2</v>
      </c>
      <c r="N826" s="10" t="str" cm="1">
        <f t="array" ref="N826">IFERROR(_xlfn.XLOOKUP(1,('env Parameter'!$A:$A=$A826)*('env Parameter'!$B:$B=$K826)*('env Parameter'!$C:$C=$L826),'env Parameter'!I:I,""),"")</f>
        <v>YR</v>
      </c>
    </row>
    <row r="827" spans="1:14">
      <c r="A827">
        <f>eDNA!A827</f>
        <v>20200916</v>
      </c>
      <c r="B827" s="10" t="str" cm="1">
        <f t="array" ref="B827">IFERROR(_xlfn.XLOOKUP(1,('env Parameter'!$A:$A=$A827)*('env Parameter'!$B:$B=$K827)*('env Parameter'!$C:$C=$L827),'env Parameter'!H:H,""),"")</f>
        <v>생물상 조사</v>
      </c>
      <c r="C827" s="10" cm="1">
        <f t="array" ref="C827">IFERROR(_xlfn.XLOOKUP(1,('env Parameter'!$A:$A=$A827)*('env Parameter'!$B:$B=$K827)*('env Parameter'!$C:$C=$L827),'env Parameter'!E:E,""),"")</f>
        <v>2.14</v>
      </c>
      <c r="D827" s="10" cm="1">
        <f t="array" ref="D827">IFERROR(_xlfn.XLOOKUP(1,('env Parameter'!$A:$A=$A827)*('env Parameter'!$B:$B=$K827)*('env Parameter'!$C:$C=$L827),'env Parameter'!F:F,""),"")</f>
        <v>478</v>
      </c>
      <c r="E827" s="10" cm="1">
        <f t="array" ref="E827">IFERROR(_xlfn.XLOOKUP(1,('env Parameter'!$A:$A=$A827)*('env Parameter'!$B:$B=$K827)*('env Parameter'!$C:$C=$L827),'env Parameter'!G:G,""),"")</f>
        <v>7.6</v>
      </c>
      <c r="F827" t="str">
        <f>eDNA!F827</f>
        <v>MiFish</v>
      </c>
      <c r="G827" t="str">
        <f>eDNA!D827</f>
        <v>Misgurnus bipartitus</v>
      </c>
      <c r="H827" t="str">
        <f>_xlfn.XLOOKUP(G827,'Common name (master file)'!$B:$B,'Common name (master file)'!$A:$A,"-------------")</f>
        <v>쌍무늬미꾸리</v>
      </c>
      <c r="I827">
        <f>eDNA!E827</f>
        <v>293</v>
      </c>
      <c r="J827" t="str">
        <f>_xlfn.XLOOKUP(G827,'Common name (master file)'!$B:$B,'Common name (master file)'!$C:$C,"")</f>
        <v>어류</v>
      </c>
      <c r="K827">
        <f>eDNA!B827</f>
        <v>126.83793110000001</v>
      </c>
      <c r="L827">
        <f>eDNA!C827</f>
        <v>37.441797600000001</v>
      </c>
      <c r="M827" s="10" t="str" cm="1">
        <f t="array" ref="M827">IFERROR(_xlfn.XLOOKUP(1,('env Parameter'!$A:$A=$A827)*('env Parameter'!$B:$B=$K827)*('env Parameter'!$C:$C=$L827),'env Parameter'!D:D,""),"")</f>
        <v>목감천-2</v>
      </c>
      <c r="N827" s="10" t="str" cm="1">
        <f t="array" ref="N827">IFERROR(_xlfn.XLOOKUP(1,('env Parameter'!$A:$A=$A827)*('env Parameter'!$B:$B=$K827)*('env Parameter'!$C:$C=$L827),'env Parameter'!I:I,""),"")</f>
        <v>YR</v>
      </c>
    </row>
    <row r="828" spans="1:14">
      <c r="A828">
        <f>eDNA!A828</f>
        <v>20200916</v>
      </c>
      <c r="B828" s="10" t="str" cm="1">
        <f t="array" ref="B828">IFERROR(_xlfn.XLOOKUP(1,('env Parameter'!$A:$A=$A828)*('env Parameter'!$B:$B=$K828)*('env Parameter'!$C:$C=$L828),'env Parameter'!H:H,""),"")</f>
        <v>생물상 조사</v>
      </c>
      <c r="C828" s="10" cm="1">
        <f t="array" ref="C828">IFERROR(_xlfn.XLOOKUP(1,('env Parameter'!$A:$A=$A828)*('env Parameter'!$B:$B=$K828)*('env Parameter'!$C:$C=$L828),'env Parameter'!E:E,""),"")</f>
        <v>2.14</v>
      </c>
      <c r="D828" s="10" cm="1">
        <f t="array" ref="D828">IFERROR(_xlfn.XLOOKUP(1,('env Parameter'!$A:$A=$A828)*('env Parameter'!$B:$B=$K828)*('env Parameter'!$C:$C=$L828),'env Parameter'!F:F,""),"")</f>
        <v>478</v>
      </c>
      <c r="E828" s="10" cm="1">
        <f t="array" ref="E828">IFERROR(_xlfn.XLOOKUP(1,('env Parameter'!$A:$A=$A828)*('env Parameter'!$B:$B=$K828)*('env Parameter'!$C:$C=$L828),'env Parameter'!G:G,""),"")</f>
        <v>7.6</v>
      </c>
      <c r="F828" t="str">
        <f>eDNA!F828</f>
        <v>MiFish</v>
      </c>
      <c r="G828" t="str">
        <f>eDNA!D828</f>
        <v>Scomber japonicus</v>
      </c>
      <c r="H828" t="str">
        <f>_xlfn.XLOOKUP(G828,'Common name (master file)'!$B:$B,'Common name (master file)'!$A:$A,"-------------")</f>
        <v>참고등어</v>
      </c>
      <c r="I828">
        <f>eDNA!E828</f>
        <v>227</v>
      </c>
      <c r="J828" t="str">
        <f>_xlfn.XLOOKUP(G828,'Common name (master file)'!$B:$B,'Common name (master file)'!$C:$C,"")</f>
        <v>어류</v>
      </c>
      <c r="K828">
        <f>eDNA!B828</f>
        <v>126.83793110000001</v>
      </c>
      <c r="L828">
        <f>eDNA!C828</f>
        <v>37.441797600000001</v>
      </c>
      <c r="M828" s="10" t="str" cm="1">
        <f t="array" ref="M828">IFERROR(_xlfn.XLOOKUP(1,('env Parameter'!$A:$A=$A828)*('env Parameter'!$B:$B=$K828)*('env Parameter'!$C:$C=$L828),'env Parameter'!D:D,""),"")</f>
        <v>목감천-2</v>
      </c>
      <c r="N828" s="10" t="str" cm="1">
        <f t="array" ref="N828">IFERROR(_xlfn.XLOOKUP(1,('env Parameter'!$A:$A=$A828)*('env Parameter'!$B:$B=$K828)*('env Parameter'!$C:$C=$L828),'env Parameter'!I:I,""),"")</f>
        <v>YR</v>
      </c>
    </row>
    <row r="829" spans="1:14">
      <c r="A829">
        <f>eDNA!A829</f>
        <v>20200916</v>
      </c>
      <c r="B829" s="10" t="str" cm="1">
        <f t="array" ref="B829">IFERROR(_xlfn.XLOOKUP(1,('env Parameter'!$A:$A=$A829)*('env Parameter'!$B:$B=$K829)*('env Parameter'!$C:$C=$L829),'env Parameter'!H:H,""),"")</f>
        <v>생물상 조사</v>
      </c>
      <c r="C829" s="10" cm="1">
        <f t="array" ref="C829">IFERROR(_xlfn.XLOOKUP(1,('env Parameter'!$A:$A=$A829)*('env Parameter'!$B:$B=$K829)*('env Parameter'!$C:$C=$L829),'env Parameter'!E:E,""),"")</f>
        <v>2.14</v>
      </c>
      <c r="D829" s="10" cm="1">
        <f t="array" ref="D829">IFERROR(_xlfn.XLOOKUP(1,('env Parameter'!$A:$A=$A829)*('env Parameter'!$B:$B=$K829)*('env Parameter'!$C:$C=$L829),'env Parameter'!F:F,""),"")</f>
        <v>478</v>
      </c>
      <c r="E829" s="10" cm="1">
        <f t="array" ref="E829">IFERROR(_xlfn.XLOOKUP(1,('env Parameter'!$A:$A=$A829)*('env Parameter'!$B:$B=$K829)*('env Parameter'!$C:$C=$L829),'env Parameter'!G:G,""),"")</f>
        <v>7.6</v>
      </c>
      <c r="F829" t="str">
        <f>eDNA!F829</f>
        <v>MiFish</v>
      </c>
      <c r="G829" t="str">
        <f>eDNA!D829</f>
        <v>Rhinogobius giurinus</v>
      </c>
      <c r="H829" t="str">
        <f>_xlfn.XLOOKUP(G829,'Common name (master file)'!$B:$B,'Common name (master file)'!$A:$A,"-------------")</f>
        <v>갈문망둑</v>
      </c>
      <c r="I829">
        <f>eDNA!E829</f>
        <v>324</v>
      </c>
      <c r="J829" t="str">
        <f>_xlfn.XLOOKUP(G829,'Common name (master file)'!$B:$B,'Common name (master file)'!$C:$C,"")</f>
        <v>어류</v>
      </c>
      <c r="K829">
        <f>eDNA!B829</f>
        <v>126.83793110000001</v>
      </c>
      <c r="L829">
        <f>eDNA!C829</f>
        <v>37.441797600000001</v>
      </c>
      <c r="M829" s="10" t="str" cm="1">
        <f t="array" ref="M829">IFERROR(_xlfn.XLOOKUP(1,('env Parameter'!$A:$A=$A829)*('env Parameter'!$B:$B=$K829)*('env Parameter'!$C:$C=$L829),'env Parameter'!D:D,""),"")</f>
        <v>목감천-2</v>
      </c>
      <c r="N829" s="10" t="str" cm="1">
        <f t="array" ref="N829">IFERROR(_xlfn.XLOOKUP(1,('env Parameter'!$A:$A=$A829)*('env Parameter'!$B:$B=$K829)*('env Parameter'!$C:$C=$L829),'env Parameter'!I:I,""),"")</f>
        <v>YR</v>
      </c>
    </row>
    <row r="830" spans="1:14">
      <c r="A830">
        <f>eDNA!A830</f>
        <v>20200916</v>
      </c>
      <c r="B830" s="10" t="str" cm="1">
        <f t="array" ref="B830">IFERROR(_xlfn.XLOOKUP(1,('env Parameter'!$A:$A=$A830)*('env Parameter'!$B:$B=$K830)*('env Parameter'!$C:$C=$L830),'env Parameter'!H:H,""),"")</f>
        <v>생물상 조사</v>
      </c>
      <c r="C830" s="10" cm="1">
        <f t="array" ref="C830">IFERROR(_xlfn.XLOOKUP(1,('env Parameter'!$A:$A=$A830)*('env Parameter'!$B:$B=$K830)*('env Parameter'!$C:$C=$L830),'env Parameter'!E:E,""),"")</f>
        <v>2.14</v>
      </c>
      <c r="D830" s="10" cm="1">
        <f t="array" ref="D830">IFERROR(_xlfn.XLOOKUP(1,('env Parameter'!$A:$A=$A830)*('env Parameter'!$B:$B=$K830)*('env Parameter'!$C:$C=$L830),'env Parameter'!F:F,""),"")</f>
        <v>478</v>
      </c>
      <c r="E830" s="10" cm="1">
        <f t="array" ref="E830">IFERROR(_xlfn.XLOOKUP(1,('env Parameter'!$A:$A=$A830)*('env Parameter'!$B:$B=$K830)*('env Parameter'!$C:$C=$L830),'env Parameter'!G:G,""),"")</f>
        <v>7.6</v>
      </c>
      <c r="F830" t="str">
        <f>eDNA!F830</f>
        <v>MiFish</v>
      </c>
      <c r="G830" t="str">
        <f>eDNA!D830</f>
        <v>Paralichthys olivaceus</v>
      </c>
      <c r="H830" t="str">
        <f>_xlfn.XLOOKUP(G830,'Common name (master file)'!$B:$B,'Common name (master file)'!$A:$A,"-------------")</f>
        <v>남해산 넙치</v>
      </c>
      <c r="I830">
        <f>eDNA!E830</f>
        <v>359</v>
      </c>
      <c r="J830" t="str">
        <f>_xlfn.XLOOKUP(G830,'Common name (master file)'!$B:$B,'Common name (master file)'!$C:$C,"")</f>
        <v>어류</v>
      </c>
      <c r="K830">
        <f>eDNA!B830</f>
        <v>126.83793110000001</v>
      </c>
      <c r="L830">
        <f>eDNA!C830</f>
        <v>37.441797600000001</v>
      </c>
      <c r="M830" s="10" t="str" cm="1">
        <f t="array" ref="M830">IFERROR(_xlfn.XLOOKUP(1,('env Parameter'!$A:$A=$A830)*('env Parameter'!$B:$B=$K830)*('env Parameter'!$C:$C=$L830),'env Parameter'!D:D,""),"")</f>
        <v>목감천-2</v>
      </c>
      <c r="N830" s="10" t="str" cm="1">
        <f t="array" ref="N830">IFERROR(_xlfn.XLOOKUP(1,('env Parameter'!$A:$A=$A830)*('env Parameter'!$B:$B=$K830)*('env Parameter'!$C:$C=$L830),'env Parameter'!I:I,""),"")</f>
        <v>YR</v>
      </c>
    </row>
    <row r="831" spans="1:14">
      <c r="A831">
        <f>eDNA!A831</f>
        <v>20200916</v>
      </c>
      <c r="B831" s="10" t="str" cm="1">
        <f t="array" ref="B831">IFERROR(_xlfn.XLOOKUP(1,('env Parameter'!$A:$A=$A831)*('env Parameter'!$B:$B=$K831)*('env Parameter'!$C:$C=$L831),'env Parameter'!H:H,""),"")</f>
        <v>생물상 조사</v>
      </c>
      <c r="C831" s="10" cm="1">
        <f t="array" ref="C831">IFERROR(_xlfn.XLOOKUP(1,('env Parameter'!$A:$A=$A831)*('env Parameter'!$B:$B=$K831)*('env Parameter'!$C:$C=$L831),'env Parameter'!E:E,""),"")</f>
        <v>2.14</v>
      </c>
      <c r="D831" s="10" cm="1">
        <f t="array" ref="D831">IFERROR(_xlfn.XLOOKUP(1,('env Parameter'!$A:$A=$A831)*('env Parameter'!$B:$B=$K831)*('env Parameter'!$C:$C=$L831),'env Parameter'!F:F,""),"")</f>
        <v>478</v>
      </c>
      <c r="E831" s="10" cm="1">
        <f t="array" ref="E831">IFERROR(_xlfn.XLOOKUP(1,('env Parameter'!$A:$A=$A831)*('env Parameter'!$B:$B=$K831)*('env Parameter'!$C:$C=$L831),'env Parameter'!G:G,""),"")</f>
        <v>7.6</v>
      </c>
      <c r="F831" t="str">
        <f>eDNA!F831</f>
        <v>MiFish</v>
      </c>
      <c r="G831" t="str">
        <f>eDNA!D831</f>
        <v>Pelodiscus sinensis</v>
      </c>
      <c r="H831" t="str">
        <f>_xlfn.XLOOKUP(G831,'Common name (master file)'!$B:$B,'Common name (master file)'!$A:$A,"-------------")</f>
        <v>중국자라</v>
      </c>
      <c r="I831">
        <f>eDNA!E831</f>
        <v>420</v>
      </c>
      <c r="J831" t="str">
        <f>_xlfn.XLOOKUP(G831,'Common name (master file)'!$B:$B,'Common name (master file)'!$C:$C,"")</f>
        <v>양서파충류</v>
      </c>
      <c r="K831">
        <f>eDNA!B831</f>
        <v>126.83793110000001</v>
      </c>
      <c r="L831">
        <f>eDNA!C831</f>
        <v>37.441797600000001</v>
      </c>
      <c r="M831" s="10" t="str" cm="1">
        <f t="array" ref="M831">IFERROR(_xlfn.XLOOKUP(1,('env Parameter'!$A:$A=$A831)*('env Parameter'!$B:$B=$K831)*('env Parameter'!$C:$C=$L831),'env Parameter'!D:D,""),"")</f>
        <v>목감천-2</v>
      </c>
      <c r="N831" s="10" t="str" cm="1">
        <f t="array" ref="N831">IFERROR(_xlfn.XLOOKUP(1,('env Parameter'!$A:$A=$A831)*('env Parameter'!$B:$B=$K831)*('env Parameter'!$C:$C=$L831),'env Parameter'!I:I,""),"")</f>
        <v>YR</v>
      </c>
    </row>
    <row r="832" spans="1:14">
      <c r="A832">
        <f>eDNA!A832</f>
        <v>20200916</v>
      </c>
      <c r="B832" s="10" t="str" cm="1">
        <f t="array" ref="B832">IFERROR(_xlfn.XLOOKUP(1,('env Parameter'!$A:$A=$A832)*('env Parameter'!$B:$B=$K832)*('env Parameter'!$C:$C=$L832),'env Parameter'!H:H,""),"")</f>
        <v>생물상 조사</v>
      </c>
      <c r="C832" s="10" cm="1">
        <f t="array" ref="C832">IFERROR(_xlfn.XLOOKUP(1,('env Parameter'!$A:$A=$A832)*('env Parameter'!$B:$B=$K832)*('env Parameter'!$C:$C=$L832),'env Parameter'!E:E,""),"")</f>
        <v>2.14</v>
      </c>
      <c r="D832" s="10" cm="1">
        <f t="array" ref="D832">IFERROR(_xlfn.XLOOKUP(1,('env Parameter'!$A:$A=$A832)*('env Parameter'!$B:$B=$K832)*('env Parameter'!$C:$C=$L832),'env Parameter'!F:F,""),"")</f>
        <v>478</v>
      </c>
      <c r="E832" s="10" cm="1">
        <f t="array" ref="E832">IFERROR(_xlfn.XLOOKUP(1,('env Parameter'!$A:$A=$A832)*('env Parameter'!$B:$B=$K832)*('env Parameter'!$C:$C=$L832),'env Parameter'!G:G,""),"")</f>
        <v>7.6</v>
      </c>
      <c r="F832" t="str">
        <f>eDNA!F832</f>
        <v>MiFish</v>
      </c>
      <c r="G832" t="str">
        <f>eDNA!D832</f>
        <v>Zacco platypus</v>
      </c>
      <c r="H832" t="str">
        <f>_xlfn.XLOOKUP(G832,'Common name (master file)'!$B:$B,'Common name (master file)'!$A:$A,"-------------")</f>
        <v>피라미</v>
      </c>
      <c r="I832">
        <f>eDNA!E832</f>
        <v>500</v>
      </c>
      <c r="J832" t="str">
        <f>_xlfn.XLOOKUP(G832,'Common name (master file)'!$B:$B,'Common name (master file)'!$C:$C,"")</f>
        <v>어류</v>
      </c>
      <c r="K832">
        <f>eDNA!B832</f>
        <v>126.83793110000001</v>
      </c>
      <c r="L832">
        <f>eDNA!C832</f>
        <v>37.441797600000001</v>
      </c>
      <c r="M832" s="10" t="str" cm="1">
        <f t="array" ref="M832">IFERROR(_xlfn.XLOOKUP(1,('env Parameter'!$A:$A=$A832)*('env Parameter'!$B:$B=$K832)*('env Parameter'!$C:$C=$L832),'env Parameter'!D:D,""),"")</f>
        <v>목감천-2</v>
      </c>
      <c r="N832" s="10" t="str" cm="1">
        <f t="array" ref="N832">IFERROR(_xlfn.XLOOKUP(1,('env Parameter'!$A:$A=$A832)*('env Parameter'!$B:$B=$K832)*('env Parameter'!$C:$C=$L832),'env Parameter'!I:I,""),"")</f>
        <v>YR</v>
      </c>
    </row>
    <row r="833" spans="1:14">
      <c r="A833">
        <f>eDNA!A833</f>
        <v>20200916</v>
      </c>
      <c r="B833" s="10" t="str" cm="1">
        <f t="array" ref="B833">IFERROR(_xlfn.XLOOKUP(1,('env Parameter'!$A:$A=$A833)*('env Parameter'!$B:$B=$K833)*('env Parameter'!$C:$C=$L833),'env Parameter'!H:H,""),"")</f>
        <v>생물상 조사</v>
      </c>
      <c r="C833" s="10" cm="1">
        <f t="array" ref="C833">IFERROR(_xlfn.XLOOKUP(1,('env Parameter'!$A:$A=$A833)*('env Parameter'!$B:$B=$K833)*('env Parameter'!$C:$C=$L833),'env Parameter'!E:E,""),"")</f>
        <v>2.14</v>
      </c>
      <c r="D833" s="10" cm="1">
        <f t="array" ref="D833">IFERROR(_xlfn.XLOOKUP(1,('env Parameter'!$A:$A=$A833)*('env Parameter'!$B:$B=$K833)*('env Parameter'!$C:$C=$L833),'env Parameter'!F:F,""),"")</f>
        <v>478</v>
      </c>
      <c r="E833" s="10" cm="1">
        <f t="array" ref="E833">IFERROR(_xlfn.XLOOKUP(1,('env Parameter'!$A:$A=$A833)*('env Parameter'!$B:$B=$K833)*('env Parameter'!$C:$C=$L833),'env Parameter'!G:G,""),"")</f>
        <v>7.6</v>
      </c>
      <c r="F833" t="str">
        <f>eDNA!F833</f>
        <v>MiFish</v>
      </c>
      <c r="G833" t="str">
        <f>eDNA!D833</f>
        <v>Lepomis macrochirus</v>
      </c>
      <c r="H833" t="str">
        <f>_xlfn.XLOOKUP(G833,'Common name (master file)'!$B:$B,'Common name (master file)'!$A:$A,"-------------")</f>
        <v>블루길</v>
      </c>
      <c r="I833">
        <f>eDNA!E833</f>
        <v>557</v>
      </c>
      <c r="J833" t="str">
        <f>_xlfn.XLOOKUP(G833,'Common name (master file)'!$B:$B,'Common name (master file)'!$C:$C,"")</f>
        <v>어류</v>
      </c>
      <c r="K833">
        <f>eDNA!B833</f>
        <v>126.83793110000001</v>
      </c>
      <c r="L833">
        <f>eDNA!C833</f>
        <v>37.441797600000001</v>
      </c>
      <c r="M833" s="10" t="str" cm="1">
        <f t="array" ref="M833">IFERROR(_xlfn.XLOOKUP(1,('env Parameter'!$A:$A=$A833)*('env Parameter'!$B:$B=$K833)*('env Parameter'!$C:$C=$L833),'env Parameter'!D:D,""),"")</f>
        <v>목감천-2</v>
      </c>
      <c r="N833" s="10" t="str" cm="1">
        <f t="array" ref="N833">IFERROR(_xlfn.XLOOKUP(1,('env Parameter'!$A:$A=$A833)*('env Parameter'!$B:$B=$K833)*('env Parameter'!$C:$C=$L833),'env Parameter'!I:I,""),"")</f>
        <v>YR</v>
      </c>
    </row>
    <row r="834" spans="1:14">
      <c r="A834">
        <f>eDNA!A834</f>
        <v>20200916</v>
      </c>
      <c r="B834" s="10" t="str" cm="1">
        <f t="array" ref="B834">IFERROR(_xlfn.XLOOKUP(1,('env Parameter'!$A:$A=$A834)*('env Parameter'!$B:$B=$K834)*('env Parameter'!$C:$C=$L834),'env Parameter'!H:H,""),"")</f>
        <v>생물상 조사</v>
      </c>
      <c r="C834" s="10" cm="1">
        <f t="array" ref="C834">IFERROR(_xlfn.XLOOKUP(1,('env Parameter'!$A:$A=$A834)*('env Parameter'!$B:$B=$K834)*('env Parameter'!$C:$C=$L834),'env Parameter'!E:E,""),"")</f>
        <v>2.14</v>
      </c>
      <c r="D834" s="10" cm="1">
        <f t="array" ref="D834">IFERROR(_xlfn.XLOOKUP(1,('env Parameter'!$A:$A=$A834)*('env Parameter'!$B:$B=$K834)*('env Parameter'!$C:$C=$L834),'env Parameter'!F:F,""),"")</f>
        <v>478</v>
      </c>
      <c r="E834" s="10" cm="1">
        <f t="array" ref="E834">IFERROR(_xlfn.XLOOKUP(1,('env Parameter'!$A:$A=$A834)*('env Parameter'!$B:$B=$K834)*('env Parameter'!$C:$C=$L834),'env Parameter'!G:G,""),"")</f>
        <v>7.6</v>
      </c>
      <c r="F834" t="str">
        <f>eDNA!F834</f>
        <v>MiFish</v>
      </c>
      <c r="G834" t="str">
        <f>eDNA!D834</f>
        <v>Carassius sp.</v>
      </c>
      <c r="H834" t="str">
        <f>_xlfn.XLOOKUP(G834,'Common name (master file)'!$B:$B,'Common name (master file)'!$A:$A,"-------------")</f>
        <v>붕어 속</v>
      </c>
      <c r="I834">
        <f>eDNA!E834</f>
        <v>694</v>
      </c>
      <c r="J834" t="str">
        <f>_xlfn.XLOOKUP(G834,'Common name (master file)'!$B:$B,'Common name (master file)'!$C:$C,"")</f>
        <v>어류</v>
      </c>
      <c r="K834">
        <f>eDNA!B834</f>
        <v>126.83793110000001</v>
      </c>
      <c r="L834">
        <f>eDNA!C834</f>
        <v>37.441797600000001</v>
      </c>
      <c r="M834" s="10" t="str" cm="1">
        <f t="array" ref="M834">IFERROR(_xlfn.XLOOKUP(1,('env Parameter'!$A:$A=$A834)*('env Parameter'!$B:$B=$K834)*('env Parameter'!$C:$C=$L834),'env Parameter'!D:D,""),"")</f>
        <v>목감천-2</v>
      </c>
      <c r="N834" s="10" t="str" cm="1">
        <f t="array" ref="N834">IFERROR(_xlfn.XLOOKUP(1,('env Parameter'!$A:$A=$A834)*('env Parameter'!$B:$B=$K834)*('env Parameter'!$C:$C=$L834),'env Parameter'!I:I,""),"")</f>
        <v>YR</v>
      </c>
    </row>
    <row r="835" spans="1:14">
      <c r="A835">
        <f>eDNA!A835</f>
        <v>20200916</v>
      </c>
      <c r="B835" s="10" t="str" cm="1">
        <f t="array" ref="B835">IFERROR(_xlfn.XLOOKUP(1,('env Parameter'!$A:$A=$A835)*('env Parameter'!$B:$B=$K835)*('env Parameter'!$C:$C=$L835),'env Parameter'!H:H,""),"")</f>
        <v>생물상 조사</v>
      </c>
      <c r="C835" s="10" cm="1">
        <f t="array" ref="C835">IFERROR(_xlfn.XLOOKUP(1,('env Parameter'!$A:$A=$A835)*('env Parameter'!$B:$B=$K835)*('env Parameter'!$C:$C=$L835),'env Parameter'!E:E,""),"")</f>
        <v>2.14</v>
      </c>
      <c r="D835" s="10" cm="1">
        <f t="array" ref="D835">IFERROR(_xlfn.XLOOKUP(1,('env Parameter'!$A:$A=$A835)*('env Parameter'!$B:$B=$K835)*('env Parameter'!$C:$C=$L835),'env Parameter'!F:F,""),"")</f>
        <v>478</v>
      </c>
      <c r="E835" s="10" cm="1">
        <f t="array" ref="E835">IFERROR(_xlfn.XLOOKUP(1,('env Parameter'!$A:$A=$A835)*('env Parameter'!$B:$B=$K835)*('env Parameter'!$C:$C=$L835),'env Parameter'!G:G,""),"")</f>
        <v>7.6</v>
      </c>
      <c r="F835" t="str">
        <f>eDNA!F835</f>
        <v>MiFish</v>
      </c>
      <c r="G835" t="str">
        <f>eDNA!D835</f>
        <v>Cyprinus carpio</v>
      </c>
      <c r="H835" t="str">
        <f>_xlfn.XLOOKUP(G835,'Common name (master file)'!$B:$B,'Common name (master file)'!$A:$A,"-------------")</f>
        <v>잉어</v>
      </c>
      <c r="I835">
        <f>eDNA!E835</f>
        <v>764</v>
      </c>
      <c r="J835" t="str">
        <f>_xlfn.XLOOKUP(G835,'Common name (master file)'!$B:$B,'Common name (master file)'!$C:$C,"")</f>
        <v>어류</v>
      </c>
      <c r="K835">
        <f>eDNA!B835</f>
        <v>126.83793110000001</v>
      </c>
      <c r="L835">
        <f>eDNA!C835</f>
        <v>37.441797600000001</v>
      </c>
      <c r="M835" s="10" t="str" cm="1">
        <f t="array" ref="M835">IFERROR(_xlfn.XLOOKUP(1,('env Parameter'!$A:$A=$A835)*('env Parameter'!$B:$B=$K835)*('env Parameter'!$C:$C=$L835),'env Parameter'!D:D,""),"")</f>
        <v>목감천-2</v>
      </c>
      <c r="N835" s="10" t="str" cm="1">
        <f t="array" ref="N835">IFERROR(_xlfn.XLOOKUP(1,('env Parameter'!$A:$A=$A835)*('env Parameter'!$B:$B=$K835)*('env Parameter'!$C:$C=$L835),'env Parameter'!I:I,""),"")</f>
        <v>YR</v>
      </c>
    </row>
    <row r="836" spans="1:14">
      <c r="A836">
        <f>eDNA!A836</f>
        <v>20200916</v>
      </c>
      <c r="B836" s="10" t="str" cm="1">
        <f t="array" ref="B836">IFERROR(_xlfn.XLOOKUP(1,('env Parameter'!$A:$A=$A836)*('env Parameter'!$B:$B=$K836)*('env Parameter'!$C:$C=$L836),'env Parameter'!H:H,""),"")</f>
        <v>생물상 조사</v>
      </c>
      <c r="C836" s="10" cm="1">
        <f t="array" ref="C836">IFERROR(_xlfn.XLOOKUP(1,('env Parameter'!$A:$A=$A836)*('env Parameter'!$B:$B=$K836)*('env Parameter'!$C:$C=$L836),'env Parameter'!E:E,""),"")</f>
        <v>2.14</v>
      </c>
      <c r="D836" s="10" cm="1">
        <f t="array" ref="D836">IFERROR(_xlfn.XLOOKUP(1,('env Parameter'!$A:$A=$A836)*('env Parameter'!$B:$B=$K836)*('env Parameter'!$C:$C=$L836),'env Parameter'!F:F,""),"")</f>
        <v>478</v>
      </c>
      <c r="E836" s="10" cm="1">
        <f t="array" ref="E836">IFERROR(_xlfn.XLOOKUP(1,('env Parameter'!$A:$A=$A836)*('env Parameter'!$B:$B=$K836)*('env Parameter'!$C:$C=$L836),'env Parameter'!G:G,""),"")</f>
        <v>7.6</v>
      </c>
      <c r="F836" t="str">
        <f>eDNA!F836</f>
        <v>MiFish</v>
      </c>
      <c r="G836" t="str">
        <f>eDNA!D836</f>
        <v>Odontobutis interrupta</v>
      </c>
      <c r="H836" t="str">
        <f>_xlfn.XLOOKUP(G836,'Common name (master file)'!$B:$B,'Common name (master file)'!$A:$A,"-------------")</f>
        <v>얼록동사리</v>
      </c>
      <c r="I836">
        <f>eDNA!E836</f>
        <v>793</v>
      </c>
      <c r="J836" t="str">
        <f>_xlfn.XLOOKUP(G836,'Common name (master file)'!$B:$B,'Common name (master file)'!$C:$C,"")</f>
        <v>어류</v>
      </c>
      <c r="K836">
        <f>eDNA!B836</f>
        <v>126.83793110000001</v>
      </c>
      <c r="L836">
        <f>eDNA!C836</f>
        <v>37.441797600000001</v>
      </c>
      <c r="M836" s="10" t="str" cm="1">
        <f t="array" ref="M836">IFERROR(_xlfn.XLOOKUP(1,('env Parameter'!$A:$A=$A836)*('env Parameter'!$B:$B=$K836)*('env Parameter'!$C:$C=$L836),'env Parameter'!D:D,""),"")</f>
        <v>목감천-2</v>
      </c>
      <c r="N836" s="10" t="str" cm="1">
        <f t="array" ref="N836">IFERROR(_xlfn.XLOOKUP(1,('env Parameter'!$A:$A=$A836)*('env Parameter'!$B:$B=$K836)*('env Parameter'!$C:$C=$L836),'env Parameter'!I:I,""),"")</f>
        <v>YR</v>
      </c>
    </row>
    <row r="837" spans="1:14">
      <c r="A837">
        <f>eDNA!A837</f>
        <v>20200916</v>
      </c>
      <c r="B837" s="10" t="str" cm="1">
        <f t="array" ref="B837">IFERROR(_xlfn.XLOOKUP(1,('env Parameter'!$A:$A=$A837)*('env Parameter'!$B:$B=$K837)*('env Parameter'!$C:$C=$L837),'env Parameter'!H:H,""),"")</f>
        <v>생물상 조사</v>
      </c>
      <c r="C837" s="10" cm="1">
        <f t="array" ref="C837">IFERROR(_xlfn.XLOOKUP(1,('env Parameter'!$A:$A=$A837)*('env Parameter'!$B:$B=$K837)*('env Parameter'!$C:$C=$L837),'env Parameter'!E:E,""),"")</f>
        <v>2.14</v>
      </c>
      <c r="D837" s="10" cm="1">
        <f t="array" ref="D837">IFERROR(_xlfn.XLOOKUP(1,('env Parameter'!$A:$A=$A837)*('env Parameter'!$B:$B=$K837)*('env Parameter'!$C:$C=$L837),'env Parameter'!F:F,""),"")</f>
        <v>478</v>
      </c>
      <c r="E837" s="10" cm="1">
        <f t="array" ref="E837">IFERROR(_xlfn.XLOOKUP(1,('env Parameter'!$A:$A=$A837)*('env Parameter'!$B:$B=$K837)*('env Parameter'!$C:$C=$L837),'env Parameter'!G:G,""),"")</f>
        <v>7.6</v>
      </c>
      <c r="F837" t="str">
        <f>eDNA!F837</f>
        <v>MiFish</v>
      </c>
      <c r="G837" t="str">
        <f>eDNA!D837</f>
        <v>Channa argus</v>
      </c>
      <c r="H837" t="str">
        <f>_xlfn.XLOOKUP(G837,'Common name (master file)'!$B:$B,'Common name (master file)'!$A:$A,"-------------")</f>
        <v>가물치</v>
      </c>
      <c r="I837">
        <f>eDNA!E837</f>
        <v>981</v>
      </c>
      <c r="J837" t="str">
        <f>_xlfn.XLOOKUP(G837,'Common name (master file)'!$B:$B,'Common name (master file)'!$C:$C,"")</f>
        <v>어류</v>
      </c>
      <c r="K837">
        <f>eDNA!B837</f>
        <v>126.83793110000001</v>
      </c>
      <c r="L837">
        <f>eDNA!C837</f>
        <v>37.441797600000001</v>
      </c>
      <c r="M837" s="10" t="str" cm="1">
        <f t="array" ref="M837">IFERROR(_xlfn.XLOOKUP(1,('env Parameter'!$A:$A=$A837)*('env Parameter'!$B:$B=$K837)*('env Parameter'!$C:$C=$L837),'env Parameter'!D:D,""),"")</f>
        <v>목감천-2</v>
      </c>
      <c r="N837" s="10" t="str" cm="1">
        <f t="array" ref="N837">IFERROR(_xlfn.XLOOKUP(1,('env Parameter'!$A:$A=$A837)*('env Parameter'!$B:$B=$K837)*('env Parameter'!$C:$C=$L837),'env Parameter'!I:I,""),"")</f>
        <v>YR</v>
      </c>
    </row>
    <row r="838" spans="1:14">
      <c r="A838">
        <f>eDNA!A838</f>
        <v>20200916</v>
      </c>
      <c r="B838" s="10" t="str" cm="1">
        <f t="array" ref="B838">IFERROR(_xlfn.XLOOKUP(1,('env Parameter'!$A:$A=$A838)*('env Parameter'!$B:$B=$K838)*('env Parameter'!$C:$C=$L838),'env Parameter'!H:H,""),"")</f>
        <v>생물상 조사</v>
      </c>
      <c r="C838" s="10" cm="1">
        <f t="array" ref="C838">IFERROR(_xlfn.XLOOKUP(1,('env Parameter'!$A:$A=$A838)*('env Parameter'!$B:$B=$K838)*('env Parameter'!$C:$C=$L838),'env Parameter'!E:E,""),"")</f>
        <v>2.14</v>
      </c>
      <c r="D838" s="10" cm="1">
        <f t="array" ref="D838">IFERROR(_xlfn.XLOOKUP(1,('env Parameter'!$A:$A=$A838)*('env Parameter'!$B:$B=$K838)*('env Parameter'!$C:$C=$L838),'env Parameter'!F:F,""),"")</f>
        <v>478</v>
      </c>
      <c r="E838" s="10" cm="1">
        <f t="array" ref="E838">IFERROR(_xlfn.XLOOKUP(1,('env Parameter'!$A:$A=$A838)*('env Parameter'!$B:$B=$K838)*('env Parameter'!$C:$C=$L838),'env Parameter'!G:G,""),"")</f>
        <v>7.6</v>
      </c>
      <c r="F838" t="str">
        <f>eDNA!F838</f>
        <v>MiFish</v>
      </c>
      <c r="G838" t="str">
        <f>eDNA!D838</f>
        <v>Misgurnus mizolepis</v>
      </c>
      <c r="H838" t="str">
        <f>_xlfn.XLOOKUP(G838,'Common name (master file)'!$B:$B,'Common name (master file)'!$A:$A,"-------------")</f>
        <v>미꾸라지</v>
      </c>
      <c r="I838">
        <f>eDNA!E838</f>
        <v>2292</v>
      </c>
      <c r="J838" t="str">
        <f>_xlfn.XLOOKUP(G838,'Common name (master file)'!$B:$B,'Common name (master file)'!$C:$C,"")</f>
        <v>어류</v>
      </c>
      <c r="K838">
        <f>eDNA!B838</f>
        <v>126.83793110000001</v>
      </c>
      <c r="L838">
        <f>eDNA!C838</f>
        <v>37.441797600000001</v>
      </c>
      <c r="M838" s="10" t="str" cm="1">
        <f t="array" ref="M838">IFERROR(_xlfn.XLOOKUP(1,('env Parameter'!$A:$A=$A838)*('env Parameter'!$B:$B=$K838)*('env Parameter'!$C:$C=$L838),'env Parameter'!D:D,""),"")</f>
        <v>목감천-2</v>
      </c>
      <c r="N838" s="10" t="str" cm="1">
        <f t="array" ref="N838">IFERROR(_xlfn.XLOOKUP(1,('env Parameter'!$A:$A=$A838)*('env Parameter'!$B:$B=$K838)*('env Parameter'!$C:$C=$L838),'env Parameter'!I:I,""),"")</f>
        <v>YR</v>
      </c>
    </row>
    <row r="839" spans="1:14">
      <c r="A839">
        <f>eDNA!A839</f>
        <v>20200916</v>
      </c>
      <c r="B839" s="10" t="str" cm="1">
        <f t="array" ref="B839">IFERROR(_xlfn.XLOOKUP(1,('env Parameter'!$A:$A=$A839)*('env Parameter'!$B:$B=$K839)*('env Parameter'!$C:$C=$L839),'env Parameter'!H:H,""),"")</f>
        <v>생물상 조사</v>
      </c>
      <c r="C839" s="10" cm="1">
        <f t="array" ref="C839">IFERROR(_xlfn.XLOOKUP(1,('env Parameter'!$A:$A=$A839)*('env Parameter'!$B:$B=$K839)*('env Parameter'!$C:$C=$L839),'env Parameter'!E:E,""),"")</f>
        <v>2.14</v>
      </c>
      <c r="D839" s="10" cm="1">
        <f t="array" ref="D839">IFERROR(_xlfn.XLOOKUP(1,('env Parameter'!$A:$A=$A839)*('env Parameter'!$B:$B=$K839)*('env Parameter'!$C:$C=$L839),'env Parameter'!F:F,""),"")</f>
        <v>478</v>
      </c>
      <c r="E839" s="10" cm="1">
        <f t="array" ref="E839">IFERROR(_xlfn.XLOOKUP(1,('env Parameter'!$A:$A=$A839)*('env Parameter'!$B:$B=$K839)*('env Parameter'!$C:$C=$L839),'env Parameter'!G:G,""),"")</f>
        <v>7.6</v>
      </c>
      <c r="F839" t="str">
        <f>eDNA!F839</f>
        <v>MiFish</v>
      </c>
      <c r="G839" t="str">
        <f>eDNA!D839</f>
        <v>Silurus soldatovi</v>
      </c>
      <c r="H839" t="str">
        <f>_xlfn.XLOOKUP(G839,'Common name (master file)'!$B:$B,'Common name (master file)'!$A:$A,"-------------")</f>
        <v>솔다토비 메기</v>
      </c>
      <c r="I839">
        <f>eDNA!E839</f>
        <v>4266</v>
      </c>
      <c r="J839" t="str">
        <f>_xlfn.XLOOKUP(G839,'Common name (master file)'!$B:$B,'Common name (master file)'!$C:$C,"")</f>
        <v>어류</v>
      </c>
      <c r="K839">
        <f>eDNA!B839</f>
        <v>126.83793110000001</v>
      </c>
      <c r="L839">
        <f>eDNA!C839</f>
        <v>37.441797600000001</v>
      </c>
      <c r="M839" s="10" t="str" cm="1">
        <f t="array" ref="M839">IFERROR(_xlfn.XLOOKUP(1,('env Parameter'!$A:$A=$A839)*('env Parameter'!$B:$B=$K839)*('env Parameter'!$C:$C=$L839),'env Parameter'!D:D,""),"")</f>
        <v>목감천-2</v>
      </c>
      <c r="N839" s="10" t="str" cm="1">
        <f t="array" ref="N839">IFERROR(_xlfn.XLOOKUP(1,('env Parameter'!$A:$A=$A839)*('env Parameter'!$B:$B=$K839)*('env Parameter'!$C:$C=$L839),'env Parameter'!I:I,""),"")</f>
        <v>YR</v>
      </c>
    </row>
    <row r="840" spans="1:14">
      <c r="A840">
        <f>eDNA!A840</f>
        <v>20200916</v>
      </c>
      <c r="B840" s="10" t="str" cm="1">
        <f t="array" ref="B840">IFERROR(_xlfn.XLOOKUP(1,('env Parameter'!$A:$A=$A840)*('env Parameter'!$B:$B=$K840)*('env Parameter'!$C:$C=$L840),'env Parameter'!H:H,""),"")</f>
        <v>생물상 조사</v>
      </c>
      <c r="C840" s="10" cm="1">
        <f t="array" ref="C840">IFERROR(_xlfn.XLOOKUP(1,('env Parameter'!$A:$A=$A840)*('env Parameter'!$B:$B=$K840)*('env Parameter'!$C:$C=$L840),'env Parameter'!E:E,""),"")</f>
        <v>2.14</v>
      </c>
      <c r="D840" s="10" cm="1">
        <f t="array" ref="D840">IFERROR(_xlfn.XLOOKUP(1,('env Parameter'!$A:$A=$A840)*('env Parameter'!$B:$B=$K840)*('env Parameter'!$C:$C=$L840),'env Parameter'!F:F,""),"")</f>
        <v>478</v>
      </c>
      <c r="E840" s="10" cm="1">
        <f t="array" ref="E840">IFERROR(_xlfn.XLOOKUP(1,('env Parameter'!$A:$A=$A840)*('env Parameter'!$B:$B=$K840)*('env Parameter'!$C:$C=$L840),'env Parameter'!G:G,""),"")</f>
        <v>7.6</v>
      </c>
      <c r="F840" t="str">
        <f>eDNA!F840</f>
        <v>MiFish</v>
      </c>
      <c r="G840" t="str">
        <f>eDNA!D840</f>
        <v>Paramisgurnus dabryanus</v>
      </c>
      <c r="H840" t="str">
        <f>_xlfn.XLOOKUP(G840,'Common name (master file)'!$B:$B,'Common name (master file)'!$A:$A,"-------------")</f>
        <v>중국미꾸라지</v>
      </c>
      <c r="I840">
        <f>eDNA!E840</f>
        <v>9278</v>
      </c>
      <c r="J840" t="str">
        <f>_xlfn.XLOOKUP(G840,'Common name (master file)'!$B:$B,'Common name (master file)'!$C:$C,"")</f>
        <v>어류</v>
      </c>
      <c r="K840">
        <f>eDNA!B840</f>
        <v>126.83793110000001</v>
      </c>
      <c r="L840">
        <f>eDNA!C840</f>
        <v>37.441797600000001</v>
      </c>
      <c r="M840" s="10" t="str" cm="1">
        <f t="array" ref="M840">IFERROR(_xlfn.XLOOKUP(1,('env Parameter'!$A:$A=$A840)*('env Parameter'!$B:$B=$K840)*('env Parameter'!$C:$C=$L840),'env Parameter'!D:D,""),"")</f>
        <v>목감천-2</v>
      </c>
      <c r="N840" s="10" t="str" cm="1">
        <f t="array" ref="N840">IFERROR(_xlfn.XLOOKUP(1,('env Parameter'!$A:$A=$A840)*('env Parameter'!$B:$B=$K840)*('env Parameter'!$C:$C=$L840),'env Parameter'!I:I,""),"")</f>
        <v>YR</v>
      </c>
    </row>
    <row r="841" spans="1:14">
      <c r="A841">
        <f>eDNA!A841</f>
        <v>20200916</v>
      </c>
      <c r="B841" s="10" t="str" cm="1">
        <f t="array" ref="B841">IFERROR(_xlfn.XLOOKUP(1,('env Parameter'!$A:$A=$A841)*('env Parameter'!$B:$B=$K841)*('env Parameter'!$C:$C=$L841),'env Parameter'!H:H,""),"")</f>
        <v>생물상 조사</v>
      </c>
      <c r="C841" s="10" cm="1">
        <f t="array" ref="C841">IFERROR(_xlfn.XLOOKUP(1,('env Parameter'!$A:$A=$A841)*('env Parameter'!$B:$B=$K841)*('env Parameter'!$C:$C=$L841),'env Parameter'!E:E,""),"")</f>
        <v>2.14</v>
      </c>
      <c r="D841" s="10" cm="1">
        <f t="array" ref="D841">IFERROR(_xlfn.XLOOKUP(1,('env Parameter'!$A:$A=$A841)*('env Parameter'!$B:$B=$K841)*('env Parameter'!$C:$C=$L841),'env Parameter'!F:F,""),"")</f>
        <v>478</v>
      </c>
      <c r="E841" s="10" cm="1">
        <f t="array" ref="E841">IFERROR(_xlfn.XLOOKUP(1,('env Parameter'!$A:$A=$A841)*('env Parameter'!$B:$B=$K841)*('env Parameter'!$C:$C=$L841),'env Parameter'!G:G,""),"")</f>
        <v>7.6</v>
      </c>
      <c r="F841" t="str">
        <f>eDNA!F841</f>
        <v>MiFish</v>
      </c>
      <c r="G841" t="str">
        <f>eDNA!D841</f>
        <v>Trachidermus fasciatus</v>
      </c>
      <c r="H841" t="str">
        <f>_xlfn.XLOOKUP(G841,'Common name (master file)'!$B:$B,'Common name (master file)'!$A:$A,"-------------")</f>
        <v>꺽정이</v>
      </c>
      <c r="I841">
        <f>eDNA!E841</f>
        <v>84</v>
      </c>
      <c r="J841" t="str">
        <f>_xlfn.XLOOKUP(G841,'Common name (master file)'!$B:$B,'Common name (master file)'!$C:$C,"")</f>
        <v>어류</v>
      </c>
      <c r="K841">
        <f>eDNA!B841</f>
        <v>126.8771357</v>
      </c>
      <c r="L841">
        <f>eDNA!C841</f>
        <v>37.553306900000003</v>
      </c>
      <c r="M841" s="10" t="str" cm="1">
        <f t="array" ref="M841">IFERROR(_xlfn.XLOOKUP(1,('env Parameter'!$A:$A=$A841)*('env Parameter'!$B:$B=$K841)*('env Parameter'!$C:$C=$L841),'env Parameter'!D:D,""),"")</f>
        <v>안양천-11</v>
      </c>
      <c r="N841" s="10" t="str" cm="1">
        <f t="array" ref="N841">IFERROR(_xlfn.XLOOKUP(1,('env Parameter'!$A:$A=$A841)*('env Parameter'!$B:$B=$K841)*('env Parameter'!$C:$C=$L841),'env Parameter'!I:I,""),"")</f>
        <v>YR</v>
      </c>
    </row>
    <row r="842" spans="1:14">
      <c r="A842">
        <f>eDNA!A842</f>
        <v>20200916</v>
      </c>
      <c r="B842" s="10" t="str" cm="1">
        <f t="array" ref="B842">IFERROR(_xlfn.XLOOKUP(1,('env Parameter'!$A:$A=$A842)*('env Parameter'!$B:$B=$K842)*('env Parameter'!$C:$C=$L842),'env Parameter'!H:H,""),"")</f>
        <v>생물상 조사</v>
      </c>
      <c r="C842" s="10" cm="1">
        <f t="array" ref="C842">IFERROR(_xlfn.XLOOKUP(1,('env Parameter'!$A:$A=$A842)*('env Parameter'!$B:$B=$K842)*('env Parameter'!$C:$C=$L842),'env Parameter'!E:E,""),"")</f>
        <v>2.14</v>
      </c>
      <c r="D842" s="10" cm="1">
        <f t="array" ref="D842">IFERROR(_xlfn.XLOOKUP(1,('env Parameter'!$A:$A=$A842)*('env Parameter'!$B:$B=$K842)*('env Parameter'!$C:$C=$L842),'env Parameter'!F:F,""),"")</f>
        <v>478</v>
      </c>
      <c r="E842" s="10" cm="1">
        <f t="array" ref="E842">IFERROR(_xlfn.XLOOKUP(1,('env Parameter'!$A:$A=$A842)*('env Parameter'!$B:$B=$K842)*('env Parameter'!$C:$C=$L842),'env Parameter'!G:G,""),"")</f>
        <v>7.6</v>
      </c>
      <c r="F842" t="str">
        <f>eDNA!F842</f>
        <v>MiFish</v>
      </c>
      <c r="G842" t="str">
        <f>eDNA!D842</f>
        <v>Pseudorasbora parva</v>
      </c>
      <c r="H842" t="str">
        <f>_xlfn.XLOOKUP(G842,'Common name (master file)'!$B:$B,'Common name (master file)'!$A:$A,"-------------")</f>
        <v>참붕어</v>
      </c>
      <c r="I842">
        <f>eDNA!E842</f>
        <v>22935</v>
      </c>
      <c r="J842" t="str">
        <f>_xlfn.XLOOKUP(G842,'Common name (master file)'!$B:$B,'Common name (master file)'!$C:$C,"")</f>
        <v>어류</v>
      </c>
      <c r="K842">
        <f>eDNA!B842</f>
        <v>126.83793110000001</v>
      </c>
      <c r="L842">
        <f>eDNA!C842</f>
        <v>37.441797600000001</v>
      </c>
      <c r="M842" s="10" t="str" cm="1">
        <f t="array" ref="M842">IFERROR(_xlfn.XLOOKUP(1,('env Parameter'!$A:$A=$A842)*('env Parameter'!$B:$B=$K842)*('env Parameter'!$C:$C=$L842),'env Parameter'!D:D,""),"")</f>
        <v>목감천-2</v>
      </c>
      <c r="N842" s="10" t="str" cm="1">
        <f t="array" ref="N842">IFERROR(_xlfn.XLOOKUP(1,('env Parameter'!$A:$A=$A842)*('env Parameter'!$B:$B=$K842)*('env Parameter'!$C:$C=$L842),'env Parameter'!I:I,""),"")</f>
        <v>YR</v>
      </c>
    </row>
    <row r="843" spans="1:14">
      <c r="A843">
        <f>eDNA!A843</f>
        <v>20200916</v>
      </c>
      <c r="B843" s="10" t="str" cm="1">
        <f t="array" ref="B843">IFERROR(_xlfn.XLOOKUP(1,('env Parameter'!$A:$A=$A843)*('env Parameter'!$B:$B=$K843)*('env Parameter'!$C:$C=$L843),'env Parameter'!H:H,""),"")</f>
        <v>생물상 조사</v>
      </c>
      <c r="C843" s="10" cm="1">
        <f t="array" ref="C843">IFERROR(_xlfn.XLOOKUP(1,('env Parameter'!$A:$A=$A843)*('env Parameter'!$B:$B=$K843)*('env Parameter'!$C:$C=$L843),'env Parameter'!E:E,""),"")</f>
        <v>2.14</v>
      </c>
      <c r="D843" s="10" cm="1">
        <f t="array" ref="D843">IFERROR(_xlfn.XLOOKUP(1,('env Parameter'!$A:$A=$A843)*('env Parameter'!$B:$B=$K843)*('env Parameter'!$C:$C=$L843),'env Parameter'!F:F,""),"")</f>
        <v>478</v>
      </c>
      <c r="E843" s="10" cm="1">
        <f t="array" ref="E843">IFERROR(_xlfn.XLOOKUP(1,('env Parameter'!$A:$A=$A843)*('env Parameter'!$B:$B=$K843)*('env Parameter'!$C:$C=$L843),'env Parameter'!G:G,""),"")</f>
        <v>7.6</v>
      </c>
      <c r="F843" t="str">
        <f>eDNA!F843</f>
        <v>MiFish</v>
      </c>
      <c r="G843" t="str">
        <f>eDNA!D843</f>
        <v>Carassius gibelio</v>
      </c>
      <c r="H843" t="str">
        <f>_xlfn.XLOOKUP(G843,'Common name (master file)'!$B:$B,'Common name (master file)'!$A:$A,"-------------")</f>
        <v>기벨리오 붕어</v>
      </c>
      <c r="I843">
        <f>eDNA!E843</f>
        <v>37025</v>
      </c>
      <c r="J843" t="str">
        <f>_xlfn.XLOOKUP(G843,'Common name (master file)'!$B:$B,'Common name (master file)'!$C:$C,"")</f>
        <v>어류</v>
      </c>
      <c r="K843">
        <f>eDNA!B843</f>
        <v>126.83793110000001</v>
      </c>
      <c r="L843">
        <f>eDNA!C843</f>
        <v>37.441797600000001</v>
      </c>
      <c r="M843" s="10" t="str" cm="1">
        <f t="array" ref="M843">IFERROR(_xlfn.XLOOKUP(1,('env Parameter'!$A:$A=$A843)*('env Parameter'!$B:$B=$K843)*('env Parameter'!$C:$C=$L843),'env Parameter'!D:D,""),"")</f>
        <v>목감천-2</v>
      </c>
      <c r="N843" s="10" t="str" cm="1">
        <f t="array" ref="N843">IFERROR(_xlfn.XLOOKUP(1,('env Parameter'!$A:$A=$A843)*('env Parameter'!$B:$B=$K843)*('env Parameter'!$C:$C=$L843),'env Parameter'!I:I,""),"")</f>
        <v>YR</v>
      </c>
    </row>
    <row r="844" spans="1:14">
      <c r="A844">
        <f>eDNA!A844</f>
        <v>20200916</v>
      </c>
      <c r="B844" s="10" t="str" cm="1">
        <f t="array" ref="B844">IFERROR(_xlfn.XLOOKUP(1,('env Parameter'!$A:$A=$A844)*('env Parameter'!$B:$B=$K844)*('env Parameter'!$C:$C=$L844),'env Parameter'!H:H,""),"")</f>
        <v>생물상 조사</v>
      </c>
      <c r="C844" s="10" cm="1">
        <f t="array" ref="C844">IFERROR(_xlfn.XLOOKUP(1,('env Parameter'!$A:$A=$A844)*('env Parameter'!$B:$B=$K844)*('env Parameter'!$C:$C=$L844),'env Parameter'!E:E,""),"")</f>
        <v>2.14</v>
      </c>
      <c r="D844" s="10" cm="1">
        <f t="array" ref="D844">IFERROR(_xlfn.XLOOKUP(1,('env Parameter'!$A:$A=$A844)*('env Parameter'!$B:$B=$K844)*('env Parameter'!$C:$C=$L844),'env Parameter'!F:F,""),"")</f>
        <v>478</v>
      </c>
      <c r="E844" s="10" cm="1">
        <f t="array" ref="E844">IFERROR(_xlfn.XLOOKUP(1,('env Parameter'!$A:$A=$A844)*('env Parameter'!$B:$B=$K844)*('env Parameter'!$C:$C=$L844),'env Parameter'!G:G,""),"")</f>
        <v>7.6</v>
      </c>
      <c r="F844" t="str">
        <f>eDNA!F844</f>
        <v>MiFish</v>
      </c>
      <c r="G844" t="str">
        <f>eDNA!D844</f>
        <v>Sus scrofa</v>
      </c>
      <c r="H844" t="str">
        <f>_xlfn.XLOOKUP(G844,'Common name (master file)'!$B:$B,'Common name (master file)'!$A:$A,"-------------")</f>
        <v>멧돼지</v>
      </c>
      <c r="I844">
        <f>eDNA!E844</f>
        <v>128139</v>
      </c>
      <c r="J844" t="str">
        <f>_xlfn.XLOOKUP(G844,'Common name (master file)'!$B:$B,'Common name (master file)'!$C:$C,"")</f>
        <v>포유류</v>
      </c>
      <c r="K844">
        <f>eDNA!B844</f>
        <v>126.83793110000001</v>
      </c>
      <c r="L844">
        <f>eDNA!C844</f>
        <v>37.441797600000001</v>
      </c>
      <c r="M844" s="10" t="str" cm="1">
        <f t="array" ref="M844">IFERROR(_xlfn.XLOOKUP(1,('env Parameter'!$A:$A=$A844)*('env Parameter'!$B:$B=$K844)*('env Parameter'!$C:$C=$L844),'env Parameter'!D:D,""),"")</f>
        <v>목감천-2</v>
      </c>
      <c r="N844" s="10" t="str" cm="1">
        <f t="array" ref="N844">IFERROR(_xlfn.XLOOKUP(1,('env Parameter'!$A:$A=$A844)*('env Parameter'!$B:$B=$K844)*('env Parameter'!$C:$C=$L844),'env Parameter'!I:I,""),"")</f>
        <v>YR</v>
      </c>
    </row>
    <row r="845" spans="1:14">
      <c r="A845">
        <f>eDNA!A845</f>
        <v>20200916</v>
      </c>
      <c r="B845" s="10" t="str" cm="1">
        <f t="array" ref="B845">IFERROR(_xlfn.XLOOKUP(1,('env Parameter'!$A:$A=$A845)*('env Parameter'!$B:$B=$K845)*('env Parameter'!$C:$C=$L845),'env Parameter'!H:H,""),"")</f>
        <v>생물상 조사</v>
      </c>
      <c r="C845" s="10" cm="1">
        <f t="array" ref="C845">IFERROR(_xlfn.XLOOKUP(1,('env Parameter'!$A:$A=$A845)*('env Parameter'!$B:$B=$K845)*('env Parameter'!$C:$C=$L845),'env Parameter'!E:E,""),"")</f>
        <v>2.14</v>
      </c>
      <c r="D845" s="10" cm="1">
        <f t="array" ref="D845">IFERROR(_xlfn.XLOOKUP(1,('env Parameter'!$A:$A=$A845)*('env Parameter'!$B:$B=$K845)*('env Parameter'!$C:$C=$L845),'env Parameter'!F:F,""),"")</f>
        <v>478</v>
      </c>
      <c r="E845" s="10" cm="1">
        <f t="array" ref="E845">IFERROR(_xlfn.XLOOKUP(1,('env Parameter'!$A:$A=$A845)*('env Parameter'!$B:$B=$K845)*('env Parameter'!$C:$C=$L845),'env Parameter'!G:G,""),"")</f>
        <v>7.6</v>
      </c>
      <c r="F845" t="str">
        <f>eDNA!F845</f>
        <v>MiFish</v>
      </c>
      <c r="G845" t="str">
        <f>eDNA!D845</f>
        <v>Rhinogobius giurinus</v>
      </c>
      <c r="H845" t="str">
        <f>_xlfn.XLOOKUP(G845,'Common name (master file)'!$B:$B,'Common name (master file)'!$A:$A,"-------------")</f>
        <v>갈문망둑</v>
      </c>
      <c r="I845">
        <f>eDNA!E845</f>
        <v>15</v>
      </c>
      <c r="J845" t="str">
        <f>_xlfn.XLOOKUP(G845,'Common name (master file)'!$B:$B,'Common name (master file)'!$C:$C,"")</f>
        <v>어류</v>
      </c>
      <c r="K845">
        <f>eDNA!B845</f>
        <v>126.9187098</v>
      </c>
      <c r="L845">
        <f>eDNA!C845</f>
        <v>37.431417699999997</v>
      </c>
      <c r="M845" s="10" t="str" cm="1">
        <f t="array" ref="M845">IFERROR(_xlfn.XLOOKUP(1,('env Parameter'!$A:$A=$A845)*('env Parameter'!$B:$B=$K845)*('env Parameter'!$C:$C=$L845),'env Parameter'!D:D,""),"")</f>
        <v>삼막천</v>
      </c>
      <c r="N845" s="10" t="str" cm="1">
        <f t="array" ref="N845">IFERROR(_xlfn.XLOOKUP(1,('env Parameter'!$A:$A=$A845)*('env Parameter'!$B:$B=$K845)*('env Parameter'!$C:$C=$L845),'env Parameter'!I:I,""),"")</f>
        <v>YR</v>
      </c>
    </row>
    <row r="846" spans="1:14">
      <c r="A846">
        <f>eDNA!A846</f>
        <v>20200916</v>
      </c>
      <c r="B846" s="10" t="str" cm="1">
        <f t="array" ref="B846">IFERROR(_xlfn.XLOOKUP(1,('env Parameter'!$A:$A=$A846)*('env Parameter'!$B:$B=$K846)*('env Parameter'!$C:$C=$L846),'env Parameter'!H:H,""),"")</f>
        <v>생물상 조사</v>
      </c>
      <c r="C846" s="10" cm="1">
        <f t="array" ref="C846">IFERROR(_xlfn.XLOOKUP(1,('env Parameter'!$A:$A=$A846)*('env Parameter'!$B:$B=$K846)*('env Parameter'!$C:$C=$L846),'env Parameter'!E:E,""),"")</f>
        <v>2.14</v>
      </c>
      <c r="D846" s="10" cm="1">
        <f t="array" ref="D846">IFERROR(_xlfn.XLOOKUP(1,('env Parameter'!$A:$A=$A846)*('env Parameter'!$B:$B=$K846)*('env Parameter'!$C:$C=$L846),'env Parameter'!F:F,""),"")</f>
        <v>478</v>
      </c>
      <c r="E846" s="10" cm="1">
        <f t="array" ref="E846">IFERROR(_xlfn.XLOOKUP(1,('env Parameter'!$A:$A=$A846)*('env Parameter'!$B:$B=$K846)*('env Parameter'!$C:$C=$L846),'env Parameter'!G:G,""),"")</f>
        <v>7.6</v>
      </c>
      <c r="F846" t="str">
        <f>eDNA!F846</f>
        <v>MiFish</v>
      </c>
      <c r="G846" t="str">
        <f>eDNA!D846</f>
        <v>Acanthorhodeus chankaensis</v>
      </c>
      <c r="H846" t="str">
        <f>_xlfn.XLOOKUP(G846,'Common name (master file)'!$B:$B,'Common name (master file)'!$A:$A,"-------------")</f>
        <v>가시납지리</v>
      </c>
      <c r="I846">
        <f>eDNA!E846</f>
        <v>18</v>
      </c>
      <c r="J846" t="str">
        <f>_xlfn.XLOOKUP(G846,'Common name (master file)'!$B:$B,'Common name (master file)'!$C:$C,"")</f>
        <v>어류</v>
      </c>
      <c r="K846">
        <f>eDNA!B846</f>
        <v>126.9187098</v>
      </c>
      <c r="L846">
        <f>eDNA!C846</f>
        <v>37.431417699999997</v>
      </c>
      <c r="M846" s="10" t="str" cm="1">
        <f t="array" ref="M846">IFERROR(_xlfn.XLOOKUP(1,('env Parameter'!$A:$A=$A846)*('env Parameter'!$B:$B=$K846)*('env Parameter'!$C:$C=$L846),'env Parameter'!D:D,""),"")</f>
        <v>삼막천</v>
      </c>
      <c r="N846" s="10" t="str" cm="1">
        <f t="array" ref="N846">IFERROR(_xlfn.XLOOKUP(1,('env Parameter'!$A:$A=$A846)*('env Parameter'!$B:$B=$K846)*('env Parameter'!$C:$C=$L846),'env Parameter'!I:I,""),"")</f>
        <v>YR</v>
      </c>
    </row>
    <row r="847" spans="1:14">
      <c r="A847">
        <f>eDNA!A847</f>
        <v>20200916</v>
      </c>
      <c r="B847" s="10" t="str" cm="1">
        <f t="array" ref="B847">IFERROR(_xlfn.XLOOKUP(1,('env Parameter'!$A:$A=$A847)*('env Parameter'!$B:$B=$K847)*('env Parameter'!$C:$C=$L847),'env Parameter'!H:H,""),"")</f>
        <v>생물상 조사</v>
      </c>
      <c r="C847" s="10" cm="1">
        <f t="array" ref="C847">IFERROR(_xlfn.XLOOKUP(1,('env Parameter'!$A:$A=$A847)*('env Parameter'!$B:$B=$K847)*('env Parameter'!$C:$C=$L847),'env Parameter'!E:E,""),"")</f>
        <v>2.14</v>
      </c>
      <c r="D847" s="10" cm="1">
        <f t="array" ref="D847">IFERROR(_xlfn.XLOOKUP(1,('env Parameter'!$A:$A=$A847)*('env Parameter'!$B:$B=$K847)*('env Parameter'!$C:$C=$L847),'env Parameter'!F:F,""),"")</f>
        <v>478</v>
      </c>
      <c r="E847" s="10" cm="1">
        <f t="array" ref="E847">IFERROR(_xlfn.XLOOKUP(1,('env Parameter'!$A:$A=$A847)*('env Parameter'!$B:$B=$K847)*('env Parameter'!$C:$C=$L847),'env Parameter'!G:G,""),"")</f>
        <v>7.6</v>
      </c>
      <c r="F847" t="str">
        <f>eDNA!F847</f>
        <v>MiFish</v>
      </c>
      <c r="G847" t="str">
        <f>eDNA!D847</f>
        <v>Micropterus salmoides</v>
      </c>
      <c r="H847" t="str">
        <f>_xlfn.XLOOKUP(G847,'Common name (master file)'!$B:$B,'Common name (master file)'!$A:$A,"-------------")</f>
        <v>큰입배스</v>
      </c>
      <c r="I847">
        <f>eDNA!E847</f>
        <v>20</v>
      </c>
      <c r="J847" t="str">
        <f>_xlfn.XLOOKUP(G847,'Common name (master file)'!$B:$B,'Common name (master file)'!$C:$C,"")</f>
        <v>어류</v>
      </c>
      <c r="K847">
        <f>eDNA!B847</f>
        <v>126.9187098</v>
      </c>
      <c r="L847">
        <f>eDNA!C847</f>
        <v>37.431417699999997</v>
      </c>
      <c r="M847" s="10" t="str" cm="1">
        <f t="array" ref="M847">IFERROR(_xlfn.XLOOKUP(1,('env Parameter'!$A:$A=$A847)*('env Parameter'!$B:$B=$K847)*('env Parameter'!$C:$C=$L847),'env Parameter'!D:D,""),"")</f>
        <v>삼막천</v>
      </c>
      <c r="N847" s="10" t="str" cm="1">
        <f t="array" ref="N847">IFERROR(_xlfn.XLOOKUP(1,('env Parameter'!$A:$A=$A847)*('env Parameter'!$B:$B=$K847)*('env Parameter'!$C:$C=$L847),'env Parameter'!I:I,""),"")</f>
        <v>YR</v>
      </c>
    </row>
    <row r="848" spans="1:14">
      <c r="A848">
        <f>eDNA!A848</f>
        <v>20200916</v>
      </c>
      <c r="B848" s="10" t="str" cm="1">
        <f t="array" ref="B848">IFERROR(_xlfn.XLOOKUP(1,('env Parameter'!$A:$A=$A848)*('env Parameter'!$B:$B=$K848)*('env Parameter'!$C:$C=$L848),'env Parameter'!H:H,""),"")</f>
        <v>생물상 조사</v>
      </c>
      <c r="C848" s="10" cm="1">
        <f t="array" ref="C848">IFERROR(_xlfn.XLOOKUP(1,('env Parameter'!$A:$A=$A848)*('env Parameter'!$B:$B=$K848)*('env Parameter'!$C:$C=$L848),'env Parameter'!E:E,""),"")</f>
        <v>2.14</v>
      </c>
      <c r="D848" s="10" cm="1">
        <f t="array" ref="D848">IFERROR(_xlfn.XLOOKUP(1,('env Parameter'!$A:$A=$A848)*('env Parameter'!$B:$B=$K848)*('env Parameter'!$C:$C=$L848),'env Parameter'!F:F,""),"")</f>
        <v>478</v>
      </c>
      <c r="E848" s="10" cm="1">
        <f t="array" ref="E848">IFERROR(_xlfn.XLOOKUP(1,('env Parameter'!$A:$A=$A848)*('env Parameter'!$B:$B=$K848)*('env Parameter'!$C:$C=$L848),'env Parameter'!G:G,""),"")</f>
        <v>7.6</v>
      </c>
      <c r="F848" t="str">
        <f>eDNA!F848</f>
        <v>MiFish</v>
      </c>
      <c r="G848" t="str">
        <f>eDNA!D848</f>
        <v>Zacco platypus</v>
      </c>
      <c r="H848" t="str">
        <f>_xlfn.XLOOKUP(G848,'Common name (master file)'!$B:$B,'Common name (master file)'!$A:$A,"-------------")</f>
        <v>피라미</v>
      </c>
      <c r="I848">
        <f>eDNA!E848</f>
        <v>67</v>
      </c>
      <c r="J848" t="str">
        <f>_xlfn.XLOOKUP(G848,'Common name (master file)'!$B:$B,'Common name (master file)'!$C:$C,"")</f>
        <v>어류</v>
      </c>
      <c r="K848">
        <f>eDNA!B848</f>
        <v>126.9187098</v>
      </c>
      <c r="L848">
        <f>eDNA!C848</f>
        <v>37.431417699999997</v>
      </c>
      <c r="M848" s="10" t="str" cm="1">
        <f t="array" ref="M848">IFERROR(_xlfn.XLOOKUP(1,('env Parameter'!$A:$A=$A848)*('env Parameter'!$B:$B=$K848)*('env Parameter'!$C:$C=$L848),'env Parameter'!D:D,""),"")</f>
        <v>삼막천</v>
      </c>
      <c r="N848" s="10" t="str" cm="1">
        <f t="array" ref="N848">IFERROR(_xlfn.XLOOKUP(1,('env Parameter'!$A:$A=$A848)*('env Parameter'!$B:$B=$K848)*('env Parameter'!$C:$C=$L848),'env Parameter'!I:I,""),"")</f>
        <v>YR</v>
      </c>
    </row>
    <row r="849" spans="1:14">
      <c r="A849">
        <f>eDNA!A849</f>
        <v>20200916</v>
      </c>
      <c r="B849" s="10" t="str" cm="1">
        <f t="array" ref="B849">IFERROR(_xlfn.XLOOKUP(1,('env Parameter'!$A:$A=$A849)*('env Parameter'!$B:$B=$K849)*('env Parameter'!$C:$C=$L849),'env Parameter'!H:H,""),"")</f>
        <v>생물상 조사</v>
      </c>
      <c r="C849" s="10" cm="1">
        <f t="array" ref="C849">IFERROR(_xlfn.XLOOKUP(1,('env Parameter'!$A:$A=$A849)*('env Parameter'!$B:$B=$K849)*('env Parameter'!$C:$C=$L849),'env Parameter'!E:E,""),"")</f>
        <v>2.14</v>
      </c>
      <c r="D849" s="10" cm="1">
        <f t="array" ref="D849">IFERROR(_xlfn.XLOOKUP(1,('env Parameter'!$A:$A=$A849)*('env Parameter'!$B:$B=$K849)*('env Parameter'!$C:$C=$L849),'env Parameter'!F:F,""),"")</f>
        <v>478</v>
      </c>
      <c r="E849" s="10" cm="1">
        <f t="array" ref="E849">IFERROR(_xlfn.XLOOKUP(1,('env Parameter'!$A:$A=$A849)*('env Parameter'!$B:$B=$K849)*('env Parameter'!$C:$C=$L849),'env Parameter'!G:G,""),"")</f>
        <v>7.6</v>
      </c>
      <c r="F849" t="str">
        <f>eDNA!F849</f>
        <v>MiFish</v>
      </c>
      <c r="G849" t="str">
        <f>eDNA!D849</f>
        <v>Mus musculus</v>
      </c>
      <c r="H849" t="str">
        <f>_xlfn.XLOOKUP(G849,'Common name (master file)'!$B:$B,'Common name (master file)'!$A:$A,"-------------")</f>
        <v>생쥐</v>
      </c>
      <c r="I849">
        <f>eDNA!E849</f>
        <v>34</v>
      </c>
      <c r="J849" t="str">
        <f>_xlfn.XLOOKUP(G849,'Common name (master file)'!$B:$B,'Common name (master file)'!$C:$C,"")</f>
        <v>포유류</v>
      </c>
      <c r="K849">
        <f>eDNA!B849</f>
        <v>126.9187098</v>
      </c>
      <c r="L849">
        <f>eDNA!C849</f>
        <v>37.431417699999997</v>
      </c>
      <c r="M849" s="10" t="str" cm="1">
        <f t="array" ref="M849">IFERROR(_xlfn.XLOOKUP(1,('env Parameter'!$A:$A=$A849)*('env Parameter'!$B:$B=$K849)*('env Parameter'!$C:$C=$L849),'env Parameter'!D:D,""),"")</f>
        <v>삼막천</v>
      </c>
      <c r="N849" s="10" t="str" cm="1">
        <f t="array" ref="N849">IFERROR(_xlfn.XLOOKUP(1,('env Parameter'!$A:$A=$A849)*('env Parameter'!$B:$B=$K849)*('env Parameter'!$C:$C=$L849),'env Parameter'!I:I,""),"")</f>
        <v>YR</v>
      </c>
    </row>
    <row r="850" spans="1:14">
      <c r="A850">
        <f>eDNA!A850</f>
        <v>20200916</v>
      </c>
      <c r="B850" s="10" t="str" cm="1">
        <f t="array" ref="B850">IFERROR(_xlfn.XLOOKUP(1,('env Parameter'!$A:$A=$A850)*('env Parameter'!$B:$B=$K850)*('env Parameter'!$C:$C=$L850),'env Parameter'!H:H,""),"")</f>
        <v>생물상 조사</v>
      </c>
      <c r="C850" s="10" cm="1">
        <f t="array" ref="C850">IFERROR(_xlfn.XLOOKUP(1,('env Parameter'!$A:$A=$A850)*('env Parameter'!$B:$B=$K850)*('env Parameter'!$C:$C=$L850),'env Parameter'!E:E,""),"")</f>
        <v>2.14</v>
      </c>
      <c r="D850" s="10" cm="1">
        <f t="array" ref="D850">IFERROR(_xlfn.XLOOKUP(1,('env Parameter'!$A:$A=$A850)*('env Parameter'!$B:$B=$K850)*('env Parameter'!$C:$C=$L850),'env Parameter'!F:F,""),"")</f>
        <v>478</v>
      </c>
      <c r="E850" s="10" cm="1">
        <f t="array" ref="E850">IFERROR(_xlfn.XLOOKUP(1,('env Parameter'!$A:$A=$A850)*('env Parameter'!$B:$B=$K850)*('env Parameter'!$C:$C=$L850),'env Parameter'!G:G,""),"")</f>
        <v>7.6</v>
      </c>
      <c r="F850" t="str">
        <f>eDNA!F850</f>
        <v>MiFish</v>
      </c>
      <c r="G850" t="str">
        <f>eDNA!D850</f>
        <v>Pseudorasbora parva</v>
      </c>
      <c r="H850" t="str">
        <f>_xlfn.XLOOKUP(G850,'Common name (master file)'!$B:$B,'Common name (master file)'!$A:$A,"-------------")</f>
        <v>참붕어</v>
      </c>
      <c r="I850">
        <f>eDNA!E850</f>
        <v>40</v>
      </c>
      <c r="J850" t="str">
        <f>_xlfn.XLOOKUP(G850,'Common name (master file)'!$B:$B,'Common name (master file)'!$C:$C,"")</f>
        <v>어류</v>
      </c>
      <c r="K850">
        <f>eDNA!B850</f>
        <v>126.9187098</v>
      </c>
      <c r="L850">
        <f>eDNA!C850</f>
        <v>37.431417699999997</v>
      </c>
      <c r="M850" s="10" t="str" cm="1">
        <f t="array" ref="M850">IFERROR(_xlfn.XLOOKUP(1,('env Parameter'!$A:$A=$A850)*('env Parameter'!$B:$B=$K850)*('env Parameter'!$C:$C=$L850),'env Parameter'!D:D,""),"")</f>
        <v>삼막천</v>
      </c>
      <c r="N850" s="10" t="str" cm="1">
        <f t="array" ref="N850">IFERROR(_xlfn.XLOOKUP(1,('env Parameter'!$A:$A=$A850)*('env Parameter'!$B:$B=$K850)*('env Parameter'!$C:$C=$L850),'env Parameter'!I:I,""),"")</f>
        <v>YR</v>
      </c>
    </row>
    <row r="851" spans="1:14">
      <c r="A851">
        <f>eDNA!A851</f>
        <v>20200916</v>
      </c>
      <c r="B851" s="10" t="str" cm="1">
        <f t="array" ref="B851">IFERROR(_xlfn.XLOOKUP(1,('env Parameter'!$A:$A=$A851)*('env Parameter'!$B:$B=$K851)*('env Parameter'!$C:$C=$L851),'env Parameter'!H:H,""),"")</f>
        <v>생물상 조사</v>
      </c>
      <c r="C851" s="10" cm="1">
        <f t="array" ref="C851">IFERROR(_xlfn.XLOOKUP(1,('env Parameter'!$A:$A=$A851)*('env Parameter'!$B:$B=$K851)*('env Parameter'!$C:$C=$L851),'env Parameter'!E:E,""),"")</f>
        <v>2.14</v>
      </c>
      <c r="D851" s="10" cm="1">
        <f t="array" ref="D851">IFERROR(_xlfn.XLOOKUP(1,('env Parameter'!$A:$A=$A851)*('env Parameter'!$B:$B=$K851)*('env Parameter'!$C:$C=$L851),'env Parameter'!F:F,""),"")</f>
        <v>478</v>
      </c>
      <c r="E851" s="10" cm="1">
        <f t="array" ref="E851">IFERROR(_xlfn.XLOOKUP(1,('env Parameter'!$A:$A=$A851)*('env Parameter'!$B:$B=$K851)*('env Parameter'!$C:$C=$L851),'env Parameter'!G:G,""),"")</f>
        <v>7.6</v>
      </c>
      <c r="F851" t="str">
        <f>eDNA!F851</f>
        <v>MiFish</v>
      </c>
      <c r="G851" t="str">
        <f>eDNA!D851</f>
        <v>Rhinogobius sp.</v>
      </c>
      <c r="H851" t="str">
        <f>_xlfn.XLOOKUP(G851,'Common name (master file)'!$B:$B,'Common name (master file)'!$A:$A,"-------------")</f>
        <v>밀어</v>
      </c>
      <c r="I851">
        <f>eDNA!E851</f>
        <v>54</v>
      </c>
      <c r="J851" t="str">
        <f>_xlfn.XLOOKUP(G851,'Common name (master file)'!$B:$B,'Common name (master file)'!$C:$C,"")</f>
        <v>어류</v>
      </c>
      <c r="K851">
        <f>eDNA!B851</f>
        <v>126.9187098</v>
      </c>
      <c r="L851">
        <f>eDNA!C851</f>
        <v>37.431417699999997</v>
      </c>
      <c r="M851" s="10" t="str" cm="1">
        <f t="array" ref="M851">IFERROR(_xlfn.XLOOKUP(1,('env Parameter'!$A:$A=$A851)*('env Parameter'!$B:$B=$K851)*('env Parameter'!$C:$C=$L851),'env Parameter'!D:D,""),"")</f>
        <v>삼막천</v>
      </c>
      <c r="N851" s="10" t="str" cm="1">
        <f t="array" ref="N851">IFERROR(_xlfn.XLOOKUP(1,('env Parameter'!$A:$A=$A851)*('env Parameter'!$B:$B=$K851)*('env Parameter'!$C:$C=$L851),'env Parameter'!I:I,""),"")</f>
        <v>YR</v>
      </c>
    </row>
    <row r="852" spans="1:14">
      <c r="A852">
        <f>eDNA!A852</f>
        <v>20200916</v>
      </c>
      <c r="B852" s="10" t="str" cm="1">
        <f t="array" ref="B852">IFERROR(_xlfn.XLOOKUP(1,('env Parameter'!$A:$A=$A852)*('env Parameter'!$B:$B=$K852)*('env Parameter'!$C:$C=$L852),'env Parameter'!H:H,""),"")</f>
        <v>생물상 조사</v>
      </c>
      <c r="C852" s="10" cm="1">
        <f t="array" ref="C852">IFERROR(_xlfn.XLOOKUP(1,('env Parameter'!$A:$A=$A852)*('env Parameter'!$B:$B=$K852)*('env Parameter'!$C:$C=$L852),'env Parameter'!E:E,""),"")</f>
        <v>2.14</v>
      </c>
      <c r="D852" s="10" cm="1">
        <f t="array" ref="D852">IFERROR(_xlfn.XLOOKUP(1,('env Parameter'!$A:$A=$A852)*('env Parameter'!$B:$B=$K852)*('env Parameter'!$C:$C=$L852),'env Parameter'!F:F,""),"")</f>
        <v>478</v>
      </c>
      <c r="E852" s="10" cm="1">
        <f t="array" ref="E852">IFERROR(_xlfn.XLOOKUP(1,('env Parameter'!$A:$A=$A852)*('env Parameter'!$B:$B=$K852)*('env Parameter'!$C:$C=$L852),'env Parameter'!G:G,""),"")</f>
        <v>7.6</v>
      </c>
      <c r="F852" t="str">
        <f>eDNA!F852</f>
        <v>MiFish</v>
      </c>
      <c r="G852" t="str">
        <f>eDNA!D852</f>
        <v>Homo sapiens</v>
      </c>
      <c r="H852" t="str">
        <f>_xlfn.XLOOKUP(G852,'Common name (master file)'!$B:$B,'Common name (master file)'!$A:$A,"-------------")</f>
        <v>사람</v>
      </c>
      <c r="I852">
        <f>eDNA!E852</f>
        <v>223</v>
      </c>
      <c r="J852" t="str">
        <f>_xlfn.XLOOKUP(G852,'Common name (master file)'!$B:$B,'Common name (master file)'!$C:$C,"")</f>
        <v>포유류</v>
      </c>
      <c r="K852">
        <f>eDNA!B852</f>
        <v>126.9187098</v>
      </c>
      <c r="L852">
        <f>eDNA!C852</f>
        <v>37.431417699999997</v>
      </c>
      <c r="M852" s="10" t="str" cm="1">
        <f t="array" ref="M852">IFERROR(_xlfn.XLOOKUP(1,('env Parameter'!$A:$A=$A852)*('env Parameter'!$B:$B=$K852)*('env Parameter'!$C:$C=$L852),'env Parameter'!D:D,""),"")</f>
        <v>삼막천</v>
      </c>
      <c r="N852" s="10" t="str" cm="1">
        <f t="array" ref="N852">IFERROR(_xlfn.XLOOKUP(1,('env Parameter'!$A:$A=$A852)*('env Parameter'!$B:$B=$K852)*('env Parameter'!$C:$C=$L852),'env Parameter'!I:I,""),"")</f>
        <v>YR</v>
      </c>
    </row>
    <row r="853" spans="1:14">
      <c r="A853">
        <f>eDNA!A853</f>
        <v>20200916</v>
      </c>
      <c r="B853" s="10" t="str" cm="1">
        <f t="array" ref="B853">IFERROR(_xlfn.XLOOKUP(1,('env Parameter'!$A:$A=$A853)*('env Parameter'!$B:$B=$K853)*('env Parameter'!$C:$C=$L853),'env Parameter'!H:H,""),"")</f>
        <v>생물상 조사</v>
      </c>
      <c r="C853" s="10" cm="1">
        <f t="array" ref="C853">IFERROR(_xlfn.XLOOKUP(1,('env Parameter'!$A:$A=$A853)*('env Parameter'!$B:$B=$K853)*('env Parameter'!$C:$C=$L853),'env Parameter'!E:E,""),"")</f>
        <v>2.14</v>
      </c>
      <c r="D853" s="10" cm="1">
        <f t="array" ref="D853">IFERROR(_xlfn.XLOOKUP(1,('env Parameter'!$A:$A=$A853)*('env Parameter'!$B:$B=$K853)*('env Parameter'!$C:$C=$L853),'env Parameter'!F:F,""),"")</f>
        <v>478</v>
      </c>
      <c r="E853" s="10" cm="1">
        <f t="array" ref="E853">IFERROR(_xlfn.XLOOKUP(1,('env Parameter'!$A:$A=$A853)*('env Parameter'!$B:$B=$K853)*('env Parameter'!$C:$C=$L853),'env Parameter'!G:G,""),"")</f>
        <v>7.6</v>
      </c>
      <c r="F853" t="str">
        <f>eDNA!F853</f>
        <v>MiFish</v>
      </c>
      <c r="G853" t="str">
        <f>eDNA!D853</f>
        <v>Rhynchocypris oxycephalus</v>
      </c>
      <c r="H853" t="str">
        <f>_xlfn.XLOOKUP(G853,'Common name (master file)'!$B:$B,'Common name (master file)'!$A:$A,"-------------")</f>
        <v>버들치</v>
      </c>
      <c r="I853">
        <f>eDNA!E853</f>
        <v>95560</v>
      </c>
      <c r="J853" t="str">
        <f>_xlfn.XLOOKUP(G853,'Common name (master file)'!$B:$B,'Common name (master file)'!$C:$C,"")</f>
        <v>어류</v>
      </c>
      <c r="K853">
        <f>eDNA!B853</f>
        <v>126.9187098</v>
      </c>
      <c r="L853">
        <f>eDNA!C853</f>
        <v>37.431417699999997</v>
      </c>
      <c r="M853" s="10" t="str" cm="1">
        <f t="array" ref="M853">IFERROR(_xlfn.XLOOKUP(1,('env Parameter'!$A:$A=$A853)*('env Parameter'!$B:$B=$K853)*('env Parameter'!$C:$C=$L853),'env Parameter'!D:D,""),"")</f>
        <v>삼막천</v>
      </c>
      <c r="N853" s="10" t="str" cm="1">
        <f t="array" ref="N853">IFERROR(_xlfn.XLOOKUP(1,('env Parameter'!$A:$A=$A853)*('env Parameter'!$B:$B=$K853)*('env Parameter'!$C:$C=$L853),'env Parameter'!I:I,""),"")</f>
        <v>YR</v>
      </c>
    </row>
    <row r="854" spans="1:14">
      <c r="A854">
        <f>eDNA!A854</f>
        <v>20200916</v>
      </c>
      <c r="B854" s="10" t="str" cm="1">
        <f t="array" ref="B854">IFERROR(_xlfn.XLOOKUP(1,('env Parameter'!$A:$A=$A854)*('env Parameter'!$B:$B=$K854)*('env Parameter'!$C:$C=$L854),'env Parameter'!H:H,""),"")</f>
        <v>생물상 조사</v>
      </c>
      <c r="C854" s="10" cm="1">
        <f t="array" ref="C854">IFERROR(_xlfn.XLOOKUP(1,('env Parameter'!$A:$A=$A854)*('env Parameter'!$B:$B=$K854)*('env Parameter'!$C:$C=$L854),'env Parameter'!E:E,""),"")</f>
        <v>2.14</v>
      </c>
      <c r="D854" s="10" cm="1">
        <f t="array" ref="D854">IFERROR(_xlfn.XLOOKUP(1,('env Parameter'!$A:$A=$A854)*('env Parameter'!$B:$B=$K854)*('env Parameter'!$C:$C=$L854),'env Parameter'!F:F,""),"")</f>
        <v>478</v>
      </c>
      <c r="E854" s="10" cm="1">
        <f t="array" ref="E854">IFERROR(_xlfn.XLOOKUP(1,('env Parameter'!$A:$A=$A854)*('env Parameter'!$B:$B=$K854)*('env Parameter'!$C:$C=$L854),'env Parameter'!G:G,""),"")</f>
        <v>7.6</v>
      </c>
      <c r="F854" t="str">
        <f>eDNA!F854</f>
        <v>MiFish</v>
      </c>
      <c r="G854" t="str">
        <f>eDNA!D854</f>
        <v>Acanthorhodeus chankaensis</v>
      </c>
      <c r="H854" t="str">
        <f>_xlfn.XLOOKUP(G854,'Common name (master file)'!$B:$B,'Common name (master file)'!$A:$A,"-------------")</f>
        <v>가시납지리</v>
      </c>
      <c r="I854">
        <f>eDNA!E854</f>
        <v>12</v>
      </c>
      <c r="J854" t="str">
        <f>_xlfn.XLOOKUP(G854,'Common name (master file)'!$B:$B,'Common name (master file)'!$C:$C,"")</f>
        <v>어류</v>
      </c>
      <c r="K854">
        <f>eDNA!B854</f>
        <v>126.92050639999999</v>
      </c>
      <c r="L854">
        <f>eDNA!C854</f>
        <v>37.418606500000003</v>
      </c>
      <c r="M854" s="10" t="str" cm="1">
        <f t="array" ref="M854">IFERROR(_xlfn.XLOOKUP(1,('env Parameter'!$A:$A=$A854)*('env Parameter'!$B:$B=$K854)*('env Parameter'!$C:$C=$L854),'env Parameter'!D:D,""),"")</f>
        <v>삼성천-1</v>
      </c>
      <c r="N854" s="10" t="str" cm="1">
        <f t="array" ref="N854">IFERROR(_xlfn.XLOOKUP(1,('env Parameter'!$A:$A=$A854)*('env Parameter'!$B:$B=$K854)*('env Parameter'!$C:$C=$L854),'env Parameter'!I:I,""),"")</f>
        <v>YR</v>
      </c>
    </row>
    <row r="855" spans="1:14">
      <c r="A855">
        <f>eDNA!A855</f>
        <v>20200916</v>
      </c>
      <c r="B855" s="10" t="str" cm="1">
        <f t="array" ref="B855">IFERROR(_xlfn.XLOOKUP(1,('env Parameter'!$A:$A=$A855)*('env Parameter'!$B:$B=$K855)*('env Parameter'!$C:$C=$L855),'env Parameter'!H:H,""),"")</f>
        <v>생물상 조사</v>
      </c>
      <c r="C855" s="10" cm="1">
        <f t="array" ref="C855">IFERROR(_xlfn.XLOOKUP(1,('env Parameter'!$A:$A=$A855)*('env Parameter'!$B:$B=$K855)*('env Parameter'!$C:$C=$L855),'env Parameter'!E:E,""),"")</f>
        <v>2.14</v>
      </c>
      <c r="D855" s="10" cm="1">
        <f t="array" ref="D855">IFERROR(_xlfn.XLOOKUP(1,('env Parameter'!$A:$A=$A855)*('env Parameter'!$B:$B=$K855)*('env Parameter'!$C:$C=$L855),'env Parameter'!F:F,""),"")</f>
        <v>478</v>
      </c>
      <c r="E855" s="10" cm="1">
        <f t="array" ref="E855">IFERROR(_xlfn.XLOOKUP(1,('env Parameter'!$A:$A=$A855)*('env Parameter'!$B:$B=$K855)*('env Parameter'!$C:$C=$L855),'env Parameter'!G:G,""),"")</f>
        <v>7.6</v>
      </c>
      <c r="F855" t="str">
        <f>eDNA!F855</f>
        <v>MiFish</v>
      </c>
      <c r="G855" t="str">
        <f>eDNA!D855</f>
        <v>Micropterus salmoides</v>
      </c>
      <c r="H855" t="str">
        <f>_xlfn.XLOOKUP(G855,'Common name (master file)'!$B:$B,'Common name (master file)'!$A:$A,"-------------")</f>
        <v>큰입배스</v>
      </c>
      <c r="I855">
        <f>eDNA!E855</f>
        <v>15</v>
      </c>
      <c r="J855" t="str">
        <f>_xlfn.XLOOKUP(G855,'Common name (master file)'!$B:$B,'Common name (master file)'!$C:$C,"")</f>
        <v>어류</v>
      </c>
      <c r="K855">
        <f>eDNA!B855</f>
        <v>126.92050639999999</v>
      </c>
      <c r="L855">
        <f>eDNA!C855</f>
        <v>37.418606500000003</v>
      </c>
      <c r="M855" s="10" t="str" cm="1">
        <f t="array" ref="M855">IFERROR(_xlfn.XLOOKUP(1,('env Parameter'!$A:$A=$A855)*('env Parameter'!$B:$B=$K855)*('env Parameter'!$C:$C=$L855),'env Parameter'!D:D,""),"")</f>
        <v>삼성천-1</v>
      </c>
      <c r="N855" s="10" t="str" cm="1">
        <f t="array" ref="N855">IFERROR(_xlfn.XLOOKUP(1,('env Parameter'!$A:$A=$A855)*('env Parameter'!$B:$B=$K855)*('env Parameter'!$C:$C=$L855),'env Parameter'!I:I,""),"")</f>
        <v>YR</v>
      </c>
    </row>
    <row r="856" spans="1:14">
      <c r="A856">
        <f>eDNA!A856</f>
        <v>20200916</v>
      </c>
      <c r="B856" s="10" t="str" cm="1">
        <f t="array" ref="B856">IFERROR(_xlfn.XLOOKUP(1,('env Parameter'!$A:$A=$A856)*('env Parameter'!$B:$B=$K856)*('env Parameter'!$C:$C=$L856),'env Parameter'!H:H,""),"")</f>
        <v>생물상 조사</v>
      </c>
      <c r="C856" s="10" cm="1">
        <f t="array" ref="C856">IFERROR(_xlfn.XLOOKUP(1,('env Parameter'!$A:$A=$A856)*('env Parameter'!$B:$B=$K856)*('env Parameter'!$C:$C=$L856),'env Parameter'!E:E,""),"")</f>
        <v>2.14</v>
      </c>
      <c r="D856" s="10" cm="1">
        <f t="array" ref="D856">IFERROR(_xlfn.XLOOKUP(1,('env Parameter'!$A:$A=$A856)*('env Parameter'!$B:$B=$K856)*('env Parameter'!$C:$C=$L856),'env Parameter'!F:F,""),"")</f>
        <v>478</v>
      </c>
      <c r="E856" s="10" cm="1">
        <f t="array" ref="E856">IFERROR(_xlfn.XLOOKUP(1,('env Parameter'!$A:$A=$A856)*('env Parameter'!$B:$B=$K856)*('env Parameter'!$C:$C=$L856),'env Parameter'!G:G,""),"")</f>
        <v>7.6</v>
      </c>
      <c r="F856" t="str">
        <f>eDNA!F856</f>
        <v>MiFish</v>
      </c>
      <c r="G856" t="str">
        <f>eDNA!D856</f>
        <v>Rhinogobius giurinus</v>
      </c>
      <c r="H856" t="str">
        <f>_xlfn.XLOOKUP(G856,'Common name (master file)'!$B:$B,'Common name (master file)'!$A:$A,"-------------")</f>
        <v>갈문망둑</v>
      </c>
      <c r="I856">
        <f>eDNA!E856</f>
        <v>25</v>
      </c>
      <c r="J856" t="str">
        <f>_xlfn.XLOOKUP(G856,'Common name (master file)'!$B:$B,'Common name (master file)'!$C:$C,"")</f>
        <v>어류</v>
      </c>
      <c r="K856">
        <f>eDNA!B856</f>
        <v>126.92050639999999</v>
      </c>
      <c r="L856">
        <f>eDNA!C856</f>
        <v>37.418606500000003</v>
      </c>
      <c r="M856" s="10" t="str" cm="1">
        <f t="array" ref="M856">IFERROR(_xlfn.XLOOKUP(1,('env Parameter'!$A:$A=$A856)*('env Parameter'!$B:$B=$K856)*('env Parameter'!$C:$C=$L856),'env Parameter'!D:D,""),"")</f>
        <v>삼성천-1</v>
      </c>
      <c r="N856" s="10" t="str" cm="1">
        <f t="array" ref="N856">IFERROR(_xlfn.XLOOKUP(1,('env Parameter'!$A:$A=$A856)*('env Parameter'!$B:$B=$K856)*('env Parameter'!$C:$C=$L856),'env Parameter'!I:I,""),"")</f>
        <v>YR</v>
      </c>
    </row>
    <row r="857" spans="1:14">
      <c r="A857">
        <f>eDNA!A857</f>
        <v>20200916</v>
      </c>
      <c r="B857" s="10" t="str" cm="1">
        <f t="array" ref="B857">IFERROR(_xlfn.XLOOKUP(1,('env Parameter'!$A:$A=$A857)*('env Parameter'!$B:$B=$K857)*('env Parameter'!$C:$C=$L857),'env Parameter'!H:H,""),"")</f>
        <v>생물상 조사</v>
      </c>
      <c r="C857" s="10" cm="1">
        <f t="array" ref="C857">IFERROR(_xlfn.XLOOKUP(1,('env Parameter'!$A:$A=$A857)*('env Parameter'!$B:$B=$K857)*('env Parameter'!$C:$C=$L857),'env Parameter'!E:E,""),"")</f>
        <v>2.14</v>
      </c>
      <c r="D857" s="10" cm="1">
        <f t="array" ref="D857">IFERROR(_xlfn.XLOOKUP(1,('env Parameter'!$A:$A=$A857)*('env Parameter'!$B:$B=$K857)*('env Parameter'!$C:$C=$L857),'env Parameter'!F:F,""),"")</f>
        <v>478</v>
      </c>
      <c r="E857" s="10" cm="1">
        <f t="array" ref="E857">IFERROR(_xlfn.XLOOKUP(1,('env Parameter'!$A:$A=$A857)*('env Parameter'!$B:$B=$K857)*('env Parameter'!$C:$C=$L857),'env Parameter'!G:G,""),"")</f>
        <v>7.6</v>
      </c>
      <c r="F857" t="str">
        <f>eDNA!F857</f>
        <v>MiFish</v>
      </c>
      <c r="G857" t="str">
        <f>eDNA!D857</f>
        <v>Rhinogobius sp.</v>
      </c>
      <c r="H857" t="str">
        <f>_xlfn.XLOOKUP(G857,'Common name (master file)'!$B:$B,'Common name (master file)'!$A:$A,"-------------")</f>
        <v>밀어</v>
      </c>
      <c r="I857">
        <f>eDNA!E857</f>
        <v>44</v>
      </c>
      <c r="J857" t="str">
        <f>_xlfn.XLOOKUP(G857,'Common name (master file)'!$B:$B,'Common name (master file)'!$C:$C,"")</f>
        <v>어류</v>
      </c>
      <c r="K857">
        <f>eDNA!B857</f>
        <v>126.92050639999999</v>
      </c>
      <c r="L857">
        <f>eDNA!C857</f>
        <v>37.418606500000003</v>
      </c>
      <c r="M857" s="10" t="str" cm="1">
        <f t="array" ref="M857">IFERROR(_xlfn.XLOOKUP(1,('env Parameter'!$A:$A=$A857)*('env Parameter'!$B:$B=$K857)*('env Parameter'!$C:$C=$L857),'env Parameter'!D:D,""),"")</f>
        <v>삼성천-1</v>
      </c>
      <c r="N857" s="10" t="str" cm="1">
        <f t="array" ref="N857">IFERROR(_xlfn.XLOOKUP(1,('env Parameter'!$A:$A=$A857)*('env Parameter'!$B:$B=$K857)*('env Parameter'!$C:$C=$L857),'env Parameter'!I:I,""),"")</f>
        <v>YR</v>
      </c>
    </row>
    <row r="858" spans="1:14">
      <c r="A858">
        <f>eDNA!A858</f>
        <v>20200916</v>
      </c>
      <c r="B858" s="10" t="str" cm="1">
        <f t="array" ref="B858">IFERROR(_xlfn.XLOOKUP(1,('env Parameter'!$A:$A=$A858)*('env Parameter'!$B:$B=$K858)*('env Parameter'!$C:$C=$L858),'env Parameter'!H:H,""),"")</f>
        <v>생물상 조사</v>
      </c>
      <c r="C858" s="10" cm="1">
        <f t="array" ref="C858">IFERROR(_xlfn.XLOOKUP(1,('env Parameter'!$A:$A=$A858)*('env Parameter'!$B:$B=$K858)*('env Parameter'!$C:$C=$L858),'env Parameter'!E:E,""),"")</f>
        <v>2.14</v>
      </c>
      <c r="D858" s="10" cm="1">
        <f t="array" ref="D858">IFERROR(_xlfn.XLOOKUP(1,('env Parameter'!$A:$A=$A858)*('env Parameter'!$B:$B=$K858)*('env Parameter'!$C:$C=$L858),'env Parameter'!F:F,""),"")</f>
        <v>478</v>
      </c>
      <c r="E858" s="10" cm="1">
        <f t="array" ref="E858">IFERROR(_xlfn.XLOOKUP(1,('env Parameter'!$A:$A=$A858)*('env Parameter'!$B:$B=$K858)*('env Parameter'!$C:$C=$L858),'env Parameter'!G:G,""),"")</f>
        <v>7.6</v>
      </c>
      <c r="F858" t="str">
        <f>eDNA!F858</f>
        <v>MiFish</v>
      </c>
      <c r="G858" t="str">
        <f>eDNA!D858</f>
        <v>Carassius gibelio</v>
      </c>
      <c r="H858" t="str">
        <f>_xlfn.XLOOKUP(G858,'Common name (master file)'!$B:$B,'Common name (master file)'!$A:$A,"-------------")</f>
        <v>기벨리오 붕어</v>
      </c>
      <c r="I858">
        <f>eDNA!E858</f>
        <v>271</v>
      </c>
      <c r="J858" t="str">
        <f>_xlfn.XLOOKUP(G858,'Common name (master file)'!$B:$B,'Common name (master file)'!$C:$C,"")</f>
        <v>어류</v>
      </c>
      <c r="K858">
        <f>eDNA!B858</f>
        <v>126.92050639999999</v>
      </c>
      <c r="L858">
        <f>eDNA!C858</f>
        <v>37.418606500000003</v>
      </c>
      <c r="M858" s="10" t="str" cm="1">
        <f t="array" ref="M858">IFERROR(_xlfn.XLOOKUP(1,('env Parameter'!$A:$A=$A858)*('env Parameter'!$B:$B=$K858)*('env Parameter'!$C:$C=$L858),'env Parameter'!D:D,""),"")</f>
        <v>삼성천-1</v>
      </c>
      <c r="N858" s="10" t="str" cm="1">
        <f t="array" ref="N858">IFERROR(_xlfn.XLOOKUP(1,('env Parameter'!$A:$A=$A858)*('env Parameter'!$B:$B=$K858)*('env Parameter'!$C:$C=$L858),'env Parameter'!I:I,""),"")</f>
        <v>YR</v>
      </c>
    </row>
    <row r="859" spans="1:14">
      <c r="A859">
        <f>eDNA!A859</f>
        <v>20200916</v>
      </c>
      <c r="B859" s="10" t="str" cm="1">
        <f t="array" ref="B859">IFERROR(_xlfn.XLOOKUP(1,('env Parameter'!$A:$A=$A859)*('env Parameter'!$B:$B=$K859)*('env Parameter'!$C:$C=$L859),'env Parameter'!H:H,""),"")</f>
        <v>생물상 조사</v>
      </c>
      <c r="C859" s="10" cm="1">
        <f t="array" ref="C859">IFERROR(_xlfn.XLOOKUP(1,('env Parameter'!$A:$A=$A859)*('env Parameter'!$B:$B=$K859)*('env Parameter'!$C:$C=$L859),'env Parameter'!E:E,""),"")</f>
        <v>2.14</v>
      </c>
      <c r="D859" s="10" cm="1">
        <f t="array" ref="D859">IFERROR(_xlfn.XLOOKUP(1,('env Parameter'!$A:$A=$A859)*('env Parameter'!$B:$B=$K859)*('env Parameter'!$C:$C=$L859),'env Parameter'!F:F,""),"")</f>
        <v>478</v>
      </c>
      <c r="E859" s="10" cm="1">
        <f t="array" ref="E859">IFERROR(_xlfn.XLOOKUP(1,('env Parameter'!$A:$A=$A859)*('env Parameter'!$B:$B=$K859)*('env Parameter'!$C:$C=$L859),'env Parameter'!G:G,""),"")</f>
        <v>7.6</v>
      </c>
      <c r="F859" t="str">
        <f>eDNA!F859</f>
        <v>MiFish</v>
      </c>
      <c r="G859" t="str">
        <f>eDNA!D859</f>
        <v>Pseudogobio esocinus</v>
      </c>
      <c r="H859" t="str">
        <f>_xlfn.XLOOKUP(G859,'Common name (master file)'!$B:$B,'Common name (master file)'!$A:$A,"-------------")</f>
        <v>모래무지</v>
      </c>
      <c r="I859">
        <f>eDNA!E859</f>
        <v>292</v>
      </c>
      <c r="J859" t="str">
        <f>_xlfn.XLOOKUP(G859,'Common name (master file)'!$B:$B,'Common name (master file)'!$C:$C,"")</f>
        <v>어류</v>
      </c>
      <c r="K859">
        <f>eDNA!B859</f>
        <v>126.92050639999999</v>
      </c>
      <c r="L859">
        <f>eDNA!C859</f>
        <v>37.418606500000003</v>
      </c>
      <c r="M859" s="10" t="str" cm="1">
        <f t="array" ref="M859">IFERROR(_xlfn.XLOOKUP(1,('env Parameter'!$A:$A=$A859)*('env Parameter'!$B:$B=$K859)*('env Parameter'!$C:$C=$L859),'env Parameter'!D:D,""),"")</f>
        <v>삼성천-1</v>
      </c>
      <c r="N859" s="10" t="str" cm="1">
        <f t="array" ref="N859">IFERROR(_xlfn.XLOOKUP(1,('env Parameter'!$A:$A=$A859)*('env Parameter'!$B:$B=$K859)*('env Parameter'!$C:$C=$L859),'env Parameter'!I:I,""),"")</f>
        <v>YR</v>
      </c>
    </row>
    <row r="860" spans="1:14">
      <c r="A860">
        <f>eDNA!A860</f>
        <v>20200916</v>
      </c>
      <c r="B860" s="10" t="str" cm="1">
        <f t="array" ref="B860">IFERROR(_xlfn.XLOOKUP(1,('env Parameter'!$A:$A=$A860)*('env Parameter'!$B:$B=$K860)*('env Parameter'!$C:$C=$L860),'env Parameter'!H:H,""),"")</f>
        <v>생물상 조사</v>
      </c>
      <c r="C860" s="10" cm="1">
        <f t="array" ref="C860">IFERROR(_xlfn.XLOOKUP(1,('env Parameter'!$A:$A=$A860)*('env Parameter'!$B:$B=$K860)*('env Parameter'!$C:$C=$L860),'env Parameter'!E:E,""),"")</f>
        <v>2.14</v>
      </c>
      <c r="D860" s="10" cm="1">
        <f t="array" ref="D860">IFERROR(_xlfn.XLOOKUP(1,('env Parameter'!$A:$A=$A860)*('env Parameter'!$B:$B=$K860)*('env Parameter'!$C:$C=$L860),'env Parameter'!F:F,""),"")</f>
        <v>478</v>
      </c>
      <c r="E860" s="10" cm="1">
        <f t="array" ref="E860">IFERROR(_xlfn.XLOOKUP(1,('env Parameter'!$A:$A=$A860)*('env Parameter'!$B:$B=$K860)*('env Parameter'!$C:$C=$L860),'env Parameter'!G:G,""),"")</f>
        <v>7.6</v>
      </c>
      <c r="F860" t="str">
        <f>eDNA!F860</f>
        <v>MiFish</v>
      </c>
      <c r="G860" t="str">
        <f>eDNA!D860</f>
        <v>Channa argus</v>
      </c>
      <c r="H860" t="str">
        <f>_xlfn.XLOOKUP(G860,'Common name (master file)'!$B:$B,'Common name (master file)'!$A:$A,"-------------")</f>
        <v>가물치</v>
      </c>
      <c r="I860">
        <f>eDNA!E860</f>
        <v>434</v>
      </c>
      <c r="J860" t="str">
        <f>_xlfn.XLOOKUP(G860,'Common name (master file)'!$B:$B,'Common name (master file)'!$C:$C,"")</f>
        <v>어류</v>
      </c>
      <c r="K860">
        <f>eDNA!B860</f>
        <v>126.92050639999999</v>
      </c>
      <c r="L860">
        <f>eDNA!C860</f>
        <v>37.418606500000003</v>
      </c>
      <c r="M860" s="10" t="str" cm="1">
        <f t="array" ref="M860">IFERROR(_xlfn.XLOOKUP(1,('env Parameter'!$A:$A=$A860)*('env Parameter'!$B:$B=$K860)*('env Parameter'!$C:$C=$L860),'env Parameter'!D:D,""),"")</f>
        <v>삼성천-1</v>
      </c>
      <c r="N860" s="10" t="str" cm="1">
        <f t="array" ref="N860">IFERROR(_xlfn.XLOOKUP(1,('env Parameter'!$A:$A=$A860)*('env Parameter'!$B:$B=$K860)*('env Parameter'!$C:$C=$L860),'env Parameter'!I:I,""),"")</f>
        <v>YR</v>
      </c>
    </row>
    <row r="861" spans="1:14">
      <c r="A861">
        <f>eDNA!A861</f>
        <v>20200916</v>
      </c>
      <c r="B861" s="10" t="str" cm="1">
        <f t="array" ref="B861">IFERROR(_xlfn.XLOOKUP(1,('env Parameter'!$A:$A=$A861)*('env Parameter'!$B:$B=$K861)*('env Parameter'!$C:$C=$L861),'env Parameter'!H:H,""),"")</f>
        <v>생물상 조사</v>
      </c>
      <c r="C861" s="10" cm="1">
        <f t="array" ref="C861">IFERROR(_xlfn.XLOOKUP(1,('env Parameter'!$A:$A=$A861)*('env Parameter'!$B:$B=$K861)*('env Parameter'!$C:$C=$L861),'env Parameter'!E:E,""),"")</f>
        <v>2.14</v>
      </c>
      <c r="D861" s="10" cm="1">
        <f t="array" ref="D861">IFERROR(_xlfn.XLOOKUP(1,('env Parameter'!$A:$A=$A861)*('env Parameter'!$B:$B=$K861)*('env Parameter'!$C:$C=$L861),'env Parameter'!F:F,""),"")</f>
        <v>478</v>
      </c>
      <c r="E861" s="10" cm="1">
        <f t="array" ref="E861">IFERROR(_xlfn.XLOOKUP(1,('env Parameter'!$A:$A=$A861)*('env Parameter'!$B:$B=$K861)*('env Parameter'!$C:$C=$L861),'env Parameter'!G:G,""),"")</f>
        <v>7.6</v>
      </c>
      <c r="F861" t="str">
        <f>eDNA!F861</f>
        <v>MiFish</v>
      </c>
      <c r="G861" t="str">
        <f>eDNA!D861</f>
        <v>Nipponocypris temminckii</v>
      </c>
      <c r="H861" t="str">
        <f>_xlfn.XLOOKUP(G861,'Common name (master file)'!$B:$B,'Common name (master file)'!$A:$A,"-------------")</f>
        <v>갈겨니</v>
      </c>
      <c r="I861">
        <f>eDNA!E861</f>
        <v>2001</v>
      </c>
      <c r="J861" t="str">
        <f>_xlfn.XLOOKUP(G861,'Common name (master file)'!$B:$B,'Common name (master file)'!$C:$C,"")</f>
        <v>어류</v>
      </c>
      <c r="K861">
        <f>eDNA!B861</f>
        <v>126.92050639999999</v>
      </c>
      <c r="L861">
        <f>eDNA!C861</f>
        <v>37.418606500000003</v>
      </c>
      <c r="M861" s="10" t="str" cm="1">
        <f t="array" ref="M861">IFERROR(_xlfn.XLOOKUP(1,('env Parameter'!$A:$A=$A861)*('env Parameter'!$B:$B=$K861)*('env Parameter'!$C:$C=$L861),'env Parameter'!D:D,""),"")</f>
        <v>삼성천-1</v>
      </c>
      <c r="N861" s="10" t="str" cm="1">
        <f t="array" ref="N861">IFERROR(_xlfn.XLOOKUP(1,('env Parameter'!$A:$A=$A861)*('env Parameter'!$B:$B=$K861)*('env Parameter'!$C:$C=$L861),'env Parameter'!I:I,""),"")</f>
        <v>YR</v>
      </c>
    </row>
    <row r="862" spans="1:14">
      <c r="A862">
        <f>eDNA!A862</f>
        <v>20201024</v>
      </c>
      <c r="B862" s="10" t="str" cm="1">
        <f t="array" ref="B862">IFERROR(_xlfn.XLOOKUP(1,('env Parameter'!$A:$A=$A862)*('env Parameter'!$B:$B=$K862)*('env Parameter'!$C:$C=$L862),'env Parameter'!H:H,""),"")</f>
        <v>생물상 조사</v>
      </c>
      <c r="C862" s="10" cm="1">
        <f t="array" ref="C862">IFERROR(_xlfn.XLOOKUP(1,('env Parameter'!$A:$A=$A862)*('env Parameter'!$B:$B=$K862)*('env Parameter'!$C:$C=$L862),'env Parameter'!E:E,""),"")</f>
        <v>2.14</v>
      </c>
      <c r="D862" s="10" cm="1">
        <f t="array" ref="D862">IFERROR(_xlfn.XLOOKUP(1,('env Parameter'!$A:$A=$A862)*('env Parameter'!$B:$B=$K862)*('env Parameter'!$C:$C=$L862),'env Parameter'!F:F,""),"")</f>
        <v>478</v>
      </c>
      <c r="E862" s="10" cm="1">
        <f t="array" ref="E862">IFERROR(_xlfn.XLOOKUP(1,('env Parameter'!$A:$A=$A862)*('env Parameter'!$B:$B=$K862)*('env Parameter'!$C:$C=$L862),'env Parameter'!G:G,""),"")</f>
        <v>7.6</v>
      </c>
      <c r="F862" t="str">
        <f>eDNA!F862</f>
        <v>MiFish</v>
      </c>
      <c r="G862" t="str">
        <f>eDNA!D862</f>
        <v>Phasianus colchicus</v>
      </c>
      <c r="H862" t="str">
        <f>_xlfn.XLOOKUP(G862,'Common name (master file)'!$B:$B,'Common name (master file)'!$A:$A,"-------------")</f>
        <v>꿩</v>
      </c>
      <c r="I862">
        <f>eDNA!E862</f>
        <v>440</v>
      </c>
      <c r="J862" t="str">
        <f>_xlfn.XLOOKUP(G862,'Common name (master file)'!$B:$B,'Common name (master file)'!$C:$C,"")</f>
        <v>조류</v>
      </c>
      <c r="K862">
        <f>eDNA!B862</f>
        <v>126.95619790000001</v>
      </c>
      <c r="L862">
        <f>eDNA!C862</f>
        <v>37.363509200000003</v>
      </c>
      <c r="M862" s="10" t="str" cm="1">
        <f t="array" ref="M862">IFERROR(_xlfn.XLOOKUP(1,('env Parameter'!$A:$A=$A862)*('env Parameter'!$B:$B=$K862)*('env Parameter'!$C:$C=$L862),'env Parameter'!D:D,""),"")</f>
        <v>안양천-2</v>
      </c>
      <c r="N862" s="10" t="str" cm="1">
        <f t="array" ref="N862">IFERROR(_xlfn.XLOOKUP(1,('env Parameter'!$A:$A=$A862)*('env Parameter'!$B:$B=$K862)*('env Parameter'!$C:$C=$L862),'env Parameter'!I:I,""),"")</f>
        <v>YR</v>
      </c>
    </row>
    <row r="863" spans="1:14">
      <c r="A863">
        <f>eDNA!A863</f>
        <v>20200916</v>
      </c>
      <c r="B863" s="10" t="str" cm="1">
        <f t="array" ref="B863">IFERROR(_xlfn.XLOOKUP(1,('env Parameter'!$A:$A=$A863)*('env Parameter'!$B:$B=$K863)*('env Parameter'!$C:$C=$L863),'env Parameter'!H:H,""),"")</f>
        <v>생물상 조사</v>
      </c>
      <c r="C863" s="10" cm="1">
        <f t="array" ref="C863">IFERROR(_xlfn.XLOOKUP(1,('env Parameter'!$A:$A=$A863)*('env Parameter'!$B:$B=$K863)*('env Parameter'!$C:$C=$L863),'env Parameter'!E:E,""),"")</f>
        <v>2.14</v>
      </c>
      <c r="D863" s="10" cm="1">
        <f t="array" ref="D863">IFERROR(_xlfn.XLOOKUP(1,('env Parameter'!$A:$A=$A863)*('env Parameter'!$B:$B=$K863)*('env Parameter'!$C:$C=$L863),'env Parameter'!F:F,""),"")</f>
        <v>478</v>
      </c>
      <c r="E863" s="10" cm="1">
        <f t="array" ref="E863">IFERROR(_xlfn.XLOOKUP(1,('env Parameter'!$A:$A=$A863)*('env Parameter'!$B:$B=$K863)*('env Parameter'!$C:$C=$L863),'env Parameter'!G:G,""),"")</f>
        <v>7.6</v>
      </c>
      <c r="F863" t="str">
        <f>eDNA!F863</f>
        <v>MiFish</v>
      </c>
      <c r="G863" t="str">
        <f>eDNA!D863</f>
        <v>Misgurnus mizolepis</v>
      </c>
      <c r="H863" t="str">
        <f>_xlfn.XLOOKUP(G863,'Common name (master file)'!$B:$B,'Common name (master file)'!$A:$A,"-------------")</f>
        <v>미꾸라지</v>
      </c>
      <c r="I863">
        <f>eDNA!E863</f>
        <v>3288</v>
      </c>
      <c r="J863" t="str">
        <f>_xlfn.XLOOKUP(G863,'Common name (master file)'!$B:$B,'Common name (master file)'!$C:$C,"")</f>
        <v>어류</v>
      </c>
      <c r="K863">
        <f>eDNA!B863</f>
        <v>126.92050639999999</v>
      </c>
      <c r="L863">
        <f>eDNA!C863</f>
        <v>37.418606500000003</v>
      </c>
      <c r="M863" s="10" t="str" cm="1">
        <f t="array" ref="M863">IFERROR(_xlfn.XLOOKUP(1,('env Parameter'!$A:$A=$A863)*('env Parameter'!$B:$B=$K863)*('env Parameter'!$C:$C=$L863),'env Parameter'!D:D,""),"")</f>
        <v>삼성천-1</v>
      </c>
      <c r="N863" s="10" t="str" cm="1">
        <f t="array" ref="N863">IFERROR(_xlfn.XLOOKUP(1,('env Parameter'!$A:$A=$A863)*('env Parameter'!$B:$B=$K863)*('env Parameter'!$C:$C=$L863),'env Parameter'!I:I,""),"")</f>
        <v>YR</v>
      </c>
    </row>
    <row r="864" spans="1:14">
      <c r="A864">
        <f>eDNA!A864</f>
        <v>20200916</v>
      </c>
      <c r="B864" s="10" t="str" cm="1">
        <f t="array" ref="B864">IFERROR(_xlfn.XLOOKUP(1,('env Parameter'!$A:$A=$A864)*('env Parameter'!$B:$B=$K864)*('env Parameter'!$C:$C=$L864),'env Parameter'!H:H,""),"")</f>
        <v>생물상 조사</v>
      </c>
      <c r="C864" s="10" cm="1">
        <f t="array" ref="C864">IFERROR(_xlfn.XLOOKUP(1,('env Parameter'!$A:$A=$A864)*('env Parameter'!$B:$B=$K864)*('env Parameter'!$C:$C=$L864),'env Parameter'!E:E,""),"")</f>
        <v>2.14</v>
      </c>
      <c r="D864" s="10" cm="1">
        <f t="array" ref="D864">IFERROR(_xlfn.XLOOKUP(1,('env Parameter'!$A:$A=$A864)*('env Parameter'!$B:$B=$K864)*('env Parameter'!$C:$C=$L864),'env Parameter'!F:F,""),"")</f>
        <v>478</v>
      </c>
      <c r="E864" s="10" cm="1">
        <f t="array" ref="E864">IFERROR(_xlfn.XLOOKUP(1,('env Parameter'!$A:$A=$A864)*('env Parameter'!$B:$B=$K864)*('env Parameter'!$C:$C=$L864),'env Parameter'!G:G,""),"")</f>
        <v>7.6</v>
      </c>
      <c r="F864" t="str">
        <f>eDNA!F864</f>
        <v>MiFish</v>
      </c>
      <c r="G864" t="str">
        <f>eDNA!D864</f>
        <v>Homo sapiens</v>
      </c>
      <c r="H864" t="str">
        <f>_xlfn.XLOOKUP(G864,'Common name (master file)'!$B:$B,'Common name (master file)'!$A:$A,"-------------")</f>
        <v>사람</v>
      </c>
      <c r="I864">
        <f>eDNA!E864</f>
        <v>4179</v>
      </c>
      <c r="J864" t="str">
        <f>_xlfn.XLOOKUP(G864,'Common name (master file)'!$B:$B,'Common name (master file)'!$C:$C,"")</f>
        <v>포유류</v>
      </c>
      <c r="K864">
        <f>eDNA!B864</f>
        <v>126.92050639999999</v>
      </c>
      <c r="L864">
        <f>eDNA!C864</f>
        <v>37.418606500000003</v>
      </c>
      <c r="M864" s="10" t="str" cm="1">
        <f t="array" ref="M864">IFERROR(_xlfn.XLOOKUP(1,('env Parameter'!$A:$A=$A864)*('env Parameter'!$B:$B=$K864)*('env Parameter'!$C:$C=$L864),'env Parameter'!D:D,""),"")</f>
        <v>삼성천-1</v>
      </c>
      <c r="N864" s="10" t="str" cm="1">
        <f t="array" ref="N864">IFERROR(_xlfn.XLOOKUP(1,('env Parameter'!$A:$A=$A864)*('env Parameter'!$B:$B=$K864)*('env Parameter'!$C:$C=$L864),'env Parameter'!I:I,""),"")</f>
        <v>YR</v>
      </c>
    </row>
    <row r="865" spans="1:14">
      <c r="A865">
        <f>eDNA!A865</f>
        <v>20200916</v>
      </c>
      <c r="B865" s="10" t="str" cm="1">
        <f t="array" ref="B865">IFERROR(_xlfn.XLOOKUP(1,('env Parameter'!$A:$A=$A865)*('env Parameter'!$B:$B=$K865)*('env Parameter'!$C:$C=$L865),'env Parameter'!H:H,""),"")</f>
        <v>생물상 조사</v>
      </c>
      <c r="C865" s="10" cm="1">
        <f t="array" ref="C865">IFERROR(_xlfn.XLOOKUP(1,('env Parameter'!$A:$A=$A865)*('env Parameter'!$B:$B=$K865)*('env Parameter'!$C:$C=$L865),'env Parameter'!E:E,""),"")</f>
        <v>2.14</v>
      </c>
      <c r="D865" s="10" cm="1">
        <f t="array" ref="D865">IFERROR(_xlfn.XLOOKUP(1,('env Parameter'!$A:$A=$A865)*('env Parameter'!$B:$B=$K865)*('env Parameter'!$C:$C=$L865),'env Parameter'!F:F,""),"")</f>
        <v>478</v>
      </c>
      <c r="E865" s="10" cm="1">
        <f t="array" ref="E865">IFERROR(_xlfn.XLOOKUP(1,('env Parameter'!$A:$A=$A865)*('env Parameter'!$B:$B=$K865)*('env Parameter'!$C:$C=$L865),'env Parameter'!G:G,""),"")</f>
        <v>7.6</v>
      </c>
      <c r="F865" t="str">
        <f>eDNA!F865</f>
        <v>MiFish</v>
      </c>
      <c r="G865" t="str">
        <f>eDNA!D865</f>
        <v>Pseudorasbora parva</v>
      </c>
      <c r="H865" t="str">
        <f>_xlfn.XLOOKUP(G865,'Common name (master file)'!$B:$B,'Common name (master file)'!$A:$A,"-------------")</f>
        <v>참붕어</v>
      </c>
      <c r="I865">
        <f>eDNA!E865</f>
        <v>5965</v>
      </c>
      <c r="J865" t="str">
        <f>_xlfn.XLOOKUP(G865,'Common name (master file)'!$B:$B,'Common name (master file)'!$C:$C,"")</f>
        <v>어류</v>
      </c>
      <c r="K865">
        <f>eDNA!B865</f>
        <v>126.92050639999999</v>
      </c>
      <c r="L865">
        <f>eDNA!C865</f>
        <v>37.418606500000003</v>
      </c>
      <c r="M865" s="10" t="str" cm="1">
        <f t="array" ref="M865">IFERROR(_xlfn.XLOOKUP(1,('env Parameter'!$A:$A=$A865)*('env Parameter'!$B:$B=$K865)*('env Parameter'!$C:$C=$L865),'env Parameter'!D:D,""),"")</f>
        <v>삼성천-1</v>
      </c>
      <c r="N865" s="10" t="str" cm="1">
        <f t="array" ref="N865">IFERROR(_xlfn.XLOOKUP(1,('env Parameter'!$A:$A=$A865)*('env Parameter'!$B:$B=$K865)*('env Parameter'!$C:$C=$L865),'env Parameter'!I:I,""),"")</f>
        <v>YR</v>
      </c>
    </row>
    <row r="866" spans="1:14">
      <c r="A866">
        <f>eDNA!A866</f>
        <v>20200916</v>
      </c>
      <c r="B866" s="10" t="str" cm="1">
        <f t="array" ref="B866">IFERROR(_xlfn.XLOOKUP(1,('env Parameter'!$A:$A=$A866)*('env Parameter'!$B:$B=$K866)*('env Parameter'!$C:$C=$L866),'env Parameter'!H:H,""),"")</f>
        <v>생물상 조사</v>
      </c>
      <c r="C866" s="10" cm="1">
        <f t="array" ref="C866">IFERROR(_xlfn.XLOOKUP(1,('env Parameter'!$A:$A=$A866)*('env Parameter'!$B:$B=$K866)*('env Parameter'!$C:$C=$L866),'env Parameter'!E:E,""),"")</f>
        <v>2.14</v>
      </c>
      <c r="D866" s="10" cm="1">
        <f t="array" ref="D866">IFERROR(_xlfn.XLOOKUP(1,('env Parameter'!$A:$A=$A866)*('env Parameter'!$B:$B=$K866)*('env Parameter'!$C:$C=$L866),'env Parameter'!F:F,""),"")</f>
        <v>478</v>
      </c>
      <c r="E866" s="10" cm="1">
        <f t="array" ref="E866">IFERROR(_xlfn.XLOOKUP(1,('env Parameter'!$A:$A=$A866)*('env Parameter'!$B:$B=$K866)*('env Parameter'!$C:$C=$L866),'env Parameter'!G:G,""),"")</f>
        <v>7.6</v>
      </c>
      <c r="F866" t="str">
        <f>eDNA!F866</f>
        <v>MiFish</v>
      </c>
      <c r="G866" t="str">
        <f>eDNA!D866</f>
        <v>Odontobutis interrupta</v>
      </c>
      <c r="H866" t="str">
        <f>_xlfn.XLOOKUP(G866,'Common name (master file)'!$B:$B,'Common name (master file)'!$A:$A,"-------------")</f>
        <v>얼록동사리</v>
      </c>
      <c r="I866">
        <f>eDNA!E866</f>
        <v>15892</v>
      </c>
      <c r="J866" t="str">
        <f>_xlfn.XLOOKUP(G866,'Common name (master file)'!$B:$B,'Common name (master file)'!$C:$C,"")</f>
        <v>어류</v>
      </c>
      <c r="K866">
        <f>eDNA!B866</f>
        <v>126.92050639999999</v>
      </c>
      <c r="L866">
        <f>eDNA!C866</f>
        <v>37.418606500000003</v>
      </c>
      <c r="M866" s="10" t="str" cm="1">
        <f t="array" ref="M866">IFERROR(_xlfn.XLOOKUP(1,('env Parameter'!$A:$A=$A866)*('env Parameter'!$B:$B=$K866)*('env Parameter'!$C:$C=$L866),'env Parameter'!D:D,""),"")</f>
        <v>삼성천-1</v>
      </c>
      <c r="N866" s="10" t="str" cm="1">
        <f t="array" ref="N866">IFERROR(_xlfn.XLOOKUP(1,('env Parameter'!$A:$A=$A866)*('env Parameter'!$B:$B=$K866)*('env Parameter'!$C:$C=$L866),'env Parameter'!I:I,""),"")</f>
        <v>YR</v>
      </c>
    </row>
    <row r="867" spans="1:14">
      <c r="A867">
        <f>eDNA!A867</f>
        <v>20200916</v>
      </c>
      <c r="B867" s="10" t="str" cm="1">
        <f t="array" ref="B867">IFERROR(_xlfn.XLOOKUP(1,('env Parameter'!$A:$A=$A867)*('env Parameter'!$B:$B=$K867)*('env Parameter'!$C:$C=$L867),'env Parameter'!H:H,""),"")</f>
        <v>생물상 조사</v>
      </c>
      <c r="C867" s="10" cm="1">
        <f t="array" ref="C867">IFERROR(_xlfn.XLOOKUP(1,('env Parameter'!$A:$A=$A867)*('env Parameter'!$B:$B=$K867)*('env Parameter'!$C:$C=$L867),'env Parameter'!E:E,""),"")</f>
        <v>2.14</v>
      </c>
      <c r="D867" s="10" cm="1">
        <f t="array" ref="D867">IFERROR(_xlfn.XLOOKUP(1,('env Parameter'!$A:$A=$A867)*('env Parameter'!$B:$B=$K867)*('env Parameter'!$C:$C=$L867),'env Parameter'!F:F,""),"")</f>
        <v>478</v>
      </c>
      <c r="E867" s="10" cm="1">
        <f t="array" ref="E867">IFERROR(_xlfn.XLOOKUP(1,('env Parameter'!$A:$A=$A867)*('env Parameter'!$B:$B=$K867)*('env Parameter'!$C:$C=$L867),'env Parameter'!G:G,""),"")</f>
        <v>7.6</v>
      </c>
      <c r="F867" t="str">
        <f>eDNA!F867</f>
        <v>MiFish</v>
      </c>
      <c r="G867" t="str">
        <f>eDNA!D867</f>
        <v>Zacco platypus</v>
      </c>
      <c r="H867" t="str">
        <f>_xlfn.XLOOKUP(G867,'Common name (master file)'!$B:$B,'Common name (master file)'!$A:$A,"-------------")</f>
        <v>피라미</v>
      </c>
      <c r="I867">
        <f>eDNA!E867</f>
        <v>18198</v>
      </c>
      <c r="J867" t="str">
        <f>_xlfn.XLOOKUP(G867,'Common name (master file)'!$B:$B,'Common name (master file)'!$C:$C,"")</f>
        <v>어류</v>
      </c>
      <c r="K867">
        <f>eDNA!B867</f>
        <v>126.92050639999999</v>
      </c>
      <c r="L867">
        <f>eDNA!C867</f>
        <v>37.418606500000003</v>
      </c>
      <c r="M867" s="10" t="str" cm="1">
        <f t="array" ref="M867">IFERROR(_xlfn.XLOOKUP(1,('env Parameter'!$A:$A=$A867)*('env Parameter'!$B:$B=$K867)*('env Parameter'!$C:$C=$L867),'env Parameter'!D:D,""),"")</f>
        <v>삼성천-1</v>
      </c>
      <c r="N867" s="10" t="str" cm="1">
        <f t="array" ref="N867">IFERROR(_xlfn.XLOOKUP(1,('env Parameter'!$A:$A=$A867)*('env Parameter'!$B:$B=$K867)*('env Parameter'!$C:$C=$L867),'env Parameter'!I:I,""),"")</f>
        <v>YR</v>
      </c>
    </row>
    <row r="868" spans="1:14">
      <c r="A868">
        <f>eDNA!A868</f>
        <v>20200916</v>
      </c>
      <c r="B868" s="10" t="str" cm="1">
        <f t="array" ref="B868">IFERROR(_xlfn.XLOOKUP(1,('env Parameter'!$A:$A=$A868)*('env Parameter'!$B:$B=$K868)*('env Parameter'!$C:$C=$L868),'env Parameter'!H:H,""),"")</f>
        <v>생물상 조사</v>
      </c>
      <c r="C868" s="10" cm="1">
        <f t="array" ref="C868">IFERROR(_xlfn.XLOOKUP(1,('env Parameter'!$A:$A=$A868)*('env Parameter'!$B:$B=$K868)*('env Parameter'!$C:$C=$L868),'env Parameter'!E:E,""),"")</f>
        <v>2.14</v>
      </c>
      <c r="D868" s="10" cm="1">
        <f t="array" ref="D868">IFERROR(_xlfn.XLOOKUP(1,('env Parameter'!$A:$A=$A868)*('env Parameter'!$B:$B=$K868)*('env Parameter'!$C:$C=$L868),'env Parameter'!F:F,""),"")</f>
        <v>478</v>
      </c>
      <c r="E868" s="10" cm="1">
        <f t="array" ref="E868">IFERROR(_xlfn.XLOOKUP(1,('env Parameter'!$A:$A=$A868)*('env Parameter'!$B:$B=$K868)*('env Parameter'!$C:$C=$L868),'env Parameter'!G:G,""),"")</f>
        <v>7.6</v>
      </c>
      <c r="F868" t="str">
        <f>eDNA!F868</f>
        <v>MiFish</v>
      </c>
      <c r="G868" t="str">
        <f>eDNA!D868</f>
        <v>Rhynchocypris oxycephalus</v>
      </c>
      <c r="H868" t="str">
        <f>_xlfn.XLOOKUP(G868,'Common name (master file)'!$B:$B,'Common name (master file)'!$A:$A,"-------------")</f>
        <v>버들치</v>
      </c>
      <c r="I868">
        <f>eDNA!E868</f>
        <v>23917</v>
      </c>
      <c r="J868" t="str">
        <f>_xlfn.XLOOKUP(G868,'Common name (master file)'!$B:$B,'Common name (master file)'!$C:$C,"")</f>
        <v>어류</v>
      </c>
      <c r="K868">
        <f>eDNA!B868</f>
        <v>126.92050639999999</v>
      </c>
      <c r="L868">
        <f>eDNA!C868</f>
        <v>37.418606500000003</v>
      </c>
      <c r="M868" s="10" t="str" cm="1">
        <f t="array" ref="M868">IFERROR(_xlfn.XLOOKUP(1,('env Parameter'!$A:$A=$A868)*('env Parameter'!$B:$B=$K868)*('env Parameter'!$C:$C=$L868),'env Parameter'!D:D,""),"")</f>
        <v>삼성천-1</v>
      </c>
      <c r="N868" s="10" t="str" cm="1">
        <f t="array" ref="N868">IFERROR(_xlfn.XLOOKUP(1,('env Parameter'!$A:$A=$A868)*('env Parameter'!$B:$B=$K868)*('env Parameter'!$C:$C=$L868),'env Parameter'!I:I,""),"")</f>
        <v>YR</v>
      </c>
    </row>
    <row r="869" spans="1:14">
      <c r="A869">
        <f>eDNA!A869</f>
        <v>20200916</v>
      </c>
      <c r="B869" s="10" t="str" cm="1">
        <f t="array" ref="B869">IFERROR(_xlfn.XLOOKUP(1,('env Parameter'!$A:$A=$A869)*('env Parameter'!$B:$B=$K869)*('env Parameter'!$C:$C=$L869),'env Parameter'!H:H,""),"")</f>
        <v>생물상 조사</v>
      </c>
      <c r="C869" s="10" cm="1">
        <f t="array" ref="C869">IFERROR(_xlfn.XLOOKUP(1,('env Parameter'!$A:$A=$A869)*('env Parameter'!$B:$B=$K869)*('env Parameter'!$C:$C=$L869),'env Parameter'!E:E,""),"")</f>
        <v>2.14</v>
      </c>
      <c r="D869" s="10" cm="1">
        <f t="array" ref="D869">IFERROR(_xlfn.XLOOKUP(1,('env Parameter'!$A:$A=$A869)*('env Parameter'!$B:$B=$K869)*('env Parameter'!$C:$C=$L869),'env Parameter'!F:F,""),"")</f>
        <v>478</v>
      </c>
      <c r="E869" s="10" cm="1">
        <f t="array" ref="E869">IFERROR(_xlfn.XLOOKUP(1,('env Parameter'!$A:$A=$A869)*('env Parameter'!$B:$B=$K869)*('env Parameter'!$C:$C=$L869),'env Parameter'!G:G,""),"")</f>
        <v>7.6</v>
      </c>
      <c r="F869" t="str">
        <f>eDNA!F869</f>
        <v>MiFish</v>
      </c>
      <c r="G869" t="str">
        <f>eDNA!D869</f>
        <v>Squalidus gracilis majimae</v>
      </c>
      <c r="H869" t="str">
        <f>_xlfn.XLOOKUP(G869,'Common name (master file)'!$B:$B,'Common name (master file)'!$A:$A,"-------------")</f>
        <v>긴몰개</v>
      </c>
      <c r="I869">
        <f>eDNA!E869</f>
        <v>53419</v>
      </c>
      <c r="J869" t="str">
        <f>_xlfn.XLOOKUP(G869,'Common name (master file)'!$B:$B,'Common name (master file)'!$C:$C,"")</f>
        <v>어류</v>
      </c>
      <c r="K869">
        <f>eDNA!B869</f>
        <v>126.92050639999999</v>
      </c>
      <c r="L869">
        <f>eDNA!C869</f>
        <v>37.418606500000003</v>
      </c>
      <c r="M869" s="10" t="str" cm="1">
        <f t="array" ref="M869">IFERROR(_xlfn.XLOOKUP(1,('env Parameter'!$A:$A=$A869)*('env Parameter'!$B:$B=$K869)*('env Parameter'!$C:$C=$L869),'env Parameter'!D:D,""),"")</f>
        <v>삼성천-1</v>
      </c>
      <c r="N869" s="10" t="str" cm="1">
        <f t="array" ref="N869">IFERROR(_xlfn.XLOOKUP(1,('env Parameter'!$A:$A=$A869)*('env Parameter'!$B:$B=$K869)*('env Parameter'!$C:$C=$L869),'env Parameter'!I:I,""),"")</f>
        <v>YR</v>
      </c>
    </row>
    <row r="870" spans="1:14">
      <c r="A870">
        <f>eDNA!A870</f>
        <v>20200916</v>
      </c>
      <c r="B870" s="10" t="str" cm="1">
        <f t="array" ref="B870">IFERROR(_xlfn.XLOOKUP(1,('env Parameter'!$A:$A=$A870)*('env Parameter'!$B:$B=$K870)*('env Parameter'!$C:$C=$L870),'env Parameter'!H:H,""),"")</f>
        <v>생물상 조사</v>
      </c>
      <c r="C870" s="10" cm="1">
        <f t="array" ref="C870">IFERROR(_xlfn.XLOOKUP(1,('env Parameter'!$A:$A=$A870)*('env Parameter'!$B:$B=$K870)*('env Parameter'!$C:$C=$L870),'env Parameter'!E:E,""),"")</f>
        <v>2.14</v>
      </c>
      <c r="D870" s="10" cm="1">
        <f t="array" ref="D870">IFERROR(_xlfn.XLOOKUP(1,('env Parameter'!$A:$A=$A870)*('env Parameter'!$B:$B=$K870)*('env Parameter'!$C:$C=$L870),'env Parameter'!F:F,""),"")</f>
        <v>478</v>
      </c>
      <c r="E870" s="10" cm="1">
        <f t="array" ref="E870">IFERROR(_xlfn.XLOOKUP(1,('env Parameter'!$A:$A=$A870)*('env Parameter'!$B:$B=$K870)*('env Parameter'!$C:$C=$L870),'env Parameter'!G:G,""),"")</f>
        <v>7.6</v>
      </c>
      <c r="F870" t="str">
        <f>eDNA!F870</f>
        <v>MiFish</v>
      </c>
      <c r="G870" t="str">
        <f>eDNA!D870</f>
        <v>Carassius cuvieri</v>
      </c>
      <c r="H870" t="str">
        <f>_xlfn.XLOOKUP(G870,'Common name (master file)'!$B:$B,'Common name (master file)'!$A:$A,"-------------")</f>
        <v>떡붕어</v>
      </c>
      <c r="I870">
        <f>eDNA!E870</f>
        <v>12</v>
      </c>
      <c r="J870" t="str">
        <f>_xlfn.XLOOKUP(G870,'Common name (master file)'!$B:$B,'Common name (master file)'!$C:$C,"")</f>
        <v>어류</v>
      </c>
      <c r="K870">
        <f>eDNA!B870</f>
        <v>126.99657019999999</v>
      </c>
      <c r="L870">
        <f>eDNA!C870</f>
        <v>37.389118600000003</v>
      </c>
      <c r="M870" s="10" t="str" cm="1">
        <f t="array" ref="M870">IFERROR(_xlfn.XLOOKUP(1,('env Parameter'!$A:$A=$A870)*('env Parameter'!$B:$B=$K870)*('env Parameter'!$C:$C=$L870),'env Parameter'!D:D,""),"")</f>
        <v>안양천-19</v>
      </c>
      <c r="N870" s="10" t="str" cm="1">
        <f t="array" ref="N870">IFERROR(_xlfn.XLOOKUP(1,('env Parameter'!$A:$A=$A870)*('env Parameter'!$B:$B=$K870)*('env Parameter'!$C:$C=$L870),'env Parameter'!I:I,""),"")</f>
        <v>YR</v>
      </c>
    </row>
    <row r="871" spans="1:14">
      <c r="A871">
        <f>eDNA!A871</f>
        <v>20200916</v>
      </c>
      <c r="B871" s="10" t="str" cm="1">
        <f t="array" ref="B871">IFERROR(_xlfn.XLOOKUP(1,('env Parameter'!$A:$A=$A871)*('env Parameter'!$B:$B=$K871)*('env Parameter'!$C:$C=$L871),'env Parameter'!H:H,""),"")</f>
        <v>생물상 조사</v>
      </c>
      <c r="C871" s="10" cm="1">
        <f t="array" ref="C871">IFERROR(_xlfn.XLOOKUP(1,('env Parameter'!$A:$A=$A871)*('env Parameter'!$B:$B=$K871)*('env Parameter'!$C:$C=$L871),'env Parameter'!E:E,""),"")</f>
        <v>2.14</v>
      </c>
      <c r="D871" s="10" cm="1">
        <f t="array" ref="D871">IFERROR(_xlfn.XLOOKUP(1,('env Parameter'!$A:$A=$A871)*('env Parameter'!$B:$B=$K871)*('env Parameter'!$C:$C=$L871),'env Parameter'!F:F,""),"")</f>
        <v>478</v>
      </c>
      <c r="E871" s="10" cm="1">
        <f t="array" ref="E871">IFERROR(_xlfn.XLOOKUP(1,('env Parameter'!$A:$A=$A871)*('env Parameter'!$B:$B=$K871)*('env Parameter'!$C:$C=$L871),'env Parameter'!G:G,""),"")</f>
        <v>7.6</v>
      </c>
      <c r="F871" t="str">
        <f>eDNA!F871</f>
        <v>MiFish</v>
      </c>
      <c r="G871" t="str">
        <f>eDNA!D871</f>
        <v>Channa argus</v>
      </c>
      <c r="H871" t="str">
        <f>_xlfn.XLOOKUP(G871,'Common name (master file)'!$B:$B,'Common name (master file)'!$A:$A,"-------------")</f>
        <v>가물치</v>
      </c>
      <c r="I871">
        <f>eDNA!E871</f>
        <v>17</v>
      </c>
      <c r="J871" t="str">
        <f>_xlfn.XLOOKUP(G871,'Common name (master file)'!$B:$B,'Common name (master file)'!$C:$C,"")</f>
        <v>어류</v>
      </c>
      <c r="K871">
        <f>eDNA!B871</f>
        <v>126.99657019999999</v>
      </c>
      <c r="L871">
        <f>eDNA!C871</f>
        <v>37.389118600000003</v>
      </c>
      <c r="M871" s="10" t="str" cm="1">
        <f t="array" ref="M871">IFERROR(_xlfn.XLOOKUP(1,('env Parameter'!$A:$A=$A871)*('env Parameter'!$B:$B=$K871)*('env Parameter'!$C:$C=$L871),'env Parameter'!D:D,""),"")</f>
        <v>안양천-19</v>
      </c>
      <c r="N871" s="10" t="str" cm="1">
        <f t="array" ref="N871">IFERROR(_xlfn.XLOOKUP(1,('env Parameter'!$A:$A=$A871)*('env Parameter'!$B:$B=$K871)*('env Parameter'!$C:$C=$L871),'env Parameter'!I:I,""),"")</f>
        <v>YR</v>
      </c>
    </row>
    <row r="872" spans="1:14">
      <c r="A872">
        <f>eDNA!A872</f>
        <v>20201024</v>
      </c>
      <c r="B872" s="10" t="str" cm="1">
        <f t="array" ref="B872">IFERROR(_xlfn.XLOOKUP(1,('env Parameter'!$A:$A=$A872)*('env Parameter'!$B:$B=$K872)*('env Parameter'!$C:$C=$L872),'env Parameter'!H:H,""),"")</f>
        <v>생물상 조사</v>
      </c>
      <c r="C872" s="10" cm="1">
        <f t="array" ref="C872">IFERROR(_xlfn.XLOOKUP(1,('env Parameter'!$A:$A=$A872)*('env Parameter'!$B:$B=$K872)*('env Parameter'!$C:$C=$L872),'env Parameter'!E:E,""),"")</f>
        <v>2.14</v>
      </c>
      <c r="D872" s="10" cm="1">
        <f t="array" ref="D872">IFERROR(_xlfn.XLOOKUP(1,('env Parameter'!$A:$A=$A872)*('env Parameter'!$B:$B=$K872)*('env Parameter'!$C:$C=$L872),'env Parameter'!F:F,""),"")</f>
        <v>478</v>
      </c>
      <c r="E872" s="10" cm="1">
        <f t="array" ref="E872">IFERROR(_xlfn.XLOOKUP(1,('env Parameter'!$A:$A=$A872)*('env Parameter'!$B:$B=$K872)*('env Parameter'!$C:$C=$L872),'env Parameter'!G:G,""),"")</f>
        <v>7.6</v>
      </c>
      <c r="F872" t="str">
        <f>eDNA!F872</f>
        <v>MiFish</v>
      </c>
      <c r="G872" t="str">
        <f>eDNA!D872</f>
        <v>Phasianus colchicus</v>
      </c>
      <c r="H872" t="str">
        <f>_xlfn.XLOOKUP(G872,'Common name (master file)'!$B:$B,'Common name (master file)'!$A:$A,"-------------")</f>
        <v>꿩</v>
      </c>
      <c r="I872">
        <f>eDNA!E872</f>
        <v>134</v>
      </c>
      <c r="J872" t="str">
        <f>_xlfn.XLOOKUP(G872,'Common name (master file)'!$B:$B,'Common name (master file)'!$C:$C,"")</f>
        <v>조류</v>
      </c>
      <c r="K872">
        <f>eDNA!B872</f>
        <v>126.94555939999999</v>
      </c>
      <c r="L872">
        <f>eDNA!C872</f>
        <v>37.373177800000001</v>
      </c>
      <c r="M872" s="10" t="str" cm="1">
        <f t="array" ref="M872">IFERROR(_xlfn.XLOOKUP(1,('env Parameter'!$A:$A=$A872)*('env Parameter'!$B:$B=$K872)*('env Parameter'!$C:$C=$L872),'env Parameter'!D:D,""),"")</f>
        <v>안양천-3</v>
      </c>
      <c r="N872" s="10" t="str" cm="1">
        <f t="array" ref="N872">IFERROR(_xlfn.XLOOKUP(1,('env Parameter'!$A:$A=$A872)*('env Parameter'!$B:$B=$K872)*('env Parameter'!$C:$C=$L872),'env Parameter'!I:I,""),"")</f>
        <v>YR</v>
      </c>
    </row>
    <row r="873" spans="1:14">
      <c r="A873">
        <f>eDNA!A873</f>
        <v>20200916</v>
      </c>
      <c r="B873" s="10" t="str" cm="1">
        <f t="array" ref="B873">IFERROR(_xlfn.XLOOKUP(1,('env Parameter'!$A:$A=$A873)*('env Parameter'!$B:$B=$K873)*('env Parameter'!$C:$C=$L873),'env Parameter'!H:H,""),"")</f>
        <v>생물상 조사</v>
      </c>
      <c r="C873" s="10" cm="1">
        <f t="array" ref="C873">IFERROR(_xlfn.XLOOKUP(1,('env Parameter'!$A:$A=$A873)*('env Parameter'!$B:$B=$K873)*('env Parameter'!$C:$C=$L873),'env Parameter'!E:E,""),"")</f>
        <v>2.14</v>
      </c>
      <c r="D873" s="10" cm="1">
        <f t="array" ref="D873">IFERROR(_xlfn.XLOOKUP(1,('env Parameter'!$A:$A=$A873)*('env Parameter'!$B:$B=$K873)*('env Parameter'!$C:$C=$L873),'env Parameter'!F:F,""),"")</f>
        <v>478</v>
      </c>
      <c r="E873" s="10" cm="1">
        <f t="array" ref="E873">IFERROR(_xlfn.XLOOKUP(1,('env Parameter'!$A:$A=$A873)*('env Parameter'!$B:$B=$K873)*('env Parameter'!$C:$C=$L873),'env Parameter'!G:G,""),"")</f>
        <v>7.6</v>
      </c>
      <c r="F873" t="str">
        <f>eDNA!F873</f>
        <v>MiFish</v>
      </c>
      <c r="G873" t="str">
        <f>eDNA!D873</f>
        <v>Rhinogobius giurinus</v>
      </c>
      <c r="H873" t="str">
        <f>_xlfn.XLOOKUP(G873,'Common name (master file)'!$B:$B,'Common name (master file)'!$A:$A,"-------------")</f>
        <v>갈문망둑</v>
      </c>
      <c r="I873">
        <f>eDNA!E873</f>
        <v>24</v>
      </c>
      <c r="J873" t="str">
        <f>_xlfn.XLOOKUP(G873,'Common name (master file)'!$B:$B,'Common name (master file)'!$C:$C,"")</f>
        <v>어류</v>
      </c>
      <c r="K873">
        <f>eDNA!B873</f>
        <v>126.99657019999999</v>
      </c>
      <c r="L873">
        <f>eDNA!C873</f>
        <v>37.389118600000003</v>
      </c>
      <c r="M873" s="10" t="str" cm="1">
        <f t="array" ref="M873">IFERROR(_xlfn.XLOOKUP(1,('env Parameter'!$A:$A=$A873)*('env Parameter'!$B:$B=$K873)*('env Parameter'!$C:$C=$L873),'env Parameter'!D:D,""),"")</f>
        <v>안양천-19</v>
      </c>
      <c r="N873" s="10" t="str" cm="1">
        <f t="array" ref="N873">IFERROR(_xlfn.XLOOKUP(1,('env Parameter'!$A:$A=$A873)*('env Parameter'!$B:$B=$K873)*('env Parameter'!$C:$C=$L873),'env Parameter'!I:I,""),"")</f>
        <v>YR</v>
      </c>
    </row>
    <row r="874" spans="1:14">
      <c r="A874">
        <f>eDNA!A874</f>
        <v>20200916</v>
      </c>
      <c r="B874" s="10" t="str" cm="1">
        <f t="array" ref="B874">IFERROR(_xlfn.XLOOKUP(1,('env Parameter'!$A:$A=$A874)*('env Parameter'!$B:$B=$K874)*('env Parameter'!$C:$C=$L874),'env Parameter'!H:H,""),"")</f>
        <v>생물상 조사</v>
      </c>
      <c r="C874" s="10" cm="1">
        <f t="array" ref="C874">IFERROR(_xlfn.XLOOKUP(1,('env Parameter'!$A:$A=$A874)*('env Parameter'!$B:$B=$K874)*('env Parameter'!$C:$C=$L874),'env Parameter'!E:E,""),"")</f>
        <v>2.14</v>
      </c>
      <c r="D874" s="10" cm="1">
        <f t="array" ref="D874">IFERROR(_xlfn.XLOOKUP(1,('env Parameter'!$A:$A=$A874)*('env Parameter'!$B:$B=$K874)*('env Parameter'!$C:$C=$L874),'env Parameter'!F:F,""),"")</f>
        <v>478</v>
      </c>
      <c r="E874" s="10" cm="1">
        <f t="array" ref="E874">IFERROR(_xlfn.XLOOKUP(1,('env Parameter'!$A:$A=$A874)*('env Parameter'!$B:$B=$K874)*('env Parameter'!$C:$C=$L874),'env Parameter'!G:G,""),"")</f>
        <v>7.6</v>
      </c>
      <c r="F874" t="str">
        <f>eDNA!F874</f>
        <v>MiFish</v>
      </c>
      <c r="G874" t="str">
        <f>eDNA!D874</f>
        <v>Carassius gibelio</v>
      </c>
      <c r="H874" t="str">
        <f>_xlfn.XLOOKUP(G874,'Common name (master file)'!$B:$B,'Common name (master file)'!$A:$A,"-------------")</f>
        <v>기벨리오 붕어</v>
      </c>
      <c r="I874">
        <f>eDNA!E874</f>
        <v>31</v>
      </c>
      <c r="J874" t="str">
        <f>_xlfn.XLOOKUP(G874,'Common name (master file)'!$B:$B,'Common name (master file)'!$C:$C,"")</f>
        <v>어류</v>
      </c>
      <c r="K874">
        <f>eDNA!B874</f>
        <v>126.99657019999999</v>
      </c>
      <c r="L874">
        <f>eDNA!C874</f>
        <v>37.389118600000003</v>
      </c>
      <c r="M874" s="10" t="str" cm="1">
        <f t="array" ref="M874">IFERROR(_xlfn.XLOOKUP(1,('env Parameter'!$A:$A=$A874)*('env Parameter'!$B:$B=$K874)*('env Parameter'!$C:$C=$L874),'env Parameter'!D:D,""),"")</f>
        <v>안양천-19</v>
      </c>
      <c r="N874" s="10" t="str" cm="1">
        <f t="array" ref="N874">IFERROR(_xlfn.XLOOKUP(1,('env Parameter'!$A:$A=$A874)*('env Parameter'!$B:$B=$K874)*('env Parameter'!$C:$C=$L874),'env Parameter'!I:I,""),"")</f>
        <v>YR</v>
      </c>
    </row>
    <row r="875" spans="1:14">
      <c r="A875">
        <f>eDNA!A875</f>
        <v>20200916</v>
      </c>
      <c r="B875" s="10" t="str" cm="1">
        <f t="array" ref="B875">IFERROR(_xlfn.XLOOKUP(1,('env Parameter'!$A:$A=$A875)*('env Parameter'!$B:$B=$K875)*('env Parameter'!$C:$C=$L875),'env Parameter'!H:H,""),"")</f>
        <v>생물상 조사</v>
      </c>
      <c r="C875" s="10" cm="1">
        <f t="array" ref="C875">IFERROR(_xlfn.XLOOKUP(1,('env Parameter'!$A:$A=$A875)*('env Parameter'!$B:$B=$K875)*('env Parameter'!$C:$C=$L875),'env Parameter'!E:E,""),"")</f>
        <v>2.14</v>
      </c>
      <c r="D875" s="10" cm="1">
        <f t="array" ref="D875">IFERROR(_xlfn.XLOOKUP(1,('env Parameter'!$A:$A=$A875)*('env Parameter'!$B:$B=$K875)*('env Parameter'!$C:$C=$L875),'env Parameter'!F:F,""),"")</f>
        <v>478</v>
      </c>
      <c r="E875" s="10" cm="1">
        <f t="array" ref="E875">IFERROR(_xlfn.XLOOKUP(1,('env Parameter'!$A:$A=$A875)*('env Parameter'!$B:$B=$K875)*('env Parameter'!$C:$C=$L875),'env Parameter'!G:G,""),"")</f>
        <v>7.6</v>
      </c>
      <c r="F875" t="str">
        <f>eDNA!F875</f>
        <v>MiFish</v>
      </c>
      <c r="G875" t="str">
        <f>eDNA!D875</f>
        <v>Paramisgurnus dabryanus</v>
      </c>
      <c r="H875" t="str">
        <f>_xlfn.XLOOKUP(G875,'Common name (master file)'!$B:$B,'Common name (master file)'!$A:$A,"-------------")</f>
        <v>중국미꾸라지</v>
      </c>
      <c r="I875">
        <f>eDNA!E875</f>
        <v>32</v>
      </c>
      <c r="J875" t="str">
        <f>_xlfn.XLOOKUP(G875,'Common name (master file)'!$B:$B,'Common name (master file)'!$C:$C,"")</f>
        <v>어류</v>
      </c>
      <c r="K875">
        <f>eDNA!B875</f>
        <v>126.99657019999999</v>
      </c>
      <c r="L875">
        <f>eDNA!C875</f>
        <v>37.389118600000003</v>
      </c>
      <c r="M875" s="10" t="str" cm="1">
        <f t="array" ref="M875">IFERROR(_xlfn.XLOOKUP(1,('env Parameter'!$A:$A=$A875)*('env Parameter'!$B:$B=$K875)*('env Parameter'!$C:$C=$L875),'env Parameter'!D:D,""),"")</f>
        <v>안양천-19</v>
      </c>
      <c r="N875" s="10" t="str" cm="1">
        <f t="array" ref="N875">IFERROR(_xlfn.XLOOKUP(1,('env Parameter'!$A:$A=$A875)*('env Parameter'!$B:$B=$K875)*('env Parameter'!$C:$C=$L875),'env Parameter'!I:I,""),"")</f>
        <v>YR</v>
      </c>
    </row>
    <row r="876" spans="1:14">
      <c r="A876">
        <f>eDNA!A876</f>
        <v>20200916</v>
      </c>
      <c r="B876" s="10" t="str" cm="1">
        <f t="array" ref="B876">IFERROR(_xlfn.XLOOKUP(1,('env Parameter'!$A:$A=$A876)*('env Parameter'!$B:$B=$K876)*('env Parameter'!$C:$C=$L876),'env Parameter'!H:H,""),"")</f>
        <v>생물상 조사</v>
      </c>
      <c r="C876" s="10" cm="1">
        <f t="array" ref="C876">IFERROR(_xlfn.XLOOKUP(1,('env Parameter'!$A:$A=$A876)*('env Parameter'!$B:$B=$K876)*('env Parameter'!$C:$C=$L876),'env Parameter'!E:E,""),"")</f>
        <v>2.14</v>
      </c>
      <c r="D876" s="10" cm="1">
        <f t="array" ref="D876">IFERROR(_xlfn.XLOOKUP(1,('env Parameter'!$A:$A=$A876)*('env Parameter'!$B:$B=$K876)*('env Parameter'!$C:$C=$L876),'env Parameter'!F:F,""),"")</f>
        <v>478</v>
      </c>
      <c r="E876" s="10" cm="1">
        <f t="array" ref="E876">IFERROR(_xlfn.XLOOKUP(1,('env Parameter'!$A:$A=$A876)*('env Parameter'!$B:$B=$K876)*('env Parameter'!$C:$C=$L876),'env Parameter'!G:G,""),"")</f>
        <v>7.6</v>
      </c>
      <c r="F876" t="str">
        <f>eDNA!F876</f>
        <v>MiFish</v>
      </c>
      <c r="G876" t="str">
        <f>eDNA!D876</f>
        <v>Rhinogobius sp.</v>
      </c>
      <c r="H876" t="str">
        <f>_xlfn.XLOOKUP(G876,'Common name (master file)'!$B:$B,'Common name (master file)'!$A:$A,"-------------")</f>
        <v>밀어</v>
      </c>
      <c r="I876">
        <f>eDNA!E876</f>
        <v>32</v>
      </c>
      <c r="J876" t="str">
        <f>_xlfn.XLOOKUP(G876,'Common name (master file)'!$B:$B,'Common name (master file)'!$C:$C,"")</f>
        <v>어류</v>
      </c>
      <c r="K876">
        <f>eDNA!B876</f>
        <v>126.99657019999999</v>
      </c>
      <c r="L876">
        <f>eDNA!C876</f>
        <v>37.389118600000003</v>
      </c>
      <c r="M876" s="10" t="str" cm="1">
        <f t="array" ref="M876">IFERROR(_xlfn.XLOOKUP(1,('env Parameter'!$A:$A=$A876)*('env Parameter'!$B:$B=$K876)*('env Parameter'!$C:$C=$L876),'env Parameter'!D:D,""),"")</f>
        <v>안양천-19</v>
      </c>
      <c r="N876" s="10" t="str" cm="1">
        <f t="array" ref="N876">IFERROR(_xlfn.XLOOKUP(1,('env Parameter'!$A:$A=$A876)*('env Parameter'!$B:$B=$K876)*('env Parameter'!$C:$C=$L876),'env Parameter'!I:I,""),"")</f>
        <v>YR</v>
      </c>
    </row>
    <row r="877" spans="1:14">
      <c r="A877">
        <f>eDNA!A877</f>
        <v>20201024</v>
      </c>
      <c r="B877" s="10" t="str" cm="1">
        <f t="array" ref="B877">IFERROR(_xlfn.XLOOKUP(1,('env Parameter'!$A:$A=$A877)*('env Parameter'!$B:$B=$K877)*('env Parameter'!$C:$C=$L877),'env Parameter'!H:H,""),"")</f>
        <v>생물상 조사</v>
      </c>
      <c r="C877" s="10" cm="1">
        <f t="array" ref="C877">IFERROR(_xlfn.XLOOKUP(1,('env Parameter'!$A:$A=$A877)*('env Parameter'!$B:$B=$K877)*('env Parameter'!$C:$C=$L877),'env Parameter'!E:E,""),"")</f>
        <v>2.14</v>
      </c>
      <c r="D877" s="10" cm="1">
        <f t="array" ref="D877">IFERROR(_xlfn.XLOOKUP(1,('env Parameter'!$A:$A=$A877)*('env Parameter'!$B:$B=$K877)*('env Parameter'!$C:$C=$L877),'env Parameter'!F:F,""),"")</f>
        <v>478</v>
      </c>
      <c r="E877" s="10" cm="1">
        <f t="array" ref="E877">IFERROR(_xlfn.XLOOKUP(1,('env Parameter'!$A:$A=$A877)*('env Parameter'!$B:$B=$K877)*('env Parameter'!$C:$C=$L877),'env Parameter'!G:G,""),"")</f>
        <v>7.6</v>
      </c>
      <c r="F877" t="str">
        <f>eDNA!F877</f>
        <v>MiFish</v>
      </c>
      <c r="G877" t="str">
        <f>eDNA!D877</f>
        <v>Phasianus colchicus</v>
      </c>
      <c r="H877" t="str">
        <f>_xlfn.XLOOKUP(G877,'Common name (master file)'!$B:$B,'Common name (master file)'!$A:$A,"-------------")</f>
        <v>꿩</v>
      </c>
      <c r="I877">
        <f>eDNA!E877</f>
        <v>206</v>
      </c>
      <c r="J877" t="str">
        <f>_xlfn.XLOOKUP(G877,'Common name (master file)'!$B:$B,'Common name (master file)'!$C:$C,"")</f>
        <v>조류</v>
      </c>
      <c r="K877">
        <f>eDNA!B877</f>
        <v>126.8960105</v>
      </c>
      <c r="L877">
        <f>eDNA!C877</f>
        <v>37.403669399999998</v>
      </c>
      <c r="M877" s="10" t="str" cm="1">
        <f t="array" ref="M877">IFERROR(_xlfn.XLOOKUP(1,('env Parameter'!$A:$A=$A877)*('env Parameter'!$B:$B=$K877)*('env Parameter'!$C:$C=$L877),'env Parameter'!D:D,""),"")</f>
        <v>안양천-6</v>
      </c>
      <c r="N877" s="10" t="str" cm="1">
        <f t="array" ref="N877">IFERROR(_xlfn.XLOOKUP(1,('env Parameter'!$A:$A=$A877)*('env Parameter'!$B:$B=$K877)*('env Parameter'!$C:$C=$L877),'env Parameter'!I:I,""),"")</f>
        <v>YR</v>
      </c>
    </row>
    <row r="878" spans="1:14">
      <c r="A878">
        <f>eDNA!A878</f>
        <v>20200916</v>
      </c>
      <c r="B878" s="10" t="str" cm="1">
        <f t="array" ref="B878">IFERROR(_xlfn.XLOOKUP(1,('env Parameter'!$A:$A=$A878)*('env Parameter'!$B:$B=$K878)*('env Parameter'!$C:$C=$L878),'env Parameter'!H:H,""),"")</f>
        <v>생물상 조사</v>
      </c>
      <c r="C878" s="10" cm="1">
        <f t="array" ref="C878">IFERROR(_xlfn.XLOOKUP(1,('env Parameter'!$A:$A=$A878)*('env Parameter'!$B:$B=$K878)*('env Parameter'!$C:$C=$L878),'env Parameter'!E:E,""),"")</f>
        <v>2.14</v>
      </c>
      <c r="D878" s="10" cm="1">
        <f t="array" ref="D878">IFERROR(_xlfn.XLOOKUP(1,('env Parameter'!$A:$A=$A878)*('env Parameter'!$B:$B=$K878)*('env Parameter'!$C:$C=$L878),'env Parameter'!F:F,""),"")</f>
        <v>478</v>
      </c>
      <c r="E878" s="10" cm="1">
        <f t="array" ref="E878">IFERROR(_xlfn.XLOOKUP(1,('env Parameter'!$A:$A=$A878)*('env Parameter'!$B:$B=$K878)*('env Parameter'!$C:$C=$L878),'env Parameter'!G:G,""),"")</f>
        <v>7.6</v>
      </c>
      <c r="F878" t="str">
        <f>eDNA!F878</f>
        <v>MiFish</v>
      </c>
      <c r="G878" t="str">
        <f>eDNA!D878</f>
        <v>Rattus norvegicus</v>
      </c>
      <c r="H878" t="str">
        <f>_xlfn.XLOOKUP(G878,'Common name (master file)'!$B:$B,'Common name (master file)'!$A:$A,"-------------")</f>
        <v>시궁쥐</v>
      </c>
      <c r="I878">
        <f>eDNA!E878</f>
        <v>119</v>
      </c>
      <c r="J878" t="str">
        <f>_xlfn.XLOOKUP(G878,'Common name (master file)'!$B:$B,'Common name (master file)'!$C:$C,"")</f>
        <v>포유류</v>
      </c>
      <c r="K878">
        <f>eDNA!B878</f>
        <v>126.99657019999999</v>
      </c>
      <c r="L878">
        <f>eDNA!C878</f>
        <v>37.389118600000003</v>
      </c>
      <c r="M878" s="10" t="str" cm="1">
        <f t="array" ref="M878">IFERROR(_xlfn.XLOOKUP(1,('env Parameter'!$A:$A=$A878)*('env Parameter'!$B:$B=$K878)*('env Parameter'!$C:$C=$L878),'env Parameter'!D:D,""),"")</f>
        <v>안양천-19</v>
      </c>
      <c r="N878" s="10" t="str" cm="1">
        <f t="array" ref="N878">IFERROR(_xlfn.XLOOKUP(1,('env Parameter'!$A:$A=$A878)*('env Parameter'!$B:$B=$K878)*('env Parameter'!$C:$C=$L878),'env Parameter'!I:I,""),"")</f>
        <v>YR</v>
      </c>
    </row>
    <row r="879" spans="1:14">
      <c r="A879">
        <f>eDNA!A879</f>
        <v>20200916</v>
      </c>
      <c r="B879" s="10" t="str" cm="1">
        <f t="array" ref="B879">IFERROR(_xlfn.XLOOKUP(1,('env Parameter'!$A:$A=$A879)*('env Parameter'!$B:$B=$K879)*('env Parameter'!$C:$C=$L879),'env Parameter'!H:H,""),"")</f>
        <v>생물상 조사</v>
      </c>
      <c r="C879" s="10" cm="1">
        <f t="array" ref="C879">IFERROR(_xlfn.XLOOKUP(1,('env Parameter'!$A:$A=$A879)*('env Parameter'!$B:$B=$K879)*('env Parameter'!$C:$C=$L879),'env Parameter'!E:E,""),"")</f>
        <v>2.14</v>
      </c>
      <c r="D879" s="10" cm="1">
        <f t="array" ref="D879">IFERROR(_xlfn.XLOOKUP(1,('env Parameter'!$A:$A=$A879)*('env Parameter'!$B:$B=$K879)*('env Parameter'!$C:$C=$L879),'env Parameter'!F:F,""),"")</f>
        <v>478</v>
      </c>
      <c r="E879" s="10" cm="1">
        <f t="array" ref="E879">IFERROR(_xlfn.XLOOKUP(1,('env Parameter'!$A:$A=$A879)*('env Parameter'!$B:$B=$K879)*('env Parameter'!$C:$C=$L879),'env Parameter'!G:G,""),"")</f>
        <v>7.6</v>
      </c>
      <c r="F879" t="str">
        <f>eDNA!F879</f>
        <v>MiFish</v>
      </c>
      <c r="G879" t="str">
        <f>eDNA!D879</f>
        <v>Squalidus gracilis majimae</v>
      </c>
      <c r="H879" t="str">
        <f>_xlfn.XLOOKUP(G879,'Common name (master file)'!$B:$B,'Common name (master file)'!$A:$A,"-------------")</f>
        <v>긴몰개</v>
      </c>
      <c r="I879">
        <f>eDNA!E879</f>
        <v>123</v>
      </c>
      <c r="J879" t="str">
        <f>_xlfn.XLOOKUP(G879,'Common name (master file)'!$B:$B,'Common name (master file)'!$C:$C,"")</f>
        <v>어류</v>
      </c>
      <c r="K879">
        <f>eDNA!B879</f>
        <v>126.99657019999999</v>
      </c>
      <c r="L879">
        <f>eDNA!C879</f>
        <v>37.389118600000003</v>
      </c>
      <c r="M879" s="10" t="str" cm="1">
        <f t="array" ref="M879">IFERROR(_xlfn.XLOOKUP(1,('env Parameter'!$A:$A=$A879)*('env Parameter'!$B:$B=$K879)*('env Parameter'!$C:$C=$L879),'env Parameter'!D:D,""),"")</f>
        <v>안양천-19</v>
      </c>
      <c r="N879" s="10" t="str" cm="1">
        <f t="array" ref="N879">IFERROR(_xlfn.XLOOKUP(1,('env Parameter'!$A:$A=$A879)*('env Parameter'!$B:$B=$K879)*('env Parameter'!$C:$C=$L879),'env Parameter'!I:I,""),"")</f>
        <v>YR</v>
      </c>
    </row>
    <row r="880" spans="1:14">
      <c r="A880">
        <f>eDNA!A880</f>
        <v>20200916</v>
      </c>
      <c r="B880" s="10" t="str" cm="1">
        <f t="array" ref="B880">IFERROR(_xlfn.XLOOKUP(1,('env Parameter'!$A:$A=$A880)*('env Parameter'!$B:$B=$K880)*('env Parameter'!$C:$C=$L880),'env Parameter'!H:H,""),"")</f>
        <v>생물상 조사</v>
      </c>
      <c r="C880" s="10" cm="1">
        <f t="array" ref="C880">IFERROR(_xlfn.XLOOKUP(1,('env Parameter'!$A:$A=$A880)*('env Parameter'!$B:$B=$K880)*('env Parameter'!$C:$C=$L880),'env Parameter'!E:E,""),"")</f>
        <v>2.14</v>
      </c>
      <c r="D880" s="10" cm="1">
        <f t="array" ref="D880">IFERROR(_xlfn.XLOOKUP(1,('env Parameter'!$A:$A=$A880)*('env Parameter'!$B:$B=$K880)*('env Parameter'!$C:$C=$L880),'env Parameter'!F:F,""),"")</f>
        <v>478</v>
      </c>
      <c r="E880" s="10" cm="1">
        <f t="array" ref="E880">IFERROR(_xlfn.XLOOKUP(1,('env Parameter'!$A:$A=$A880)*('env Parameter'!$B:$B=$K880)*('env Parameter'!$C:$C=$L880),'env Parameter'!G:G,""),"")</f>
        <v>7.6</v>
      </c>
      <c r="F880" t="str">
        <f>eDNA!F880</f>
        <v>MiFish</v>
      </c>
      <c r="G880" t="str">
        <f>eDNA!D880</f>
        <v>Pseudogobio esocinus</v>
      </c>
      <c r="H880" t="str">
        <f>_xlfn.XLOOKUP(G880,'Common name (master file)'!$B:$B,'Common name (master file)'!$A:$A,"-------------")</f>
        <v>모래무지</v>
      </c>
      <c r="I880">
        <f>eDNA!E880</f>
        <v>225</v>
      </c>
      <c r="J880" t="str">
        <f>_xlfn.XLOOKUP(G880,'Common name (master file)'!$B:$B,'Common name (master file)'!$C:$C,"")</f>
        <v>어류</v>
      </c>
      <c r="K880">
        <f>eDNA!B880</f>
        <v>126.99657019999999</v>
      </c>
      <c r="L880">
        <f>eDNA!C880</f>
        <v>37.389118600000003</v>
      </c>
      <c r="M880" s="10" t="str" cm="1">
        <f t="array" ref="M880">IFERROR(_xlfn.XLOOKUP(1,('env Parameter'!$A:$A=$A880)*('env Parameter'!$B:$B=$K880)*('env Parameter'!$C:$C=$L880),'env Parameter'!D:D,""),"")</f>
        <v>안양천-19</v>
      </c>
      <c r="N880" s="10" t="str" cm="1">
        <f t="array" ref="N880">IFERROR(_xlfn.XLOOKUP(1,('env Parameter'!$A:$A=$A880)*('env Parameter'!$B:$B=$K880)*('env Parameter'!$C:$C=$L880),'env Parameter'!I:I,""),"")</f>
        <v>YR</v>
      </c>
    </row>
    <row r="881" spans="1:14">
      <c r="A881">
        <f>eDNA!A881</f>
        <v>20200916</v>
      </c>
      <c r="B881" s="10" t="str" cm="1">
        <f t="array" ref="B881">IFERROR(_xlfn.XLOOKUP(1,('env Parameter'!$A:$A=$A881)*('env Parameter'!$B:$B=$K881)*('env Parameter'!$C:$C=$L881),'env Parameter'!H:H,""),"")</f>
        <v>생물상 조사</v>
      </c>
      <c r="C881" s="10" cm="1">
        <f t="array" ref="C881">IFERROR(_xlfn.XLOOKUP(1,('env Parameter'!$A:$A=$A881)*('env Parameter'!$B:$B=$K881)*('env Parameter'!$C:$C=$L881),'env Parameter'!E:E,""),"")</f>
        <v>2.14</v>
      </c>
      <c r="D881" s="10" cm="1">
        <f t="array" ref="D881">IFERROR(_xlfn.XLOOKUP(1,('env Parameter'!$A:$A=$A881)*('env Parameter'!$B:$B=$K881)*('env Parameter'!$C:$C=$L881),'env Parameter'!F:F,""),"")</f>
        <v>478</v>
      </c>
      <c r="E881" s="10" cm="1">
        <f t="array" ref="E881">IFERROR(_xlfn.XLOOKUP(1,('env Parameter'!$A:$A=$A881)*('env Parameter'!$B:$B=$K881)*('env Parameter'!$C:$C=$L881),'env Parameter'!G:G,""),"")</f>
        <v>7.6</v>
      </c>
      <c r="F881" t="str">
        <f>eDNA!F881</f>
        <v>MiFish</v>
      </c>
      <c r="G881" t="str">
        <f>eDNA!D881</f>
        <v>Tachysurus fulvidraco</v>
      </c>
      <c r="H881" t="str">
        <f>_xlfn.XLOOKUP(G881,'Common name (master file)'!$B:$B,'Common name (master file)'!$A:$A,"-------------")</f>
        <v>동자개</v>
      </c>
      <c r="I881">
        <f>eDNA!E881</f>
        <v>449</v>
      </c>
      <c r="J881" t="str">
        <f>_xlfn.XLOOKUP(G881,'Common name (master file)'!$B:$B,'Common name (master file)'!$C:$C,"")</f>
        <v>어류</v>
      </c>
      <c r="K881">
        <f>eDNA!B881</f>
        <v>126.99657019999999</v>
      </c>
      <c r="L881">
        <f>eDNA!C881</f>
        <v>37.389118600000003</v>
      </c>
      <c r="M881" s="10" t="str" cm="1">
        <f t="array" ref="M881">IFERROR(_xlfn.XLOOKUP(1,('env Parameter'!$A:$A=$A881)*('env Parameter'!$B:$B=$K881)*('env Parameter'!$C:$C=$L881),'env Parameter'!D:D,""),"")</f>
        <v>안양천-19</v>
      </c>
      <c r="N881" s="10" t="str" cm="1">
        <f t="array" ref="N881">IFERROR(_xlfn.XLOOKUP(1,('env Parameter'!$A:$A=$A881)*('env Parameter'!$B:$B=$K881)*('env Parameter'!$C:$C=$L881),'env Parameter'!I:I,""),"")</f>
        <v>YR</v>
      </c>
    </row>
    <row r="882" spans="1:14">
      <c r="A882">
        <f>eDNA!A882</f>
        <v>20200916</v>
      </c>
      <c r="B882" s="10" t="str" cm="1">
        <f t="array" ref="B882">IFERROR(_xlfn.XLOOKUP(1,('env Parameter'!$A:$A=$A882)*('env Parameter'!$B:$B=$K882)*('env Parameter'!$C:$C=$L882),'env Parameter'!H:H,""),"")</f>
        <v>생물상 조사</v>
      </c>
      <c r="C882" s="10" cm="1">
        <f t="array" ref="C882">IFERROR(_xlfn.XLOOKUP(1,('env Parameter'!$A:$A=$A882)*('env Parameter'!$B:$B=$K882)*('env Parameter'!$C:$C=$L882),'env Parameter'!E:E,""),"")</f>
        <v>2.14</v>
      </c>
      <c r="D882" s="10" cm="1">
        <f t="array" ref="D882">IFERROR(_xlfn.XLOOKUP(1,('env Parameter'!$A:$A=$A882)*('env Parameter'!$B:$B=$K882)*('env Parameter'!$C:$C=$L882),'env Parameter'!F:F,""),"")</f>
        <v>478</v>
      </c>
      <c r="E882" s="10" cm="1">
        <f t="array" ref="E882">IFERROR(_xlfn.XLOOKUP(1,('env Parameter'!$A:$A=$A882)*('env Parameter'!$B:$B=$K882)*('env Parameter'!$C:$C=$L882),'env Parameter'!G:G,""),"")</f>
        <v>7.6</v>
      </c>
      <c r="F882" t="str">
        <f>eDNA!F882</f>
        <v>MiFish</v>
      </c>
      <c r="G882" t="str">
        <f>eDNA!D882</f>
        <v>Homo sapiens</v>
      </c>
      <c r="H882" t="str">
        <f>_xlfn.XLOOKUP(G882,'Common name (master file)'!$B:$B,'Common name (master file)'!$A:$A,"-------------")</f>
        <v>사람</v>
      </c>
      <c r="I882">
        <f>eDNA!E882</f>
        <v>763</v>
      </c>
      <c r="J882" t="str">
        <f>_xlfn.XLOOKUP(G882,'Common name (master file)'!$B:$B,'Common name (master file)'!$C:$C,"")</f>
        <v>포유류</v>
      </c>
      <c r="K882">
        <f>eDNA!B882</f>
        <v>126.99657019999999</v>
      </c>
      <c r="L882">
        <f>eDNA!C882</f>
        <v>37.389118600000003</v>
      </c>
      <c r="M882" s="10" t="str" cm="1">
        <f t="array" ref="M882">IFERROR(_xlfn.XLOOKUP(1,('env Parameter'!$A:$A=$A882)*('env Parameter'!$B:$B=$K882)*('env Parameter'!$C:$C=$L882),'env Parameter'!D:D,""),"")</f>
        <v>안양천-19</v>
      </c>
      <c r="N882" s="10" t="str" cm="1">
        <f t="array" ref="N882">IFERROR(_xlfn.XLOOKUP(1,('env Parameter'!$A:$A=$A882)*('env Parameter'!$B:$B=$K882)*('env Parameter'!$C:$C=$L882),'env Parameter'!I:I,""),"")</f>
        <v>YR</v>
      </c>
    </row>
    <row r="883" spans="1:14">
      <c r="A883">
        <f>eDNA!A883</f>
        <v>20200916</v>
      </c>
      <c r="B883" s="10" t="str" cm="1">
        <f t="array" ref="B883">IFERROR(_xlfn.XLOOKUP(1,('env Parameter'!$A:$A=$A883)*('env Parameter'!$B:$B=$K883)*('env Parameter'!$C:$C=$L883),'env Parameter'!H:H,""),"")</f>
        <v>생물상 조사</v>
      </c>
      <c r="C883" s="10" cm="1">
        <f t="array" ref="C883">IFERROR(_xlfn.XLOOKUP(1,('env Parameter'!$A:$A=$A883)*('env Parameter'!$B:$B=$K883)*('env Parameter'!$C:$C=$L883),'env Parameter'!E:E,""),"")</f>
        <v>2.14</v>
      </c>
      <c r="D883" s="10" cm="1">
        <f t="array" ref="D883">IFERROR(_xlfn.XLOOKUP(1,('env Parameter'!$A:$A=$A883)*('env Parameter'!$B:$B=$K883)*('env Parameter'!$C:$C=$L883),'env Parameter'!F:F,""),"")</f>
        <v>478</v>
      </c>
      <c r="E883" s="10" cm="1">
        <f t="array" ref="E883">IFERROR(_xlfn.XLOOKUP(1,('env Parameter'!$A:$A=$A883)*('env Parameter'!$B:$B=$K883)*('env Parameter'!$C:$C=$L883),'env Parameter'!G:G,""),"")</f>
        <v>7.6</v>
      </c>
      <c r="F883" t="str">
        <f>eDNA!F883</f>
        <v>MiFish</v>
      </c>
      <c r="G883" t="str">
        <f>eDNA!D883</f>
        <v>Misgurnus bipartitus</v>
      </c>
      <c r="H883" t="str">
        <f>_xlfn.XLOOKUP(G883,'Common name (master file)'!$B:$B,'Common name (master file)'!$A:$A,"-------------")</f>
        <v>쌍무늬미꾸리</v>
      </c>
      <c r="I883">
        <f>eDNA!E883</f>
        <v>787</v>
      </c>
      <c r="J883" t="str">
        <f>_xlfn.XLOOKUP(G883,'Common name (master file)'!$B:$B,'Common name (master file)'!$C:$C,"")</f>
        <v>어류</v>
      </c>
      <c r="K883">
        <f>eDNA!B883</f>
        <v>126.99657019999999</v>
      </c>
      <c r="L883">
        <f>eDNA!C883</f>
        <v>37.389118600000003</v>
      </c>
      <c r="M883" s="10" t="str" cm="1">
        <f t="array" ref="M883">IFERROR(_xlfn.XLOOKUP(1,('env Parameter'!$A:$A=$A883)*('env Parameter'!$B:$B=$K883)*('env Parameter'!$C:$C=$L883),'env Parameter'!D:D,""),"")</f>
        <v>안양천-19</v>
      </c>
      <c r="N883" s="10" t="str" cm="1">
        <f t="array" ref="N883">IFERROR(_xlfn.XLOOKUP(1,('env Parameter'!$A:$A=$A883)*('env Parameter'!$B:$B=$K883)*('env Parameter'!$C:$C=$L883),'env Parameter'!I:I,""),"")</f>
        <v>YR</v>
      </c>
    </row>
    <row r="884" spans="1:14">
      <c r="A884">
        <f>eDNA!A884</f>
        <v>20200916</v>
      </c>
      <c r="B884" s="10" t="str" cm="1">
        <f t="array" ref="B884">IFERROR(_xlfn.XLOOKUP(1,('env Parameter'!$A:$A=$A884)*('env Parameter'!$B:$B=$K884)*('env Parameter'!$C:$C=$L884),'env Parameter'!H:H,""),"")</f>
        <v>생물상 조사</v>
      </c>
      <c r="C884" s="10" cm="1">
        <f t="array" ref="C884">IFERROR(_xlfn.XLOOKUP(1,('env Parameter'!$A:$A=$A884)*('env Parameter'!$B:$B=$K884)*('env Parameter'!$C:$C=$L884),'env Parameter'!E:E,""),"")</f>
        <v>2.14</v>
      </c>
      <c r="D884" s="10" cm="1">
        <f t="array" ref="D884">IFERROR(_xlfn.XLOOKUP(1,('env Parameter'!$A:$A=$A884)*('env Parameter'!$B:$B=$K884)*('env Parameter'!$C:$C=$L884),'env Parameter'!F:F,""),"")</f>
        <v>478</v>
      </c>
      <c r="E884" s="10" cm="1">
        <f t="array" ref="E884">IFERROR(_xlfn.XLOOKUP(1,('env Parameter'!$A:$A=$A884)*('env Parameter'!$B:$B=$K884)*('env Parameter'!$C:$C=$L884),'env Parameter'!G:G,""),"")</f>
        <v>7.6</v>
      </c>
      <c r="F884" t="str">
        <f>eDNA!F884</f>
        <v>MiFish</v>
      </c>
      <c r="G884" t="str">
        <f>eDNA!D884</f>
        <v>Silurus soldatovi</v>
      </c>
      <c r="H884" t="str">
        <f>_xlfn.XLOOKUP(G884,'Common name (master file)'!$B:$B,'Common name (master file)'!$A:$A,"-------------")</f>
        <v>솔다토비 메기</v>
      </c>
      <c r="I884">
        <f>eDNA!E884</f>
        <v>786</v>
      </c>
      <c r="J884" t="str">
        <f>_xlfn.XLOOKUP(G884,'Common name (master file)'!$B:$B,'Common name (master file)'!$C:$C,"")</f>
        <v>어류</v>
      </c>
      <c r="K884">
        <f>eDNA!B884</f>
        <v>126.99657019999999</v>
      </c>
      <c r="L884">
        <f>eDNA!C884</f>
        <v>37.389118600000003</v>
      </c>
      <c r="M884" s="10" t="str" cm="1">
        <f t="array" ref="M884">IFERROR(_xlfn.XLOOKUP(1,('env Parameter'!$A:$A=$A884)*('env Parameter'!$B:$B=$K884)*('env Parameter'!$C:$C=$L884),'env Parameter'!D:D,""),"")</f>
        <v>안양천-19</v>
      </c>
      <c r="N884" s="10" t="str" cm="1">
        <f t="array" ref="N884">IFERROR(_xlfn.XLOOKUP(1,('env Parameter'!$A:$A=$A884)*('env Parameter'!$B:$B=$K884)*('env Parameter'!$C:$C=$L884),'env Parameter'!I:I,""),"")</f>
        <v>YR</v>
      </c>
    </row>
    <row r="885" spans="1:14">
      <c r="A885">
        <f>eDNA!A885</f>
        <v>20200916</v>
      </c>
      <c r="B885" s="10" t="str" cm="1">
        <f t="array" ref="B885">IFERROR(_xlfn.XLOOKUP(1,('env Parameter'!$A:$A=$A885)*('env Parameter'!$B:$B=$K885)*('env Parameter'!$C:$C=$L885),'env Parameter'!H:H,""),"")</f>
        <v>생물상 조사</v>
      </c>
      <c r="C885" s="10" cm="1">
        <f t="array" ref="C885">IFERROR(_xlfn.XLOOKUP(1,('env Parameter'!$A:$A=$A885)*('env Parameter'!$B:$B=$K885)*('env Parameter'!$C:$C=$L885),'env Parameter'!E:E,""),"")</f>
        <v>2.14</v>
      </c>
      <c r="D885" s="10" cm="1">
        <f t="array" ref="D885">IFERROR(_xlfn.XLOOKUP(1,('env Parameter'!$A:$A=$A885)*('env Parameter'!$B:$B=$K885)*('env Parameter'!$C:$C=$L885),'env Parameter'!F:F,""),"")</f>
        <v>478</v>
      </c>
      <c r="E885" s="10" cm="1">
        <f t="array" ref="E885">IFERROR(_xlfn.XLOOKUP(1,('env Parameter'!$A:$A=$A885)*('env Parameter'!$B:$B=$K885)*('env Parameter'!$C:$C=$L885),'env Parameter'!G:G,""),"")</f>
        <v>7.6</v>
      </c>
      <c r="F885" t="str">
        <f>eDNA!F885</f>
        <v>MiFish</v>
      </c>
      <c r="G885" t="str">
        <f>eDNA!D885</f>
        <v>Pseudorasbora parva</v>
      </c>
      <c r="H885" t="str">
        <f>_xlfn.XLOOKUP(G885,'Common name (master file)'!$B:$B,'Common name (master file)'!$A:$A,"-------------")</f>
        <v>참붕어</v>
      </c>
      <c r="I885">
        <f>eDNA!E885</f>
        <v>1158</v>
      </c>
      <c r="J885" t="str">
        <f>_xlfn.XLOOKUP(G885,'Common name (master file)'!$B:$B,'Common name (master file)'!$C:$C,"")</f>
        <v>어류</v>
      </c>
      <c r="K885">
        <f>eDNA!B885</f>
        <v>126.99657019999999</v>
      </c>
      <c r="L885">
        <f>eDNA!C885</f>
        <v>37.389118600000003</v>
      </c>
      <c r="M885" s="10" t="str" cm="1">
        <f t="array" ref="M885">IFERROR(_xlfn.XLOOKUP(1,('env Parameter'!$A:$A=$A885)*('env Parameter'!$B:$B=$K885)*('env Parameter'!$C:$C=$L885),'env Parameter'!D:D,""),"")</f>
        <v>안양천-19</v>
      </c>
      <c r="N885" s="10" t="str" cm="1">
        <f t="array" ref="N885">IFERROR(_xlfn.XLOOKUP(1,('env Parameter'!$A:$A=$A885)*('env Parameter'!$B:$B=$K885)*('env Parameter'!$C:$C=$L885),'env Parameter'!I:I,""),"")</f>
        <v>YR</v>
      </c>
    </row>
    <row r="886" spans="1:14">
      <c r="A886">
        <f>eDNA!A886</f>
        <v>20201024</v>
      </c>
      <c r="B886" s="10" t="str" cm="1">
        <f t="array" ref="B886">IFERROR(_xlfn.XLOOKUP(1,('env Parameter'!$A:$A=$A886)*('env Parameter'!$B:$B=$K886)*('env Parameter'!$C:$C=$L886),'env Parameter'!H:H,""),"")</f>
        <v>생물상 조사</v>
      </c>
      <c r="C886" s="10" cm="1">
        <f t="array" ref="C886">IFERROR(_xlfn.XLOOKUP(1,('env Parameter'!$A:$A=$A886)*('env Parameter'!$B:$B=$K886)*('env Parameter'!$C:$C=$L886),'env Parameter'!E:E,""),"")</f>
        <v>2.14</v>
      </c>
      <c r="D886" s="10" cm="1">
        <f t="array" ref="D886">IFERROR(_xlfn.XLOOKUP(1,('env Parameter'!$A:$A=$A886)*('env Parameter'!$B:$B=$K886)*('env Parameter'!$C:$C=$L886),'env Parameter'!F:F,""),"")</f>
        <v>478</v>
      </c>
      <c r="E886" s="10" cm="1">
        <f t="array" ref="E886">IFERROR(_xlfn.XLOOKUP(1,('env Parameter'!$A:$A=$A886)*('env Parameter'!$B:$B=$K886)*('env Parameter'!$C:$C=$L886),'env Parameter'!G:G,""),"")</f>
        <v>7.6</v>
      </c>
      <c r="F886" t="str">
        <f>eDNA!F886</f>
        <v>MiFish</v>
      </c>
      <c r="G886" t="str">
        <f>eDNA!D886</f>
        <v>Phasianus colchicus</v>
      </c>
      <c r="H886" t="str">
        <f>_xlfn.XLOOKUP(G886,'Common name (master file)'!$B:$B,'Common name (master file)'!$A:$A,"-------------")</f>
        <v>꿩</v>
      </c>
      <c r="I886">
        <f>eDNA!E886</f>
        <v>213</v>
      </c>
      <c r="J886" t="str">
        <f>_xlfn.XLOOKUP(G886,'Common name (master file)'!$B:$B,'Common name (master file)'!$C:$C,"")</f>
        <v>조류</v>
      </c>
      <c r="K886">
        <f>eDNA!B886</f>
        <v>126.89556140000001</v>
      </c>
      <c r="L886">
        <f>eDNA!C886</f>
        <v>37.418411599999999</v>
      </c>
      <c r="M886" s="10" t="str" cm="1">
        <f t="array" ref="M886">IFERROR(_xlfn.XLOOKUP(1,('env Parameter'!$A:$A=$A886)*('env Parameter'!$B:$B=$K886)*('env Parameter'!$C:$C=$L886),'env Parameter'!D:D,""),"")</f>
        <v>안양천-7</v>
      </c>
      <c r="N886" s="10" t="str" cm="1">
        <f t="array" ref="N886">IFERROR(_xlfn.XLOOKUP(1,('env Parameter'!$A:$A=$A886)*('env Parameter'!$B:$B=$K886)*('env Parameter'!$C:$C=$L886),'env Parameter'!I:I,""),"")</f>
        <v>YR</v>
      </c>
    </row>
    <row r="887" spans="1:14">
      <c r="A887">
        <f>eDNA!A887</f>
        <v>20200916</v>
      </c>
      <c r="B887" s="10" t="str" cm="1">
        <f t="array" ref="B887">IFERROR(_xlfn.XLOOKUP(1,('env Parameter'!$A:$A=$A887)*('env Parameter'!$B:$B=$K887)*('env Parameter'!$C:$C=$L887),'env Parameter'!H:H,""),"")</f>
        <v>생물상 조사</v>
      </c>
      <c r="C887" s="10" cm="1">
        <f t="array" ref="C887">IFERROR(_xlfn.XLOOKUP(1,('env Parameter'!$A:$A=$A887)*('env Parameter'!$B:$B=$K887)*('env Parameter'!$C:$C=$L887),'env Parameter'!E:E,""),"")</f>
        <v>2.14</v>
      </c>
      <c r="D887" s="10" cm="1">
        <f t="array" ref="D887">IFERROR(_xlfn.XLOOKUP(1,('env Parameter'!$A:$A=$A887)*('env Parameter'!$B:$B=$K887)*('env Parameter'!$C:$C=$L887),'env Parameter'!F:F,""),"")</f>
        <v>478</v>
      </c>
      <c r="E887" s="10" cm="1">
        <f t="array" ref="E887">IFERROR(_xlfn.XLOOKUP(1,('env Parameter'!$A:$A=$A887)*('env Parameter'!$B:$B=$K887)*('env Parameter'!$C:$C=$L887),'env Parameter'!G:G,""),"")</f>
        <v>7.6</v>
      </c>
      <c r="F887" t="str">
        <f>eDNA!F887</f>
        <v>MiFish</v>
      </c>
      <c r="G887" t="str">
        <f>eDNA!D887</f>
        <v>Misgurnus mizolepis</v>
      </c>
      <c r="H887" t="str">
        <f>_xlfn.XLOOKUP(G887,'Common name (master file)'!$B:$B,'Common name (master file)'!$A:$A,"-------------")</f>
        <v>미꾸라지</v>
      </c>
      <c r="I887">
        <f>eDNA!E887</f>
        <v>16011</v>
      </c>
      <c r="J887" t="str">
        <f>_xlfn.XLOOKUP(G887,'Common name (master file)'!$B:$B,'Common name (master file)'!$C:$C,"")</f>
        <v>어류</v>
      </c>
      <c r="K887">
        <f>eDNA!B887</f>
        <v>126.99657019999999</v>
      </c>
      <c r="L887">
        <f>eDNA!C887</f>
        <v>37.389118600000003</v>
      </c>
      <c r="M887" s="10" t="str" cm="1">
        <f t="array" ref="M887">IFERROR(_xlfn.XLOOKUP(1,('env Parameter'!$A:$A=$A887)*('env Parameter'!$B:$B=$K887)*('env Parameter'!$C:$C=$L887),'env Parameter'!D:D,""),"")</f>
        <v>안양천-19</v>
      </c>
      <c r="N887" s="10" t="str" cm="1">
        <f t="array" ref="N887">IFERROR(_xlfn.XLOOKUP(1,('env Parameter'!$A:$A=$A887)*('env Parameter'!$B:$B=$K887)*('env Parameter'!$C:$C=$L887),'env Parameter'!I:I,""),"")</f>
        <v>YR</v>
      </c>
    </row>
    <row r="888" spans="1:14">
      <c r="A888">
        <f>eDNA!A888</f>
        <v>20200916</v>
      </c>
      <c r="B888" s="10" t="str" cm="1">
        <f t="array" ref="B888">IFERROR(_xlfn.XLOOKUP(1,('env Parameter'!$A:$A=$A888)*('env Parameter'!$B:$B=$K888)*('env Parameter'!$C:$C=$L888),'env Parameter'!H:H,""),"")</f>
        <v>생물상 조사</v>
      </c>
      <c r="C888" s="10" cm="1">
        <f t="array" ref="C888">IFERROR(_xlfn.XLOOKUP(1,('env Parameter'!$A:$A=$A888)*('env Parameter'!$B:$B=$K888)*('env Parameter'!$C:$C=$L888),'env Parameter'!E:E,""),"")</f>
        <v>2.14</v>
      </c>
      <c r="D888" s="10" cm="1">
        <f t="array" ref="D888">IFERROR(_xlfn.XLOOKUP(1,('env Parameter'!$A:$A=$A888)*('env Parameter'!$B:$B=$K888)*('env Parameter'!$C:$C=$L888),'env Parameter'!F:F,""),"")</f>
        <v>478</v>
      </c>
      <c r="E888" s="10" cm="1">
        <f t="array" ref="E888">IFERROR(_xlfn.XLOOKUP(1,('env Parameter'!$A:$A=$A888)*('env Parameter'!$B:$B=$K888)*('env Parameter'!$C:$C=$L888),'env Parameter'!G:G,""),"")</f>
        <v>7.6</v>
      </c>
      <c r="F888" t="str">
        <f>eDNA!F888</f>
        <v>MiFish</v>
      </c>
      <c r="G888" t="str">
        <f>eDNA!D888</f>
        <v>Odontobutis interrupta</v>
      </c>
      <c r="H888" t="str">
        <f>_xlfn.XLOOKUP(G888,'Common name (master file)'!$B:$B,'Common name (master file)'!$A:$A,"-------------")</f>
        <v>얼록동사리</v>
      </c>
      <c r="I888">
        <f>eDNA!E888</f>
        <v>12502</v>
      </c>
      <c r="J888" t="str">
        <f>_xlfn.XLOOKUP(G888,'Common name (master file)'!$B:$B,'Common name (master file)'!$C:$C,"")</f>
        <v>어류</v>
      </c>
      <c r="K888">
        <f>eDNA!B888</f>
        <v>126.99657019999999</v>
      </c>
      <c r="L888">
        <f>eDNA!C888</f>
        <v>37.389118600000003</v>
      </c>
      <c r="M888" s="10" t="str" cm="1">
        <f t="array" ref="M888">IFERROR(_xlfn.XLOOKUP(1,('env Parameter'!$A:$A=$A888)*('env Parameter'!$B:$B=$K888)*('env Parameter'!$C:$C=$L888),'env Parameter'!D:D,""),"")</f>
        <v>안양천-19</v>
      </c>
      <c r="N888" s="10" t="str" cm="1">
        <f t="array" ref="N888">IFERROR(_xlfn.XLOOKUP(1,('env Parameter'!$A:$A=$A888)*('env Parameter'!$B:$B=$K888)*('env Parameter'!$C:$C=$L888),'env Parameter'!I:I,""),"")</f>
        <v>YR</v>
      </c>
    </row>
    <row r="889" spans="1:14">
      <c r="A889">
        <f>eDNA!A889</f>
        <v>20200916</v>
      </c>
      <c r="B889" s="10" t="str" cm="1">
        <f t="array" ref="B889">IFERROR(_xlfn.XLOOKUP(1,('env Parameter'!$A:$A=$A889)*('env Parameter'!$B:$B=$K889)*('env Parameter'!$C:$C=$L889),'env Parameter'!H:H,""),"")</f>
        <v>생물상 조사</v>
      </c>
      <c r="C889" s="10" cm="1">
        <f t="array" ref="C889">IFERROR(_xlfn.XLOOKUP(1,('env Parameter'!$A:$A=$A889)*('env Parameter'!$B:$B=$K889)*('env Parameter'!$C:$C=$L889),'env Parameter'!E:E,""),"")</f>
        <v>2.14</v>
      </c>
      <c r="D889" s="10" cm="1">
        <f t="array" ref="D889">IFERROR(_xlfn.XLOOKUP(1,('env Parameter'!$A:$A=$A889)*('env Parameter'!$B:$B=$K889)*('env Parameter'!$C:$C=$L889),'env Parameter'!F:F,""),"")</f>
        <v>478</v>
      </c>
      <c r="E889" s="10" cm="1">
        <f t="array" ref="E889">IFERROR(_xlfn.XLOOKUP(1,('env Parameter'!$A:$A=$A889)*('env Parameter'!$B:$B=$K889)*('env Parameter'!$C:$C=$L889),'env Parameter'!G:G,""),"")</f>
        <v>7.6</v>
      </c>
      <c r="F889" t="str">
        <f>eDNA!F889</f>
        <v>MiFish</v>
      </c>
      <c r="G889" t="str">
        <f>eDNA!D889</f>
        <v>Zacco platypus</v>
      </c>
      <c r="H889" t="str">
        <f>_xlfn.XLOOKUP(G889,'Common name (master file)'!$B:$B,'Common name (master file)'!$A:$A,"-------------")</f>
        <v>피라미</v>
      </c>
      <c r="I889">
        <f>eDNA!E889</f>
        <v>21600</v>
      </c>
      <c r="J889" t="str">
        <f>_xlfn.XLOOKUP(G889,'Common name (master file)'!$B:$B,'Common name (master file)'!$C:$C,"")</f>
        <v>어류</v>
      </c>
      <c r="K889">
        <f>eDNA!B889</f>
        <v>126.99657019999999</v>
      </c>
      <c r="L889">
        <f>eDNA!C889</f>
        <v>37.389118600000003</v>
      </c>
      <c r="M889" s="10" t="str" cm="1">
        <f t="array" ref="M889">IFERROR(_xlfn.XLOOKUP(1,('env Parameter'!$A:$A=$A889)*('env Parameter'!$B:$B=$K889)*('env Parameter'!$C:$C=$L889),'env Parameter'!D:D,""),"")</f>
        <v>안양천-19</v>
      </c>
      <c r="N889" s="10" t="str" cm="1">
        <f t="array" ref="N889">IFERROR(_xlfn.XLOOKUP(1,('env Parameter'!$A:$A=$A889)*('env Parameter'!$B:$B=$K889)*('env Parameter'!$C:$C=$L889),'env Parameter'!I:I,""),"")</f>
        <v>YR</v>
      </c>
    </row>
    <row r="890" spans="1:14">
      <c r="A890">
        <f>eDNA!A890</f>
        <v>20200916</v>
      </c>
      <c r="B890" s="10" t="str" cm="1">
        <f t="array" ref="B890">IFERROR(_xlfn.XLOOKUP(1,('env Parameter'!$A:$A=$A890)*('env Parameter'!$B:$B=$K890)*('env Parameter'!$C:$C=$L890),'env Parameter'!H:H,""),"")</f>
        <v>생물상 조사</v>
      </c>
      <c r="C890" s="10" cm="1">
        <f t="array" ref="C890">IFERROR(_xlfn.XLOOKUP(1,('env Parameter'!$A:$A=$A890)*('env Parameter'!$B:$B=$K890)*('env Parameter'!$C:$C=$L890),'env Parameter'!E:E,""),"")</f>
        <v>2.14</v>
      </c>
      <c r="D890" s="10" cm="1">
        <f t="array" ref="D890">IFERROR(_xlfn.XLOOKUP(1,('env Parameter'!$A:$A=$A890)*('env Parameter'!$B:$B=$K890)*('env Parameter'!$C:$C=$L890),'env Parameter'!F:F,""),"")</f>
        <v>478</v>
      </c>
      <c r="E890" s="10" cm="1">
        <f t="array" ref="E890">IFERROR(_xlfn.XLOOKUP(1,('env Parameter'!$A:$A=$A890)*('env Parameter'!$B:$B=$K890)*('env Parameter'!$C:$C=$L890),'env Parameter'!G:G,""),"")</f>
        <v>7.6</v>
      </c>
      <c r="F890" t="str">
        <f>eDNA!F890</f>
        <v>MiFish</v>
      </c>
      <c r="G890" t="str">
        <f>eDNA!D890</f>
        <v>Rhynchocypris oxycephalus</v>
      </c>
      <c r="H890" t="str">
        <f>_xlfn.XLOOKUP(G890,'Common name (master file)'!$B:$B,'Common name (master file)'!$A:$A,"-------------")</f>
        <v>버들치</v>
      </c>
      <c r="I890">
        <f>eDNA!E890</f>
        <v>104437</v>
      </c>
      <c r="J890" t="str">
        <f>_xlfn.XLOOKUP(G890,'Common name (master file)'!$B:$B,'Common name (master file)'!$C:$C,"")</f>
        <v>어류</v>
      </c>
      <c r="K890">
        <f>eDNA!B890</f>
        <v>126.99657019999999</v>
      </c>
      <c r="L890">
        <f>eDNA!C890</f>
        <v>37.389118600000003</v>
      </c>
      <c r="M890" s="10" t="str" cm="1">
        <f t="array" ref="M890">IFERROR(_xlfn.XLOOKUP(1,('env Parameter'!$A:$A=$A890)*('env Parameter'!$B:$B=$K890)*('env Parameter'!$C:$C=$L890),'env Parameter'!D:D,""),"")</f>
        <v>안양천-19</v>
      </c>
      <c r="N890" s="10" t="str" cm="1">
        <f t="array" ref="N890">IFERROR(_xlfn.XLOOKUP(1,('env Parameter'!$A:$A=$A890)*('env Parameter'!$B:$B=$K890)*('env Parameter'!$C:$C=$L890),'env Parameter'!I:I,""),"")</f>
        <v>YR</v>
      </c>
    </row>
    <row r="891" spans="1:14">
      <c r="A891">
        <f>eDNA!A891</f>
        <v>20200916</v>
      </c>
      <c r="B891" s="10" t="str" cm="1">
        <f t="array" ref="B891">IFERROR(_xlfn.XLOOKUP(1,('env Parameter'!$A:$A=$A891)*('env Parameter'!$B:$B=$K891)*('env Parameter'!$C:$C=$L891),'env Parameter'!H:H,""),"")</f>
        <v>생물상 조사</v>
      </c>
      <c r="C891" s="10" cm="1">
        <f t="array" ref="C891">IFERROR(_xlfn.XLOOKUP(1,('env Parameter'!$A:$A=$A891)*('env Parameter'!$B:$B=$K891)*('env Parameter'!$C:$C=$L891),'env Parameter'!E:E,""),"")</f>
        <v>2.14</v>
      </c>
      <c r="D891" s="10" cm="1">
        <f t="array" ref="D891">IFERROR(_xlfn.XLOOKUP(1,('env Parameter'!$A:$A=$A891)*('env Parameter'!$B:$B=$K891)*('env Parameter'!$C:$C=$L891),'env Parameter'!F:F,""),"")</f>
        <v>478</v>
      </c>
      <c r="E891" s="10" cm="1">
        <f t="array" ref="E891">IFERROR(_xlfn.XLOOKUP(1,('env Parameter'!$A:$A=$A891)*('env Parameter'!$B:$B=$K891)*('env Parameter'!$C:$C=$L891),'env Parameter'!G:G,""),"")</f>
        <v>7.6</v>
      </c>
      <c r="F891" t="str">
        <f>eDNA!F891</f>
        <v>MiFish</v>
      </c>
      <c r="G891" t="str">
        <f>eDNA!D891</f>
        <v>Konosirus punctatus</v>
      </c>
      <c r="H891" t="str">
        <f>_xlfn.XLOOKUP(G891,'Common name (master file)'!$B:$B,'Common name (master file)'!$A:$A,"-------------")</f>
        <v>전어</v>
      </c>
      <c r="I891">
        <f>eDNA!E891</f>
        <v>14</v>
      </c>
      <c r="J891" t="str">
        <f>_xlfn.XLOOKUP(G891,'Common name (master file)'!$B:$B,'Common name (master file)'!$C:$C,"")</f>
        <v>어류</v>
      </c>
      <c r="K891">
        <f>eDNA!B891</f>
        <v>126.9866722</v>
      </c>
      <c r="L891">
        <f>eDNA!C891</f>
        <v>37.398721700000003</v>
      </c>
      <c r="M891" s="10" t="str" cm="1">
        <f t="array" ref="M891">IFERROR(_xlfn.XLOOKUP(1,('env Parameter'!$A:$A=$A891)*('env Parameter'!$B:$B=$K891)*('env Parameter'!$C:$C=$L891),'env Parameter'!D:D,""),"")</f>
        <v>안양천-30</v>
      </c>
      <c r="N891" s="10" t="str" cm="1">
        <f t="array" ref="N891">IFERROR(_xlfn.XLOOKUP(1,('env Parameter'!$A:$A=$A891)*('env Parameter'!$B:$B=$K891)*('env Parameter'!$C:$C=$L891),'env Parameter'!I:I,""),"")</f>
        <v>YR</v>
      </c>
    </row>
    <row r="892" spans="1:14">
      <c r="A892">
        <f>eDNA!A892</f>
        <v>20200916</v>
      </c>
      <c r="B892" s="10" t="str" cm="1">
        <f t="array" ref="B892">IFERROR(_xlfn.XLOOKUP(1,('env Parameter'!$A:$A=$A892)*('env Parameter'!$B:$B=$K892)*('env Parameter'!$C:$C=$L892),'env Parameter'!H:H,""),"")</f>
        <v>생물상 조사</v>
      </c>
      <c r="C892" s="10" cm="1">
        <f t="array" ref="C892">IFERROR(_xlfn.XLOOKUP(1,('env Parameter'!$A:$A=$A892)*('env Parameter'!$B:$B=$K892)*('env Parameter'!$C:$C=$L892),'env Parameter'!E:E,""),"")</f>
        <v>2.14</v>
      </c>
      <c r="D892" s="10" cm="1">
        <f t="array" ref="D892">IFERROR(_xlfn.XLOOKUP(1,('env Parameter'!$A:$A=$A892)*('env Parameter'!$B:$B=$K892)*('env Parameter'!$C:$C=$L892),'env Parameter'!F:F,""),"")</f>
        <v>478</v>
      </c>
      <c r="E892" s="10" cm="1">
        <f t="array" ref="E892">IFERROR(_xlfn.XLOOKUP(1,('env Parameter'!$A:$A=$A892)*('env Parameter'!$B:$B=$K892)*('env Parameter'!$C:$C=$L892),'env Parameter'!G:G,""),"")</f>
        <v>7.6</v>
      </c>
      <c r="F892" t="str">
        <f>eDNA!F892</f>
        <v>MiFish</v>
      </c>
      <c r="G892" t="str">
        <f>eDNA!D892</f>
        <v>Carassius cuvieri</v>
      </c>
      <c r="H892" t="str">
        <f>_xlfn.XLOOKUP(G892,'Common name (master file)'!$B:$B,'Common name (master file)'!$A:$A,"-------------")</f>
        <v>떡붕어</v>
      </c>
      <c r="I892">
        <f>eDNA!E892</f>
        <v>14</v>
      </c>
      <c r="J892" t="str">
        <f>_xlfn.XLOOKUP(G892,'Common name (master file)'!$B:$B,'Common name (master file)'!$C:$C,"")</f>
        <v>어류</v>
      </c>
      <c r="K892">
        <f>eDNA!B892</f>
        <v>126.9866722</v>
      </c>
      <c r="L892">
        <f>eDNA!C892</f>
        <v>37.398721700000003</v>
      </c>
      <c r="M892" s="10" t="str" cm="1">
        <f t="array" ref="M892">IFERROR(_xlfn.XLOOKUP(1,('env Parameter'!$A:$A=$A892)*('env Parameter'!$B:$B=$K892)*('env Parameter'!$C:$C=$L892),'env Parameter'!D:D,""),"")</f>
        <v>안양천-30</v>
      </c>
      <c r="N892" s="10" t="str" cm="1">
        <f t="array" ref="N892">IFERROR(_xlfn.XLOOKUP(1,('env Parameter'!$A:$A=$A892)*('env Parameter'!$B:$B=$K892)*('env Parameter'!$C:$C=$L892),'env Parameter'!I:I,""),"")</f>
        <v>YR</v>
      </c>
    </row>
    <row r="893" spans="1:14">
      <c r="A893">
        <f>eDNA!A893</f>
        <v>20200916</v>
      </c>
      <c r="B893" s="10" t="str" cm="1">
        <f t="array" ref="B893">IFERROR(_xlfn.XLOOKUP(1,('env Parameter'!$A:$A=$A893)*('env Parameter'!$B:$B=$K893)*('env Parameter'!$C:$C=$L893),'env Parameter'!H:H,""),"")</f>
        <v>생물상 조사</v>
      </c>
      <c r="C893" s="10" cm="1">
        <f t="array" ref="C893">IFERROR(_xlfn.XLOOKUP(1,('env Parameter'!$A:$A=$A893)*('env Parameter'!$B:$B=$K893)*('env Parameter'!$C:$C=$L893),'env Parameter'!E:E,""),"")</f>
        <v>2.14</v>
      </c>
      <c r="D893" s="10" cm="1">
        <f t="array" ref="D893">IFERROR(_xlfn.XLOOKUP(1,('env Parameter'!$A:$A=$A893)*('env Parameter'!$B:$B=$K893)*('env Parameter'!$C:$C=$L893),'env Parameter'!F:F,""),"")</f>
        <v>478</v>
      </c>
      <c r="E893" s="10" cm="1">
        <f t="array" ref="E893">IFERROR(_xlfn.XLOOKUP(1,('env Parameter'!$A:$A=$A893)*('env Parameter'!$B:$B=$K893)*('env Parameter'!$C:$C=$L893),'env Parameter'!G:G,""),"")</f>
        <v>7.6</v>
      </c>
      <c r="F893" t="str">
        <f>eDNA!F893</f>
        <v>MiFish</v>
      </c>
      <c r="G893" t="str">
        <f>eDNA!D893</f>
        <v>Rattus norvegicus</v>
      </c>
      <c r="H893" t="str">
        <f>_xlfn.XLOOKUP(G893,'Common name (master file)'!$B:$B,'Common name (master file)'!$A:$A,"-------------")</f>
        <v>시궁쥐</v>
      </c>
      <c r="I893">
        <f>eDNA!E893</f>
        <v>15</v>
      </c>
      <c r="J893" t="str">
        <f>_xlfn.XLOOKUP(G893,'Common name (master file)'!$B:$B,'Common name (master file)'!$C:$C,"")</f>
        <v>포유류</v>
      </c>
      <c r="K893">
        <f>eDNA!B893</f>
        <v>126.9866722</v>
      </c>
      <c r="L893">
        <f>eDNA!C893</f>
        <v>37.398721700000003</v>
      </c>
      <c r="M893" s="10" t="str" cm="1">
        <f t="array" ref="M893">IFERROR(_xlfn.XLOOKUP(1,('env Parameter'!$A:$A=$A893)*('env Parameter'!$B:$B=$K893)*('env Parameter'!$C:$C=$L893),'env Parameter'!D:D,""),"")</f>
        <v>안양천-30</v>
      </c>
      <c r="N893" s="10" t="str" cm="1">
        <f t="array" ref="N893">IFERROR(_xlfn.XLOOKUP(1,('env Parameter'!$A:$A=$A893)*('env Parameter'!$B:$B=$K893)*('env Parameter'!$C:$C=$L893),'env Parameter'!I:I,""),"")</f>
        <v>YR</v>
      </c>
    </row>
    <row r="894" spans="1:14">
      <c r="A894">
        <f>eDNA!A894</f>
        <v>20200916</v>
      </c>
      <c r="B894" s="10" t="str" cm="1">
        <f t="array" ref="B894">IFERROR(_xlfn.XLOOKUP(1,('env Parameter'!$A:$A=$A894)*('env Parameter'!$B:$B=$K894)*('env Parameter'!$C:$C=$L894),'env Parameter'!H:H,""),"")</f>
        <v>생물상 조사</v>
      </c>
      <c r="C894" s="10" cm="1">
        <f t="array" ref="C894">IFERROR(_xlfn.XLOOKUP(1,('env Parameter'!$A:$A=$A894)*('env Parameter'!$B:$B=$K894)*('env Parameter'!$C:$C=$L894),'env Parameter'!E:E,""),"")</f>
        <v>2.14</v>
      </c>
      <c r="D894" s="10" cm="1">
        <f t="array" ref="D894">IFERROR(_xlfn.XLOOKUP(1,('env Parameter'!$A:$A=$A894)*('env Parameter'!$B:$B=$K894)*('env Parameter'!$C:$C=$L894),'env Parameter'!F:F,""),"")</f>
        <v>478</v>
      </c>
      <c r="E894" s="10" cm="1">
        <f t="array" ref="E894">IFERROR(_xlfn.XLOOKUP(1,('env Parameter'!$A:$A=$A894)*('env Parameter'!$B:$B=$K894)*('env Parameter'!$C:$C=$L894),'env Parameter'!G:G,""),"")</f>
        <v>7.6</v>
      </c>
      <c r="F894" t="str">
        <f>eDNA!F894</f>
        <v>MiFish</v>
      </c>
      <c r="G894" t="str">
        <f>eDNA!D894</f>
        <v>Hemibarbus maculatus</v>
      </c>
      <c r="H894" t="str">
        <f>_xlfn.XLOOKUP(G894,'Common name (master file)'!$B:$B,'Common name (master file)'!$A:$A,"-------------")</f>
        <v>알락누치</v>
      </c>
      <c r="I894">
        <f>eDNA!E894</f>
        <v>17</v>
      </c>
      <c r="J894" t="str">
        <f>_xlfn.XLOOKUP(G894,'Common name (master file)'!$B:$B,'Common name (master file)'!$C:$C,"")</f>
        <v>어류</v>
      </c>
      <c r="K894">
        <f>eDNA!B894</f>
        <v>126.9866722</v>
      </c>
      <c r="L894">
        <f>eDNA!C894</f>
        <v>37.398721700000003</v>
      </c>
      <c r="M894" s="10" t="str" cm="1">
        <f t="array" ref="M894">IFERROR(_xlfn.XLOOKUP(1,('env Parameter'!$A:$A=$A894)*('env Parameter'!$B:$B=$K894)*('env Parameter'!$C:$C=$L894),'env Parameter'!D:D,""),"")</f>
        <v>안양천-30</v>
      </c>
      <c r="N894" s="10" t="str" cm="1">
        <f t="array" ref="N894">IFERROR(_xlfn.XLOOKUP(1,('env Parameter'!$A:$A=$A894)*('env Parameter'!$B:$B=$K894)*('env Parameter'!$C:$C=$L894),'env Parameter'!I:I,""),"")</f>
        <v>YR</v>
      </c>
    </row>
    <row r="895" spans="1:14">
      <c r="A895">
        <f>eDNA!A895</f>
        <v>20200916</v>
      </c>
      <c r="B895" s="10" t="str" cm="1">
        <f t="array" ref="B895">IFERROR(_xlfn.XLOOKUP(1,('env Parameter'!$A:$A=$A895)*('env Parameter'!$B:$B=$K895)*('env Parameter'!$C:$C=$L895),'env Parameter'!H:H,""),"")</f>
        <v>생물상 조사</v>
      </c>
      <c r="C895" s="10" cm="1">
        <f t="array" ref="C895">IFERROR(_xlfn.XLOOKUP(1,('env Parameter'!$A:$A=$A895)*('env Parameter'!$B:$B=$K895)*('env Parameter'!$C:$C=$L895),'env Parameter'!E:E,""),"")</f>
        <v>2.14</v>
      </c>
      <c r="D895" s="10" cm="1">
        <f t="array" ref="D895">IFERROR(_xlfn.XLOOKUP(1,('env Parameter'!$A:$A=$A895)*('env Parameter'!$B:$B=$K895)*('env Parameter'!$C:$C=$L895),'env Parameter'!F:F,""),"")</f>
        <v>478</v>
      </c>
      <c r="E895" s="10" cm="1">
        <f t="array" ref="E895">IFERROR(_xlfn.XLOOKUP(1,('env Parameter'!$A:$A=$A895)*('env Parameter'!$B:$B=$K895)*('env Parameter'!$C:$C=$L895),'env Parameter'!G:G,""),"")</f>
        <v>7.6</v>
      </c>
      <c r="F895" t="str">
        <f>eDNA!F895</f>
        <v>MiFish</v>
      </c>
      <c r="G895" t="str">
        <f>eDNA!D895</f>
        <v>Mus musculus</v>
      </c>
      <c r="H895" t="str">
        <f>_xlfn.XLOOKUP(G895,'Common name (master file)'!$B:$B,'Common name (master file)'!$A:$A,"-------------")</f>
        <v>생쥐</v>
      </c>
      <c r="I895">
        <f>eDNA!E895</f>
        <v>22</v>
      </c>
      <c r="J895" t="str">
        <f>_xlfn.XLOOKUP(G895,'Common name (master file)'!$B:$B,'Common name (master file)'!$C:$C,"")</f>
        <v>포유류</v>
      </c>
      <c r="K895">
        <f>eDNA!B895</f>
        <v>126.9866722</v>
      </c>
      <c r="L895">
        <f>eDNA!C895</f>
        <v>37.398721700000003</v>
      </c>
      <c r="M895" s="10" t="str" cm="1">
        <f t="array" ref="M895">IFERROR(_xlfn.XLOOKUP(1,('env Parameter'!$A:$A=$A895)*('env Parameter'!$B:$B=$K895)*('env Parameter'!$C:$C=$L895),'env Parameter'!D:D,""),"")</f>
        <v>안양천-30</v>
      </c>
      <c r="N895" s="10" t="str" cm="1">
        <f t="array" ref="N895">IFERROR(_xlfn.XLOOKUP(1,('env Parameter'!$A:$A=$A895)*('env Parameter'!$B:$B=$K895)*('env Parameter'!$C:$C=$L895),'env Parameter'!I:I,""),"")</f>
        <v>YR</v>
      </c>
    </row>
    <row r="896" spans="1:14">
      <c r="A896">
        <f>eDNA!A896</f>
        <v>20200916</v>
      </c>
      <c r="B896" s="10" t="str" cm="1">
        <f t="array" ref="B896">IFERROR(_xlfn.XLOOKUP(1,('env Parameter'!$A:$A=$A896)*('env Parameter'!$B:$B=$K896)*('env Parameter'!$C:$C=$L896),'env Parameter'!H:H,""),"")</f>
        <v>생물상 조사</v>
      </c>
      <c r="C896" s="10" cm="1">
        <f t="array" ref="C896">IFERROR(_xlfn.XLOOKUP(1,('env Parameter'!$A:$A=$A896)*('env Parameter'!$B:$B=$K896)*('env Parameter'!$C:$C=$L896),'env Parameter'!E:E,""),"")</f>
        <v>2.14</v>
      </c>
      <c r="D896" s="10" cm="1">
        <f t="array" ref="D896">IFERROR(_xlfn.XLOOKUP(1,('env Parameter'!$A:$A=$A896)*('env Parameter'!$B:$B=$K896)*('env Parameter'!$C:$C=$L896),'env Parameter'!F:F,""),"")</f>
        <v>478</v>
      </c>
      <c r="E896" s="10" cm="1">
        <f t="array" ref="E896">IFERROR(_xlfn.XLOOKUP(1,('env Parameter'!$A:$A=$A896)*('env Parameter'!$B:$B=$K896)*('env Parameter'!$C:$C=$L896),'env Parameter'!G:G,""),"")</f>
        <v>7.6</v>
      </c>
      <c r="F896" t="str">
        <f>eDNA!F896</f>
        <v>MiFish</v>
      </c>
      <c r="G896" t="str">
        <f>eDNA!D896</f>
        <v>Gnathopogon polytaenia</v>
      </c>
      <c r="H896" t="str">
        <f>_xlfn.XLOOKUP(G896,'Common name (master file)'!$B:$B,'Common name (master file)'!$A:$A,"-------------")</f>
        <v>폴리테니아 줄몰개</v>
      </c>
      <c r="I896">
        <f>eDNA!E896</f>
        <v>23</v>
      </c>
      <c r="J896" t="str">
        <f>_xlfn.XLOOKUP(G896,'Common name (master file)'!$B:$B,'Common name (master file)'!$C:$C,"")</f>
        <v>어류</v>
      </c>
      <c r="K896">
        <f>eDNA!B896</f>
        <v>126.9866722</v>
      </c>
      <c r="L896">
        <f>eDNA!C896</f>
        <v>37.398721700000003</v>
      </c>
      <c r="M896" s="10" t="str" cm="1">
        <f t="array" ref="M896">IFERROR(_xlfn.XLOOKUP(1,('env Parameter'!$A:$A=$A896)*('env Parameter'!$B:$B=$K896)*('env Parameter'!$C:$C=$L896),'env Parameter'!D:D,""),"")</f>
        <v>안양천-30</v>
      </c>
      <c r="N896" s="10" t="str" cm="1">
        <f t="array" ref="N896">IFERROR(_xlfn.XLOOKUP(1,('env Parameter'!$A:$A=$A896)*('env Parameter'!$B:$B=$K896)*('env Parameter'!$C:$C=$L896),'env Parameter'!I:I,""),"")</f>
        <v>YR</v>
      </c>
    </row>
    <row r="897" spans="1:14">
      <c r="A897">
        <f>eDNA!A897</f>
        <v>20200916</v>
      </c>
      <c r="B897" s="10" t="str" cm="1">
        <f t="array" ref="B897">IFERROR(_xlfn.XLOOKUP(1,('env Parameter'!$A:$A=$A897)*('env Parameter'!$B:$B=$K897)*('env Parameter'!$C:$C=$L897),'env Parameter'!H:H,""),"")</f>
        <v>생물상 조사</v>
      </c>
      <c r="C897" s="10" cm="1">
        <f t="array" ref="C897">IFERROR(_xlfn.XLOOKUP(1,('env Parameter'!$A:$A=$A897)*('env Parameter'!$B:$B=$K897)*('env Parameter'!$C:$C=$L897),'env Parameter'!E:E,""),"")</f>
        <v>2.14</v>
      </c>
      <c r="D897" s="10" cm="1">
        <f t="array" ref="D897">IFERROR(_xlfn.XLOOKUP(1,('env Parameter'!$A:$A=$A897)*('env Parameter'!$B:$B=$K897)*('env Parameter'!$C:$C=$L897),'env Parameter'!F:F,""),"")</f>
        <v>478</v>
      </c>
      <c r="E897" s="10" cm="1">
        <f t="array" ref="E897">IFERROR(_xlfn.XLOOKUP(1,('env Parameter'!$A:$A=$A897)*('env Parameter'!$B:$B=$K897)*('env Parameter'!$C:$C=$L897),'env Parameter'!G:G,""),"")</f>
        <v>7.6</v>
      </c>
      <c r="F897" t="str">
        <f>eDNA!F897</f>
        <v>MiFish</v>
      </c>
      <c r="G897" t="str">
        <f>eDNA!D897</f>
        <v>Tadorna tadorna</v>
      </c>
      <c r="H897" t="str">
        <f>_xlfn.XLOOKUP(G897,'Common name (master file)'!$B:$B,'Common name (master file)'!$A:$A,"-------------")</f>
        <v>혹부리오리</v>
      </c>
      <c r="I897">
        <f>eDNA!E897</f>
        <v>43</v>
      </c>
      <c r="J897" t="str">
        <f>_xlfn.XLOOKUP(G897,'Common name (master file)'!$B:$B,'Common name (master file)'!$C:$C,"")</f>
        <v>조류</v>
      </c>
      <c r="K897">
        <f>eDNA!B897</f>
        <v>126.9866722</v>
      </c>
      <c r="L897">
        <f>eDNA!C897</f>
        <v>37.398721700000003</v>
      </c>
      <c r="M897" s="10" t="str" cm="1">
        <f t="array" ref="M897">IFERROR(_xlfn.XLOOKUP(1,('env Parameter'!$A:$A=$A897)*('env Parameter'!$B:$B=$K897)*('env Parameter'!$C:$C=$L897),'env Parameter'!D:D,""),"")</f>
        <v>안양천-30</v>
      </c>
      <c r="N897" s="10" t="str" cm="1">
        <f t="array" ref="N897">IFERROR(_xlfn.XLOOKUP(1,('env Parameter'!$A:$A=$A897)*('env Parameter'!$B:$B=$K897)*('env Parameter'!$C:$C=$L897),'env Parameter'!I:I,""),"")</f>
        <v>YR</v>
      </c>
    </row>
    <row r="898" spans="1:14">
      <c r="A898">
        <f>eDNA!A898</f>
        <v>20200916</v>
      </c>
      <c r="B898" s="10" t="str" cm="1">
        <f t="array" ref="B898">IFERROR(_xlfn.XLOOKUP(1,('env Parameter'!$A:$A=$A898)*('env Parameter'!$B:$B=$K898)*('env Parameter'!$C:$C=$L898),'env Parameter'!H:H,""),"")</f>
        <v>생물상 조사</v>
      </c>
      <c r="C898" s="10" cm="1">
        <f t="array" ref="C898">IFERROR(_xlfn.XLOOKUP(1,('env Parameter'!$A:$A=$A898)*('env Parameter'!$B:$B=$K898)*('env Parameter'!$C:$C=$L898),'env Parameter'!E:E,""),"")</f>
        <v>2.14</v>
      </c>
      <c r="D898" s="10" cm="1">
        <f t="array" ref="D898">IFERROR(_xlfn.XLOOKUP(1,('env Parameter'!$A:$A=$A898)*('env Parameter'!$B:$B=$K898)*('env Parameter'!$C:$C=$L898),'env Parameter'!F:F,""),"")</f>
        <v>478</v>
      </c>
      <c r="E898" s="10" cm="1">
        <f t="array" ref="E898">IFERROR(_xlfn.XLOOKUP(1,('env Parameter'!$A:$A=$A898)*('env Parameter'!$B:$B=$K898)*('env Parameter'!$C:$C=$L898),'env Parameter'!G:G,""),"")</f>
        <v>7.6</v>
      </c>
      <c r="F898" t="str">
        <f>eDNA!F898</f>
        <v>MiFish</v>
      </c>
      <c r="G898" t="str">
        <f>eDNA!D898</f>
        <v>Carassius auratus</v>
      </c>
      <c r="H898" t="str">
        <f>_xlfn.XLOOKUP(G898,'Common name (master file)'!$B:$B,'Common name (master file)'!$A:$A,"-------------")</f>
        <v>붕어</v>
      </c>
      <c r="I898">
        <f>eDNA!E898</f>
        <v>46</v>
      </c>
      <c r="J898" t="str">
        <f>_xlfn.XLOOKUP(G898,'Common name (master file)'!$B:$B,'Common name (master file)'!$C:$C,"")</f>
        <v>어류</v>
      </c>
      <c r="K898">
        <f>eDNA!B898</f>
        <v>126.9866722</v>
      </c>
      <c r="L898">
        <f>eDNA!C898</f>
        <v>37.398721700000003</v>
      </c>
      <c r="M898" s="10" t="str" cm="1">
        <f t="array" ref="M898">IFERROR(_xlfn.XLOOKUP(1,('env Parameter'!$A:$A=$A898)*('env Parameter'!$B:$B=$K898)*('env Parameter'!$C:$C=$L898),'env Parameter'!D:D,""),"")</f>
        <v>안양천-30</v>
      </c>
      <c r="N898" s="10" t="str" cm="1">
        <f t="array" ref="N898">IFERROR(_xlfn.XLOOKUP(1,('env Parameter'!$A:$A=$A898)*('env Parameter'!$B:$B=$K898)*('env Parameter'!$C:$C=$L898),'env Parameter'!I:I,""),"")</f>
        <v>YR</v>
      </c>
    </row>
    <row r="899" spans="1:14">
      <c r="A899">
        <f>eDNA!A899</f>
        <v>20201024</v>
      </c>
      <c r="B899" s="10" t="str" cm="1">
        <f t="array" ref="B899">IFERROR(_xlfn.XLOOKUP(1,('env Parameter'!$A:$A=$A899)*('env Parameter'!$B:$B=$K899)*('env Parameter'!$C:$C=$L899),'env Parameter'!H:H,""),"")</f>
        <v>생물상 조사</v>
      </c>
      <c r="C899" s="10" cm="1">
        <f t="array" ref="C899">IFERROR(_xlfn.XLOOKUP(1,('env Parameter'!$A:$A=$A899)*('env Parameter'!$B:$B=$K899)*('env Parameter'!$C:$C=$L899),'env Parameter'!E:E,""),"")</f>
        <v>2.14</v>
      </c>
      <c r="D899" s="10" cm="1">
        <f t="array" ref="D899">IFERROR(_xlfn.XLOOKUP(1,('env Parameter'!$A:$A=$A899)*('env Parameter'!$B:$B=$K899)*('env Parameter'!$C:$C=$L899),'env Parameter'!F:F,""),"")</f>
        <v>478</v>
      </c>
      <c r="E899" s="10" cm="1">
        <f t="array" ref="E899">IFERROR(_xlfn.XLOOKUP(1,('env Parameter'!$A:$A=$A899)*('env Parameter'!$B:$B=$K899)*('env Parameter'!$C:$C=$L899),'env Parameter'!G:G,""),"")</f>
        <v>7.6</v>
      </c>
      <c r="F899" t="str">
        <f>eDNA!F899</f>
        <v>MiFish</v>
      </c>
      <c r="G899" t="str">
        <f>eDNA!D899</f>
        <v>Phasianus colchicus</v>
      </c>
      <c r="H899" t="str">
        <f>_xlfn.XLOOKUP(G899,'Common name (master file)'!$B:$B,'Common name (master file)'!$A:$A,"-------------")</f>
        <v>꿩</v>
      </c>
      <c r="I899">
        <f>eDNA!E899</f>
        <v>412</v>
      </c>
      <c r="J899" t="str">
        <f>_xlfn.XLOOKUP(G899,'Common name (master file)'!$B:$B,'Common name (master file)'!$C:$C,"")</f>
        <v>조류</v>
      </c>
      <c r="K899">
        <f>eDNA!B899</f>
        <v>126.9007862</v>
      </c>
      <c r="L899">
        <f>eDNA!C899</f>
        <v>37.438687899999998</v>
      </c>
      <c r="M899" s="10" t="str" cm="1">
        <f t="array" ref="M899">IFERROR(_xlfn.XLOOKUP(1,('env Parameter'!$A:$A=$A899)*('env Parameter'!$B:$B=$K899)*('env Parameter'!$C:$C=$L899),'env Parameter'!D:D,""),"")</f>
        <v>안양천-8</v>
      </c>
      <c r="N899" s="10" t="str" cm="1">
        <f t="array" ref="N899">IFERROR(_xlfn.XLOOKUP(1,('env Parameter'!$A:$A=$A899)*('env Parameter'!$B:$B=$K899)*('env Parameter'!$C:$C=$L899),'env Parameter'!I:I,""),"")</f>
        <v>YR</v>
      </c>
    </row>
    <row r="900" spans="1:14">
      <c r="A900">
        <f>eDNA!A900</f>
        <v>20201024</v>
      </c>
      <c r="B900" s="10" t="str" cm="1">
        <f t="array" ref="B900">IFERROR(_xlfn.XLOOKUP(1,('env Parameter'!$A:$A=$A900)*('env Parameter'!$B:$B=$K900)*('env Parameter'!$C:$C=$L900),'env Parameter'!H:H,""),"")</f>
        <v>생물상 조사</v>
      </c>
      <c r="C900" s="10" cm="1">
        <f t="array" ref="C900">IFERROR(_xlfn.XLOOKUP(1,('env Parameter'!$A:$A=$A900)*('env Parameter'!$B:$B=$K900)*('env Parameter'!$C:$C=$L900),'env Parameter'!E:E,""),"")</f>
        <v>2.14</v>
      </c>
      <c r="D900" s="10" cm="1">
        <f t="array" ref="D900">IFERROR(_xlfn.XLOOKUP(1,('env Parameter'!$A:$A=$A900)*('env Parameter'!$B:$B=$K900)*('env Parameter'!$C:$C=$L900),'env Parameter'!F:F,""),"")</f>
        <v>478</v>
      </c>
      <c r="E900" s="10" cm="1">
        <f t="array" ref="E900">IFERROR(_xlfn.XLOOKUP(1,('env Parameter'!$A:$A=$A900)*('env Parameter'!$B:$B=$K900)*('env Parameter'!$C:$C=$L900),'env Parameter'!G:G,""),"")</f>
        <v>7.6</v>
      </c>
      <c r="F900" t="str">
        <f>eDNA!F900</f>
        <v>MiFish</v>
      </c>
      <c r="G900" t="str">
        <f>eDNA!D900</f>
        <v>Phasianus colchicus</v>
      </c>
      <c r="H900" t="str">
        <f>_xlfn.XLOOKUP(G900,'Common name (master file)'!$B:$B,'Common name (master file)'!$A:$A,"-------------")</f>
        <v>꿩</v>
      </c>
      <c r="I900">
        <f>eDNA!E900</f>
        <v>362</v>
      </c>
      <c r="J900" t="str">
        <f>_xlfn.XLOOKUP(G900,'Common name (master file)'!$B:$B,'Common name (master file)'!$C:$C,"")</f>
        <v>조류</v>
      </c>
      <c r="K900">
        <f>eDNA!B900</f>
        <v>126.8772417</v>
      </c>
      <c r="L900">
        <f>eDNA!C900</f>
        <v>37.474826299999997</v>
      </c>
      <c r="M900" s="10" t="str" cm="1">
        <f t="array" ref="M900">IFERROR(_xlfn.XLOOKUP(1,('env Parameter'!$A:$A=$A900)*('env Parameter'!$B:$B=$K900)*('env Parameter'!$C:$C=$L900),'env Parameter'!D:D,""),"")</f>
        <v>안양천-10</v>
      </c>
      <c r="N900" s="10" t="str" cm="1">
        <f t="array" ref="N900">IFERROR(_xlfn.XLOOKUP(1,('env Parameter'!$A:$A=$A900)*('env Parameter'!$B:$B=$K900)*('env Parameter'!$C:$C=$L900),'env Parameter'!I:I,""),"")</f>
        <v>YR</v>
      </c>
    </row>
    <row r="901" spans="1:14">
      <c r="A901">
        <f>eDNA!A901</f>
        <v>20200916</v>
      </c>
      <c r="B901" s="10" t="str" cm="1">
        <f t="array" ref="B901">IFERROR(_xlfn.XLOOKUP(1,('env Parameter'!$A:$A=$A901)*('env Parameter'!$B:$B=$K901)*('env Parameter'!$C:$C=$L901),'env Parameter'!H:H,""),"")</f>
        <v>생물상 조사</v>
      </c>
      <c r="C901" s="10" cm="1">
        <f t="array" ref="C901">IFERROR(_xlfn.XLOOKUP(1,('env Parameter'!$A:$A=$A901)*('env Parameter'!$B:$B=$K901)*('env Parameter'!$C:$C=$L901),'env Parameter'!E:E,""),"")</f>
        <v>2.14</v>
      </c>
      <c r="D901" s="10" cm="1">
        <f t="array" ref="D901">IFERROR(_xlfn.XLOOKUP(1,('env Parameter'!$A:$A=$A901)*('env Parameter'!$B:$B=$K901)*('env Parameter'!$C:$C=$L901),'env Parameter'!F:F,""),"")</f>
        <v>478</v>
      </c>
      <c r="E901" s="10" cm="1">
        <f t="array" ref="E901">IFERROR(_xlfn.XLOOKUP(1,('env Parameter'!$A:$A=$A901)*('env Parameter'!$B:$B=$K901)*('env Parameter'!$C:$C=$L901),'env Parameter'!G:G,""),"")</f>
        <v>7.6</v>
      </c>
      <c r="F901" t="str">
        <f>eDNA!F901</f>
        <v>MiFish</v>
      </c>
      <c r="G901" t="str">
        <f>eDNA!D901</f>
        <v>Misgurnus bipartitus</v>
      </c>
      <c r="H901" t="str">
        <f>_xlfn.XLOOKUP(G901,'Common name (master file)'!$B:$B,'Common name (master file)'!$A:$A,"-------------")</f>
        <v>쌍무늬미꾸리</v>
      </c>
      <c r="I901">
        <f>eDNA!E901</f>
        <v>117</v>
      </c>
      <c r="J901" t="str">
        <f>_xlfn.XLOOKUP(G901,'Common name (master file)'!$B:$B,'Common name (master file)'!$C:$C,"")</f>
        <v>어류</v>
      </c>
      <c r="K901">
        <f>eDNA!B901</f>
        <v>126.9866722</v>
      </c>
      <c r="L901">
        <f>eDNA!C901</f>
        <v>37.398721700000003</v>
      </c>
      <c r="M901" s="10" t="str" cm="1">
        <f t="array" ref="M901">IFERROR(_xlfn.XLOOKUP(1,('env Parameter'!$A:$A=$A901)*('env Parameter'!$B:$B=$K901)*('env Parameter'!$C:$C=$L901),'env Parameter'!D:D,""),"")</f>
        <v>안양천-30</v>
      </c>
      <c r="N901" s="10" t="str" cm="1">
        <f t="array" ref="N901">IFERROR(_xlfn.XLOOKUP(1,('env Parameter'!$A:$A=$A901)*('env Parameter'!$B:$B=$K901)*('env Parameter'!$C:$C=$L901),'env Parameter'!I:I,""),"")</f>
        <v>YR</v>
      </c>
    </row>
    <row r="902" spans="1:14">
      <c r="A902">
        <f>eDNA!A902</f>
        <v>20200916</v>
      </c>
      <c r="B902" s="10" t="str" cm="1">
        <f t="array" ref="B902">IFERROR(_xlfn.XLOOKUP(1,('env Parameter'!$A:$A=$A902)*('env Parameter'!$B:$B=$K902)*('env Parameter'!$C:$C=$L902),'env Parameter'!H:H,""),"")</f>
        <v>생물상 조사</v>
      </c>
      <c r="C902" s="10" cm="1">
        <f t="array" ref="C902">IFERROR(_xlfn.XLOOKUP(1,('env Parameter'!$A:$A=$A902)*('env Parameter'!$B:$B=$K902)*('env Parameter'!$C:$C=$L902),'env Parameter'!E:E,""),"")</f>
        <v>2.14</v>
      </c>
      <c r="D902" s="10" cm="1">
        <f t="array" ref="D902">IFERROR(_xlfn.XLOOKUP(1,('env Parameter'!$A:$A=$A902)*('env Parameter'!$B:$B=$K902)*('env Parameter'!$C:$C=$L902),'env Parameter'!F:F,""),"")</f>
        <v>478</v>
      </c>
      <c r="E902" s="10" cm="1">
        <f t="array" ref="E902">IFERROR(_xlfn.XLOOKUP(1,('env Parameter'!$A:$A=$A902)*('env Parameter'!$B:$B=$K902)*('env Parameter'!$C:$C=$L902),'env Parameter'!G:G,""),"")</f>
        <v>7.6</v>
      </c>
      <c r="F902" t="str">
        <f>eDNA!F902</f>
        <v>MiFish</v>
      </c>
      <c r="G902" t="str">
        <f>eDNA!D902</f>
        <v>Pelodiscus sinensis</v>
      </c>
      <c r="H902" t="str">
        <f>_xlfn.XLOOKUP(G902,'Common name (master file)'!$B:$B,'Common name (master file)'!$A:$A,"-------------")</f>
        <v>중국자라</v>
      </c>
      <c r="I902">
        <f>eDNA!E902</f>
        <v>118</v>
      </c>
      <c r="J902" t="str">
        <f>_xlfn.XLOOKUP(G902,'Common name (master file)'!$B:$B,'Common name (master file)'!$C:$C,"")</f>
        <v>양서파충류</v>
      </c>
      <c r="K902">
        <f>eDNA!B902</f>
        <v>126.9866722</v>
      </c>
      <c r="L902">
        <f>eDNA!C902</f>
        <v>37.398721700000003</v>
      </c>
      <c r="M902" s="10" t="str" cm="1">
        <f t="array" ref="M902">IFERROR(_xlfn.XLOOKUP(1,('env Parameter'!$A:$A=$A902)*('env Parameter'!$B:$B=$K902)*('env Parameter'!$C:$C=$L902),'env Parameter'!D:D,""),"")</f>
        <v>안양천-30</v>
      </c>
      <c r="N902" s="10" t="str" cm="1">
        <f t="array" ref="N902">IFERROR(_xlfn.XLOOKUP(1,('env Parameter'!$A:$A=$A902)*('env Parameter'!$B:$B=$K902)*('env Parameter'!$C:$C=$L902),'env Parameter'!I:I,""),"")</f>
        <v>YR</v>
      </c>
    </row>
    <row r="903" spans="1:14">
      <c r="A903">
        <f>eDNA!A903</f>
        <v>20201024</v>
      </c>
      <c r="B903" s="10" t="str" cm="1">
        <f t="array" ref="B903">IFERROR(_xlfn.XLOOKUP(1,('env Parameter'!$A:$A=$A903)*('env Parameter'!$B:$B=$K903)*('env Parameter'!$C:$C=$L903),'env Parameter'!H:H,""),"")</f>
        <v>생물상 조사</v>
      </c>
      <c r="C903" s="10" cm="1">
        <f t="array" ref="C903">IFERROR(_xlfn.XLOOKUP(1,('env Parameter'!$A:$A=$A903)*('env Parameter'!$B:$B=$K903)*('env Parameter'!$C:$C=$L903),'env Parameter'!E:E,""),"")</f>
        <v>2.14</v>
      </c>
      <c r="D903" s="10" cm="1">
        <f t="array" ref="D903">IFERROR(_xlfn.XLOOKUP(1,('env Parameter'!$A:$A=$A903)*('env Parameter'!$B:$B=$K903)*('env Parameter'!$C:$C=$L903),'env Parameter'!F:F,""),"")</f>
        <v>478</v>
      </c>
      <c r="E903" s="10" cm="1">
        <f t="array" ref="E903">IFERROR(_xlfn.XLOOKUP(1,('env Parameter'!$A:$A=$A903)*('env Parameter'!$B:$B=$K903)*('env Parameter'!$C:$C=$L903),'env Parameter'!G:G,""),"")</f>
        <v>7.6</v>
      </c>
      <c r="F903" t="str">
        <f>eDNA!F903</f>
        <v>MiFish</v>
      </c>
      <c r="G903" t="str">
        <f>eDNA!D903</f>
        <v>Phasianus colchicus</v>
      </c>
      <c r="H903" t="str">
        <f>_xlfn.XLOOKUP(G903,'Common name (master file)'!$B:$B,'Common name (master file)'!$A:$A,"-------------")</f>
        <v>꿩</v>
      </c>
      <c r="I903">
        <f>eDNA!E903</f>
        <v>528</v>
      </c>
      <c r="J903" t="str">
        <f>_xlfn.XLOOKUP(G903,'Common name (master file)'!$B:$B,'Common name (master file)'!$C:$C,"")</f>
        <v>조류</v>
      </c>
      <c r="K903">
        <f>eDNA!B903</f>
        <v>126.82462289999999</v>
      </c>
      <c r="L903">
        <f>eDNA!C903</f>
        <v>37.470256399999997</v>
      </c>
      <c r="M903" s="10" t="str" cm="1">
        <f t="array" ref="M903">IFERROR(_xlfn.XLOOKUP(1,('env Parameter'!$A:$A=$A903)*('env Parameter'!$B:$B=$K903)*('env Parameter'!$C:$C=$L903),'env Parameter'!D:D,""),"")</f>
        <v>옥길천</v>
      </c>
      <c r="N903" s="10" t="str" cm="1">
        <f t="array" ref="N903">IFERROR(_xlfn.XLOOKUP(1,('env Parameter'!$A:$A=$A903)*('env Parameter'!$B:$B=$K903)*('env Parameter'!$C:$C=$L903),'env Parameter'!I:I,""),"")</f>
        <v>YR</v>
      </c>
    </row>
    <row r="904" spans="1:14">
      <c r="A904">
        <f>eDNA!A904</f>
        <v>20200916</v>
      </c>
      <c r="B904" s="10" t="str" cm="1">
        <f t="array" ref="B904">IFERROR(_xlfn.XLOOKUP(1,('env Parameter'!$A:$A=$A904)*('env Parameter'!$B:$B=$K904)*('env Parameter'!$C:$C=$L904),'env Parameter'!H:H,""),"")</f>
        <v>생물상 조사</v>
      </c>
      <c r="C904" s="10" cm="1">
        <f t="array" ref="C904">IFERROR(_xlfn.XLOOKUP(1,('env Parameter'!$A:$A=$A904)*('env Parameter'!$B:$B=$K904)*('env Parameter'!$C:$C=$L904),'env Parameter'!E:E,""),"")</f>
        <v>2.14</v>
      </c>
      <c r="D904" s="10" cm="1">
        <f t="array" ref="D904">IFERROR(_xlfn.XLOOKUP(1,('env Parameter'!$A:$A=$A904)*('env Parameter'!$B:$B=$K904)*('env Parameter'!$C:$C=$L904),'env Parameter'!F:F,""),"")</f>
        <v>478</v>
      </c>
      <c r="E904" s="10" cm="1">
        <f t="array" ref="E904">IFERROR(_xlfn.XLOOKUP(1,('env Parameter'!$A:$A=$A904)*('env Parameter'!$B:$B=$K904)*('env Parameter'!$C:$C=$L904),'env Parameter'!G:G,""),"")</f>
        <v>7.6</v>
      </c>
      <c r="F904" t="str">
        <f>eDNA!F904</f>
        <v>MiFish</v>
      </c>
      <c r="G904" t="str">
        <f>eDNA!D904</f>
        <v>Bos taurus</v>
      </c>
      <c r="H904" t="str">
        <f>_xlfn.XLOOKUP(G904,'Common name (master file)'!$B:$B,'Common name (master file)'!$A:$A,"-------------")</f>
        <v>소</v>
      </c>
      <c r="I904">
        <f>eDNA!E904</f>
        <v>134</v>
      </c>
      <c r="J904" t="str">
        <f>_xlfn.XLOOKUP(G904,'Common name (master file)'!$B:$B,'Common name (master file)'!$C:$C,"")</f>
        <v>포유류</v>
      </c>
      <c r="K904">
        <f>eDNA!B904</f>
        <v>126.9866722</v>
      </c>
      <c r="L904">
        <f>eDNA!C904</f>
        <v>37.398721700000003</v>
      </c>
      <c r="M904" s="10" t="str" cm="1">
        <f t="array" ref="M904">IFERROR(_xlfn.XLOOKUP(1,('env Parameter'!$A:$A=$A904)*('env Parameter'!$B:$B=$K904)*('env Parameter'!$C:$C=$L904),'env Parameter'!D:D,""),"")</f>
        <v>안양천-30</v>
      </c>
      <c r="N904" s="10" t="str" cm="1">
        <f t="array" ref="N904">IFERROR(_xlfn.XLOOKUP(1,('env Parameter'!$A:$A=$A904)*('env Parameter'!$B:$B=$K904)*('env Parameter'!$C:$C=$L904),'env Parameter'!I:I,""),"")</f>
        <v>YR</v>
      </c>
    </row>
    <row r="905" spans="1:14">
      <c r="A905">
        <f>eDNA!A905</f>
        <v>20200916</v>
      </c>
      <c r="B905" s="10" t="str" cm="1">
        <f t="array" ref="B905">IFERROR(_xlfn.XLOOKUP(1,('env Parameter'!$A:$A=$A905)*('env Parameter'!$B:$B=$K905)*('env Parameter'!$C:$C=$L905),'env Parameter'!H:H,""),"")</f>
        <v>생물상 조사</v>
      </c>
      <c r="C905" s="10" cm="1">
        <f t="array" ref="C905">IFERROR(_xlfn.XLOOKUP(1,('env Parameter'!$A:$A=$A905)*('env Parameter'!$B:$B=$K905)*('env Parameter'!$C:$C=$L905),'env Parameter'!E:E,""),"")</f>
        <v>2.14</v>
      </c>
      <c r="D905" s="10" cm="1">
        <f t="array" ref="D905">IFERROR(_xlfn.XLOOKUP(1,('env Parameter'!$A:$A=$A905)*('env Parameter'!$B:$B=$K905)*('env Parameter'!$C:$C=$L905),'env Parameter'!F:F,""),"")</f>
        <v>478</v>
      </c>
      <c r="E905" s="10" cm="1">
        <f t="array" ref="E905">IFERROR(_xlfn.XLOOKUP(1,('env Parameter'!$A:$A=$A905)*('env Parameter'!$B:$B=$K905)*('env Parameter'!$C:$C=$L905),'env Parameter'!G:G,""),"")</f>
        <v>7.6</v>
      </c>
      <c r="F905" t="str">
        <f>eDNA!F905</f>
        <v>MiFish</v>
      </c>
      <c r="G905" t="str">
        <f>eDNA!D905</f>
        <v>Nyctereutes procyonoides</v>
      </c>
      <c r="H905" t="str">
        <f>_xlfn.XLOOKUP(G905,'Common name (master file)'!$B:$B,'Common name (master file)'!$A:$A,"-------------")</f>
        <v>너구리</v>
      </c>
      <c r="I905">
        <f>eDNA!E905</f>
        <v>128</v>
      </c>
      <c r="J905" t="str">
        <f>_xlfn.XLOOKUP(G905,'Common name (master file)'!$B:$B,'Common name (master file)'!$C:$C,"")</f>
        <v>포유류</v>
      </c>
      <c r="K905">
        <f>eDNA!B905</f>
        <v>126.9866722</v>
      </c>
      <c r="L905">
        <f>eDNA!C905</f>
        <v>37.398721700000003</v>
      </c>
      <c r="M905" s="10" t="str" cm="1">
        <f t="array" ref="M905">IFERROR(_xlfn.XLOOKUP(1,('env Parameter'!$A:$A=$A905)*('env Parameter'!$B:$B=$K905)*('env Parameter'!$C:$C=$L905),'env Parameter'!D:D,""),"")</f>
        <v>안양천-30</v>
      </c>
      <c r="N905" s="10" t="str" cm="1">
        <f t="array" ref="N905">IFERROR(_xlfn.XLOOKUP(1,('env Parameter'!$A:$A=$A905)*('env Parameter'!$B:$B=$K905)*('env Parameter'!$C:$C=$L905),'env Parameter'!I:I,""),"")</f>
        <v>YR</v>
      </c>
    </row>
    <row r="906" spans="1:14">
      <c r="A906">
        <f>eDNA!A906</f>
        <v>20200916</v>
      </c>
      <c r="B906" s="10" t="str" cm="1">
        <f t="array" ref="B906">IFERROR(_xlfn.XLOOKUP(1,('env Parameter'!$A:$A=$A906)*('env Parameter'!$B:$B=$K906)*('env Parameter'!$C:$C=$L906),'env Parameter'!H:H,""),"")</f>
        <v>생물상 조사</v>
      </c>
      <c r="C906" s="10" cm="1">
        <f t="array" ref="C906">IFERROR(_xlfn.XLOOKUP(1,('env Parameter'!$A:$A=$A906)*('env Parameter'!$B:$B=$K906)*('env Parameter'!$C:$C=$L906),'env Parameter'!E:E,""),"")</f>
        <v>2.14</v>
      </c>
      <c r="D906" s="10" cm="1">
        <f t="array" ref="D906">IFERROR(_xlfn.XLOOKUP(1,('env Parameter'!$A:$A=$A906)*('env Parameter'!$B:$B=$K906)*('env Parameter'!$C:$C=$L906),'env Parameter'!F:F,""),"")</f>
        <v>478</v>
      </c>
      <c r="E906" s="10" cm="1">
        <f t="array" ref="E906">IFERROR(_xlfn.XLOOKUP(1,('env Parameter'!$A:$A=$A906)*('env Parameter'!$B:$B=$K906)*('env Parameter'!$C:$C=$L906),'env Parameter'!G:G,""),"")</f>
        <v>7.6</v>
      </c>
      <c r="F906" t="str">
        <f>eDNA!F906</f>
        <v>MiFish</v>
      </c>
      <c r="G906" t="str">
        <f>eDNA!D906</f>
        <v>Homo sapiens</v>
      </c>
      <c r="H906" t="str">
        <f>_xlfn.XLOOKUP(G906,'Common name (master file)'!$B:$B,'Common name (master file)'!$A:$A,"-------------")</f>
        <v>사람</v>
      </c>
      <c r="I906">
        <f>eDNA!E906</f>
        <v>190</v>
      </c>
      <c r="J906" t="str">
        <f>_xlfn.XLOOKUP(G906,'Common name (master file)'!$B:$B,'Common name (master file)'!$C:$C,"")</f>
        <v>포유류</v>
      </c>
      <c r="K906">
        <f>eDNA!B906</f>
        <v>126.9866722</v>
      </c>
      <c r="L906">
        <f>eDNA!C906</f>
        <v>37.398721700000003</v>
      </c>
      <c r="M906" s="10" t="str" cm="1">
        <f t="array" ref="M906">IFERROR(_xlfn.XLOOKUP(1,('env Parameter'!$A:$A=$A906)*('env Parameter'!$B:$B=$K906)*('env Parameter'!$C:$C=$L906),'env Parameter'!D:D,""),"")</f>
        <v>안양천-30</v>
      </c>
      <c r="N906" s="10" t="str" cm="1">
        <f t="array" ref="N906">IFERROR(_xlfn.XLOOKUP(1,('env Parameter'!$A:$A=$A906)*('env Parameter'!$B:$B=$K906)*('env Parameter'!$C:$C=$L906),'env Parameter'!I:I,""),"")</f>
        <v>YR</v>
      </c>
    </row>
    <row r="907" spans="1:14">
      <c r="A907">
        <f>eDNA!A907</f>
        <v>20200916</v>
      </c>
      <c r="B907" s="10" t="str" cm="1">
        <f t="array" ref="B907">IFERROR(_xlfn.XLOOKUP(1,('env Parameter'!$A:$A=$A907)*('env Parameter'!$B:$B=$K907)*('env Parameter'!$C:$C=$L907),'env Parameter'!H:H,""),"")</f>
        <v>생물상 조사</v>
      </c>
      <c r="C907" s="10" cm="1">
        <f t="array" ref="C907">IFERROR(_xlfn.XLOOKUP(1,('env Parameter'!$A:$A=$A907)*('env Parameter'!$B:$B=$K907)*('env Parameter'!$C:$C=$L907),'env Parameter'!E:E,""),"")</f>
        <v>2.14</v>
      </c>
      <c r="D907" s="10" cm="1">
        <f t="array" ref="D907">IFERROR(_xlfn.XLOOKUP(1,('env Parameter'!$A:$A=$A907)*('env Parameter'!$B:$B=$K907)*('env Parameter'!$C:$C=$L907),'env Parameter'!F:F,""),"")</f>
        <v>478</v>
      </c>
      <c r="E907" s="10" cm="1">
        <f t="array" ref="E907">IFERROR(_xlfn.XLOOKUP(1,('env Parameter'!$A:$A=$A907)*('env Parameter'!$B:$B=$K907)*('env Parameter'!$C:$C=$L907),'env Parameter'!G:G,""),"")</f>
        <v>7.6</v>
      </c>
      <c r="F907" t="str">
        <f>eDNA!F907</f>
        <v>MiFish</v>
      </c>
      <c r="G907" t="str">
        <f>eDNA!D907</f>
        <v>Carassius sp.</v>
      </c>
      <c r="H907" t="str">
        <f>_xlfn.XLOOKUP(G907,'Common name (master file)'!$B:$B,'Common name (master file)'!$A:$A,"-------------")</f>
        <v>붕어 속</v>
      </c>
      <c r="I907">
        <f>eDNA!E907</f>
        <v>579</v>
      </c>
      <c r="J907" t="str">
        <f>_xlfn.XLOOKUP(G907,'Common name (master file)'!$B:$B,'Common name (master file)'!$C:$C,"")</f>
        <v>어류</v>
      </c>
      <c r="K907">
        <f>eDNA!B907</f>
        <v>126.9866722</v>
      </c>
      <c r="L907">
        <f>eDNA!C907</f>
        <v>37.398721700000003</v>
      </c>
      <c r="M907" s="10" t="str" cm="1">
        <f t="array" ref="M907">IFERROR(_xlfn.XLOOKUP(1,('env Parameter'!$A:$A=$A907)*('env Parameter'!$B:$B=$K907)*('env Parameter'!$C:$C=$L907),'env Parameter'!D:D,""),"")</f>
        <v>안양천-30</v>
      </c>
      <c r="N907" s="10" t="str" cm="1">
        <f t="array" ref="N907">IFERROR(_xlfn.XLOOKUP(1,('env Parameter'!$A:$A=$A907)*('env Parameter'!$B:$B=$K907)*('env Parameter'!$C:$C=$L907),'env Parameter'!I:I,""),"")</f>
        <v>YR</v>
      </c>
    </row>
    <row r="908" spans="1:14">
      <c r="A908">
        <f>eDNA!A908</f>
        <v>20200916</v>
      </c>
      <c r="B908" s="10" t="str" cm="1">
        <f t="array" ref="B908">IFERROR(_xlfn.XLOOKUP(1,('env Parameter'!$A:$A=$A908)*('env Parameter'!$B:$B=$K908)*('env Parameter'!$C:$C=$L908),'env Parameter'!H:H,""),"")</f>
        <v>생물상 조사</v>
      </c>
      <c r="C908" s="10" cm="1">
        <f t="array" ref="C908">IFERROR(_xlfn.XLOOKUP(1,('env Parameter'!$A:$A=$A908)*('env Parameter'!$B:$B=$K908)*('env Parameter'!$C:$C=$L908),'env Parameter'!E:E,""),"")</f>
        <v>2.14</v>
      </c>
      <c r="D908" s="10" cm="1">
        <f t="array" ref="D908">IFERROR(_xlfn.XLOOKUP(1,('env Parameter'!$A:$A=$A908)*('env Parameter'!$B:$B=$K908)*('env Parameter'!$C:$C=$L908),'env Parameter'!F:F,""),"")</f>
        <v>478</v>
      </c>
      <c r="E908" s="10" cm="1">
        <f t="array" ref="E908">IFERROR(_xlfn.XLOOKUP(1,('env Parameter'!$A:$A=$A908)*('env Parameter'!$B:$B=$K908)*('env Parameter'!$C:$C=$L908),'env Parameter'!G:G,""),"")</f>
        <v>7.6</v>
      </c>
      <c r="F908" t="str">
        <f>eDNA!F908</f>
        <v>MiFish</v>
      </c>
      <c r="G908" t="str">
        <f>eDNA!D908</f>
        <v>Hemibarbus sp.</v>
      </c>
      <c r="H908" t="str">
        <f>_xlfn.XLOOKUP(G908,'Common name (master file)'!$B:$B,'Common name (master file)'!$A:$A,"-------------")</f>
        <v>누치 속</v>
      </c>
      <c r="I908">
        <f>eDNA!E908</f>
        <v>728</v>
      </c>
      <c r="J908" t="str">
        <f>_xlfn.XLOOKUP(G908,'Common name (master file)'!$B:$B,'Common name (master file)'!$C:$C,"")</f>
        <v>어류</v>
      </c>
      <c r="K908">
        <f>eDNA!B908</f>
        <v>126.9866722</v>
      </c>
      <c r="L908">
        <f>eDNA!C908</f>
        <v>37.398721700000003</v>
      </c>
      <c r="M908" s="10" t="str" cm="1">
        <f t="array" ref="M908">IFERROR(_xlfn.XLOOKUP(1,('env Parameter'!$A:$A=$A908)*('env Parameter'!$B:$B=$K908)*('env Parameter'!$C:$C=$L908),'env Parameter'!D:D,""),"")</f>
        <v>안양천-30</v>
      </c>
      <c r="N908" s="10" t="str" cm="1">
        <f t="array" ref="N908">IFERROR(_xlfn.XLOOKUP(1,('env Parameter'!$A:$A=$A908)*('env Parameter'!$B:$B=$K908)*('env Parameter'!$C:$C=$L908),'env Parameter'!I:I,""),"")</f>
        <v>YR</v>
      </c>
    </row>
    <row r="909" spans="1:14">
      <c r="A909">
        <f>eDNA!A909</f>
        <v>20200916</v>
      </c>
      <c r="B909" s="10" t="str" cm="1">
        <f t="array" ref="B909">IFERROR(_xlfn.XLOOKUP(1,('env Parameter'!$A:$A=$A909)*('env Parameter'!$B:$B=$K909)*('env Parameter'!$C:$C=$L909),'env Parameter'!H:H,""),"")</f>
        <v>생물상 조사</v>
      </c>
      <c r="C909" s="10" cm="1">
        <f t="array" ref="C909">IFERROR(_xlfn.XLOOKUP(1,('env Parameter'!$A:$A=$A909)*('env Parameter'!$B:$B=$K909)*('env Parameter'!$C:$C=$L909),'env Parameter'!E:E,""),"")</f>
        <v>2.14</v>
      </c>
      <c r="D909" s="10" cm="1">
        <f t="array" ref="D909">IFERROR(_xlfn.XLOOKUP(1,('env Parameter'!$A:$A=$A909)*('env Parameter'!$B:$B=$K909)*('env Parameter'!$C:$C=$L909),'env Parameter'!F:F,""),"")</f>
        <v>478</v>
      </c>
      <c r="E909" s="10" cm="1">
        <f t="array" ref="E909">IFERROR(_xlfn.XLOOKUP(1,('env Parameter'!$A:$A=$A909)*('env Parameter'!$B:$B=$K909)*('env Parameter'!$C:$C=$L909),'env Parameter'!G:G,""),"")</f>
        <v>7.6</v>
      </c>
      <c r="F909" t="str">
        <f>eDNA!F909</f>
        <v>MiFish</v>
      </c>
      <c r="G909" t="str">
        <f>eDNA!D909</f>
        <v>Gnathopogon strigatus</v>
      </c>
      <c r="H909" t="str">
        <f>_xlfn.XLOOKUP(G909,'Common name (master file)'!$B:$B,'Common name (master file)'!$A:$A,"-------------")</f>
        <v>줄몰개</v>
      </c>
      <c r="I909">
        <f>eDNA!E909</f>
        <v>658</v>
      </c>
      <c r="J909" t="str">
        <f>_xlfn.XLOOKUP(G909,'Common name (master file)'!$B:$B,'Common name (master file)'!$C:$C,"")</f>
        <v>어류</v>
      </c>
      <c r="K909">
        <f>eDNA!B909</f>
        <v>126.9866722</v>
      </c>
      <c r="L909">
        <f>eDNA!C909</f>
        <v>37.398721700000003</v>
      </c>
      <c r="M909" s="10" t="str" cm="1">
        <f t="array" ref="M909">IFERROR(_xlfn.XLOOKUP(1,('env Parameter'!$A:$A=$A909)*('env Parameter'!$B:$B=$K909)*('env Parameter'!$C:$C=$L909),'env Parameter'!D:D,""),"")</f>
        <v>안양천-30</v>
      </c>
      <c r="N909" s="10" t="str" cm="1">
        <f t="array" ref="N909">IFERROR(_xlfn.XLOOKUP(1,('env Parameter'!$A:$A=$A909)*('env Parameter'!$B:$B=$K909)*('env Parameter'!$C:$C=$L909),'env Parameter'!I:I,""),"")</f>
        <v>YR</v>
      </c>
    </row>
    <row r="910" spans="1:14">
      <c r="A910">
        <f>eDNA!A910</f>
        <v>20200916</v>
      </c>
      <c r="B910" s="10" t="str" cm="1">
        <f t="array" ref="B910">IFERROR(_xlfn.XLOOKUP(1,('env Parameter'!$A:$A=$A910)*('env Parameter'!$B:$B=$K910)*('env Parameter'!$C:$C=$L910),'env Parameter'!H:H,""),"")</f>
        <v>생물상 조사</v>
      </c>
      <c r="C910" s="10" cm="1">
        <f t="array" ref="C910">IFERROR(_xlfn.XLOOKUP(1,('env Parameter'!$A:$A=$A910)*('env Parameter'!$B:$B=$K910)*('env Parameter'!$C:$C=$L910),'env Parameter'!E:E,""),"")</f>
        <v>2.14</v>
      </c>
      <c r="D910" s="10" cm="1">
        <f t="array" ref="D910">IFERROR(_xlfn.XLOOKUP(1,('env Parameter'!$A:$A=$A910)*('env Parameter'!$B:$B=$K910)*('env Parameter'!$C:$C=$L910),'env Parameter'!F:F,""),"")</f>
        <v>478</v>
      </c>
      <c r="E910" s="10" cm="1">
        <f t="array" ref="E910">IFERROR(_xlfn.XLOOKUP(1,('env Parameter'!$A:$A=$A910)*('env Parameter'!$B:$B=$K910)*('env Parameter'!$C:$C=$L910),'env Parameter'!G:G,""),"")</f>
        <v>7.6</v>
      </c>
      <c r="F910" t="str">
        <f>eDNA!F910</f>
        <v>MiFish</v>
      </c>
      <c r="G910" t="str">
        <f>eDNA!D910</f>
        <v>Lepomis macrochirus</v>
      </c>
      <c r="H910" t="str">
        <f>_xlfn.XLOOKUP(G910,'Common name (master file)'!$B:$B,'Common name (master file)'!$A:$A,"-------------")</f>
        <v>블루길</v>
      </c>
      <c r="I910">
        <f>eDNA!E910</f>
        <v>731</v>
      </c>
      <c r="J910" t="str">
        <f>_xlfn.XLOOKUP(G910,'Common name (master file)'!$B:$B,'Common name (master file)'!$C:$C,"")</f>
        <v>어류</v>
      </c>
      <c r="K910">
        <f>eDNA!B910</f>
        <v>126.9866722</v>
      </c>
      <c r="L910">
        <f>eDNA!C910</f>
        <v>37.398721700000003</v>
      </c>
      <c r="M910" s="10" t="str" cm="1">
        <f t="array" ref="M910">IFERROR(_xlfn.XLOOKUP(1,('env Parameter'!$A:$A=$A910)*('env Parameter'!$B:$B=$K910)*('env Parameter'!$C:$C=$L910),'env Parameter'!D:D,""),"")</f>
        <v>안양천-30</v>
      </c>
      <c r="N910" s="10" t="str" cm="1">
        <f t="array" ref="N910">IFERROR(_xlfn.XLOOKUP(1,('env Parameter'!$A:$A=$A910)*('env Parameter'!$B:$B=$K910)*('env Parameter'!$C:$C=$L910),'env Parameter'!I:I,""),"")</f>
        <v>YR</v>
      </c>
    </row>
    <row r="911" spans="1:14">
      <c r="A911">
        <f>eDNA!A911</f>
        <v>20200916</v>
      </c>
      <c r="B911" s="10" t="str" cm="1">
        <f t="array" ref="B911">IFERROR(_xlfn.XLOOKUP(1,('env Parameter'!$A:$A=$A911)*('env Parameter'!$B:$B=$K911)*('env Parameter'!$C:$C=$L911),'env Parameter'!H:H,""),"")</f>
        <v>생물상 조사</v>
      </c>
      <c r="C911" s="10" cm="1">
        <f t="array" ref="C911">IFERROR(_xlfn.XLOOKUP(1,('env Parameter'!$A:$A=$A911)*('env Parameter'!$B:$B=$K911)*('env Parameter'!$C:$C=$L911),'env Parameter'!E:E,""),"")</f>
        <v>2.14</v>
      </c>
      <c r="D911" s="10" cm="1">
        <f t="array" ref="D911">IFERROR(_xlfn.XLOOKUP(1,('env Parameter'!$A:$A=$A911)*('env Parameter'!$B:$B=$K911)*('env Parameter'!$C:$C=$L911),'env Parameter'!F:F,""),"")</f>
        <v>478</v>
      </c>
      <c r="E911" s="10" cm="1">
        <f t="array" ref="E911">IFERROR(_xlfn.XLOOKUP(1,('env Parameter'!$A:$A=$A911)*('env Parameter'!$B:$B=$K911)*('env Parameter'!$C:$C=$L911),'env Parameter'!G:G,""),"")</f>
        <v>7.6</v>
      </c>
      <c r="F911" t="str">
        <f>eDNA!F911</f>
        <v>MiFish</v>
      </c>
      <c r="G911" t="str">
        <f>eDNA!D911</f>
        <v>Cyprinus carpio</v>
      </c>
      <c r="H911" t="str">
        <f>_xlfn.XLOOKUP(G911,'Common name (master file)'!$B:$B,'Common name (master file)'!$A:$A,"-------------")</f>
        <v>잉어</v>
      </c>
      <c r="I911">
        <f>eDNA!E911</f>
        <v>776</v>
      </c>
      <c r="J911" t="str">
        <f>_xlfn.XLOOKUP(G911,'Common name (master file)'!$B:$B,'Common name (master file)'!$C:$C,"")</f>
        <v>어류</v>
      </c>
      <c r="K911">
        <f>eDNA!B911</f>
        <v>126.9866722</v>
      </c>
      <c r="L911">
        <f>eDNA!C911</f>
        <v>37.398721700000003</v>
      </c>
      <c r="M911" s="10" t="str" cm="1">
        <f t="array" ref="M911">IFERROR(_xlfn.XLOOKUP(1,('env Parameter'!$A:$A=$A911)*('env Parameter'!$B:$B=$K911)*('env Parameter'!$C:$C=$L911),'env Parameter'!D:D,""),"")</f>
        <v>안양천-30</v>
      </c>
      <c r="N911" s="10" t="str" cm="1">
        <f t="array" ref="N911">IFERROR(_xlfn.XLOOKUP(1,('env Parameter'!$A:$A=$A911)*('env Parameter'!$B:$B=$K911)*('env Parameter'!$C:$C=$L911),'env Parameter'!I:I,""),"")</f>
        <v>YR</v>
      </c>
    </row>
    <row r="912" spans="1:14">
      <c r="A912">
        <f>eDNA!A912</f>
        <v>20200916</v>
      </c>
      <c r="B912" s="10" t="str" cm="1">
        <f t="array" ref="B912">IFERROR(_xlfn.XLOOKUP(1,('env Parameter'!$A:$A=$A912)*('env Parameter'!$B:$B=$K912)*('env Parameter'!$C:$C=$L912),'env Parameter'!H:H,""),"")</f>
        <v>생물상 조사</v>
      </c>
      <c r="C912" s="10" cm="1">
        <f t="array" ref="C912">IFERROR(_xlfn.XLOOKUP(1,('env Parameter'!$A:$A=$A912)*('env Parameter'!$B:$B=$K912)*('env Parameter'!$C:$C=$L912),'env Parameter'!E:E,""),"")</f>
        <v>2.14</v>
      </c>
      <c r="D912" s="10" cm="1">
        <f t="array" ref="D912">IFERROR(_xlfn.XLOOKUP(1,('env Parameter'!$A:$A=$A912)*('env Parameter'!$B:$B=$K912)*('env Parameter'!$C:$C=$L912),'env Parameter'!F:F,""),"")</f>
        <v>478</v>
      </c>
      <c r="E912" s="10" cm="1">
        <f t="array" ref="E912">IFERROR(_xlfn.XLOOKUP(1,('env Parameter'!$A:$A=$A912)*('env Parameter'!$B:$B=$K912)*('env Parameter'!$C:$C=$L912),'env Parameter'!G:G,""),"")</f>
        <v>7.6</v>
      </c>
      <c r="F912" t="str">
        <f>eDNA!F912</f>
        <v>MiFish</v>
      </c>
      <c r="G912" t="str">
        <f>eDNA!D912</f>
        <v>Misgurnus mizolepis</v>
      </c>
      <c r="H912" t="str">
        <f>_xlfn.XLOOKUP(G912,'Common name (master file)'!$B:$B,'Common name (master file)'!$A:$A,"-------------")</f>
        <v>미꾸라지</v>
      </c>
      <c r="I912">
        <f>eDNA!E912</f>
        <v>1580</v>
      </c>
      <c r="J912" t="str">
        <f>_xlfn.XLOOKUP(G912,'Common name (master file)'!$B:$B,'Common name (master file)'!$C:$C,"")</f>
        <v>어류</v>
      </c>
      <c r="K912">
        <f>eDNA!B912</f>
        <v>126.9866722</v>
      </c>
      <c r="L912">
        <f>eDNA!C912</f>
        <v>37.398721700000003</v>
      </c>
      <c r="M912" s="10" t="str" cm="1">
        <f t="array" ref="M912">IFERROR(_xlfn.XLOOKUP(1,('env Parameter'!$A:$A=$A912)*('env Parameter'!$B:$B=$K912)*('env Parameter'!$C:$C=$L912),'env Parameter'!D:D,""),"")</f>
        <v>안양천-30</v>
      </c>
      <c r="N912" s="10" t="str" cm="1">
        <f t="array" ref="N912">IFERROR(_xlfn.XLOOKUP(1,('env Parameter'!$A:$A=$A912)*('env Parameter'!$B:$B=$K912)*('env Parameter'!$C:$C=$L912),'env Parameter'!I:I,""),"")</f>
        <v>YR</v>
      </c>
    </row>
    <row r="913" spans="1:14">
      <c r="A913">
        <f>eDNA!A913</f>
        <v>20200916</v>
      </c>
      <c r="B913" s="10" t="str" cm="1">
        <f t="array" ref="B913">IFERROR(_xlfn.XLOOKUP(1,('env Parameter'!$A:$A=$A913)*('env Parameter'!$B:$B=$K913)*('env Parameter'!$C:$C=$L913),'env Parameter'!H:H,""),"")</f>
        <v>생물상 조사</v>
      </c>
      <c r="C913" s="10" cm="1">
        <f t="array" ref="C913">IFERROR(_xlfn.XLOOKUP(1,('env Parameter'!$A:$A=$A913)*('env Parameter'!$B:$B=$K913)*('env Parameter'!$C:$C=$L913),'env Parameter'!E:E,""),"")</f>
        <v>2.14</v>
      </c>
      <c r="D913" s="10" cm="1">
        <f t="array" ref="D913">IFERROR(_xlfn.XLOOKUP(1,('env Parameter'!$A:$A=$A913)*('env Parameter'!$B:$B=$K913)*('env Parameter'!$C:$C=$L913),'env Parameter'!F:F,""),"")</f>
        <v>478</v>
      </c>
      <c r="E913" s="10" cm="1">
        <f t="array" ref="E913">IFERROR(_xlfn.XLOOKUP(1,('env Parameter'!$A:$A=$A913)*('env Parameter'!$B:$B=$K913)*('env Parameter'!$C:$C=$L913),'env Parameter'!G:G,""),"")</f>
        <v>7.6</v>
      </c>
      <c r="F913" t="str">
        <f>eDNA!F913</f>
        <v>MiFish</v>
      </c>
      <c r="G913" t="str">
        <f>eDNA!D913</f>
        <v>Rhinogobius sp.</v>
      </c>
      <c r="H913" t="str">
        <f>_xlfn.XLOOKUP(G913,'Common name (master file)'!$B:$B,'Common name (master file)'!$A:$A,"-------------")</f>
        <v>밀어</v>
      </c>
      <c r="I913">
        <f>eDNA!E913</f>
        <v>1621</v>
      </c>
      <c r="J913" t="str">
        <f>_xlfn.XLOOKUP(G913,'Common name (master file)'!$B:$B,'Common name (master file)'!$C:$C,"")</f>
        <v>어류</v>
      </c>
      <c r="K913">
        <f>eDNA!B913</f>
        <v>126.9866722</v>
      </c>
      <c r="L913">
        <f>eDNA!C913</f>
        <v>37.398721700000003</v>
      </c>
      <c r="M913" s="10" t="str" cm="1">
        <f t="array" ref="M913">IFERROR(_xlfn.XLOOKUP(1,('env Parameter'!$A:$A=$A913)*('env Parameter'!$B:$B=$K913)*('env Parameter'!$C:$C=$L913),'env Parameter'!D:D,""),"")</f>
        <v>안양천-30</v>
      </c>
      <c r="N913" s="10" t="str" cm="1">
        <f t="array" ref="N913">IFERROR(_xlfn.XLOOKUP(1,('env Parameter'!$A:$A=$A913)*('env Parameter'!$B:$B=$K913)*('env Parameter'!$C:$C=$L913),'env Parameter'!I:I,""),"")</f>
        <v>YR</v>
      </c>
    </row>
    <row r="914" spans="1:14">
      <c r="A914">
        <f>eDNA!A914</f>
        <v>20200916</v>
      </c>
      <c r="B914" s="10" t="str" cm="1">
        <f t="array" ref="B914">IFERROR(_xlfn.XLOOKUP(1,('env Parameter'!$A:$A=$A914)*('env Parameter'!$B:$B=$K914)*('env Parameter'!$C:$C=$L914),'env Parameter'!H:H,""),"")</f>
        <v>생물상 조사</v>
      </c>
      <c r="C914" s="10" cm="1">
        <f t="array" ref="C914">IFERROR(_xlfn.XLOOKUP(1,('env Parameter'!$A:$A=$A914)*('env Parameter'!$B:$B=$K914)*('env Parameter'!$C:$C=$L914),'env Parameter'!E:E,""),"")</f>
        <v>2.14</v>
      </c>
      <c r="D914" s="10" cm="1">
        <f t="array" ref="D914">IFERROR(_xlfn.XLOOKUP(1,('env Parameter'!$A:$A=$A914)*('env Parameter'!$B:$B=$K914)*('env Parameter'!$C:$C=$L914),'env Parameter'!F:F,""),"")</f>
        <v>478</v>
      </c>
      <c r="E914" s="10" cm="1">
        <f t="array" ref="E914">IFERROR(_xlfn.XLOOKUP(1,('env Parameter'!$A:$A=$A914)*('env Parameter'!$B:$B=$K914)*('env Parameter'!$C:$C=$L914),'env Parameter'!G:G,""),"")</f>
        <v>7.6</v>
      </c>
      <c r="F914" t="str">
        <f>eDNA!F914</f>
        <v>MiFish</v>
      </c>
      <c r="G914" t="str">
        <f>eDNA!D914</f>
        <v>Channa argus</v>
      </c>
      <c r="H914" t="str">
        <f>_xlfn.XLOOKUP(G914,'Common name (master file)'!$B:$B,'Common name (master file)'!$A:$A,"-------------")</f>
        <v>가물치</v>
      </c>
      <c r="I914">
        <f>eDNA!E914</f>
        <v>2338</v>
      </c>
      <c r="J914" t="str">
        <f>_xlfn.XLOOKUP(G914,'Common name (master file)'!$B:$B,'Common name (master file)'!$C:$C,"")</f>
        <v>어류</v>
      </c>
      <c r="K914">
        <f>eDNA!B914</f>
        <v>126.9866722</v>
      </c>
      <c r="L914">
        <f>eDNA!C914</f>
        <v>37.398721700000003</v>
      </c>
      <c r="M914" s="10" t="str" cm="1">
        <f t="array" ref="M914">IFERROR(_xlfn.XLOOKUP(1,('env Parameter'!$A:$A=$A914)*('env Parameter'!$B:$B=$K914)*('env Parameter'!$C:$C=$L914),'env Parameter'!D:D,""),"")</f>
        <v>안양천-30</v>
      </c>
      <c r="N914" s="10" t="str" cm="1">
        <f t="array" ref="N914">IFERROR(_xlfn.XLOOKUP(1,('env Parameter'!$A:$A=$A914)*('env Parameter'!$B:$B=$K914)*('env Parameter'!$C:$C=$L914),'env Parameter'!I:I,""),"")</f>
        <v>YR</v>
      </c>
    </row>
    <row r="915" spans="1:14">
      <c r="A915">
        <f>eDNA!A915</f>
        <v>20200916</v>
      </c>
      <c r="B915" s="10" t="str" cm="1">
        <f t="array" ref="B915">IFERROR(_xlfn.XLOOKUP(1,('env Parameter'!$A:$A=$A915)*('env Parameter'!$B:$B=$K915)*('env Parameter'!$C:$C=$L915),'env Parameter'!H:H,""),"")</f>
        <v>생물상 조사</v>
      </c>
      <c r="C915" s="10" cm="1">
        <f t="array" ref="C915">IFERROR(_xlfn.XLOOKUP(1,('env Parameter'!$A:$A=$A915)*('env Parameter'!$B:$B=$K915)*('env Parameter'!$C:$C=$L915),'env Parameter'!E:E,""),"")</f>
        <v>2.14</v>
      </c>
      <c r="D915" s="10" cm="1">
        <f t="array" ref="D915">IFERROR(_xlfn.XLOOKUP(1,('env Parameter'!$A:$A=$A915)*('env Parameter'!$B:$B=$K915)*('env Parameter'!$C:$C=$L915),'env Parameter'!F:F,""),"")</f>
        <v>478</v>
      </c>
      <c r="E915" s="10" cm="1">
        <f t="array" ref="E915">IFERROR(_xlfn.XLOOKUP(1,('env Parameter'!$A:$A=$A915)*('env Parameter'!$B:$B=$K915)*('env Parameter'!$C:$C=$L915),'env Parameter'!G:G,""),"")</f>
        <v>7.6</v>
      </c>
      <c r="F915" t="str">
        <f>eDNA!F915</f>
        <v>MiFish</v>
      </c>
      <c r="G915" t="str">
        <f>eDNA!D915</f>
        <v>Micropterus salmoides</v>
      </c>
      <c r="H915" t="str">
        <f>_xlfn.XLOOKUP(G915,'Common name (master file)'!$B:$B,'Common name (master file)'!$A:$A,"-------------")</f>
        <v>큰입배스</v>
      </c>
      <c r="I915">
        <f>eDNA!E915</f>
        <v>2746</v>
      </c>
      <c r="J915" t="str">
        <f>_xlfn.XLOOKUP(G915,'Common name (master file)'!$B:$B,'Common name (master file)'!$C:$C,"")</f>
        <v>어류</v>
      </c>
      <c r="K915">
        <f>eDNA!B915</f>
        <v>126.9866722</v>
      </c>
      <c r="L915">
        <f>eDNA!C915</f>
        <v>37.398721700000003</v>
      </c>
      <c r="M915" s="10" t="str" cm="1">
        <f t="array" ref="M915">IFERROR(_xlfn.XLOOKUP(1,('env Parameter'!$A:$A=$A915)*('env Parameter'!$B:$B=$K915)*('env Parameter'!$C:$C=$L915),'env Parameter'!D:D,""),"")</f>
        <v>안양천-30</v>
      </c>
      <c r="N915" s="10" t="str" cm="1">
        <f t="array" ref="N915">IFERROR(_xlfn.XLOOKUP(1,('env Parameter'!$A:$A=$A915)*('env Parameter'!$B:$B=$K915)*('env Parameter'!$C:$C=$L915),'env Parameter'!I:I,""),"")</f>
        <v>YR</v>
      </c>
    </row>
    <row r="916" spans="1:14">
      <c r="A916">
        <f>eDNA!A916</f>
        <v>20200916</v>
      </c>
      <c r="B916" s="10" t="str" cm="1">
        <f t="array" ref="B916">IFERROR(_xlfn.XLOOKUP(1,('env Parameter'!$A:$A=$A916)*('env Parameter'!$B:$B=$K916)*('env Parameter'!$C:$C=$L916),'env Parameter'!H:H,""),"")</f>
        <v>생물상 조사</v>
      </c>
      <c r="C916" s="10" cm="1">
        <f t="array" ref="C916">IFERROR(_xlfn.XLOOKUP(1,('env Parameter'!$A:$A=$A916)*('env Parameter'!$B:$B=$K916)*('env Parameter'!$C:$C=$L916),'env Parameter'!E:E,""),"")</f>
        <v>2.14</v>
      </c>
      <c r="D916" s="10" cm="1">
        <f t="array" ref="D916">IFERROR(_xlfn.XLOOKUP(1,('env Parameter'!$A:$A=$A916)*('env Parameter'!$B:$B=$K916)*('env Parameter'!$C:$C=$L916),'env Parameter'!F:F,""),"")</f>
        <v>478</v>
      </c>
      <c r="E916" s="10" cm="1">
        <f t="array" ref="E916">IFERROR(_xlfn.XLOOKUP(1,('env Parameter'!$A:$A=$A916)*('env Parameter'!$B:$B=$K916)*('env Parameter'!$C:$C=$L916),'env Parameter'!G:G,""),"")</f>
        <v>7.6</v>
      </c>
      <c r="F916" t="str">
        <f>eDNA!F916</f>
        <v>MiFish</v>
      </c>
      <c r="G916" t="str">
        <f>eDNA!D916</f>
        <v>Rhinogobius giurinus</v>
      </c>
      <c r="H916" t="str">
        <f>_xlfn.XLOOKUP(G916,'Common name (master file)'!$B:$B,'Common name (master file)'!$A:$A,"-------------")</f>
        <v>갈문망둑</v>
      </c>
      <c r="I916">
        <f>eDNA!E916</f>
        <v>2057</v>
      </c>
      <c r="J916" t="str">
        <f>_xlfn.XLOOKUP(G916,'Common name (master file)'!$B:$B,'Common name (master file)'!$C:$C,"")</f>
        <v>어류</v>
      </c>
      <c r="K916">
        <f>eDNA!B916</f>
        <v>126.9866722</v>
      </c>
      <c r="L916">
        <f>eDNA!C916</f>
        <v>37.398721700000003</v>
      </c>
      <c r="M916" s="10" t="str" cm="1">
        <f t="array" ref="M916">IFERROR(_xlfn.XLOOKUP(1,('env Parameter'!$A:$A=$A916)*('env Parameter'!$B:$B=$K916)*('env Parameter'!$C:$C=$L916),'env Parameter'!D:D,""),"")</f>
        <v>안양천-30</v>
      </c>
      <c r="N916" s="10" t="str" cm="1">
        <f t="array" ref="N916">IFERROR(_xlfn.XLOOKUP(1,('env Parameter'!$A:$A=$A916)*('env Parameter'!$B:$B=$K916)*('env Parameter'!$C:$C=$L916),'env Parameter'!I:I,""),"")</f>
        <v>YR</v>
      </c>
    </row>
    <row r="917" spans="1:14">
      <c r="A917">
        <f>eDNA!A917</f>
        <v>20200916</v>
      </c>
      <c r="B917" s="10" t="str" cm="1">
        <f t="array" ref="B917">IFERROR(_xlfn.XLOOKUP(1,('env Parameter'!$A:$A=$A917)*('env Parameter'!$B:$B=$K917)*('env Parameter'!$C:$C=$L917),'env Parameter'!H:H,""),"")</f>
        <v>생물상 조사</v>
      </c>
      <c r="C917" s="10" cm="1">
        <f t="array" ref="C917">IFERROR(_xlfn.XLOOKUP(1,('env Parameter'!$A:$A=$A917)*('env Parameter'!$B:$B=$K917)*('env Parameter'!$C:$C=$L917),'env Parameter'!E:E,""),"")</f>
        <v>2.14</v>
      </c>
      <c r="D917" s="10" cm="1">
        <f t="array" ref="D917">IFERROR(_xlfn.XLOOKUP(1,('env Parameter'!$A:$A=$A917)*('env Parameter'!$B:$B=$K917)*('env Parameter'!$C:$C=$L917),'env Parameter'!F:F,""),"")</f>
        <v>478</v>
      </c>
      <c r="E917" s="10" cm="1">
        <f t="array" ref="E917">IFERROR(_xlfn.XLOOKUP(1,('env Parameter'!$A:$A=$A917)*('env Parameter'!$B:$B=$K917)*('env Parameter'!$C:$C=$L917),'env Parameter'!G:G,""),"")</f>
        <v>7.6</v>
      </c>
      <c r="F917" t="str">
        <f>eDNA!F917</f>
        <v>MiFish</v>
      </c>
      <c r="G917" t="str">
        <f>eDNA!D917</f>
        <v>Pseudogobio esocinus</v>
      </c>
      <c r="H917" t="str">
        <f>_xlfn.XLOOKUP(G917,'Common name (master file)'!$B:$B,'Common name (master file)'!$A:$A,"-------------")</f>
        <v>모래무지</v>
      </c>
      <c r="I917">
        <f>eDNA!E917</f>
        <v>2988</v>
      </c>
      <c r="J917" t="str">
        <f>_xlfn.XLOOKUP(G917,'Common name (master file)'!$B:$B,'Common name (master file)'!$C:$C,"")</f>
        <v>어류</v>
      </c>
      <c r="K917">
        <f>eDNA!B917</f>
        <v>126.9866722</v>
      </c>
      <c r="L917">
        <f>eDNA!C917</f>
        <v>37.398721700000003</v>
      </c>
      <c r="M917" s="10" t="str" cm="1">
        <f t="array" ref="M917">IFERROR(_xlfn.XLOOKUP(1,('env Parameter'!$A:$A=$A917)*('env Parameter'!$B:$B=$K917)*('env Parameter'!$C:$C=$L917),'env Parameter'!D:D,""),"")</f>
        <v>안양천-30</v>
      </c>
      <c r="N917" s="10" t="str" cm="1">
        <f t="array" ref="N917">IFERROR(_xlfn.XLOOKUP(1,('env Parameter'!$A:$A=$A917)*('env Parameter'!$B:$B=$K917)*('env Parameter'!$C:$C=$L917),'env Parameter'!I:I,""),"")</f>
        <v>YR</v>
      </c>
    </row>
    <row r="918" spans="1:14">
      <c r="A918">
        <f>eDNA!A918</f>
        <v>20200916</v>
      </c>
      <c r="B918" s="10" t="str" cm="1">
        <f t="array" ref="B918">IFERROR(_xlfn.XLOOKUP(1,('env Parameter'!$A:$A=$A918)*('env Parameter'!$B:$B=$K918)*('env Parameter'!$C:$C=$L918),'env Parameter'!H:H,""),"")</f>
        <v>생물상 조사</v>
      </c>
      <c r="C918" s="10" cm="1">
        <f t="array" ref="C918">IFERROR(_xlfn.XLOOKUP(1,('env Parameter'!$A:$A=$A918)*('env Parameter'!$B:$B=$K918)*('env Parameter'!$C:$C=$L918),'env Parameter'!E:E,""),"")</f>
        <v>2.14</v>
      </c>
      <c r="D918" s="10" cm="1">
        <f t="array" ref="D918">IFERROR(_xlfn.XLOOKUP(1,('env Parameter'!$A:$A=$A918)*('env Parameter'!$B:$B=$K918)*('env Parameter'!$C:$C=$L918),'env Parameter'!F:F,""),"")</f>
        <v>478</v>
      </c>
      <c r="E918" s="10" cm="1">
        <f t="array" ref="E918">IFERROR(_xlfn.XLOOKUP(1,('env Parameter'!$A:$A=$A918)*('env Parameter'!$B:$B=$K918)*('env Parameter'!$C:$C=$L918),'env Parameter'!G:G,""),"")</f>
        <v>7.6</v>
      </c>
      <c r="F918" t="str">
        <f>eDNA!F918</f>
        <v>MiFish</v>
      </c>
      <c r="G918" t="str">
        <f>eDNA!D918</f>
        <v>Rhynchocypris oxycephalus</v>
      </c>
      <c r="H918" t="str">
        <f>_xlfn.XLOOKUP(G918,'Common name (master file)'!$B:$B,'Common name (master file)'!$A:$A,"-------------")</f>
        <v>버들치</v>
      </c>
      <c r="I918">
        <f>eDNA!E918</f>
        <v>2929</v>
      </c>
      <c r="J918" t="str">
        <f>_xlfn.XLOOKUP(G918,'Common name (master file)'!$B:$B,'Common name (master file)'!$C:$C,"")</f>
        <v>어류</v>
      </c>
      <c r="K918">
        <f>eDNA!B918</f>
        <v>126.9866722</v>
      </c>
      <c r="L918">
        <f>eDNA!C918</f>
        <v>37.398721700000003</v>
      </c>
      <c r="M918" s="10" t="str" cm="1">
        <f t="array" ref="M918">IFERROR(_xlfn.XLOOKUP(1,('env Parameter'!$A:$A=$A918)*('env Parameter'!$B:$B=$K918)*('env Parameter'!$C:$C=$L918),'env Parameter'!D:D,""),"")</f>
        <v>안양천-30</v>
      </c>
      <c r="N918" s="10" t="str" cm="1">
        <f t="array" ref="N918">IFERROR(_xlfn.XLOOKUP(1,('env Parameter'!$A:$A=$A918)*('env Parameter'!$B:$B=$K918)*('env Parameter'!$C:$C=$L918),'env Parameter'!I:I,""),"")</f>
        <v>YR</v>
      </c>
    </row>
    <row r="919" spans="1:14">
      <c r="A919">
        <f>eDNA!A919</f>
        <v>20200916</v>
      </c>
      <c r="B919" s="10" t="str" cm="1">
        <f t="array" ref="B919">IFERROR(_xlfn.XLOOKUP(1,('env Parameter'!$A:$A=$A919)*('env Parameter'!$B:$B=$K919)*('env Parameter'!$C:$C=$L919),'env Parameter'!H:H,""),"")</f>
        <v>생물상 조사</v>
      </c>
      <c r="C919" s="10" cm="1">
        <f t="array" ref="C919">IFERROR(_xlfn.XLOOKUP(1,('env Parameter'!$A:$A=$A919)*('env Parameter'!$B:$B=$K919)*('env Parameter'!$C:$C=$L919),'env Parameter'!E:E,""),"")</f>
        <v>2.14</v>
      </c>
      <c r="D919" s="10" cm="1">
        <f t="array" ref="D919">IFERROR(_xlfn.XLOOKUP(1,('env Parameter'!$A:$A=$A919)*('env Parameter'!$B:$B=$K919)*('env Parameter'!$C:$C=$L919),'env Parameter'!F:F,""),"")</f>
        <v>478</v>
      </c>
      <c r="E919" s="10" cm="1">
        <f t="array" ref="E919">IFERROR(_xlfn.XLOOKUP(1,('env Parameter'!$A:$A=$A919)*('env Parameter'!$B:$B=$K919)*('env Parameter'!$C:$C=$L919),'env Parameter'!G:G,""),"")</f>
        <v>7.6</v>
      </c>
      <c r="F919" t="str">
        <f>eDNA!F919</f>
        <v>MiFish</v>
      </c>
      <c r="G919" t="str">
        <f>eDNA!D919</f>
        <v>Silurus soldatovi</v>
      </c>
      <c r="H919" t="str">
        <f>_xlfn.XLOOKUP(G919,'Common name (master file)'!$B:$B,'Common name (master file)'!$A:$A,"-------------")</f>
        <v>솔다토비 메기</v>
      </c>
      <c r="I919">
        <f>eDNA!E919</f>
        <v>3363</v>
      </c>
      <c r="J919" t="str">
        <f>_xlfn.XLOOKUP(G919,'Common name (master file)'!$B:$B,'Common name (master file)'!$C:$C,"")</f>
        <v>어류</v>
      </c>
      <c r="K919">
        <f>eDNA!B919</f>
        <v>126.9866722</v>
      </c>
      <c r="L919">
        <f>eDNA!C919</f>
        <v>37.398721700000003</v>
      </c>
      <c r="M919" s="10" t="str" cm="1">
        <f t="array" ref="M919">IFERROR(_xlfn.XLOOKUP(1,('env Parameter'!$A:$A=$A919)*('env Parameter'!$B:$B=$K919)*('env Parameter'!$C:$C=$L919),'env Parameter'!D:D,""),"")</f>
        <v>안양천-30</v>
      </c>
      <c r="N919" s="10" t="str" cm="1">
        <f t="array" ref="N919">IFERROR(_xlfn.XLOOKUP(1,('env Parameter'!$A:$A=$A919)*('env Parameter'!$B:$B=$K919)*('env Parameter'!$C:$C=$L919),'env Parameter'!I:I,""),"")</f>
        <v>YR</v>
      </c>
    </row>
    <row r="920" spans="1:14">
      <c r="A920">
        <f>eDNA!A920</f>
        <v>20200916</v>
      </c>
      <c r="B920" s="10" t="str" cm="1">
        <f t="array" ref="B920">IFERROR(_xlfn.XLOOKUP(1,('env Parameter'!$A:$A=$A920)*('env Parameter'!$B:$B=$K920)*('env Parameter'!$C:$C=$L920),'env Parameter'!H:H,""),"")</f>
        <v>생물상 조사</v>
      </c>
      <c r="C920" s="10" cm="1">
        <f t="array" ref="C920">IFERROR(_xlfn.XLOOKUP(1,('env Parameter'!$A:$A=$A920)*('env Parameter'!$B:$B=$K920)*('env Parameter'!$C:$C=$L920),'env Parameter'!E:E,""),"")</f>
        <v>2.14</v>
      </c>
      <c r="D920" s="10" cm="1">
        <f t="array" ref="D920">IFERROR(_xlfn.XLOOKUP(1,('env Parameter'!$A:$A=$A920)*('env Parameter'!$B:$B=$K920)*('env Parameter'!$C:$C=$L920),'env Parameter'!F:F,""),"")</f>
        <v>478</v>
      </c>
      <c r="E920" s="10" cm="1">
        <f t="array" ref="E920">IFERROR(_xlfn.XLOOKUP(1,('env Parameter'!$A:$A=$A920)*('env Parameter'!$B:$B=$K920)*('env Parameter'!$C:$C=$L920),'env Parameter'!G:G,""),"")</f>
        <v>7.6</v>
      </c>
      <c r="F920" t="str">
        <f>eDNA!F920</f>
        <v>MiFish</v>
      </c>
      <c r="G920" t="str">
        <f>eDNA!D920</f>
        <v>Carassius gibelio</v>
      </c>
      <c r="H920" t="str">
        <f>_xlfn.XLOOKUP(G920,'Common name (master file)'!$B:$B,'Common name (master file)'!$A:$A,"-------------")</f>
        <v>기벨리오 붕어</v>
      </c>
      <c r="I920">
        <f>eDNA!E920</f>
        <v>11773</v>
      </c>
      <c r="J920" t="str">
        <f>_xlfn.XLOOKUP(G920,'Common name (master file)'!$B:$B,'Common name (master file)'!$C:$C,"")</f>
        <v>어류</v>
      </c>
      <c r="K920">
        <f>eDNA!B920</f>
        <v>126.9866722</v>
      </c>
      <c r="L920">
        <f>eDNA!C920</f>
        <v>37.398721700000003</v>
      </c>
      <c r="M920" s="10" t="str" cm="1">
        <f t="array" ref="M920">IFERROR(_xlfn.XLOOKUP(1,('env Parameter'!$A:$A=$A920)*('env Parameter'!$B:$B=$K920)*('env Parameter'!$C:$C=$L920),'env Parameter'!D:D,""),"")</f>
        <v>안양천-30</v>
      </c>
      <c r="N920" s="10" t="str" cm="1">
        <f t="array" ref="N920">IFERROR(_xlfn.XLOOKUP(1,('env Parameter'!$A:$A=$A920)*('env Parameter'!$B:$B=$K920)*('env Parameter'!$C:$C=$L920),'env Parameter'!I:I,""),"")</f>
        <v>YR</v>
      </c>
    </row>
    <row r="921" spans="1:14">
      <c r="A921">
        <f>eDNA!A921</f>
        <v>20200916</v>
      </c>
      <c r="B921" s="10" t="str" cm="1">
        <f t="array" ref="B921">IFERROR(_xlfn.XLOOKUP(1,('env Parameter'!$A:$A=$A921)*('env Parameter'!$B:$B=$K921)*('env Parameter'!$C:$C=$L921),'env Parameter'!H:H,""),"")</f>
        <v>생물상 조사</v>
      </c>
      <c r="C921" s="10" cm="1">
        <f t="array" ref="C921">IFERROR(_xlfn.XLOOKUP(1,('env Parameter'!$A:$A=$A921)*('env Parameter'!$B:$B=$K921)*('env Parameter'!$C:$C=$L921),'env Parameter'!E:E,""),"")</f>
        <v>2.14</v>
      </c>
      <c r="D921" s="10" cm="1">
        <f t="array" ref="D921">IFERROR(_xlfn.XLOOKUP(1,('env Parameter'!$A:$A=$A921)*('env Parameter'!$B:$B=$K921)*('env Parameter'!$C:$C=$L921),'env Parameter'!F:F,""),"")</f>
        <v>478</v>
      </c>
      <c r="E921" s="10" cm="1">
        <f t="array" ref="E921">IFERROR(_xlfn.XLOOKUP(1,('env Parameter'!$A:$A=$A921)*('env Parameter'!$B:$B=$K921)*('env Parameter'!$C:$C=$L921),'env Parameter'!G:G,""),"")</f>
        <v>7.6</v>
      </c>
      <c r="F921" t="str">
        <f>eDNA!F921</f>
        <v>MiFish</v>
      </c>
      <c r="G921" t="str">
        <f>eDNA!D921</f>
        <v>Odontobutis interrupta</v>
      </c>
      <c r="H921" t="str">
        <f>_xlfn.XLOOKUP(G921,'Common name (master file)'!$B:$B,'Common name (master file)'!$A:$A,"-------------")</f>
        <v>얼록동사리</v>
      </c>
      <c r="I921">
        <f>eDNA!E921</f>
        <v>19461</v>
      </c>
      <c r="J921" t="str">
        <f>_xlfn.XLOOKUP(G921,'Common name (master file)'!$B:$B,'Common name (master file)'!$C:$C,"")</f>
        <v>어류</v>
      </c>
      <c r="K921">
        <f>eDNA!B921</f>
        <v>126.9866722</v>
      </c>
      <c r="L921">
        <f>eDNA!C921</f>
        <v>37.398721700000003</v>
      </c>
      <c r="M921" s="10" t="str" cm="1">
        <f t="array" ref="M921">IFERROR(_xlfn.XLOOKUP(1,('env Parameter'!$A:$A=$A921)*('env Parameter'!$B:$B=$K921)*('env Parameter'!$C:$C=$L921),'env Parameter'!D:D,""),"")</f>
        <v>안양천-30</v>
      </c>
      <c r="N921" s="10" t="str" cm="1">
        <f t="array" ref="N921">IFERROR(_xlfn.XLOOKUP(1,('env Parameter'!$A:$A=$A921)*('env Parameter'!$B:$B=$K921)*('env Parameter'!$C:$C=$L921),'env Parameter'!I:I,""),"")</f>
        <v>YR</v>
      </c>
    </row>
    <row r="922" spans="1:14">
      <c r="A922">
        <f>eDNA!A922</f>
        <v>20200916</v>
      </c>
      <c r="B922" s="10" t="str" cm="1">
        <f t="array" ref="B922">IFERROR(_xlfn.XLOOKUP(1,('env Parameter'!$A:$A=$A922)*('env Parameter'!$B:$B=$K922)*('env Parameter'!$C:$C=$L922),'env Parameter'!H:H,""),"")</f>
        <v>생물상 조사</v>
      </c>
      <c r="C922" s="10" cm="1">
        <f t="array" ref="C922">IFERROR(_xlfn.XLOOKUP(1,('env Parameter'!$A:$A=$A922)*('env Parameter'!$B:$B=$K922)*('env Parameter'!$C:$C=$L922),'env Parameter'!E:E,""),"")</f>
        <v>2.14</v>
      </c>
      <c r="D922" s="10" cm="1">
        <f t="array" ref="D922">IFERROR(_xlfn.XLOOKUP(1,('env Parameter'!$A:$A=$A922)*('env Parameter'!$B:$B=$K922)*('env Parameter'!$C:$C=$L922),'env Parameter'!F:F,""),"")</f>
        <v>478</v>
      </c>
      <c r="E922" s="10" cm="1">
        <f t="array" ref="E922">IFERROR(_xlfn.XLOOKUP(1,('env Parameter'!$A:$A=$A922)*('env Parameter'!$B:$B=$K922)*('env Parameter'!$C:$C=$L922),'env Parameter'!G:G,""),"")</f>
        <v>7.6</v>
      </c>
      <c r="F922" t="str">
        <f>eDNA!F922</f>
        <v>MiFish</v>
      </c>
      <c r="G922" t="str">
        <f>eDNA!D922</f>
        <v>Zacco platypus</v>
      </c>
      <c r="H922" t="str">
        <f>_xlfn.XLOOKUP(G922,'Common name (master file)'!$B:$B,'Common name (master file)'!$A:$A,"-------------")</f>
        <v>피라미</v>
      </c>
      <c r="I922">
        <f>eDNA!E922</f>
        <v>36231</v>
      </c>
      <c r="J922" t="str">
        <f>_xlfn.XLOOKUP(G922,'Common name (master file)'!$B:$B,'Common name (master file)'!$C:$C,"")</f>
        <v>어류</v>
      </c>
      <c r="K922">
        <f>eDNA!B922</f>
        <v>126.9866722</v>
      </c>
      <c r="L922">
        <f>eDNA!C922</f>
        <v>37.398721700000003</v>
      </c>
      <c r="M922" s="10" t="str" cm="1">
        <f t="array" ref="M922">IFERROR(_xlfn.XLOOKUP(1,('env Parameter'!$A:$A=$A922)*('env Parameter'!$B:$B=$K922)*('env Parameter'!$C:$C=$L922),'env Parameter'!D:D,""),"")</f>
        <v>안양천-30</v>
      </c>
      <c r="N922" s="10" t="str" cm="1">
        <f t="array" ref="N922">IFERROR(_xlfn.XLOOKUP(1,('env Parameter'!$A:$A=$A922)*('env Parameter'!$B:$B=$K922)*('env Parameter'!$C:$C=$L922),'env Parameter'!I:I,""),"")</f>
        <v>YR</v>
      </c>
    </row>
    <row r="923" spans="1:14">
      <c r="A923">
        <f>eDNA!A923</f>
        <v>20200916</v>
      </c>
      <c r="B923" s="10" t="str" cm="1">
        <f t="array" ref="B923">IFERROR(_xlfn.XLOOKUP(1,('env Parameter'!$A:$A=$A923)*('env Parameter'!$B:$B=$K923)*('env Parameter'!$C:$C=$L923),'env Parameter'!H:H,""),"")</f>
        <v>생물상 조사</v>
      </c>
      <c r="C923" s="10" cm="1">
        <f t="array" ref="C923">IFERROR(_xlfn.XLOOKUP(1,('env Parameter'!$A:$A=$A923)*('env Parameter'!$B:$B=$K923)*('env Parameter'!$C:$C=$L923),'env Parameter'!E:E,""),"")</f>
        <v>2.14</v>
      </c>
      <c r="D923" s="10" cm="1">
        <f t="array" ref="D923">IFERROR(_xlfn.XLOOKUP(1,('env Parameter'!$A:$A=$A923)*('env Parameter'!$B:$B=$K923)*('env Parameter'!$C:$C=$L923),'env Parameter'!F:F,""),"")</f>
        <v>478</v>
      </c>
      <c r="E923" s="10" cm="1">
        <f t="array" ref="E923">IFERROR(_xlfn.XLOOKUP(1,('env Parameter'!$A:$A=$A923)*('env Parameter'!$B:$B=$K923)*('env Parameter'!$C:$C=$L923),'env Parameter'!G:G,""),"")</f>
        <v>7.6</v>
      </c>
      <c r="F923" t="str">
        <f>eDNA!F923</f>
        <v>MiFish</v>
      </c>
      <c r="G923" t="str">
        <f>eDNA!D923</f>
        <v>Pseudorasbora parva</v>
      </c>
      <c r="H923" t="str">
        <f>_xlfn.XLOOKUP(G923,'Common name (master file)'!$B:$B,'Common name (master file)'!$A:$A,"-------------")</f>
        <v>참붕어</v>
      </c>
      <c r="I923">
        <f>eDNA!E923</f>
        <v>38354</v>
      </c>
      <c r="J923" t="str">
        <f>_xlfn.XLOOKUP(G923,'Common name (master file)'!$B:$B,'Common name (master file)'!$C:$C,"")</f>
        <v>어류</v>
      </c>
      <c r="K923">
        <f>eDNA!B923</f>
        <v>126.9866722</v>
      </c>
      <c r="L923">
        <f>eDNA!C923</f>
        <v>37.398721700000003</v>
      </c>
      <c r="M923" s="10" t="str" cm="1">
        <f t="array" ref="M923">IFERROR(_xlfn.XLOOKUP(1,('env Parameter'!$A:$A=$A923)*('env Parameter'!$B:$B=$K923)*('env Parameter'!$C:$C=$L923),'env Parameter'!D:D,""),"")</f>
        <v>안양천-30</v>
      </c>
      <c r="N923" s="10" t="str" cm="1">
        <f t="array" ref="N923">IFERROR(_xlfn.XLOOKUP(1,('env Parameter'!$A:$A=$A923)*('env Parameter'!$B:$B=$K923)*('env Parameter'!$C:$C=$L923),'env Parameter'!I:I,""),"")</f>
        <v>YR</v>
      </c>
    </row>
    <row r="924" spans="1:14">
      <c r="A924">
        <f>eDNA!A924</f>
        <v>20201024</v>
      </c>
      <c r="B924" s="10" t="str" cm="1">
        <f t="array" ref="B924">IFERROR(_xlfn.XLOOKUP(1,('env Parameter'!$A:$A=$A924)*('env Parameter'!$B:$B=$K924)*('env Parameter'!$C:$C=$L924),'env Parameter'!H:H,""),"")</f>
        <v>생물상 조사</v>
      </c>
      <c r="C924" s="10" cm="1">
        <f t="array" ref="C924">IFERROR(_xlfn.XLOOKUP(1,('env Parameter'!$A:$A=$A924)*('env Parameter'!$B:$B=$K924)*('env Parameter'!$C:$C=$L924),'env Parameter'!E:E,""),"")</f>
        <v>2.14</v>
      </c>
      <c r="D924" s="10" cm="1">
        <f t="array" ref="D924">IFERROR(_xlfn.XLOOKUP(1,('env Parameter'!$A:$A=$A924)*('env Parameter'!$B:$B=$K924)*('env Parameter'!$C:$C=$L924),'env Parameter'!F:F,""),"")</f>
        <v>478</v>
      </c>
      <c r="E924" s="10" cm="1">
        <f t="array" ref="E924">IFERROR(_xlfn.XLOOKUP(1,('env Parameter'!$A:$A=$A924)*('env Parameter'!$B:$B=$K924)*('env Parameter'!$C:$C=$L924),'env Parameter'!G:G,""),"")</f>
        <v>7.6</v>
      </c>
      <c r="F924" t="str">
        <f>eDNA!F924</f>
        <v>MiFish</v>
      </c>
      <c r="G924" t="str">
        <f>eDNA!D924</f>
        <v>Pseudorasbora parva</v>
      </c>
      <c r="H924" t="str">
        <f>_xlfn.XLOOKUP(G924,'Common name (master file)'!$B:$B,'Common name (master file)'!$A:$A,"-------------")</f>
        <v>참붕어</v>
      </c>
      <c r="I924">
        <f>eDNA!E924</f>
        <v>19</v>
      </c>
      <c r="J924" t="str">
        <f>_xlfn.XLOOKUP(G924,'Common name (master file)'!$B:$B,'Common name (master file)'!$C:$C,"")</f>
        <v>어류</v>
      </c>
      <c r="K924">
        <f>eDNA!B924</f>
        <v>126.9724018</v>
      </c>
      <c r="L924">
        <f>eDNA!C924</f>
        <v>37.348161500000003</v>
      </c>
      <c r="M924" s="10" t="str" cm="1">
        <f t="array" ref="M924">IFERROR(_xlfn.XLOOKUP(1,('env Parameter'!$A:$A=$A924)*('env Parameter'!$B:$B=$K924)*('env Parameter'!$C:$C=$L924),'env Parameter'!D:D,""),"")</f>
        <v>안양천-1</v>
      </c>
      <c r="N924" s="10" t="str" cm="1">
        <f t="array" ref="N924">IFERROR(_xlfn.XLOOKUP(1,('env Parameter'!$A:$A=$A924)*('env Parameter'!$B:$B=$K924)*('env Parameter'!$C:$C=$L924),'env Parameter'!I:I,""),"")</f>
        <v>YR</v>
      </c>
    </row>
    <row r="925" spans="1:14">
      <c r="A925">
        <f>eDNA!A925</f>
        <v>20201024</v>
      </c>
      <c r="B925" s="10" t="str" cm="1">
        <f t="array" ref="B925">IFERROR(_xlfn.XLOOKUP(1,('env Parameter'!$A:$A=$A925)*('env Parameter'!$B:$B=$K925)*('env Parameter'!$C:$C=$L925),'env Parameter'!H:H,""),"")</f>
        <v>생물상 조사</v>
      </c>
      <c r="C925" s="10" cm="1">
        <f t="array" ref="C925">IFERROR(_xlfn.XLOOKUP(1,('env Parameter'!$A:$A=$A925)*('env Parameter'!$B:$B=$K925)*('env Parameter'!$C:$C=$L925),'env Parameter'!E:E,""),"")</f>
        <v>2.14</v>
      </c>
      <c r="D925" s="10" cm="1">
        <f t="array" ref="D925">IFERROR(_xlfn.XLOOKUP(1,('env Parameter'!$A:$A=$A925)*('env Parameter'!$B:$B=$K925)*('env Parameter'!$C:$C=$L925),'env Parameter'!F:F,""),"")</f>
        <v>478</v>
      </c>
      <c r="E925" s="10" cm="1">
        <f t="array" ref="E925">IFERROR(_xlfn.XLOOKUP(1,('env Parameter'!$A:$A=$A925)*('env Parameter'!$B:$B=$K925)*('env Parameter'!$C:$C=$L925),'env Parameter'!G:G,""),"")</f>
        <v>7.6</v>
      </c>
      <c r="F925" t="str">
        <f>eDNA!F925</f>
        <v>MiFish</v>
      </c>
      <c r="G925" t="str">
        <f>eDNA!D925</f>
        <v>Rhinogobius sp.</v>
      </c>
      <c r="H925" t="str">
        <f>_xlfn.XLOOKUP(G925,'Common name (master file)'!$B:$B,'Common name (master file)'!$A:$A,"-------------")</f>
        <v>밀어</v>
      </c>
      <c r="I925">
        <f>eDNA!E925</f>
        <v>19</v>
      </c>
      <c r="J925" t="str">
        <f>_xlfn.XLOOKUP(G925,'Common name (master file)'!$B:$B,'Common name (master file)'!$C:$C,"")</f>
        <v>어류</v>
      </c>
      <c r="K925">
        <f>eDNA!B925</f>
        <v>126.9724018</v>
      </c>
      <c r="L925">
        <f>eDNA!C925</f>
        <v>37.348161500000003</v>
      </c>
      <c r="M925" s="10" t="str" cm="1">
        <f t="array" ref="M925">IFERROR(_xlfn.XLOOKUP(1,('env Parameter'!$A:$A=$A925)*('env Parameter'!$B:$B=$K925)*('env Parameter'!$C:$C=$L925),'env Parameter'!D:D,""),"")</f>
        <v>안양천-1</v>
      </c>
      <c r="N925" s="10" t="str" cm="1">
        <f t="array" ref="N925">IFERROR(_xlfn.XLOOKUP(1,('env Parameter'!$A:$A=$A925)*('env Parameter'!$B:$B=$K925)*('env Parameter'!$C:$C=$L925),'env Parameter'!I:I,""),"")</f>
        <v>YR</v>
      </c>
    </row>
    <row r="926" spans="1:14">
      <c r="A926">
        <f>eDNA!A926</f>
        <v>20201024</v>
      </c>
      <c r="B926" s="10" t="str" cm="1">
        <f t="array" ref="B926">IFERROR(_xlfn.XLOOKUP(1,('env Parameter'!$A:$A=$A926)*('env Parameter'!$B:$B=$K926)*('env Parameter'!$C:$C=$L926),'env Parameter'!H:H,""),"")</f>
        <v>생물상 조사</v>
      </c>
      <c r="C926" s="10" cm="1">
        <f t="array" ref="C926">IFERROR(_xlfn.XLOOKUP(1,('env Parameter'!$A:$A=$A926)*('env Parameter'!$B:$B=$K926)*('env Parameter'!$C:$C=$L926),'env Parameter'!E:E,""),"")</f>
        <v>2.14</v>
      </c>
      <c r="D926" s="10" cm="1">
        <f t="array" ref="D926">IFERROR(_xlfn.XLOOKUP(1,('env Parameter'!$A:$A=$A926)*('env Parameter'!$B:$B=$K926)*('env Parameter'!$C:$C=$L926),'env Parameter'!F:F,""),"")</f>
        <v>478</v>
      </c>
      <c r="E926" s="10" cm="1">
        <f t="array" ref="E926">IFERROR(_xlfn.XLOOKUP(1,('env Parameter'!$A:$A=$A926)*('env Parameter'!$B:$B=$K926)*('env Parameter'!$C:$C=$L926),'env Parameter'!G:G,""),"")</f>
        <v>7.6</v>
      </c>
      <c r="F926" t="str">
        <f>eDNA!F926</f>
        <v>MiFish</v>
      </c>
      <c r="G926" t="str">
        <f>eDNA!D926</f>
        <v>Pungtungia herzi</v>
      </c>
      <c r="H926" t="str">
        <f>_xlfn.XLOOKUP(G926,'Common name (master file)'!$B:$B,'Common name (master file)'!$A:$A,"-------------")</f>
        <v>돌고기</v>
      </c>
      <c r="I926">
        <f>eDNA!E926</f>
        <v>13</v>
      </c>
      <c r="J926" t="str">
        <f>_xlfn.XLOOKUP(G926,'Common name (master file)'!$B:$B,'Common name (master file)'!$C:$C,"")</f>
        <v>어류</v>
      </c>
      <c r="K926">
        <f>eDNA!B926</f>
        <v>126.95619790000001</v>
      </c>
      <c r="L926">
        <f>eDNA!C926</f>
        <v>37.363509200000003</v>
      </c>
      <c r="M926" s="10" t="str" cm="1">
        <f t="array" ref="M926">IFERROR(_xlfn.XLOOKUP(1,('env Parameter'!$A:$A=$A926)*('env Parameter'!$B:$B=$K926)*('env Parameter'!$C:$C=$L926),'env Parameter'!D:D,""),"")</f>
        <v>안양천-2</v>
      </c>
      <c r="N926" s="10" t="str" cm="1">
        <f t="array" ref="N926">IFERROR(_xlfn.XLOOKUP(1,('env Parameter'!$A:$A=$A926)*('env Parameter'!$B:$B=$K926)*('env Parameter'!$C:$C=$L926),'env Parameter'!I:I,""),"")</f>
        <v>YR</v>
      </c>
    </row>
    <row r="927" spans="1:14">
      <c r="A927">
        <f>eDNA!A927</f>
        <v>20201024</v>
      </c>
      <c r="B927" s="10" t="str" cm="1">
        <f t="array" ref="B927">IFERROR(_xlfn.XLOOKUP(1,('env Parameter'!$A:$A=$A927)*('env Parameter'!$B:$B=$K927)*('env Parameter'!$C:$C=$L927),'env Parameter'!H:H,""),"")</f>
        <v>생물상 조사</v>
      </c>
      <c r="C927" s="10" cm="1">
        <f t="array" ref="C927">IFERROR(_xlfn.XLOOKUP(1,('env Parameter'!$A:$A=$A927)*('env Parameter'!$B:$B=$K927)*('env Parameter'!$C:$C=$L927),'env Parameter'!E:E,""),"")</f>
        <v>2.14</v>
      </c>
      <c r="D927" s="10" cm="1">
        <f t="array" ref="D927">IFERROR(_xlfn.XLOOKUP(1,('env Parameter'!$A:$A=$A927)*('env Parameter'!$B:$B=$K927)*('env Parameter'!$C:$C=$L927),'env Parameter'!F:F,""),"")</f>
        <v>478</v>
      </c>
      <c r="E927" s="10" cm="1">
        <f t="array" ref="E927">IFERROR(_xlfn.XLOOKUP(1,('env Parameter'!$A:$A=$A927)*('env Parameter'!$B:$B=$K927)*('env Parameter'!$C:$C=$L927),'env Parameter'!G:G,""),"")</f>
        <v>7.6</v>
      </c>
      <c r="F927" t="str">
        <f>eDNA!F927</f>
        <v>MiFish</v>
      </c>
      <c r="G927" t="str">
        <f>eDNA!D927</f>
        <v>Pungtungia herzi</v>
      </c>
      <c r="H927" t="str">
        <f>_xlfn.XLOOKUP(G927,'Common name (master file)'!$B:$B,'Common name (master file)'!$A:$A,"-------------")</f>
        <v>돌고기</v>
      </c>
      <c r="I927">
        <f>eDNA!E927</f>
        <v>36</v>
      </c>
      <c r="J927" t="str">
        <f>_xlfn.XLOOKUP(G927,'Common name (master file)'!$B:$B,'Common name (master file)'!$C:$C,"")</f>
        <v>어류</v>
      </c>
      <c r="K927">
        <f>eDNA!B927</f>
        <v>126.92050639999999</v>
      </c>
      <c r="L927">
        <f>eDNA!C927</f>
        <v>37.418606500000003</v>
      </c>
      <c r="M927" s="10" t="str" cm="1">
        <f t="array" ref="M927">IFERROR(_xlfn.XLOOKUP(1,('env Parameter'!$A:$A=$A927)*('env Parameter'!$B:$B=$K927)*('env Parameter'!$C:$C=$L927),'env Parameter'!D:D,""),"")</f>
        <v>삼성천-1</v>
      </c>
      <c r="N927" s="10" t="str" cm="1">
        <f t="array" ref="N927">IFERROR(_xlfn.XLOOKUP(1,('env Parameter'!$A:$A=$A927)*('env Parameter'!$B:$B=$K927)*('env Parameter'!$C:$C=$L927),'env Parameter'!I:I,""),"")</f>
        <v>YR</v>
      </c>
    </row>
    <row r="928" spans="1:14">
      <c r="A928">
        <f>eDNA!A928</f>
        <v>20201024</v>
      </c>
      <c r="B928" s="10" t="str" cm="1">
        <f t="array" ref="B928">IFERROR(_xlfn.XLOOKUP(1,('env Parameter'!$A:$A=$A928)*('env Parameter'!$B:$B=$K928)*('env Parameter'!$C:$C=$L928),'env Parameter'!H:H,""),"")</f>
        <v>생물상 조사</v>
      </c>
      <c r="C928" s="10" cm="1">
        <f t="array" ref="C928">IFERROR(_xlfn.XLOOKUP(1,('env Parameter'!$A:$A=$A928)*('env Parameter'!$B:$B=$K928)*('env Parameter'!$C:$C=$L928),'env Parameter'!E:E,""),"")</f>
        <v>2.14</v>
      </c>
      <c r="D928" s="10" cm="1">
        <f t="array" ref="D928">IFERROR(_xlfn.XLOOKUP(1,('env Parameter'!$A:$A=$A928)*('env Parameter'!$B:$B=$K928)*('env Parameter'!$C:$C=$L928),'env Parameter'!F:F,""),"")</f>
        <v>478</v>
      </c>
      <c r="E928" s="10" cm="1">
        <f t="array" ref="E928">IFERROR(_xlfn.XLOOKUP(1,('env Parameter'!$A:$A=$A928)*('env Parameter'!$B:$B=$K928)*('env Parameter'!$C:$C=$L928),'env Parameter'!G:G,""),"")</f>
        <v>7.6</v>
      </c>
      <c r="F928" t="str">
        <f>eDNA!F928</f>
        <v>MiFish</v>
      </c>
      <c r="G928" t="str">
        <f>eDNA!D928</f>
        <v>Gnathopogon polytaenia</v>
      </c>
      <c r="H928" t="str">
        <f>_xlfn.XLOOKUP(G928,'Common name (master file)'!$B:$B,'Common name (master file)'!$A:$A,"-------------")</f>
        <v>폴리테니아 줄몰개</v>
      </c>
      <c r="I928">
        <f>eDNA!E928</f>
        <v>46</v>
      </c>
      <c r="J928" t="str">
        <f>_xlfn.XLOOKUP(G928,'Common name (master file)'!$B:$B,'Common name (master file)'!$C:$C,"")</f>
        <v>어류</v>
      </c>
      <c r="K928">
        <f>eDNA!B928</f>
        <v>126.9724018</v>
      </c>
      <c r="L928">
        <f>eDNA!C928</f>
        <v>37.348161500000003</v>
      </c>
      <c r="M928" s="10" t="str" cm="1">
        <f t="array" ref="M928">IFERROR(_xlfn.XLOOKUP(1,('env Parameter'!$A:$A=$A928)*('env Parameter'!$B:$B=$K928)*('env Parameter'!$C:$C=$L928),'env Parameter'!D:D,""),"")</f>
        <v>안양천-1</v>
      </c>
      <c r="N928" s="10" t="str" cm="1">
        <f t="array" ref="N928">IFERROR(_xlfn.XLOOKUP(1,('env Parameter'!$A:$A=$A928)*('env Parameter'!$B:$B=$K928)*('env Parameter'!$C:$C=$L928),'env Parameter'!I:I,""),"")</f>
        <v>YR</v>
      </c>
    </row>
    <row r="929" spans="1:14">
      <c r="A929">
        <f>eDNA!A929</f>
        <v>20201024</v>
      </c>
      <c r="B929" s="10" t="str" cm="1">
        <f t="array" ref="B929">IFERROR(_xlfn.XLOOKUP(1,('env Parameter'!$A:$A=$A929)*('env Parameter'!$B:$B=$K929)*('env Parameter'!$C:$C=$L929),'env Parameter'!H:H,""),"")</f>
        <v>생물상 조사</v>
      </c>
      <c r="C929" s="10" cm="1">
        <f t="array" ref="C929">IFERROR(_xlfn.XLOOKUP(1,('env Parameter'!$A:$A=$A929)*('env Parameter'!$B:$B=$K929)*('env Parameter'!$C:$C=$L929),'env Parameter'!E:E,""),"")</f>
        <v>2.14</v>
      </c>
      <c r="D929" s="10" cm="1">
        <f t="array" ref="D929">IFERROR(_xlfn.XLOOKUP(1,('env Parameter'!$A:$A=$A929)*('env Parameter'!$B:$B=$K929)*('env Parameter'!$C:$C=$L929),'env Parameter'!F:F,""),"")</f>
        <v>478</v>
      </c>
      <c r="E929" s="10" cm="1">
        <f t="array" ref="E929">IFERROR(_xlfn.XLOOKUP(1,('env Parameter'!$A:$A=$A929)*('env Parameter'!$B:$B=$K929)*('env Parameter'!$C:$C=$L929),'env Parameter'!G:G,""),"")</f>
        <v>7.6</v>
      </c>
      <c r="F929" t="str">
        <f>eDNA!F929</f>
        <v>MiFish</v>
      </c>
      <c r="G929" t="str">
        <f>eDNA!D929</f>
        <v>Carassius sp.</v>
      </c>
      <c r="H929" t="str">
        <f>_xlfn.XLOOKUP(G929,'Common name (master file)'!$B:$B,'Common name (master file)'!$A:$A,"-------------")</f>
        <v>붕어 속</v>
      </c>
      <c r="I929">
        <f>eDNA!E929</f>
        <v>31</v>
      </c>
      <c r="J929" t="str">
        <f>_xlfn.XLOOKUP(G929,'Common name (master file)'!$B:$B,'Common name (master file)'!$C:$C,"")</f>
        <v>어류</v>
      </c>
      <c r="K929">
        <f>eDNA!B929</f>
        <v>126.9724018</v>
      </c>
      <c r="L929">
        <f>eDNA!C929</f>
        <v>37.348161500000003</v>
      </c>
      <c r="M929" s="10" t="str" cm="1">
        <f t="array" ref="M929">IFERROR(_xlfn.XLOOKUP(1,('env Parameter'!$A:$A=$A929)*('env Parameter'!$B:$B=$K929)*('env Parameter'!$C:$C=$L929),'env Parameter'!D:D,""),"")</f>
        <v>안양천-1</v>
      </c>
      <c r="N929" s="10" t="str" cm="1">
        <f t="array" ref="N929">IFERROR(_xlfn.XLOOKUP(1,('env Parameter'!$A:$A=$A929)*('env Parameter'!$B:$B=$K929)*('env Parameter'!$C:$C=$L929),'env Parameter'!I:I,""),"")</f>
        <v>YR</v>
      </c>
    </row>
    <row r="930" spans="1:14">
      <c r="A930">
        <f>eDNA!A930</f>
        <v>20201024</v>
      </c>
      <c r="B930" s="10" t="str" cm="1">
        <f t="array" ref="B930">IFERROR(_xlfn.XLOOKUP(1,('env Parameter'!$A:$A=$A930)*('env Parameter'!$B:$B=$K930)*('env Parameter'!$C:$C=$L930),'env Parameter'!H:H,""),"")</f>
        <v>생물상 조사</v>
      </c>
      <c r="C930" s="10" cm="1">
        <f t="array" ref="C930">IFERROR(_xlfn.XLOOKUP(1,('env Parameter'!$A:$A=$A930)*('env Parameter'!$B:$B=$K930)*('env Parameter'!$C:$C=$L930),'env Parameter'!E:E,""),"")</f>
        <v>2.14</v>
      </c>
      <c r="D930" s="10" cm="1">
        <f t="array" ref="D930">IFERROR(_xlfn.XLOOKUP(1,('env Parameter'!$A:$A=$A930)*('env Parameter'!$B:$B=$K930)*('env Parameter'!$C:$C=$L930),'env Parameter'!F:F,""),"")</f>
        <v>478</v>
      </c>
      <c r="E930" s="10" cm="1">
        <f t="array" ref="E930">IFERROR(_xlfn.XLOOKUP(1,('env Parameter'!$A:$A=$A930)*('env Parameter'!$B:$B=$K930)*('env Parameter'!$C:$C=$L930),'env Parameter'!G:G,""),"")</f>
        <v>7.6</v>
      </c>
      <c r="F930" t="str">
        <f>eDNA!F930</f>
        <v>MiFish</v>
      </c>
      <c r="G930" t="str">
        <f>eDNA!D930</f>
        <v>Rattus norvegicus</v>
      </c>
      <c r="H930" t="str">
        <f>_xlfn.XLOOKUP(G930,'Common name (master file)'!$B:$B,'Common name (master file)'!$A:$A,"-------------")</f>
        <v>시궁쥐</v>
      </c>
      <c r="I930">
        <f>eDNA!E930</f>
        <v>31</v>
      </c>
      <c r="J930" t="str">
        <f>_xlfn.XLOOKUP(G930,'Common name (master file)'!$B:$B,'Common name (master file)'!$C:$C,"")</f>
        <v>포유류</v>
      </c>
      <c r="K930">
        <f>eDNA!B930</f>
        <v>126.9724018</v>
      </c>
      <c r="L930">
        <f>eDNA!C930</f>
        <v>37.348161500000003</v>
      </c>
      <c r="M930" s="10" t="str" cm="1">
        <f t="array" ref="M930">IFERROR(_xlfn.XLOOKUP(1,('env Parameter'!$A:$A=$A930)*('env Parameter'!$B:$B=$K930)*('env Parameter'!$C:$C=$L930),'env Parameter'!D:D,""),"")</f>
        <v>안양천-1</v>
      </c>
      <c r="N930" s="10" t="str" cm="1">
        <f t="array" ref="N930">IFERROR(_xlfn.XLOOKUP(1,('env Parameter'!$A:$A=$A930)*('env Parameter'!$B:$B=$K930)*('env Parameter'!$C:$C=$L930),'env Parameter'!I:I,""),"")</f>
        <v>YR</v>
      </c>
    </row>
    <row r="931" spans="1:14">
      <c r="A931">
        <f>eDNA!A931</f>
        <v>20201024</v>
      </c>
      <c r="B931" s="10" t="str" cm="1">
        <f t="array" ref="B931">IFERROR(_xlfn.XLOOKUP(1,('env Parameter'!$A:$A=$A931)*('env Parameter'!$B:$B=$K931)*('env Parameter'!$C:$C=$L931),'env Parameter'!H:H,""),"")</f>
        <v>생물상 조사</v>
      </c>
      <c r="C931" s="10" cm="1">
        <f t="array" ref="C931">IFERROR(_xlfn.XLOOKUP(1,('env Parameter'!$A:$A=$A931)*('env Parameter'!$B:$B=$K931)*('env Parameter'!$C:$C=$L931),'env Parameter'!E:E,""),"")</f>
        <v>2.14</v>
      </c>
      <c r="D931" s="10" cm="1">
        <f t="array" ref="D931">IFERROR(_xlfn.XLOOKUP(1,('env Parameter'!$A:$A=$A931)*('env Parameter'!$B:$B=$K931)*('env Parameter'!$C:$C=$L931),'env Parameter'!F:F,""),"")</f>
        <v>478</v>
      </c>
      <c r="E931" s="10" cm="1">
        <f t="array" ref="E931">IFERROR(_xlfn.XLOOKUP(1,('env Parameter'!$A:$A=$A931)*('env Parameter'!$B:$B=$K931)*('env Parameter'!$C:$C=$L931),'env Parameter'!G:G,""),"")</f>
        <v>7.6</v>
      </c>
      <c r="F931" t="str">
        <f>eDNA!F931</f>
        <v>MiFish</v>
      </c>
      <c r="G931" t="str">
        <f>eDNA!D931</f>
        <v>Carassius cuvieri</v>
      </c>
      <c r="H931" t="str">
        <f>_xlfn.XLOOKUP(G931,'Common name (master file)'!$B:$B,'Common name (master file)'!$A:$A,"-------------")</f>
        <v>떡붕어</v>
      </c>
      <c r="I931">
        <f>eDNA!E931</f>
        <v>77</v>
      </c>
      <c r="J931" t="str">
        <f>_xlfn.XLOOKUP(G931,'Common name (master file)'!$B:$B,'Common name (master file)'!$C:$C,"")</f>
        <v>어류</v>
      </c>
      <c r="K931">
        <f>eDNA!B931</f>
        <v>126.9724018</v>
      </c>
      <c r="L931">
        <f>eDNA!C931</f>
        <v>37.348161500000003</v>
      </c>
      <c r="M931" s="10" t="str" cm="1">
        <f t="array" ref="M931">IFERROR(_xlfn.XLOOKUP(1,('env Parameter'!$A:$A=$A931)*('env Parameter'!$B:$B=$K931)*('env Parameter'!$C:$C=$L931),'env Parameter'!D:D,""),"")</f>
        <v>안양천-1</v>
      </c>
      <c r="N931" s="10" t="str" cm="1">
        <f t="array" ref="N931">IFERROR(_xlfn.XLOOKUP(1,('env Parameter'!$A:$A=$A931)*('env Parameter'!$B:$B=$K931)*('env Parameter'!$C:$C=$L931),'env Parameter'!I:I,""),"")</f>
        <v>YR</v>
      </c>
    </row>
    <row r="932" spans="1:14">
      <c r="A932">
        <f>eDNA!A932</f>
        <v>20201024</v>
      </c>
      <c r="B932" s="10" t="str" cm="1">
        <f t="array" ref="B932">IFERROR(_xlfn.XLOOKUP(1,('env Parameter'!$A:$A=$A932)*('env Parameter'!$B:$B=$K932)*('env Parameter'!$C:$C=$L932),'env Parameter'!H:H,""),"")</f>
        <v>생물상 조사</v>
      </c>
      <c r="C932" s="10" cm="1">
        <f t="array" ref="C932">IFERROR(_xlfn.XLOOKUP(1,('env Parameter'!$A:$A=$A932)*('env Parameter'!$B:$B=$K932)*('env Parameter'!$C:$C=$L932),'env Parameter'!E:E,""),"")</f>
        <v>2.14</v>
      </c>
      <c r="D932" s="10" cm="1">
        <f t="array" ref="D932">IFERROR(_xlfn.XLOOKUP(1,('env Parameter'!$A:$A=$A932)*('env Parameter'!$B:$B=$K932)*('env Parameter'!$C:$C=$L932),'env Parameter'!F:F,""),"")</f>
        <v>478</v>
      </c>
      <c r="E932" s="10" cm="1">
        <f t="array" ref="E932">IFERROR(_xlfn.XLOOKUP(1,('env Parameter'!$A:$A=$A932)*('env Parameter'!$B:$B=$K932)*('env Parameter'!$C:$C=$L932),'env Parameter'!G:G,""),"")</f>
        <v>7.6</v>
      </c>
      <c r="F932" t="str">
        <f>eDNA!F932</f>
        <v>MiFish</v>
      </c>
      <c r="G932" t="str">
        <f>eDNA!D932</f>
        <v>Homo sapiens</v>
      </c>
      <c r="H932" t="str">
        <f>_xlfn.XLOOKUP(G932,'Common name (master file)'!$B:$B,'Common name (master file)'!$A:$A,"-------------")</f>
        <v>사람</v>
      </c>
      <c r="I932">
        <f>eDNA!E932</f>
        <v>54</v>
      </c>
      <c r="J932" t="str">
        <f>_xlfn.XLOOKUP(G932,'Common name (master file)'!$B:$B,'Common name (master file)'!$C:$C,"")</f>
        <v>포유류</v>
      </c>
      <c r="K932">
        <f>eDNA!B932</f>
        <v>126.9724018</v>
      </c>
      <c r="L932">
        <f>eDNA!C932</f>
        <v>37.348161500000003</v>
      </c>
      <c r="M932" s="10" t="str" cm="1">
        <f t="array" ref="M932">IFERROR(_xlfn.XLOOKUP(1,('env Parameter'!$A:$A=$A932)*('env Parameter'!$B:$B=$K932)*('env Parameter'!$C:$C=$L932),'env Parameter'!D:D,""),"")</f>
        <v>안양천-1</v>
      </c>
      <c r="N932" s="10" t="str" cm="1">
        <f t="array" ref="N932">IFERROR(_xlfn.XLOOKUP(1,('env Parameter'!$A:$A=$A932)*('env Parameter'!$B:$B=$K932)*('env Parameter'!$C:$C=$L932),'env Parameter'!I:I,""),"")</f>
        <v>YR</v>
      </c>
    </row>
    <row r="933" spans="1:14">
      <c r="A933">
        <f>eDNA!A933</f>
        <v>20201024</v>
      </c>
      <c r="B933" s="10" t="str" cm="1">
        <f t="array" ref="B933">IFERROR(_xlfn.XLOOKUP(1,('env Parameter'!$A:$A=$A933)*('env Parameter'!$B:$B=$K933)*('env Parameter'!$C:$C=$L933),'env Parameter'!H:H,""),"")</f>
        <v>생물상 조사</v>
      </c>
      <c r="C933" s="10" cm="1">
        <f t="array" ref="C933">IFERROR(_xlfn.XLOOKUP(1,('env Parameter'!$A:$A=$A933)*('env Parameter'!$B:$B=$K933)*('env Parameter'!$C:$C=$L933),'env Parameter'!E:E,""),"")</f>
        <v>2.14</v>
      </c>
      <c r="D933" s="10" cm="1">
        <f t="array" ref="D933">IFERROR(_xlfn.XLOOKUP(1,('env Parameter'!$A:$A=$A933)*('env Parameter'!$B:$B=$K933)*('env Parameter'!$C:$C=$L933),'env Parameter'!F:F,""),"")</f>
        <v>478</v>
      </c>
      <c r="E933" s="10" cm="1">
        <f t="array" ref="E933">IFERROR(_xlfn.XLOOKUP(1,('env Parameter'!$A:$A=$A933)*('env Parameter'!$B:$B=$K933)*('env Parameter'!$C:$C=$L933),'env Parameter'!G:G,""),"")</f>
        <v>7.6</v>
      </c>
      <c r="F933" t="str">
        <f>eDNA!F933</f>
        <v>MiFish</v>
      </c>
      <c r="G933" t="str">
        <f>eDNA!D933</f>
        <v>Canis lupus familiaris</v>
      </c>
      <c r="H933" t="str">
        <f>_xlfn.XLOOKUP(G933,'Common name (master file)'!$B:$B,'Common name (master file)'!$A:$A,"-------------")</f>
        <v>개</v>
      </c>
      <c r="I933">
        <f>eDNA!E933</f>
        <v>95</v>
      </c>
      <c r="J933" t="str">
        <f>_xlfn.XLOOKUP(G933,'Common name (master file)'!$B:$B,'Common name (master file)'!$C:$C,"")</f>
        <v>포유류</v>
      </c>
      <c r="K933">
        <f>eDNA!B933</f>
        <v>126.9724018</v>
      </c>
      <c r="L933">
        <f>eDNA!C933</f>
        <v>37.348161500000003</v>
      </c>
      <c r="M933" s="10" t="str" cm="1">
        <f t="array" ref="M933">IFERROR(_xlfn.XLOOKUP(1,('env Parameter'!$A:$A=$A933)*('env Parameter'!$B:$B=$K933)*('env Parameter'!$C:$C=$L933),'env Parameter'!D:D,""),"")</f>
        <v>안양천-1</v>
      </c>
      <c r="N933" s="10" t="str" cm="1">
        <f t="array" ref="N933">IFERROR(_xlfn.XLOOKUP(1,('env Parameter'!$A:$A=$A933)*('env Parameter'!$B:$B=$K933)*('env Parameter'!$C:$C=$L933),'env Parameter'!I:I,""),"")</f>
        <v>YR</v>
      </c>
    </row>
    <row r="934" spans="1:14">
      <c r="A934">
        <f>eDNA!A934</f>
        <v>20201024</v>
      </c>
      <c r="B934" s="10" t="str" cm="1">
        <f t="array" ref="B934">IFERROR(_xlfn.XLOOKUP(1,('env Parameter'!$A:$A=$A934)*('env Parameter'!$B:$B=$K934)*('env Parameter'!$C:$C=$L934),'env Parameter'!H:H,""),"")</f>
        <v>생물상 조사</v>
      </c>
      <c r="C934" s="10" cm="1">
        <f t="array" ref="C934">IFERROR(_xlfn.XLOOKUP(1,('env Parameter'!$A:$A=$A934)*('env Parameter'!$B:$B=$K934)*('env Parameter'!$C:$C=$L934),'env Parameter'!E:E,""),"")</f>
        <v>2.14</v>
      </c>
      <c r="D934" s="10" cm="1">
        <f t="array" ref="D934">IFERROR(_xlfn.XLOOKUP(1,('env Parameter'!$A:$A=$A934)*('env Parameter'!$B:$B=$K934)*('env Parameter'!$C:$C=$L934),'env Parameter'!F:F,""),"")</f>
        <v>478</v>
      </c>
      <c r="E934" s="10" cm="1">
        <f t="array" ref="E934">IFERROR(_xlfn.XLOOKUP(1,('env Parameter'!$A:$A=$A934)*('env Parameter'!$B:$B=$K934)*('env Parameter'!$C:$C=$L934),'env Parameter'!G:G,""),"")</f>
        <v>7.6</v>
      </c>
      <c r="F934" t="str">
        <f>eDNA!F934</f>
        <v>MiFish</v>
      </c>
      <c r="G934" t="str">
        <f>eDNA!D934</f>
        <v>Pseudogobio esocinus</v>
      </c>
      <c r="H934" t="str">
        <f>_xlfn.XLOOKUP(G934,'Common name (master file)'!$B:$B,'Common name (master file)'!$A:$A,"-------------")</f>
        <v>모래무지</v>
      </c>
      <c r="I934">
        <f>eDNA!E934</f>
        <v>152</v>
      </c>
      <c r="J934" t="str">
        <f>_xlfn.XLOOKUP(G934,'Common name (master file)'!$B:$B,'Common name (master file)'!$C:$C,"")</f>
        <v>어류</v>
      </c>
      <c r="K934">
        <f>eDNA!B934</f>
        <v>126.9724018</v>
      </c>
      <c r="L934">
        <f>eDNA!C934</f>
        <v>37.348161500000003</v>
      </c>
      <c r="M934" s="10" t="str" cm="1">
        <f t="array" ref="M934">IFERROR(_xlfn.XLOOKUP(1,('env Parameter'!$A:$A=$A934)*('env Parameter'!$B:$B=$K934)*('env Parameter'!$C:$C=$L934),'env Parameter'!D:D,""),"")</f>
        <v>안양천-1</v>
      </c>
      <c r="N934" s="10" t="str" cm="1">
        <f t="array" ref="N934">IFERROR(_xlfn.XLOOKUP(1,('env Parameter'!$A:$A=$A934)*('env Parameter'!$B:$B=$K934)*('env Parameter'!$C:$C=$L934),'env Parameter'!I:I,""),"")</f>
        <v>YR</v>
      </c>
    </row>
    <row r="935" spans="1:14">
      <c r="A935">
        <f>eDNA!A935</f>
        <v>20201024</v>
      </c>
      <c r="B935" s="10" t="str" cm="1">
        <f t="array" ref="B935">IFERROR(_xlfn.XLOOKUP(1,('env Parameter'!$A:$A=$A935)*('env Parameter'!$B:$B=$K935)*('env Parameter'!$C:$C=$L935),'env Parameter'!H:H,""),"")</f>
        <v>생물상 조사</v>
      </c>
      <c r="C935" s="10" cm="1">
        <f t="array" ref="C935">IFERROR(_xlfn.XLOOKUP(1,('env Parameter'!$A:$A=$A935)*('env Parameter'!$B:$B=$K935)*('env Parameter'!$C:$C=$L935),'env Parameter'!E:E,""),"")</f>
        <v>2.14</v>
      </c>
      <c r="D935" s="10" cm="1">
        <f t="array" ref="D935">IFERROR(_xlfn.XLOOKUP(1,('env Parameter'!$A:$A=$A935)*('env Parameter'!$B:$B=$K935)*('env Parameter'!$C:$C=$L935),'env Parameter'!F:F,""),"")</f>
        <v>478</v>
      </c>
      <c r="E935" s="10" cm="1">
        <f t="array" ref="E935">IFERROR(_xlfn.XLOOKUP(1,('env Parameter'!$A:$A=$A935)*('env Parameter'!$B:$B=$K935)*('env Parameter'!$C:$C=$L935),'env Parameter'!G:G,""),"")</f>
        <v>7.6</v>
      </c>
      <c r="F935" t="str">
        <f>eDNA!F935</f>
        <v>MiFish</v>
      </c>
      <c r="G935" t="str">
        <f>eDNA!D935</f>
        <v>Sus scrofa</v>
      </c>
      <c r="H935" t="str">
        <f>_xlfn.XLOOKUP(G935,'Common name (master file)'!$B:$B,'Common name (master file)'!$A:$A,"-------------")</f>
        <v>멧돼지</v>
      </c>
      <c r="I935">
        <f>eDNA!E935</f>
        <v>172</v>
      </c>
      <c r="J935" t="str">
        <f>_xlfn.XLOOKUP(G935,'Common name (master file)'!$B:$B,'Common name (master file)'!$C:$C,"")</f>
        <v>포유류</v>
      </c>
      <c r="K935">
        <f>eDNA!B935</f>
        <v>126.9724018</v>
      </c>
      <c r="L935">
        <f>eDNA!C935</f>
        <v>37.348161500000003</v>
      </c>
      <c r="M935" s="10" t="str" cm="1">
        <f t="array" ref="M935">IFERROR(_xlfn.XLOOKUP(1,('env Parameter'!$A:$A=$A935)*('env Parameter'!$B:$B=$K935)*('env Parameter'!$C:$C=$L935),'env Parameter'!D:D,""),"")</f>
        <v>안양천-1</v>
      </c>
      <c r="N935" s="10" t="str" cm="1">
        <f t="array" ref="N935">IFERROR(_xlfn.XLOOKUP(1,('env Parameter'!$A:$A=$A935)*('env Parameter'!$B:$B=$K935)*('env Parameter'!$C:$C=$L935),'env Parameter'!I:I,""),"")</f>
        <v>YR</v>
      </c>
    </row>
    <row r="936" spans="1:14">
      <c r="A936">
        <f>eDNA!A936</f>
        <v>20201024</v>
      </c>
      <c r="B936" s="10" t="str" cm="1">
        <f t="array" ref="B936">IFERROR(_xlfn.XLOOKUP(1,('env Parameter'!$A:$A=$A936)*('env Parameter'!$B:$B=$K936)*('env Parameter'!$C:$C=$L936),'env Parameter'!H:H,""),"")</f>
        <v>생물상 조사</v>
      </c>
      <c r="C936" s="10" cm="1">
        <f t="array" ref="C936">IFERROR(_xlfn.XLOOKUP(1,('env Parameter'!$A:$A=$A936)*('env Parameter'!$B:$B=$K936)*('env Parameter'!$C:$C=$L936),'env Parameter'!E:E,""),"")</f>
        <v>2.14</v>
      </c>
      <c r="D936" s="10" cm="1">
        <f t="array" ref="D936">IFERROR(_xlfn.XLOOKUP(1,('env Parameter'!$A:$A=$A936)*('env Parameter'!$B:$B=$K936)*('env Parameter'!$C:$C=$L936),'env Parameter'!F:F,""),"")</f>
        <v>478</v>
      </c>
      <c r="E936" s="10" cm="1">
        <f t="array" ref="E936">IFERROR(_xlfn.XLOOKUP(1,('env Parameter'!$A:$A=$A936)*('env Parameter'!$B:$B=$K936)*('env Parameter'!$C:$C=$L936),'env Parameter'!G:G,""),"")</f>
        <v>7.6</v>
      </c>
      <c r="F936" t="str">
        <f>eDNA!F936</f>
        <v>MiFish</v>
      </c>
      <c r="G936" t="str">
        <f>eDNA!D936</f>
        <v>Theragra chalcogramma</v>
      </c>
      <c r="H936" t="str">
        <f>_xlfn.XLOOKUP(G936,'Common name (master file)'!$B:$B,'Common name (master file)'!$A:$A,"-------------")</f>
        <v>명태</v>
      </c>
      <c r="I936">
        <f>eDNA!E936</f>
        <v>796</v>
      </c>
      <c r="J936" t="str">
        <f>_xlfn.XLOOKUP(G936,'Common name (master file)'!$B:$B,'Common name (master file)'!$C:$C,"")</f>
        <v>어류</v>
      </c>
      <c r="K936">
        <f>eDNA!B936</f>
        <v>126.9724018</v>
      </c>
      <c r="L936">
        <f>eDNA!C936</f>
        <v>37.348161500000003</v>
      </c>
      <c r="M936" s="10" t="str" cm="1">
        <f t="array" ref="M936">IFERROR(_xlfn.XLOOKUP(1,('env Parameter'!$A:$A=$A936)*('env Parameter'!$B:$B=$K936)*('env Parameter'!$C:$C=$L936),'env Parameter'!D:D,""),"")</f>
        <v>안양천-1</v>
      </c>
      <c r="N936" s="10" t="str" cm="1">
        <f t="array" ref="N936">IFERROR(_xlfn.XLOOKUP(1,('env Parameter'!$A:$A=$A936)*('env Parameter'!$B:$B=$K936)*('env Parameter'!$C:$C=$L936),'env Parameter'!I:I,""),"")</f>
        <v>YR</v>
      </c>
    </row>
    <row r="937" spans="1:14">
      <c r="A937">
        <f>eDNA!A937</f>
        <v>20201024</v>
      </c>
      <c r="B937" s="10" t="str" cm="1">
        <f t="array" ref="B937">IFERROR(_xlfn.XLOOKUP(1,('env Parameter'!$A:$A=$A937)*('env Parameter'!$B:$B=$K937)*('env Parameter'!$C:$C=$L937),'env Parameter'!H:H,""),"")</f>
        <v>생물상 조사</v>
      </c>
      <c r="C937" s="10" cm="1">
        <f t="array" ref="C937">IFERROR(_xlfn.XLOOKUP(1,('env Parameter'!$A:$A=$A937)*('env Parameter'!$B:$B=$K937)*('env Parameter'!$C:$C=$L937),'env Parameter'!E:E,""),"")</f>
        <v>2.14</v>
      </c>
      <c r="D937" s="10" cm="1">
        <f t="array" ref="D937">IFERROR(_xlfn.XLOOKUP(1,('env Parameter'!$A:$A=$A937)*('env Parameter'!$B:$B=$K937)*('env Parameter'!$C:$C=$L937),'env Parameter'!F:F,""),"")</f>
        <v>478</v>
      </c>
      <c r="E937" s="10" cm="1">
        <f t="array" ref="E937">IFERROR(_xlfn.XLOOKUP(1,('env Parameter'!$A:$A=$A937)*('env Parameter'!$B:$B=$K937)*('env Parameter'!$C:$C=$L937),'env Parameter'!G:G,""),"")</f>
        <v>7.6</v>
      </c>
      <c r="F937" t="str">
        <f>eDNA!F937</f>
        <v>MiFish</v>
      </c>
      <c r="G937" t="str">
        <f>eDNA!D937</f>
        <v>Silurus soldatovi</v>
      </c>
      <c r="H937" t="str">
        <f>_xlfn.XLOOKUP(G937,'Common name (master file)'!$B:$B,'Common name (master file)'!$A:$A,"-------------")</f>
        <v>솔다토비 메기</v>
      </c>
      <c r="I937">
        <f>eDNA!E937</f>
        <v>969</v>
      </c>
      <c r="J937" t="str">
        <f>_xlfn.XLOOKUP(G937,'Common name (master file)'!$B:$B,'Common name (master file)'!$C:$C,"")</f>
        <v>어류</v>
      </c>
      <c r="K937">
        <f>eDNA!B937</f>
        <v>126.9724018</v>
      </c>
      <c r="L937">
        <f>eDNA!C937</f>
        <v>37.348161500000003</v>
      </c>
      <c r="M937" s="10" t="str" cm="1">
        <f t="array" ref="M937">IFERROR(_xlfn.XLOOKUP(1,('env Parameter'!$A:$A=$A937)*('env Parameter'!$B:$B=$K937)*('env Parameter'!$C:$C=$L937),'env Parameter'!D:D,""),"")</f>
        <v>안양천-1</v>
      </c>
      <c r="N937" s="10" t="str" cm="1">
        <f t="array" ref="N937">IFERROR(_xlfn.XLOOKUP(1,('env Parameter'!$A:$A=$A937)*('env Parameter'!$B:$B=$K937)*('env Parameter'!$C:$C=$L937),'env Parameter'!I:I,""),"")</f>
        <v>YR</v>
      </c>
    </row>
    <row r="938" spans="1:14">
      <c r="A938">
        <f>eDNA!A938</f>
        <v>20201024</v>
      </c>
      <c r="B938" s="10" t="str" cm="1">
        <f t="array" ref="B938">IFERROR(_xlfn.XLOOKUP(1,('env Parameter'!$A:$A=$A938)*('env Parameter'!$B:$B=$K938)*('env Parameter'!$C:$C=$L938),'env Parameter'!H:H,""),"")</f>
        <v>생물상 조사</v>
      </c>
      <c r="C938" s="10" cm="1">
        <f t="array" ref="C938">IFERROR(_xlfn.XLOOKUP(1,('env Parameter'!$A:$A=$A938)*('env Parameter'!$B:$B=$K938)*('env Parameter'!$C:$C=$L938),'env Parameter'!E:E,""),"")</f>
        <v>2.14</v>
      </c>
      <c r="D938" s="10" cm="1">
        <f t="array" ref="D938">IFERROR(_xlfn.XLOOKUP(1,('env Parameter'!$A:$A=$A938)*('env Parameter'!$B:$B=$K938)*('env Parameter'!$C:$C=$L938),'env Parameter'!F:F,""),"")</f>
        <v>478</v>
      </c>
      <c r="E938" s="10" cm="1">
        <f t="array" ref="E938">IFERROR(_xlfn.XLOOKUP(1,('env Parameter'!$A:$A=$A938)*('env Parameter'!$B:$B=$K938)*('env Parameter'!$C:$C=$L938),'env Parameter'!G:G,""),"")</f>
        <v>7.6</v>
      </c>
      <c r="F938" t="str">
        <f>eDNA!F938</f>
        <v>MiFish</v>
      </c>
      <c r="G938" t="str">
        <f>eDNA!D938</f>
        <v>Tadorna tadorna</v>
      </c>
      <c r="H938" t="str">
        <f>_xlfn.XLOOKUP(G938,'Common name (master file)'!$B:$B,'Common name (master file)'!$A:$A,"-------------")</f>
        <v>혹부리오리</v>
      </c>
      <c r="I938">
        <f>eDNA!E938</f>
        <v>1097</v>
      </c>
      <c r="J938" t="str">
        <f>_xlfn.XLOOKUP(G938,'Common name (master file)'!$B:$B,'Common name (master file)'!$C:$C,"")</f>
        <v>조류</v>
      </c>
      <c r="K938">
        <f>eDNA!B938</f>
        <v>126.9724018</v>
      </c>
      <c r="L938">
        <f>eDNA!C938</f>
        <v>37.348161500000003</v>
      </c>
      <c r="M938" s="10" t="str" cm="1">
        <f t="array" ref="M938">IFERROR(_xlfn.XLOOKUP(1,('env Parameter'!$A:$A=$A938)*('env Parameter'!$B:$B=$K938)*('env Parameter'!$C:$C=$L938),'env Parameter'!D:D,""),"")</f>
        <v>안양천-1</v>
      </c>
      <c r="N938" s="10" t="str" cm="1">
        <f t="array" ref="N938">IFERROR(_xlfn.XLOOKUP(1,('env Parameter'!$A:$A=$A938)*('env Parameter'!$B:$B=$K938)*('env Parameter'!$C:$C=$L938),'env Parameter'!I:I,""),"")</f>
        <v>YR</v>
      </c>
    </row>
    <row r="939" spans="1:14">
      <c r="A939">
        <f>eDNA!A939</f>
        <v>20201024</v>
      </c>
      <c r="B939" s="10" t="str" cm="1">
        <f t="array" ref="B939">IFERROR(_xlfn.XLOOKUP(1,('env Parameter'!$A:$A=$A939)*('env Parameter'!$B:$B=$K939)*('env Parameter'!$C:$C=$L939),'env Parameter'!H:H,""),"")</f>
        <v>생물상 조사</v>
      </c>
      <c r="C939" s="10" cm="1">
        <f t="array" ref="C939">IFERROR(_xlfn.XLOOKUP(1,('env Parameter'!$A:$A=$A939)*('env Parameter'!$B:$B=$K939)*('env Parameter'!$C:$C=$L939),'env Parameter'!E:E,""),"")</f>
        <v>2.14</v>
      </c>
      <c r="D939" s="10" cm="1">
        <f t="array" ref="D939">IFERROR(_xlfn.XLOOKUP(1,('env Parameter'!$A:$A=$A939)*('env Parameter'!$B:$B=$K939)*('env Parameter'!$C:$C=$L939),'env Parameter'!F:F,""),"")</f>
        <v>478</v>
      </c>
      <c r="E939" s="10" cm="1">
        <f t="array" ref="E939">IFERROR(_xlfn.XLOOKUP(1,('env Parameter'!$A:$A=$A939)*('env Parameter'!$B:$B=$K939)*('env Parameter'!$C:$C=$L939),'env Parameter'!G:G,""),"")</f>
        <v>7.6</v>
      </c>
      <c r="F939" t="str">
        <f>eDNA!F939</f>
        <v>MiFish</v>
      </c>
      <c r="G939" t="str">
        <f>eDNA!D939</f>
        <v>Gnathopogon strigatus</v>
      </c>
      <c r="H939" t="str">
        <f>_xlfn.XLOOKUP(G939,'Common name (master file)'!$B:$B,'Common name (master file)'!$A:$A,"-------------")</f>
        <v>줄몰개</v>
      </c>
      <c r="I939">
        <f>eDNA!E939</f>
        <v>1368</v>
      </c>
      <c r="J939" t="str">
        <f>_xlfn.XLOOKUP(G939,'Common name (master file)'!$B:$B,'Common name (master file)'!$C:$C,"")</f>
        <v>어류</v>
      </c>
      <c r="K939">
        <f>eDNA!B939</f>
        <v>126.9724018</v>
      </c>
      <c r="L939">
        <f>eDNA!C939</f>
        <v>37.348161500000003</v>
      </c>
      <c r="M939" s="10" t="str" cm="1">
        <f t="array" ref="M939">IFERROR(_xlfn.XLOOKUP(1,('env Parameter'!$A:$A=$A939)*('env Parameter'!$B:$B=$K939)*('env Parameter'!$C:$C=$L939),'env Parameter'!D:D,""),"")</f>
        <v>안양천-1</v>
      </c>
      <c r="N939" s="10" t="str" cm="1">
        <f t="array" ref="N939">IFERROR(_xlfn.XLOOKUP(1,('env Parameter'!$A:$A=$A939)*('env Parameter'!$B:$B=$K939)*('env Parameter'!$C:$C=$L939),'env Parameter'!I:I,""),"")</f>
        <v>YR</v>
      </c>
    </row>
    <row r="940" spans="1:14">
      <c r="A940">
        <f>eDNA!A940</f>
        <v>20201024</v>
      </c>
      <c r="B940" s="10" t="str" cm="1">
        <f t="array" ref="B940">IFERROR(_xlfn.XLOOKUP(1,('env Parameter'!$A:$A=$A940)*('env Parameter'!$B:$B=$K940)*('env Parameter'!$C:$C=$L940),'env Parameter'!H:H,""),"")</f>
        <v>생물상 조사</v>
      </c>
      <c r="C940" s="10" cm="1">
        <f t="array" ref="C940">IFERROR(_xlfn.XLOOKUP(1,('env Parameter'!$A:$A=$A940)*('env Parameter'!$B:$B=$K940)*('env Parameter'!$C:$C=$L940),'env Parameter'!E:E,""),"")</f>
        <v>2.14</v>
      </c>
      <c r="D940" s="10" cm="1">
        <f t="array" ref="D940">IFERROR(_xlfn.XLOOKUP(1,('env Parameter'!$A:$A=$A940)*('env Parameter'!$B:$B=$K940)*('env Parameter'!$C:$C=$L940),'env Parameter'!F:F,""),"")</f>
        <v>478</v>
      </c>
      <c r="E940" s="10" cm="1">
        <f t="array" ref="E940">IFERROR(_xlfn.XLOOKUP(1,('env Parameter'!$A:$A=$A940)*('env Parameter'!$B:$B=$K940)*('env Parameter'!$C:$C=$L940),'env Parameter'!G:G,""),"")</f>
        <v>7.6</v>
      </c>
      <c r="F940" t="str">
        <f>eDNA!F940</f>
        <v>MiFish</v>
      </c>
      <c r="G940" t="str">
        <f>eDNA!D940</f>
        <v>Misgurnus mizolepis</v>
      </c>
      <c r="H940" t="str">
        <f>_xlfn.XLOOKUP(G940,'Common name (master file)'!$B:$B,'Common name (master file)'!$A:$A,"-------------")</f>
        <v>미꾸라지</v>
      </c>
      <c r="I940">
        <f>eDNA!E940</f>
        <v>1729</v>
      </c>
      <c r="J940" t="str">
        <f>_xlfn.XLOOKUP(G940,'Common name (master file)'!$B:$B,'Common name (master file)'!$C:$C,"")</f>
        <v>어류</v>
      </c>
      <c r="K940">
        <f>eDNA!B940</f>
        <v>126.9724018</v>
      </c>
      <c r="L940">
        <f>eDNA!C940</f>
        <v>37.348161500000003</v>
      </c>
      <c r="M940" s="10" t="str" cm="1">
        <f t="array" ref="M940">IFERROR(_xlfn.XLOOKUP(1,('env Parameter'!$A:$A=$A940)*('env Parameter'!$B:$B=$K940)*('env Parameter'!$C:$C=$L940),'env Parameter'!D:D,""),"")</f>
        <v>안양천-1</v>
      </c>
      <c r="N940" s="10" t="str" cm="1">
        <f t="array" ref="N940">IFERROR(_xlfn.XLOOKUP(1,('env Parameter'!$A:$A=$A940)*('env Parameter'!$B:$B=$K940)*('env Parameter'!$C:$C=$L940),'env Parameter'!I:I,""),"")</f>
        <v>YR</v>
      </c>
    </row>
    <row r="941" spans="1:14">
      <c r="A941">
        <f>eDNA!A941</f>
        <v>20201024</v>
      </c>
      <c r="B941" s="10" t="str" cm="1">
        <f t="array" ref="B941">IFERROR(_xlfn.XLOOKUP(1,('env Parameter'!$A:$A=$A941)*('env Parameter'!$B:$B=$K941)*('env Parameter'!$C:$C=$L941),'env Parameter'!H:H,""),"")</f>
        <v>생물상 조사</v>
      </c>
      <c r="C941" s="10" cm="1">
        <f t="array" ref="C941">IFERROR(_xlfn.XLOOKUP(1,('env Parameter'!$A:$A=$A941)*('env Parameter'!$B:$B=$K941)*('env Parameter'!$C:$C=$L941),'env Parameter'!E:E,""),"")</f>
        <v>2.14</v>
      </c>
      <c r="D941" s="10" cm="1">
        <f t="array" ref="D941">IFERROR(_xlfn.XLOOKUP(1,('env Parameter'!$A:$A=$A941)*('env Parameter'!$B:$B=$K941)*('env Parameter'!$C:$C=$L941),'env Parameter'!F:F,""),"")</f>
        <v>478</v>
      </c>
      <c r="E941" s="10" cm="1">
        <f t="array" ref="E941">IFERROR(_xlfn.XLOOKUP(1,('env Parameter'!$A:$A=$A941)*('env Parameter'!$B:$B=$K941)*('env Parameter'!$C:$C=$L941),'env Parameter'!G:G,""),"")</f>
        <v>7.6</v>
      </c>
      <c r="F941" t="str">
        <f>eDNA!F941</f>
        <v>MiFish</v>
      </c>
      <c r="G941" t="str">
        <f>eDNA!D941</f>
        <v>Paralichthys olivaceus</v>
      </c>
      <c r="H941" t="str">
        <f>_xlfn.XLOOKUP(G941,'Common name (master file)'!$B:$B,'Common name (master file)'!$A:$A,"-------------")</f>
        <v>남해산 넙치</v>
      </c>
      <c r="I941">
        <f>eDNA!E941</f>
        <v>1785</v>
      </c>
      <c r="J941" t="str">
        <f>_xlfn.XLOOKUP(G941,'Common name (master file)'!$B:$B,'Common name (master file)'!$C:$C,"")</f>
        <v>어류</v>
      </c>
      <c r="K941">
        <f>eDNA!B941</f>
        <v>126.9724018</v>
      </c>
      <c r="L941">
        <f>eDNA!C941</f>
        <v>37.348161500000003</v>
      </c>
      <c r="M941" s="10" t="str" cm="1">
        <f t="array" ref="M941">IFERROR(_xlfn.XLOOKUP(1,('env Parameter'!$A:$A=$A941)*('env Parameter'!$B:$B=$K941)*('env Parameter'!$C:$C=$L941),'env Parameter'!D:D,""),"")</f>
        <v>안양천-1</v>
      </c>
      <c r="N941" s="10" t="str" cm="1">
        <f t="array" ref="N941">IFERROR(_xlfn.XLOOKUP(1,('env Parameter'!$A:$A=$A941)*('env Parameter'!$B:$B=$K941)*('env Parameter'!$C:$C=$L941),'env Parameter'!I:I,""),"")</f>
        <v>YR</v>
      </c>
    </row>
    <row r="942" spans="1:14">
      <c r="A942">
        <f>eDNA!A942</f>
        <v>20201024</v>
      </c>
      <c r="B942" s="10" t="str" cm="1">
        <f t="array" ref="B942">IFERROR(_xlfn.XLOOKUP(1,('env Parameter'!$A:$A=$A942)*('env Parameter'!$B:$B=$K942)*('env Parameter'!$C:$C=$L942),'env Parameter'!H:H,""),"")</f>
        <v>생물상 조사</v>
      </c>
      <c r="C942" s="10" cm="1">
        <f t="array" ref="C942">IFERROR(_xlfn.XLOOKUP(1,('env Parameter'!$A:$A=$A942)*('env Parameter'!$B:$B=$K942)*('env Parameter'!$C:$C=$L942),'env Parameter'!E:E,""),"")</f>
        <v>2.14</v>
      </c>
      <c r="D942" s="10" cm="1">
        <f t="array" ref="D942">IFERROR(_xlfn.XLOOKUP(1,('env Parameter'!$A:$A=$A942)*('env Parameter'!$B:$B=$K942)*('env Parameter'!$C:$C=$L942),'env Parameter'!F:F,""),"")</f>
        <v>478</v>
      </c>
      <c r="E942" s="10" cm="1">
        <f t="array" ref="E942">IFERROR(_xlfn.XLOOKUP(1,('env Parameter'!$A:$A=$A942)*('env Parameter'!$B:$B=$K942)*('env Parameter'!$C:$C=$L942),'env Parameter'!G:G,""),"")</f>
        <v>7.6</v>
      </c>
      <c r="F942" t="str">
        <f>eDNA!F942</f>
        <v>MiFish</v>
      </c>
      <c r="G942" t="str">
        <f>eDNA!D942</f>
        <v>Carassius gibelio</v>
      </c>
      <c r="H942" t="str">
        <f>_xlfn.XLOOKUP(G942,'Common name (master file)'!$B:$B,'Common name (master file)'!$A:$A,"-------------")</f>
        <v>기벨리오 붕어</v>
      </c>
      <c r="I942">
        <f>eDNA!E942</f>
        <v>12881</v>
      </c>
      <c r="J942" t="str">
        <f>_xlfn.XLOOKUP(G942,'Common name (master file)'!$B:$B,'Common name (master file)'!$C:$C,"")</f>
        <v>어류</v>
      </c>
      <c r="K942">
        <f>eDNA!B942</f>
        <v>126.9724018</v>
      </c>
      <c r="L942">
        <f>eDNA!C942</f>
        <v>37.348161500000003</v>
      </c>
      <c r="M942" s="10" t="str" cm="1">
        <f t="array" ref="M942">IFERROR(_xlfn.XLOOKUP(1,('env Parameter'!$A:$A=$A942)*('env Parameter'!$B:$B=$K942)*('env Parameter'!$C:$C=$L942),'env Parameter'!D:D,""),"")</f>
        <v>안양천-1</v>
      </c>
      <c r="N942" s="10" t="str" cm="1">
        <f t="array" ref="N942">IFERROR(_xlfn.XLOOKUP(1,('env Parameter'!$A:$A=$A942)*('env Parameter'!$B:$B=$K942)*('env Parameter'!$C:$C=$L942),'env Parameter'!I:I,""),"")</f>
        <v>YR</v>
      </c>
    </row>
    <row r="943" spans="1:14">
      <c r="A943">
        <f>eDNA!A943</f>
        <v>20201024</v>
      </c>
      <c r="B943" s="10" t="str" cm="1">
        <f t="array" ref="B943">IFERROR(_xlfn.XLOOKUP(1,('env Parameter'!$A:$A=$A943)*('env Parameter'!$B:$B=$K943)*('env Parameter'!$C:$C=$L943),'env Parameter'!H:H,""),"")</f>
        <v>생물상 조사</v>
      </c>
      <c r="C943" s="10" cm="1">
        <f t="array" ref="C943">IFERROR(_xlfn.XLOOKUP(1,('env Parameter'!$A:$A=$A943)*('env Parameter'!$B:$B=$K943)*('env Parameter'!$C:$C=$L943),'env Parameter'!E:E,""),"")</f>
        <v>2.14</v>
      </c>
      <c r="D943" s="10" cm="1">
        <f t="array" ref="D943">IFERROR(_xlfn.XLOOKUP(1,('env Parameter'!$A:$A=$A943)*('env Parameter'!$B:$B=$K943)*('env Parameter'!$C:$C=$L943),'env Parameter'!F:F,""),"")</f>
        <v>478</v>
      </c>
      <c r="E943" s="10" cm="1">
        <f t="array" ref="E943">IFERROR(_xlfn.XLOOKUP(1,('env Parameter'!$A:$A=$A943)*('env Parameter'!$B:$B=$K943)*('env Parameter'!$C:$C=$L943),'env Parameter'!G:G,""),"")</f>
        <v>7.6</v>
      </c>
      <c r="F943" t="str">
        <f>eDNA!F943</f>
        <v>MiFish</v>
      </c>
      <c r="G943" t="str">
        <f>eDNA!D943</f>
        <v>Zacco platypus</v>
      </c>
      <c r="H943" t="str">
        <f>_xlfn.XLOOKUP(G943,'Common name (master file)'!$B:$B,'Common name (master file)'!$A:$A,"-------------")</f>
        <v>피라미</v>
      </c>
      <c r="I943">
        <f>eDNA!E943</f>
        <v>34864</v>
      </c>
      <c r="J943" t="str">
        <f>_xlfn.XLOOKUP(G943,'Common name (master file)'!$B:$B,'Common name (master file)'!$C:$C,"")</f>
        <v>어류</v>
      </c>
      <c r="K943">
        <f>eDNA!B943</f>
        <v>126.9724018</v>
      </c>
      <c r="L943">
        <f>eDNA!C943</f>
        <v>37.348161500000003</v>
      </c>
      <c r="M943" s="10" t="str" cm="1">
        <f t="array" ref="M943">IFERROR(_xlfn.XLOOKUP(1,('env Parameter'!$A:$A=$A943)*('env Parameter'!$B:$B=$K943)*('env Parameter'!$C:$C=$L943),'env Parameter'!D:D,""),"")</f>
        <v>안양천-1</v>
      </c>
      <c r="N943" s="10" t="str" cm="1">
        <f t="array" ref="N943">IFERROR(_xlfn.XLOOKUP(1,('env Parameter'!$A:$A=$A943)*('env Parameter'!$B:$B=$K943)*('env Parameter'!$C:$C=$L943),'env Parameter'!I:I,""),"")</f>
        <v>YR</v>
      </c>
    </row>
    <row r="944" spans="1:14">
      <c r="A944">
        <f>eDNA!A944</f>
        <v>20201024</v>
      </c>
      <c r="B944" s="10" t="str" cm="1">
        <f t="array" ref="B944">IFERROR(_xlfn.XLOOKUP(1,('env Parameter'!$A:$A=$A944)*('env Parameter'!$B:$B=$K944)*('env Parameter'!$C:$C=$L944),'env Parameter'!H:H,""),"")</f>
        <v>생물상 조사</v>
      </c>
      <c r="C944" s="10" cm="1">
        <f t="array" ref="C944">IFERROR(_xlfn.XLOOKUP(1,('env Parameter'!$A:$A=$A944)*('env Parameter'!$B:$B=$K944)*('env Parameter'!$C:$C=$L944),'env Parameter'!E:E,""),"")</f>
        <v>2.14</v>
      </c>
      <c r="D944" s="10" cm="1">
        <f t="array" ref="D944">IFERROR(_xlfn.XLOOKUP(1,('env Parameter'!$A:$A=$A944)*('env Parameter'!$B:$B=$K944)*('env Parameter'!$C:$C=$L944),'env Parameter'!F:F,""),"")</f>
        <v>478</v>
      </c>
      <c r="E944" s="10" cm="1">
        <f t="array" ref="E944">IFERROR(_xlfn.XLOOKUP(1,('env Parameter'!$A:$A=$A944)*('env Parameter'!$B:$B=$K944)*('env Parameter'!$C:$C=$L944),'env Parameter'!G:G,""),"")</f>
        <v>7.6</v>
      </c>
      <c r="F944" t="str">
        <f>eDNA!F944</f>
        <v>MiFish</v>
      </c>
      <c r="G944" t="str">
        <f>eDNA!D944</f>
        <v>Rhynchocypris oxycephalus</v>
      </c>
      <c r="H944" t="str">
        <f>_xlfn.XLOOKUP(G944,'Common name (master file)'!$B:$B,'Common name (master file)'!$A:$A,"-------------")</f>
        <v>버들치</v>
      </c>
      <c r="I944">
        <f>eDNA!E944</f>
        <v>28021</v>
      </c>
      <c r="J944" t="str">
        <f>_xlfn.XLOOKUP(G944,'Common name (master file)'!$B:$B,'Common name (master file)'!$C:$C,"")</f>
        <v>어류</v>
      </c>
      <c r="K944">
        <f>eDNA!B944</f>
        <v>126.9724018</v>
      </c>
      <c r="L944">
        <f>eDNA!C944</f>
        <v>37.348161500000003</v>
      </c>
      <c r="M944" s="10" t="str" cm="1">
        <f t="array" ref="M944">IFERROR(_xlfn.XLOOKUP(1,('env Parameter'!$A:$A=$A944)*('env Parameter'!$B:$B=$K944)*('env Parameter'!$C:$C=$L944),'env Parameter'!D:D,""),"")</f>
        <v>안양천-1</v>
      </c>
      <c r="N944" s="10" t="str" cm="1">
        <f t="array" ref="N944">IFERROR(_xlfn.XLOOKUP(1,('env Parameter'!$A:$A=$A944)*('env Parameter'!$B:$B=$K944)*('env Parameter'!$C:$C=$L944),'env Parameter'!I:I,""),"")</f>
        <v>YR</v>
      </c>
    </row>
    <row r="945" spans="1:14">
      <c r="A945">
        <f>eDNA!A945</f>
        <v>20201024</v>
      </c>
      <c r="B945" s="10" t="str" cm="1">
        <f t="array" ref="B945">IFERROR(_xlfn.XLOOKUP(1,('env Parameter'!$A:$A=$A945)*('env Parameter'!$B:$B=$K945)*('env Parameter'!$C:$C=$L945),'env Parameter'!H:H,""),"")</f>
        <v>생물상 조사</v>
      </c>
      <c r="C945" s="10" cm="1">
        <f t="array" ref="C945">IFERROR(_xlfn.XLOOKUP(1,('env Parameter'!$A:$A=$A945)*('env Parameter'!$B:$B=$K945)*('env Parameter'!$C:$C=$L945),'env Parameter'!E:E,""),"")</f>
        <v>2.14</v>
      </c>
      <c r="D945" s="10" cm="1">
        <f t="array" ref="D945">IFERROR(_xlfn.XLOOKUP(1,('env Parameter'!$A:$A=$A945)*('env Parameter'!$B:$B=$K945)*('env Parameter'!$C:$C=$L945),'env Parameter'!F:F,""),"")</f>
        <v>478</v>
      </c>
      <c r="E945" s="10" cm="1">
        <f t="array" ref="E945">IFERROR(_xlfn.XLOOKUP(1,('env Parameter'!$A:$A=$A945)*('env Parameter'!$B:$B=$K945)*('env Parameter'!$C:$C=$L945),'env Parameter'!G:G,""),"")</f>
        <v>7.6</v>
      </c>
      <c r="F945" t="str">
        <f>eDNA!F945</f>
        <v>MiFish</v>
      </c>
      <c r="G945" t="str">
        <f>eDNA!D945</f>
        <v>Odontobutis interrupta</v>
      </c>
      <c r="H945" t="str">
        <f>_xlfn.XLOOKUP(G945,'Common name (master file)'!$B:$B,'Common name (master file)'!$A:$A,"-------------")</f>
        <v>얼록동사리</v>
      </c>
      <c r="I945">
        <f>eDNA!E945</f>
        <v>38275</v>
      </c>
      <c r="J945" t="str">
        <f>_xlfn.XLOOKUP(G945,'Common name (master file)'!$B:$B,'Common name (master file)'!$C:$C,"")</f>
        <v>어류</v>
      </c>
      <c r="K945">
        <f>eDNA!B945</f>
        <v>126.9724018</v>
      </c>
      <c r="L945">
        <f>eDNA!C945</f>
        <v>37.348161500000003</v>
      </c>
      <c r="M945" s="10" t="str" cm="1">
        <f t="array" ref="M945">IFERROR(_xlfn.XLOOKUP(1,('env Parameter'!$A:$A=$A945)*('env Parameter'!$B:$B=$K945)*('env Parameter'!$C:$C=$L945),'env Parameter'!D:D,""),"")</f>
        <v>안양천-1</v>
      </c>
      <c r="N945" s="10" t="str" cm="1">
        <f t="array" ref="N945">IFERROR(_xlfn.XLOOKUP(1,('env Parameter'!$A:$A=$A945)*('env Parameter'!$B:$B=$K945)*('env Parameter'!$C:$C=$L945),'env Parameter'!I:I,""),"")</f>
        <v>YR</v>
      </c>
    </row>
    <row r="946" spans="1:14">
      <c r="A946">
        <f>eDNA!A946</f>
        <v>20201024</v>
      </c>
      <c r="B946" s="10" t="str" cm="1">
        <f t="array" ref="B946">IFERROR(_xlfn.XLOOKUP(1,('env Parameter'!$A:$A=$A946)*('env Parameter'!$B:$B=$K946)*('env Parameter'!$C:$C=$L946),'env Parameter'!H:H,""),"")</f>
        <v>생물상 조사</v>
      </c>
      <c r="C946" s="10" cm="1">
        <f t="array" ref="C946">IFERROR(_xlfn.XLOOKUP(1,('env Parameter'!$A:$A=$A946)*('env Parameter'!$B:$B=$K946)*('env Parameter'!$C:$C=$L946),'env Parameter'!E:E,""),"")</f>
        <v>2.14</v>
      </c>
      <c r="D946" s="10" cm="1">
        <f t="array" ref="D946">IFERROR(_xlfn.XLOOKUP(1,('env Parameter'!$A:$A=$A946)*('env Parameter'!$B:$B=$K946)*('env Parameter'!$C:$C=$L946),'env Parameter'!F:F,""),"")</f>
        <v>478</v>
      </c>
      <c r="E946" s="10" cm="1">
        <f t="array" ref="E946">IFERROR(_xlfn.XLOOKUP(1,('env Parameter'!$A:$A=$A946)*('env Parameter'!$B:$B=$K946)*('env Parameter'!$C:$C=$L946),'env Parameter'!G:G,""),"")</f>
        <v>7.6</v>
      </c>
      <c r="F946" t="str">
        <f>eDNA!F946</f>
        <v>MiFish</v>
      </c>
      <c r="G946" t="str">
        <f>eDNA!D946</f>
        <v>Trichiurus lepturus</v>
      </c>
      <c r="H946" t="str">
        <f>_xlfn.XLOOKUP(G946,'Common name (master file)'!$B:$B,'Common name (master file)'!$A:$A,"-------------")</f>
        <v>동갈치</v>
      </c>
      <c r="I946">
        <f>eDNA!E946</f>
        <v>11</v>
      </c>
      <c r="J946" t="str">
        <f>_xlfn.XLOOKUP(G946,'Common name (master file)'!$B:$B,'Common name (master file)'!$C:$C,"")</f>
        <v>어류</v>
      </c>
      <c r="K946">
        <f>eDNA!B946</f>
        <v>126.8772417</v>
      </c>
      <c r="L946">
        <f>eDNA!C946</f>
        <v>37.474826299999997</v>
      </c>
      <c r="M946" s="10" t="str" cm="1">
        <f t="array" ref="M946">IFERROR(_xlfn.XLOOKUP(1,('env Parameter'!$A:$A=$A946)*('env Parameter'!$B:$B=$K946)*('env Parameter'!$C:$C=$L946),'env Parameter'!D:D,""),"")</f>
        <v>안양천-10</v>
      </c>
      <c r="N946" s="10" t="str" cm="1">
        <f t="array" ref="N946">IFERROR(_xlfn.XLOOKUP(1,('env Parameter'!$A:$A=$A946)*('env Parameter'!$B:$B=$K946)*('env Parameter'!$C:$C=$L946),'env Parameter'!I:I,""),"")</f>
        <v>YR</v>
      </c>
    </row>
    <row r="947" spans="1:14">
      <c r="A947">
        <f>eDNA!A947</f>
        <v>20201024</v>
      </c>
      <c r="B947" s="10" t="str" cm="1">
        <f t="array" ref="B947">IFERROR(_xlfn.XLOOKUP(1,('env Parameter'!$A:$A=$A947)*('env Parameter'!$B:$B=$K947)*('env Parameter'!$C:$C=$L947),'env Parameter'!H:H,""),"")</f>
        <v>생물상 조사</v>
      </c>
      <c r="C947" s="10" cm="1">
        <f t="array" ref="C947">IFERROR(_xlfn.XLOOKUP(1,('env Parameter'!$A:$A=$A947)*('env Parameter'!$B:$B=$K947)*('env Parameter'!$C:$C=$L947),'env Parameter'!E:E,""),"")</f>
        <v>2.14</v>
      </c>
      <c r="D947" s="10" cm="1">
        <f t="array" ref="D947">IFERROR(_xlfn.XLOOKUP(1,('env Parameter'!$A:$A=$A947)*('env Parameter'!$B:$B=$K947)*('env Parameter'!$C:$C=$L947),'env Parameter'!F:F,""),"")</f>
        <v>478</v>
      </c>
      <c r="E947" s="10" cm="1">
        <f t="array" ref="E947">IFERROR(_xlfn.XLOOKUP(1,('env Parameter'!$A:$A=$A947)*('env Parameter'!$B:$B=$K947)*('env Parameter'!$C:$C=$L947),'env Parameter'!G:G,""),"")</f>
        <v>7.6</v>
      </c>
      <c r="F947" t="str">
        <f>eDNA!F947</f>
        <v>MiFish</v>
      </c>
      <c r="G947" t="str">
        <f>eDNA!D947</f>
        <v>Homo sapiens</v>
      </c>
      <c r="H947" t="str">
        <f>_xlfn.XLOOKUP(G947,'Common name (master file)'!$B:$B,'Common name (master file)'!$A:$A,"-------------")</f>
        <v>사람</v>
      </c>
      <c r="I947">
        <f>eDNA!E947</f>
        <v>40</v>
      </c>
      <c r="J947" t="str">
        <f>_xlfn.XLOOKUP(G947,'Common name (master file)'!$B:$B,'Common name (master file)'!$C:$C,"")</f>
        <v>포유류</v>
      </c>
      <c r="K947">
        <f>eDNA!B947</f>
        <v>126.95619790000001</v>
      </c>
      <c r="L947">
        <f>eDNA!C947</f>
        <v>37.363509200000003</v>
      </c>
      <c r="M947" s="10" t="str" cm="1">
        <f t="array" ref="M947">IFERROR(_xlfn.XLOOKUP(1,('env Parameter'!$A:$A=$A947)*('env Parameter'!$B:$B=$K947)*('env Parameter'!$C:$C=$L947),'env Parameter'!D:D,""),"")</f>
        <v>안양천-2</v>
      </c>
      <c r="N947" s="10" t="str" cm="1">
        <f t="array" ref="N947">IFERROR(_xlfn.XLOOKUP(1,('env Parameter'!$A:$A=$A947)*('env Parameter'!$B:$B=$K947)*('env Parameter'!$C:$C=$L947),'env Parameter'!I:I,""),"")</f>
        <v>YR</v>
      </c>
    </row>
    <row r="948" spans="1:14">
      <c r="A948">
        <f>eDNA!A948</f>
        <v>20201024</v>
      </c>
      <c r="B948" s="10" t="str" cm="1">
        <f t="array" ref="B948">IFERROR(_xlfn.XLOOKUP(1,('env Parameter'!$A:$A=$A948)*('env Parameter'!$B:$B=$K948)*('env Parameter'!$C:$C=$L948),'env Parameter'!H:H,""),"")</f>
        <v>생물상 조사</v>
      </c>
      <c r="C948" s="10" cm="1">
        <f t="array" ref="C948">IFERROR(_xlfn.XLOOKUP(1,('env Parameter'!$A:$A=$A948)*('env Parameter'!$B:$B=$K948)*('env Parameter'!$C:$C=$L948),'env Parameter'!E:E,""),"")</f>
        <v>2.14</v>
      </c>
      <c r="D948" s="10" cm="1">
        <f t="array" ref="D948">IFERROR(_xlfn.XLOOKUP(1,('env Parameter'!$A:$A=$A948)*('env Parameter'!$B:$B=$K948)*('env Parameter'!$C:$C=$L948),'env Parameter'!F:F,""),"")</f>
        <v>478</v>
      </c>
      <c r="E948" s="10" cm="1">
        <f t="array" ref="E948">IFERROR(_xlfn.XLOOKUP(1,('env Parameter'!$A:$A=$A948)*('env Parameter'!$B:$B=$K948)*('env Parameter'!$C:$C=$L948),'env Parameter'!G:G,""),"")</f>
        <v>7.6</v>
      </c>
      <c r="F948" t="str">
        <f>eDNA!F948</f>
        <v>MiFish</v>
      </c>
      <c r="G948" t="str">
        <f>eDNA!D948</f>
        <v>Gnathopogon polytaenia</v>
      </c>
      <c r="H948" t="str">
        <f>_xlfn.XLOOKUP(G948,'Common name (master file)'!$B:$B,'Common name (master file)'!$A:$A,"-------------")</f>
        <v>폴리테니아 줄몰개</v>
      </c>
      <c r="I948">
        <f>eDNA!E948</f>
        <v>126</v>
      </c>
      <c r="J948" t="str">
        <f>_xlfn.XLOOKUP(G948,'Common name (master file)'!$B:$B,'Common name (master file)'!$C:$C,"")</f>
        <v>어류</v>
      </c>
      <c r="K948">
        <f>eDNA!B948</f>
        <v>126.95619790000001</v>
      </c>
      <c r="L948">
        <f>eDNA!C948</f>
        <v>37.363509200000003</v>
      </c>
      <c r="M948" s="10" t="str" cm="1">
        <f t="array" ref="M948">IFERROR(_xlfn.XLOOKUP(1,('env Parameter'!$A:$A=$A948)*('env Parameter'!$B:$B=$K948)*('env Parameter'!$C:$C=$L948),'env Parameter'!D:D,""),"")</f>
        <v>안양천-2</v>
      </c>
      <c r="N948" s="10" t="str" cm="1">
        <f t="array" ref="N948">IFERROR(_xlfn.XLOOKUP(1,('env Parameter'!$A:$A=$A948)*('env Parameter'!$B:$B=$K948)*('env Parameter'!$C:$C=$L948),'env Parameter'!I:I,""),"")</f>
        <v>YR</v>
      </c>
    </row>
    <row r="949" spans="1:14">
      <c r="A949">
        <f>eDNA!A949</f>
        <v>20201024</v>
      </c>
      <c r="B949" s="10" t="str" cm="1">
        <f t="array" ref="B949">IFERROR(_xlfn.XLOOKUP(1,('env Parameter'!$A:$A=$A949)*('env Parameter'!$B:$B=$K949)*('env Parameter'!$C:$C=$L949),'env Parameter'!H:H,""),"")</f>
        <v>생물상 조사</v>
      </c>
      <c r="C949" s="10" cm="1">
        <f t="array" ref="C949">IFERROR(_xlfn.XLOOKUP(1,('env Parameter'!$A:$A=$A949)*('env Parameter'!$B:$B=$K949)*('env Parameter'!$C:$C=$L949),'env Parameter'!E:E,""),"")</f>
        <v>2.14</v>
      </c>
      <c r="D949" s="10" cm="1">
        <f t="array" ref="D949">IFERROR(_xlfn.XLOOKUP(1,('env Parameter'!$A:$A=$A949)*('env Parameter'!$B:$B=$K949)*('env Parameter'!$C:$C=$L949),'env Parameter'!F:F,""),"")</f>
        <v>478</v>
      </c>
      <c r="E949" s="10" cm="1">
        <f t="array" ref="E949">IFERROR(_xlfn.XLOOKUP(1,('env Parameter'!$A:$A=$A949)*('env Parameter'!$B:$B=$K949)*('env Parameter'!$C:$C=$L949),'env Parameter'!G:G,""),"")</f>
        <v>7.6</v>
      </c>
      <c r="F949" t="str">
        <f>eDNA!F949</f>
        <v>MiFish</v>
      </c>
      <c r="G949" t="str">
        <f>eDNA!D949</f>
        <v>Carassius sp.</v>
      </c>
      <c r="H949" t="str">
        <f>_xlfn.XLOOKUP(G949,'Common name (master file)'!$B:$B,'Common name (master file)'!$A:$A,"-------------")</f>
        <v>붕어 속</v>
      </c>
      <c r="I949">
        <f>eDNA!E949</f>
        <v>184</v>
      </c>
      <c r="J949" t="str">
        <f>_xlfn.XLOOKUP(G949,'Common name (master file)'!$B:$B,'Common name (master file)'!$C:$C,"")</f>
        <v>어류</v>
      </c>
      <c r="K949">
        <f>eDNA!B949</f>
        <v>126.95619790000001</v>
      </c>
      <c r="L949">
        <f>eDNA!C949</f>
        <v>37.363509200000003</v>
      </c>
      <c r="M949" s="10" t="str" cm="1">
        <f t="array" ref="M949">IFERROR(_xlfn.XLOOKUP(1,('env Parameter'!$A:$A=$A949)*('env Parameter'!$B:$B=$K949)*('env Parameter'!$C:$C=$L949),'env Parameter'!D:D,""),"")</f>
        <v>안양천-2</v>
      </c>
      <c r="N949" s="10" t="str" cm="1">
        <f t="array" ref="N949">IFERROR(_xlfn.XLOOKUP(1,('env Parameter'!$A:$A=$A949)*('env Parameter'!$B:$B=$K949)*('env Parameter'!$C:$C=$L949),'env Parameter'!I:I,""),"")</f>
        <v>YR</v>
      </c>
    </row>
    <row r="950" spans="1:14">
      <c r="A950">
        <f>eDNA!A950</f>
        <v>20201024</v>
      </c>
      <c r="B950" s="10" t="str" cm="1">
        <f t="array" ref="B950">IFERROR(_xlfn.XLOOKUP(1,('env Parameter'!$A:$A=$A950)*('env Parameter'!$B:$B=$K950)*('env Parameter'!$C:$C=$L950),'env Parameter'!H:H,""),"")</f>
        <v>생물상 조사</v>
      </c>
      <c r="C950" s="10" cm="1">
        <f t="array" ref="C950">IFERROR(_xlfn.XLOOKUP(1,('env Parameter'!$A:$A=$A950)*('env Parameter'!$B:$B=$K950)*('env Parameter'!$C:$C=$L950),'env Parameter'!E:E,""),"")</f>
        <v>2.14</v>
      </c>
      <c r="D950" s="10" cm="1">
        <f t="array" ref="D950">IFERROR(_xlfn.XLOOKUP(1,('env Parameter'!$A:$A=$A950)*('env Parameter'!$B:$B=$K950)*('env Parameter'!$C:$C=$L950),'env Parameter'!F:F,""),"")</f>
        <v>478</v>
      </c>
      <c r="E950" s="10" cm="1">
        <f t="array" ref="E950">IFERROR(_xlfn.XLOOKUP(1,('env Parameter'!$A:$A=$A950)*('env Parameter'!$B:$B=$K950)*('env Parameter'!$C:$C=$L950),'env Parameter'!G:G,""),"")</f>
        <v>7.6</v>
      </c>
      <c r="F950" t="str">
        <f>eDNA!F950</f>
        <v>MiFish</v>
      </c>
      <c r="G950" t="str">
        <f>eDNA!D950</f>
        <v>Bos taurus</v>
      </c>
      <c r="H950" t="str">
        <f>_xlfn.XLOOKUP(G950,'Common name (master file)'!$B:$B,'Common name (master file)'!$A:$A,"-------------")</f>
        <v>소</v>
      </c>
      <c r="I950">
        <f>eDNA!E950</f>
        <v>204</v>
      </c>
      <c r="J950" t="str">
        <f>_xlfn.XLOOKUP(G950,'Common name (master file)'!$B:$B,'Common name (master file)'!$C:$C,"")</f>
        <v>포유류</v>
      </c>
      <c r="K950">
        <f>eDNA!B950</f>
        <v>126.95619790000001</v>
      </c>
      <c r="L950">
        <f>eDNA!C950</f>
        <v>37.363509200000003</v>
      </c>
      <c r="M950" s="10" t="str" cm="1">
        <f t="array" ref="M950">IFERROR(_xlfn.XLOOKUP(1,('env Parameter'!$A:$A=$A950)*('env Parameter'!$B:$B=$K950)*('env Parameter'!$C:$C=$L950),'env Parameter'!D:D,""),"")</f>
        <v>안양천-2</v>
      </c>
      <c r="N950" s="10" t="str" cm="1">
        <f t="array" ref="N950">IFERROR(_xlfn.XLOOKUP(1,('env Parameter'!$A:$A=$A950)*('env Parameter'!$B:$B=$K950)*('env Parameter'!$C:$C=$L950),'env Parameter'!I:I,""),"")</f>
        <v>YR</v>
      </c>
    </row>
    <row r="951" spans="1:14">
      <c r="A951">
        <f>eDNA!A951</f>
        <v>20201024</v>
      </c>
      <c r="B951" s="10" t="str" cm="1">
        <f t="array" ref="B951">IFERROR(_xlfn.XLOOKUP(1,('env Parameter'!$A:$A=$A951)*('env Parameter'!$B:$B=$K951)*('env Parameter'!$C:$C=$L951),'env Parameter'!H:H,""),"")</f>
        <v>생물상 조사</v>
      </c>
      <c r="C951" s="10" cm="1">
        <f t="array" ref="C951">IFERROR(_xlfn.XLOOKUP(1,('env Parameter'!$A:$A=$A951)*('env Parameter'!$B:$B=$K951)*('env Parameter'!$C:$C=$L951),'env Parameter'!E:E,""),"")</f>
        <v>2.14</v>
      </c>
      <c r="D951" s="10" cm="1">
        <f t="array" ref="D951">IFERROR(_xlfn.XLOOKUP(1,('env Parameter'!$A:$A=$A951)*('env Parameter'!$B:$B=$K951)*('env Parameter'!$C:$C=$L951),'env Parameter'!F:F,""),"")</f>
        <v>478</v>
      </c>
      <c r="E951" s="10" cm="1">
        <f t="array" ref="E951">IFERROR(_xlfn.XLOOKUP(1,('env Parameter'!$A:$A=$A951)*('env Parameter'!$B:$B=$K951)*('env Parameter'!$C:$C=$L951),'env Parameter'!G:G,""),"")</f>
        <v>7.6</v>
      </c>
      <c r="F951" t="str">
        <f>eDNA!F951</f>
        <v>MiFish</v>
      </c>
      <c r="G951" t="str">
        <f>eDNA!D951</f>
        <v>Odontobutis platycephala</v>
      </c>
      <c r="H951" t="str">
        <f>_xlfn.XLOOKUP(G951,'Common name (master file)'!$B:$B,'Common name (master file)'!$A:$A,"-------------")</f>
        <v>동사리</v>
      </c>
      <c r="I951">
        <f>eDNA!E951</f>
        <v>50</v>
      </c>
      <c r="J951" t="str">
        <f>_xlfn.XLOOKUP(G951,'Common name (master file)'!$B:$B,'Common name (master file)'!$C:$C,"")</f>
        <v>어류</v>
      </c>
      <c r="K951">
        <f>eDNA!B951</f>
        <v>126.8772417</v>
      </c>
      <c r="L951">
        <f>eDNA!C951</f>
        <v>37.474826299999997</v>
      </c>
      <c r="M951" s="10" t="str" cm="1">
        <f t="array" ref="M951">IFERROR(_xlfn.XLOOKUP(1,('env Parameter'!$A:$A=$A951)*('env Parameter'!$B:$B=$K951)*('env Parameter'!$C:$C=$L951),'env Parameter'!D:D,""),"")</f>
        <v>안양천-10</v>
      </c>
      <c r="N951" s="10" t="str" cm="1">
        <f t="array" ref="N951">IFERROR(_xlfn.XLOOKUP(1,('env Parameter'!$A:$A=$A951)*('env Parameter'!$B:$B=$K951)*('env Parameter'!$C:$C=$L951),'env Parameter'!I:I,""),"")</f>
        <v>YR</v>
      </c>
    </row>
    <row r="952" spans="1:14">
      <c r="A952">
        <f>eDNA!A952</f>
        <v>20201024</v>
      </c>
      <c r="B952" s="10" t="str" cm="1">
        <f t="array" ref="B952">IFERROR(_xlfn.XLOOKUP(1,('env Parameter'!$A:$A=$A952)*('env Parameter'!$B:$B=$K952)*('env Parameter'!$C:$C=$L952),'env Parameter'!H:H,""),"")</f>
        <v>생물상 조사</v>
      </c>
      <c r="C952" s="10" cm="1">
        <f t="array" ref="C952">IFERROR(_xlfn.XLOOKUP(1,('env Parameter'!$A:$A=$A952)*('env Parameter'!$B:$B=$K952)*('env Parameter'!$C:$C=$L952),'env Parameter'!E:E,""),"")</f>
        <v>2.14</v>
      </c>
      <c r="D952" s="10" cm="1">
        <f t="array" ref="D952">IFERROR(_xlfn.XLOOKUP(1,('env Parameter'!$A:$A=$A952)*('env Parameter'!$B:$B=$K952)*('env Parameter'!$C:$C=$L952),'env Parameter'!F:F,""),"")</f>
        <v>478</v>
      </c>
      <c r="E952" s="10" cm="1">
        <f t="array" ref="E952">IFERROR(_xlfn.XLOOKUP(1,('env Parameter'!$A:$A=$A952)*('env Parameter'!$B:$B=$K952)*('env Parameter'!$C:$C=$L952),'env Parameter'!G:G,""),"")</f>
        <v>7.6</v>
      </c>
      <c r="F952" t="str">
        <f>eDNA!F952</f>
        <v>MiFish</v>
      </c>
      <c r="G952" t="str">
        <f>eDNA!D952</f>
        <v>Tadorna tadorna</v>
      </c>
      <c r="H952" t="str">
        <f>_xlfn.XLOOKUP(G952,'Common name (master file)'!$B:$B,'Common name (master file)'!$A:$A,"-------------")</f>
        <v>혹부리오리</v>
      </c>
      <c r="I952">
        <f>eDNA!E952</f>
        <v>342</v>
      </c>
      <c r="J952" t="str">
        <f>_xlfn.XLOOKUP(G952,'Common name (master file)'!$B:$B,'Common name (master file)'!$C:$C,"")</f>
        <v>조류</v>
      </c>
      <c r="K952">
        <f>eDNA!B952</f>
        <v>126.95619790000001</v>
      </c>
      <c r="L952">
        <f>eDNA!C952</f>
        <v>37.363509200000003</v>
      </c>
      <c r="M952" s="10" t="str" cm="1">
        <f t="array" ref="M952">IFERROR(_xlfn.XLOOKUP(1,('env Parameter'!$A:$A=$A952)*('env Parameter'!$B:$B=$K952)*('env Parameter'!$C:$C=$L952),'env Parameter'!D:D,""),"")</f>
        <v>안양천-2</v>
      </c>
      <c r="N952" s="10" t="str" cm="1">
        <f t="array" ref="N952">IFERROR(_xlfn.XLOOKUP(1,('env Parameter'!$A:$A=$A952)*('env Parameter'!$B:$B=$K952)*('env Parameter'!$C:$C=$L952),'env Parameter'!I:I,""),"")</f>
        <v>YR</v>
      </c>
    </row>
    <row r="953" spans="1:14">
      <c r="A953">
        <f>eDNA!A953</f>
        <v>20201024</v>
      </c>
      <c r="B953" s="10" t="str" cm="1">
        <f t="array" ref="B953">IFERROR(_xlfn.XLOOKUP(1,('env Parameter'!$A:$A=$A953)*('env Parameter'!$B:$B=$K953)*('env Parameter'!$C:$C=$L953),'env Parameter'!H:H,""),"")</f>
        <v>생물상 조사</v>
      </c>
      <c r="C953" s="10" cm="1">
        <f t="array" ref="C953">IFERROR(_xlfn.XLOOKUP(1,('env Parameter'!$A:$A=$A953)*('env Parameter'!$B:$B=$K953)*('env Parameter'!$C:$C=$L953),'env Parameter'!E:E,""),"")</f>
        <v>2.14</v>
      </c>
      <c r="D953" s="10" cm="1">
        <f t="array" ref="D953">IFERROR(_xlfn.XLOOKUP(1,('env Parameter'!$A:$A=$A953)*('env Parameter'!$B:$B=$K953)*('env Parameter'!$C:$C=$L953),'env Parameter'!F:F,""),"")</f>
        <v>478</v>
      </c>
      <c r="E953" s="10" cm="1">
        <f t="array" ref="E953">IFERROR(_xlfn.XLOOKUP(1,('env Parameter'!$A:$A=$A953)*('env Parameter'!$B:$B=$K953)*('env Parameter'!$C:$C=$L953),'env Parameter'!G:G,""),"")</f>
        <v>7.6</v>
      </c>
      <c r="F953" t="str">
        <f>eDNA!F953</f>
        <v>MiFish</v>
      </c>
      <c r="G953" t="str">
        <f>eDNA!D953</f>
        <v>Mogera robusta</v>
      </c>
      <c r="H953" t="str">
        <f>_xlfn.XLOOKUP(G953,'Common name (master file)'!$B:$B,'Common name (master file)'!$A:$A,"-------------")</f>
        <v>두더지</v>
      </c>
      <c r="I953">
        <f>eDNA!E953</f>
        <v>25</v>
      </c>
      <c r="J953" t="str">
        <f>_xlfn.XLOOKUP(G953,'Common name (master file)'!$B:$B,'Common name (master file)'!$C:$C,"")</f>
        <v>포유류</v>
      </c>
      <c r="K953">
        <f>eDNA!B953</f>
        <v>126.9506027</v>
      </c>
      <c r="L953">
        <f>eDNA!C953</f>
        <v>37.400644700000001</v>
      </c>
      <c r="M953" s="10" t="str" cm="1">
        <f t="array" ref="M953">IFERROR(_xlfn.XLOOKUP(1,('env Parameter'!$A:$A=$A953)*('env Parameter'!$B:$B=$K953)*('env Parameter'!$C:$C=$L953),'env Parameter'!D:D,""),"")</f>
        <v>안양천-31</v>
      </c>
      <c r="N953" s="10" t="str" cm="1">
        <f t="array" ref="N953">IFERROR(_xlfn.XLOOKUP(1,('env Parameter'!$A:$A=$A953)*('env Parameter'!$B:$B=$K953)*('env Parameter'!$C:$C=$L953),'env Parameter'!I:I,""),"")</f>
        <v>YR</v>
      </c>
    </row>
    <row r="954" spans="1:14">
      <c r="A954">
        <f>eDNA!A954</f>
        <v>20201024</v>
      </c>
      <c r="B954" s="10" t="str" cm="1">
        <f t="array" ref="B954">IFERROR(_xlfn.XLOOKUP(1,('env Parameter'!$A:$A=$A954)*('env Parameter'!$B:$B=$K954)*('env Parameter'!$C:$C=$L954),'env Parameter'!H:H,""),"")</f>
        <v>생물상 조사</v>
      </c>
      <c r="C954" s="10" cm="1">
        <f t="array" ref="C954">IFERROR(_xlfn.XLOOKUP(1,('env Parameter'!$A:$A=$A954)*('env Parameter'!$B:$B=$K954)*('env Parameter'!$C:$C=$L954),'env Parameter'!E:E,""),"")</f>
        <v>2.14</v>
      </c>
      <c r="D954" s="10" cm="1">
        <f t="array" ref="D954">IFERROR(_xlfn.XLOOKUP(1,('env Parameter'!$A:$A=$A954)*('env Parameter'!$B:$B=$K954)*('env Parameter'!$C:$C=$L954),'env Parameter'!F:F,""),"")</f>
        <v>478</v>
      </c>
      <c r="E954" s="10" cm="1">
        <f t="array" ref="E954">IFERROR(_xlfn.XLOOKUP(1,('env Parameter'!$A:$A=$A954)*('env Parameter'!$B:$B=$K954)*('env Parameter'!$C:$C=$L954),'env Parameter'!G:G,""),"")</f>
        <v>7.6</v>
      </c>
      <c r="F954" t="str">
        <f>eDNA!F954</f>
        <v>MiFish</v>
      </c>
      <c r="G954" t="str">
        <f>eDNA!D954</f>
        <v>Misgurnus bipartitus</v>
      </c>
      <c r="H954" t="str">
        <f>_xlfn.XLOOKUP(G954,'Common name (master file)'!$B:$B,'Common name (master file)'!$A:$A,"-------------")</f>
        <v>쌍무늬미꾸리</v>
      </c>
      <c r="I954">
        <f>eDNA!E954</f>
        <v>410</v>
      </c>
      <c r="J954" t="str">
        <f>_xlfn.XLOOKUP(G954,'Common name (master file)'!$B:$B,'Common name (master file)'!$C:$C,"")</f>
        <v>어류</v>
      </c>
      <c r="K954">
        <f>eDNA!B954</f>
        <v>126.95619790000001</v>
      </c>
      <c r="L954">
        <f>eDNA!C954</f>
        <v>37.363509200000003</v>
      </c>
      <c r="M954" s="10" t="str" cm="1">
        <f t="array" ref="M954">IFERROR(_xlfn.XLOOKUP(1,('env Parameter'!$A:$A=$A954)*('env Parameter'!$B:$B=$K954)*('env Parameter'!$C:$C=$L954),'env Parameter'!D:D,""),"")</f>
        <v>안양천-2</v>
      </c>
      <c r="N954" s="10" t="str" cm="1">
        <f t="array" ref="N954">IFERROR(_xlfn.XLOOKUP(1,('env Parameter'!$A:$A=$A954)*('env Parameter'!$B:$B=$K954)*('env Parameter'!$C:$C=$L954),'env Parameter'!I:I,""),"")</f>
        <v>YR</v>
      </c>
    </row>
    <row r="955" spans="1:14">
      <c r="A955">
        <f>eDNA!A955</f>
        <v>20201024</v>
      </c>
      <c r="B955" s="10" t="str" cm="1">
        <f t="array" ref="B955">IFERROR(_xlfn.XLOOKUP(1,('env Parameter'!$A:$A=$A955)*('env Parameter'!$B:$B=$K955)*('env Parameter'!$C:$C=$L955),'env Parameter'!H:H,""),"")</f>
        <v>생물상 조사</v>
      </c>
      <c r="C955" s="10" cm="1">
        <f t="array" ref="C955">IFERROR(_xlfn.XLOOKUP(1,('env Parameter'!$A:$A=$A955)*('env Parameter'!$B:$B=$K955)*('env Parameter'!$C:$C=$L955),'env Parameter'!E:E,""),"")</f>
        <v>2.14</v>
      </c>
      <c r="D955" s="10" cm="1">
        <f t="array" ref="D955">IFERROR(_xlfn.XLOOKUP(1,('env Parameter'!$A:$A=$A955)*('env Parameter'!$B:$B=$K955)*('env Parameter'!$C:$C=$L955),'env Parameter'!F:F,""),"")</f>
        <v>478</v>
      </c>
      <c r="E955" s="10" cm="1">
        <f t="array" ref="E955">IFERROR(_xlfn.XLOOKUP(1,('env Parameter'!$A:$A=$A955)*('env Parameter'!$B:$B=$K955)*('env Parameter'!$C:$C=$L955),'env Parameter'!G:G,""),"")</f>
        <v>7.6</v>
      </c>
      <c r="F955" t="str">
        <f>eDNA!F955</f>
        <v>MiFish</v>
      </c>
      <c r="G955" t="str">
        <f>eDNA!D955</f>
        <v>Cyprinus carpio</v>
      </c>
      <c r="H955" t="str">
        <f>_xlfn.XLOOKUP(G955,'Common name (master file)'!$B:$B,'Common name (master file)'!$A:$A,"-------------")</f>
        <v>잉어</v>
      </c>
      <c r="I955">
        <f>eDNA!E955</f>
        <v>432</v>
      </c>
      <c r="J955" t="str">
        <f>_xlfn.XLOOKUP(G955,'Common name (master file)'!$B:$B,'Common name (master file)'!$C:$C,"")</f>
        <v>어류</v>
      </c>
      <c r="K955">
        <f>eDNA!B955</f>
        <v>126.95619790000001</v>
      </c>
      <c r="L955">
        <f>eDNA!C955</f>
        <v>37.363509200000003</v>
      </c>
      <c r="M955" s="10" t="str" cm="1">
        <f t="array" ref="M955">IFERROR(_xlfn.XLOOKUP(1,('env Parameter'!$A:$A=$A955)*('env Parameter'!$B:$B=$K955)*('env Parameter'!$C:$C=$L955),'env Parameter'!D:D,""),"")</f>
        <v>안양천-2</v>
      </c>
      <c r="N955" s="10" t="str" cm="1">
        <f t="array" ref="N955">IFERROR(_xlfn.XLOOKUP(1,('env Parameter'!$A:$A=$A955)*('env Parameter'!$B:$B=$K955)*('env Parameter'!$C:$C=$L955),'env Parameter'!I:I,""),"")</f>
        <v>YR</v>
      </c>
    </row>
    <row r="956" spans="1:14">
      <c r="A956">
        <f>eDNA!A956</f>
        <v>20201024</v>
      </c>
      <c r="B956" s="10" t="str" cm="1">
        <f t="array" ref="B956">IFERROR(_xlfn.XLOOKUP(1,('env Parameter'!$A:$A=$A956)*('env Parameter'!$B:$B=$K956)*('env Parameter'!$C:$C=$L956),'env Parameter'!H:H,""),"")</f>
        <v>생물상 조사</v>
      </c>
      <c r="C956" s="10" cm="1">
        <f t="array" ref="C956">IFERROR(_xlfn.XLOOKUP(1,('env Parameter'!$A:$A=$A956)*('env Parameter'!$B:$B=$K956)*('env Parameter'!$C:$C=$L956),'env Parameter'!E:E,""),"")</f>
        <v>2.14</v>
      </c>
      <c r="D956" s="10" cm="1">
        <f t="array" ref="D956">IFERROR(_xlfn.XLOOKUP(1,('env Parameter'!$A:$A=$A956)*('env Parameter'!$B:$B=$K956)*('env Parameter'!$C:$C=$L956),'env Parameter'!F:F,""),"")</f>
        <v>478</v>
      </c>
      <c r="E956" s="10" cm="1">
        <f t="array" ref="E956">IFERROR(_xlfn.XLOOKUP(1,('env Parameter'!$A:$A=$A956)*('env Parameter'!$B:$B=$K956)*('env Parameter'!$C:$C=$L956),'env Parameter'!G:G,""),"")</f>
        <v>7.6</v>
      </c>
      <c r="F956" t="str">
        <f>eDNA!F956</f>
        <v>MiFish</v>
      </c>
      <c r="G956" t="str">
        <f>eDNA!D956</f>
        <v>Paramisgurnus dabryanus</v>
      </c>
      <c r="H956" t="str">
        <f>_xlfn.XLOOKUP(G956,'Common name (master file)'!$B:$B,'Common name (master file)'!$A:$A,"-------------")</f>
        <v>중국미꾸라지</v>
      </c>
      <c r="I956">
        <f>eDNA!E956</f>
        <v>989</v>
      </c>
      <c r="J956" t="str">
        <f>_xlfn.XLOOKUP(G956,'Common name (master file)'!$B:$B,'Common name (master file)'!$C:$C,"")</f>
        <v>어류</v>
      </c>
      <c r="K956">
        <f>eDNA!B956</f>
        <v>126.95619790000001</v>
      </c>
      <c r="L956">
        <f>eDNA!C956</f>
        <v>37.363509200000003</v>
      </c>
      <c r="M956" s="10" t="str" cm="1">
        <f t="array" ref="M956">IFERROR(_xlfn.XLOOKUP(1,('env Parameter'!$A:$A=$A956)*('env Parameter'!$B:$B=$K956)*('env Parameter'!$C:$C=$L956),'env Parameter'!D:D,""),"")</f>
        <v>안양천-2</v>
      </c>
      <c r="N956" s="10" t="str" cm="1">
        <f t="array" ref="N956">IFERROR(_xlfn.XLOOKUP(1,('env Parameter'!$A:$A=$A956)*('env Parameter'!$B:$B=$K956)*('env Parameter'!$C:$C=$L956),'env Parameter'!I:I,""),"")</f>
        <v>YR</v>
      </c>
    </row>
    <row r="957" spans="1:14">
      <c r="A957">
        <f>eDNA!A957</f>
        <v>20201024</v>
      </c>
      <c r="B957" s="10" t="str" cm="1">
        <f t="array" ref="B957">IFERROR(_xlfn.XLOOKUP(1,('env Parameter'!$A:$A=$A957)*('env Parameter'!$B:$B=$K957)*('env Parameter'!$C:$C=$L957),'env Parameter'!H:H,""),"")</f>
        <v>생물상 조사</v>
      </c>
      <c r="C957" s="10" cm="1">
        <f t="array" ref="C957">IFERROR(_xlfn.XLOOKUP(1,('env Parameter'!$A:$A=$A957)*('env Parameter'!$B:$B=$K957)*('env Parameter'!$C:$C=$L957),'env Parameter'!E:E,""),"")</f>
        <v>2.14</v>
      </c>
      <c r="D957" s="10" cm="1">
        <f t="array" ref="D957">IFERROR(_xlfn.XLOOKUP(1,('env Parameter'!$A:$A=$A957)*('env Parameter'!$B:$B=$K957)*('env Parameter'!$C:$C=$L957),'env Parameter'!F:F,""),"")</f>
        <v>478</v>
      </c>
      <c r="E957" s="10" cm="1">
        <f t="array" ref="E957">IFERROR(_xlfn.XLOOKUP(1,('env Parameter'!$A:$A=$A957)*('env Parameter'!$B:$B=$K957)*('env Parameter'!$C:$C=$L957),'env Parameter'!G:G,""),"")</f>
        <v>7.6</v>
      </c>
      <c r="F957" t="str">
        <f>eDNA!F957</f>
        <v>MiFish</v>
      </c>
      <c r="G957" t="str">
        <f>eDNA!D957</f>
        <v>Gymnogobius urotaenia</v>
      </c>
      <c r="H957" t="str">
        <f>_xlfn.XLOOKUP(G957,'Common name (master file)'!$B:$B,'Common name (master file)'!$A:$A,"-------------")</f>
        <v>꾹저구</v>
      </c>
      <c r="I957">
        <f>eDNA!E957</f>
        <v>1446</v>
      </c>
      <c r="J957" t="str">
        <f>_xlfn.XLOOKUP(G957,'Common name (master file)'!$B:$B,'Common name (master file)'!$C:$C,"")</f>
        <v>어류</v>
      </c>
      <c r="K957">
        <f>eDNA!B957</f>
        <v>126.95619790000001</v>
      </c>
      <c r="L957">
        <f>eDNA!C957</f>
        <v>37.363509200000003</v>
      </c>
      <c r="M957" s="10" t="str" cm="1">
        <f t="array" ref="M957">IFERROR(_xlfn.XLOOKUP(1,('env Parameter'!$A:$A=$A957)*('env Parameter'!$B:$B=$K957)*('env Parameter'!$C:$C=$L957),'env Parameter'!D:D,""),"")</f>
        <v>안양천-2</v>
      </c>
      <c r="N957" s="10" t="str" cm="1">
        <f t="array" ref="N957">IFERROR(_xlfn.XLOOKUP(1,('env Parameter'!$A:$A=$A957)*('env Parameter'!$B:$B=$K957)*('env Parameter'!$C:$C=$L957),'env Parameter'!I:I,""),"")</f>
        <v>YR</v>
      </c>
    </row>
    <row r="958" spans="1:14">
      <c r="A958">
        <f>eDNA!A958</f>
        <v>20201024</v>
      </c>
      <c r="B958" s="10" t="str" cm="1">
        <f t="array" ref="B958">IFERROR(_xlfn.XLOOKUP(1,('env Parameter'!$A:$A=$A958)*('env Parameter'!$B:$B=$K958)*('env Parameter'!$C:$C=$L958),'env Parameter'!H:H,""),"")</f>
        <v>생물상 조사</v>
      </c>
      <c r="C958" s="10" cm="1">
        <f t="array" ref="C958">IFERROR(_xlfn.XLOOKUP(1,('env Parameter'!$A:$A=$A958)*('env Parameter'!$B:$B=$K958)*('env Parameter'!$C:$C=$L958),'env Parameter'!E:E,""),"")</f>
        <v>2.14</v>
      </c>
      <c r="D958" s="10" cm="1">
        <f t="array" ref="D958">IFERROR(_xlfn.XLOOKUP(1,('env Parameter'!$A:$A=$A958)*('env Parameter'!$B:$B=$K958)*('env Parameter'!$C:$C=$L958),'env Parameter'!F:F,""),"")</f>
        <v>478</v>
      </c>
      <c r="E958" s="10" cm="1">
        <f t="array" ref="E958">IFERROR(_xlfn.XLOOKUP(1,('env Parameter'!$A:$A=$A958)*('env Parameter'!$B:$B=$K958)*('env Parameter'!$C:$C=$L958),'env Parameter'!G:G,""),"")</f>
        <v>7.6</v>
      </c>
      <c r="F958" t="str">
        <f>eDNA!F958</f>
        <v>MiFish</v>
      </c>
      <c r="G958" t="str">
        <f>eDNA!D958</f>
        <v>Misgurnus mizolepis</v>
      </c>
      <c r="H958" t="str">
        <f>_xlfn.XLOOKUP(G958,'Common name (master file)'!$B:$B,'Common name (master file)'!$A:$A,"-------------")</f>
        <v>미꾸라지</v>
      </c>
      <c r="I958">
        <f>eDNA!E958</f>
        <v>1516</v>
      </c>
      <c r="J958" t="str">
        <f>_xlfn.XLOOKUP(G958,'Common name (master file)'!$B:$B,'Common name (master file)'!$C:$C,"")</f>
        <v>어류</v>
      </c>
      <c r="K958">
        <f>eDNA!B958</f>
        <v>126.95619790000001</v>
      </c>
      <c r="L958">
        <f>eDNA!C958</f>
        <v>37.363509200000003</v>
      </c>
      <c r="M958" s="10" t="str" cm="1">
        <f t="array" ref="M958">IFERROR(_xlfn.XLOOKUP(1,('env Parameter'!$A:$A=$A958)*('env Parameter'!$B:$B=$K958)*('env Parameter'!$C:$C=$L958),'env Parameter'!D:D,""),"")</f>
        <v>안양천-2</v>
      </c>
      <c r="N958" s="10" t="str" cm="1">
        <f t="array" ref="N958">IFERROR(_xlfn.XLOOKUP(1,('env Parameter'!$A:$A=$A958)*('env Parameter'!$B:$B=$K958)*('env Parameter'!$C:$C=$L958),'env Parameter'!I:I,""),"")</f>
        <v>YR</v>
      </c>
    </row>
    <row r="959" spans="1:14">
      <c r="A959">
        <f>eDNA!A959</f>
        <v>20201024</v>
      </c>
      <c r="B959" s="10" t="str" cm="1">
        <f t="array" ref="B959">IFERROR(_xlfn.XLOOKUP(1,('env Parameter'!$A:$A=$A959)*('env Parameter'!$B:$B=$K959)*('env Parameter'!$C:$C=$L959),'env Parameter'!H:H,""),"")</f>
        <v>생물상 조사</v>
      </c>
      <c r="C959" s="10" cm="1">
        <f t="array" ref="C959">IFERROR(_xlfn.XLOOKUP(1,('env Parameter'!$A:$A=$A959)*('env Parameter'!$B:$B=$K959)*('env Parameter'!$C:$C=$L959),'env Parameter'!E:E,""),"")</f>
        <v>2.14</v>
      </c>
      <c r="D959" s="10" cm="1">
        <f t="array" ref="D959">IFERROR(_xlfn.XLOOKUP(1,('env Parameter'!$A:$A=$A959)*('env Parameter'!$B:$B=$K959)*('env Parameter'!$C:$C=$L959),'env Parameter'!F:F,""),"")</f>
        <v>478</v>
      </c>
      <c r="E959" s="10" cm="1">
        <f t="array" ref="E959">IFERROR(_xlfn.XLOOKUP(1,('env Parameter'!$A:$A=$A959)*('env Parameter'!$B:$B=$K959)*('env Parameter'!$C:$C=$L959),'env Parameter'!G:G,""),"")</f>
        <v>7.6</v>
      </c>
      <c r="F959" t="str">
        <f>eDNA!F959</f>
        <v>MiFish</v>
      </c>
      <c r="G959" t="str">
        <f>eDNA!D959</f>
        <v>Pseudogobio esocinus</v>
      </c>
      <c r="H959" t="str">
        <f>_xlfn.XLOOKUP(G959,'Common name (master file)'!$B:$B,'Common name (master file)'!$A:$A,"-------------")</f>
        <v>모래무지</v>
      </c>
      <c r="I959">
        <f>eDNA!E959</f>
        <v>1724</v>
      </c>
      <c r="J959" t="str">
        <f>_xlfn.XLOOKUP(G959,'Common name (master file)'!$B:$B,'Common name (master file)'!$C:$C,"")</f>
        <v>어류</v>
      </c>
      <c r="K959">
        <f>eDNA!B959</f>
        <v>126.95619790000001</v>
      </c>
      <c r="L959">
        <f>eDNA!C959</f>
        <v>37.363509200000003</v>
      </c>
      <c r="M959" s="10" t="str" cm="1">
        <f t="array" ref="M959">IFERROR(_xlfn.XLOOKUP(1,('env Parameter'!$A:$A=$A959)*('env Parameter'!$B:$B=$K959)*('env Parameter'!$C:$C=$L959),'env Parameter'!D:D,""),"")</f>
        <v>안양천-2</v>
      </c>
      <c r="N959" s="10" t="str" cm="1">
        <f t="array" ref="N959">IFERROR(_xlfn.XLOOKUP(1,('env Parameter'!$A:$A=$A959)*('env Parameter'!$B:$B=$K959)*('env Parameter'!$C:$C=$L959),'env Parameter'!I:I,""),"")</f>
        <v>YR</v>
      </c>
    </row>
    <row r="960" spans="1:14">
      <c r="A960">
        <f>eDNA!A960</f>
        <v>20201024</v>
      </c>
      <c r="B960" s="10" t="str" cm="1">
        <f t="array" ref="B960">IFERROR(_xlfn.XLOOKUP(1,('env Parameter'!$A:$A=$A960)*('env Parameter'!$B:$B=$K960)*('env Parameter'!$C:$C=$L960),'env Parameter'!H:H,""),"")</f>
        <v>생물상 조사</v>
      </c>
      <c r="C960" s="10" cm="1">
        <f t="array" ref="C960">IFERROR(_xlfn.XLOOKUP(1,('env Parameter'!$A:$A=$A960)*('env Parameter'!$B:$B=$K960)*('env Parameter'!$C:$C=$L960),'env Parameter'!E:E,""),"")</f>
        <v>2.14</v>
      </c>
      <c r="D960" s="10" cm="1">
        <f t="array" ref="D960">IFERROR(_xlfn.XLOOKUP(1,('env Parameter'!$A:$A=$A960)*('env Parameter'!$B:$B=$K960)*('env Parameter'!$C:$C=$L960),'env Parameter'!F:F,""),"")</f>
        <v>478</v>
      </c>
      <c r="E960" s="10" cm="1">
        <f t="array" ref="E960">IFERROR(_xlfn.XLOOKUP(1,('env Parameter'!$A:$A=$A960)*('env Parameter'!$B:$B=$K960)*('env Parameter'!$C:$C=$L960),'env Parameter'!G:G,""),"")</f>
        <v>7.6</v>
      </c>
      <c r="F960" t="str">
        <f>eDNA!F960</f>
        <v>MiFish</v>
      </c>
      <c r="G960" t="str">
        <f>eDNA!D960</f>
        <v>Rhynchocypris oxycephalus</v>
      </c>
      <c r="H960" t="str">
        <f>_xlfn.XLOOKUP(G960,'Common name (master file)'!$B:$B,'Common name (master file)'!$A:$A,"-------------")</f>
        <v>버들치</v>
      </c>
      <c r="I960">
        <f>eDNA!E960</f>
        <v>2855</v>
      </c>
      <c r="J960" t="str">
        <f>_xlfn.XLOOKUP(G960,'Common name (master file)'!$B:$B,'Common name (master file)'!$C:$C,"")</f>
        <v>어류</v>
      </c>
      <c r="K960">
        <f>eDNA!B960</f>
        <v>126.95619790000001</v>
      </c>
      <c r="L960">
        <f>eDNA!C960</f>
        <v>37.363509200000003</v>
      </c>
      <c r="M960" s="10" t="str" cm="1">
        <f t="array" ref="M960">IFERROR(_xlfn.XLOOKUP(1,('env Parameter'!$A:$A=$A960)*('env Parameter'!$B:$B=$K960)*('env Parameter'!$C:$C=$L960),'env Parameter'!D:D,""),"")</f>
        <v>안양천-2</v>
      </c>
      <c r="N960" s="10" t="str" cm="1">
        <f t="array" ref="N960">IFERROR(_xlfn.XLOOKUP(1,('env Parameter'!$A:$A=$A960)*('env Parameter'!$B:$B=$K960)*('env Parameter'!$C:$C=$L960),'env Parameter'!I:I,""),"")</f>
        <v>YR</v>
      </c>
    </row>
    <row r="961" spans="1:14">
      <c r="A961">
        <f>eDNA!A961</f>
        <v>20201024</v>
      </c>
      <c r="B961" s="10" t="str" cm="1">
        <f t="array" ref="B961">IFERROR(_xlfn.XLOOKUP(1,('env Parameter'!$A:$A=$A961)*('env Parameter'!$B:$B=$K961)*('env Parameter'!$C:$C=$L961),'env Parameter'!H:H,""),"")</f>
        <v>생물상 조사</v>
      </c>
      <c r="C961" s="10" cm="1">
        <f t="array" ref="C961">IFERROR(_xlfn.XLOOKUP(1,('env Parameter'!$A:$A=$A961)*('env Parameter'!$B:$B=$K961)*('env Parameter'!$C:$C=$L961),'env Parameter'!E:E,""),"")</f>
        <v>2.14</v>
      </c>
      <c r="D961" s="10" cm="1">
        <f t="array" ref="D961">IFERROR(_xlfn.XLOOKUP(1,('env Parameter'!$A:$A=$A961)*('env Parameter'!$B:$B=$K961)*('env Parameter'!$C:$C=$L961),'env Parameter'!F:F,""),"")</f>
        <v>478</v>
      </c>
      <c r="E961" s="10" cm="1">
        <f t="array" ref="E961">IFERROR(_xlfn.XLOOKUP(1,('env Parameter'!$A:$A=$A961)*('env Parameter'!$B:$B=$K961)*('env Parameter'!$C:$C=$L961),'env Parameter'!G:G,""),"")</f>
        <v>7.6</v>
      </c>
      <c r="F961" t="str">
        <f>eDNA!F961</f>
        <v>MiFish</v>
      </c>
      <c r="G961" t="str">
        <f>eDNA!D961</f>
        <v>Silurus soldatovi</v>
      </c>
      <c r="H961" t="str">
        <f>_xlfn.XLOOKUP(G961,'Common name (master file)'!$B:$B,'Common name (master file)'!$A:$A,"-------------")</f>
        <v>솔다토비 메기</v>
      </c>
      <c r="I961">
        <f>eDNA!E961</f>
        <v>3263</v>
      </c>
      <c r="J961" t="str">
        <f>_xlfn.XLOOKUP(G961,'Common name (master file)'!$B:$B,'Common name (master file)'!$C:$C,"")</f>
        <v>어류</v>
      </c>
      <c r="K961">
        <f>eDNA!B961</f>
        <v>126.95619790000001</v>
      </c>
      <c r="L961">
        <f>eDNA!C961</f>
        <v>37.363509200000003</v>
      </c>
      <c r="M961" s="10" t="str" cm="1">
        <f t="array" ref="M961">IFERROR(_xlfn.XLOOKUP(1,('env Parameter'!$A:$A=$A961)*('env Parameter'!$B:$B=$K961)*('env Parameter'!$C:$C=$L961),'env Parameter'!D:D,""),"")</f>
        <v>안양천-2</v>
      </c>
      <c r="N961" s="10" t="str" cm="1">
        <f t="array" ref="N961">IFERROR(_xlfn.XLOOKUP(1,('env Parameter'!$A:$A=$A961)*('env Parameter'!$B:$B=$K961)*('env Parameter'!$C:$C=$L961),'env Parameter'!I:I,""),"")</f>
        <v>YR</v>
      </c>
    </row>
    <row r="962" spans="1:14">
      <c r="A962">
        <f>eDNA!A962</f>
        <v>20201024</v>
      </c>
      <c r="B962" s="10" t="str" cm="1">
        <f t="array" ref="B962">IFERROR(_xlfn.XLOOKUP(1,('env Parameter'!$A:$A=$A962)*('env Parameter'!$B:$B=$K962)*('env Parameter'!$C:$C=$L962),'env Parameter'!H:H,""),"")</f>
        <v>생물상 조사</v>
      </c>
      <c r="C962" s="10" cm="1">
        <f t="array" ref="C962">IFERROR(_xlfn.XLOOKUP(1,('env Parameter'!$A:$A=$A962)*('env Parameter'!$B:$B=$K962)*('env Parameter'!$C:$C=$L962),'env Parameter'!E:E,""),"")</f>
        <v>2.14</v>
      </c>
      <c r="D962" s="10" cm="1">
        <f t="array" ref="D962">IFERROR(_xlfn.XLOOKUP(1,('env Parameter'!$A:$A=$A962)*('env Parameter'!$B:$B=$K962)*('env Parameter'!$C:$C=$L962),'env Parameter'!F:F,""),"")</f>
        <v>478</v>
      </c>
      <c r="E962" s="10" cm="1">
        <f t="array" ref="E962">IFERROR(_xlfn.XLOOKUP(1,('env Parameter'!$A:$A=$A962)*('env Parameter'!$B:$B=$K962)*('env Parameter'!$C:$C=$L962),'env Parameter'!G:G,""),"")</f>
        <v>7.6</v>
      </c>
      <c r="F962" t="str">
        <f>eDNA!F962</f>
        <v>MiFish</v>
      </c>
      <c r="G962" t="str">
        <f>eDNA!D962</f>
        <v>Gnathopogon strigatus</v>
      </c>
      <c r="H962" t="str">
        <f>_xlfn.XLOOKUP(G962,'Common name (master file)'!$B:$B,'Common name (master file)'!$A:$A,"-------------")</f>
        <v>줄몰개</v>
      </c>
      <c r="I962">
        <f>eDNA!E962</f>
        <v>5733</v>
      </c>
      <c r="J962" t="str">
        <f>_xlfn.XLOOKUP(G962,'Common name (master file)'!$B:$B,'Common name (master file)'!$C:$C,"")</f>
        <v>어류</v>
      </c>
      <c r="K962">
        <f>eDNA!B962</f>
        <v>126.95619790000001</v>
      </c>
      <c r="L962">
        <f>eDNA!C962</f>
        <v>37.363509200000003</v>
      </c>
      <c r="M962" s="10" t="str" cm="1">
        <f t="array" ref="M962">IFERROR(_xlfn.XLOOKUP(1,('env Parameter'!$A:$A=$A962)*('env Parameter'!$B:$B=$K962)*('env Parameter'!$C:$C=$L962),'env Parameter'!D:D,""),"")</f>
        <v>안양천-2</v>
      </c>
      <c r="N962" s="10" t="str" cm="1">
        <f t="array" ref="N962">IFERROR(_xlfn.XLOOKUP(1,('env Parameter'!$A:$A=$A962)*('env Parameter'!$B:$B=$K962)*('env Parameter'!$C:$C=$L962),'env Parameter'!I:I,""),"")</f>
        <v>YR</v>
      </c>
    </row>
    <row r="963" spans="1:14">
      <c r="A963">
        <f>eDNA!A963</f>
        <v>20201024</v>
      </c>
      <c r="B963" s="10" t="str" cm="1">
        <f t="array" ref="B963">IFERROR(_xlfn.XLOOKUP(1,('env Parameter'!$A:$A=$A963)*('env Parameter'!$B:$B=$K963)*('env Parameter'!$C:$C=$L963),'env Parameter'!H:H,""),"")</f>
        <v>생물상 조사</v>
      </c>
      <c r="C963" s="10" cm="1">
        <f t="array" ref="C963">IFERROR(_xlfn.XLOOKUP(1,('env Parameter'!$A:$A=$A963)*('env Parameter'!$B:$B=$K963)*('env Parameter'!$C:$C=$L963),'env Parameter'!E:E,""),"")</f>
        <v>2.14</v>
      </c>
      <c r="D963" s="10" cm="1">
        <f t="array" ref="D963">IFERROR(_xlfn.XLOOKUP(1,('env Parameter'!$A:$A=$A963)*('env Parameter'!$B:$B=$K963)*('env Parameter'!$C:$C=$L963),'env Parameter'!F:F,""),"")</f>
        <v>478</v>
      </c>
      <c r="E963" s="10" cm="1">
        <f t="array" ref="E963">IFERROR(_xlfn.XLOOKUP(1,('env Parameter'!$A:$A=$A963)*('env Parameter'!$B:$B=$K963)*('env Parameter'!$C:$C=$L963),'env Parameter'!G:G,""),"")</f>
        <v>7.6</v>
      </c>
      <c r="F963" t="str">
        <f>eDNA!F963</f>
        <v>MiFish</v>
      </c>
      <c r="G963" t="str">
        <f>eDNA!D963</f>
        <v>Pseudorasbora parva</v>
      </c>
      <c r="H963" t="str">
        <f>_xlfn.XLOOKUP(G963,'Common name (master file)'!$B:$B,'Common name (master file)'!$A:$A,"-------------")</f>
        <v>참붕어</v>
      </c>
      <c r="I963">
        <f>eDNA!E963</f>
        <v>6927</v>
      </c>
      <c r="J963" t="str">
        <f>_xlfn.XLOOKUP(G963,'Common name (master file)'!$B:$B,'Common name (master file)'!$C:$C,"")</f>
        <v>어류</v>
      </c>
      <c r="K963">
        <f>eDNA!B963</f>
        <v>126.95619790000001</v>
      </c>
      <c r="L963">
        <f>eDNA!C963</f>
        <v>37.363509200000003</v>
      </c>
      <c r="M963" s="10" t="str" cm="1">
        <f t="array" ref="M963">IFERROR(_xlfn.XLOOKUP(1,('env Parameter'!$A:$A=$A963)*('env Parameter'!$B:$B=$K963)*('env Parameter'!$C:$C=$L963),'env Parameter'!D:D,""),"")</f>
        <v>안양천-2</v>
      </c>
      <c r="N963" s="10" t="str" cm="1">
        <f t="array" ref="N963">IFERROR(_xlfn.XLOOKUP(1,('env Parameter'!$A:$A=$A963)*('env Parameter'!$B:$B=$K963)*('env Parameter'!$C:$C=$L963),'env Parameter'!I:I,""),"")</f>
        <v>YR</v>
      </c>
    </row>
    <row r="964" spans="1:14">
      <c r="A964">
        <f>eDNA!A964</f>
        <v>20201024</v>
      </c>
      <c r="B964" s="10" t="str" cm="1">
        <f t="array" ref="B964">IFERROR(_xlfn.XLOOKUP(1,('env Parameter'!$A:$A=$A964)*('env Parameter'!$B:$B=$K964)*('env Parameter'!$C:$C=$L964),'env Parameter'!H:H,""),"")</f>
        <v>생물상 조사</v>
      </c>
      <c r="C964" s="10" cm="1">
        <f t="array" ref="C964">IFERROR(_xlfn.XLOOKUP(1,('env Parameter'!$A:$A=$A964)*('env Parameter'!$B:$B=$K964)*('env Parameter'!$C:$C=$L964),'env Parameter'!E:E,""),"")</f>
        <v>2.14</v>
      </c>
      <c r="D964" s="10" cm="1">
        <f t="array" ref="D964">IFERROR(_xlfn.XLOOKUP(1,('env Parameter'!$A:$A=$A964)*('env Parameter'!$B:$B=$K964)*('env Parameter'!$C:$C=$L964),'env Parameter'!F:F,""),"")</f>
        <v>478</v>
      </c>
      <c r="E964" s="10" cm="1">
        <f t="array" ref="E964">IFERROR(_xlfn.XLOOKUP(1,('env Parameter'!$A:$A=$A964)*('env Parameter'!$B:$B=$K964)*('env Parameter'!$C:$C=$L964),'env Parameter'!G:G,""),"")</f>
        <v>7.6</v>
      </c>
      <c r="F964" t="str">
        <f>eDNA!F964</f>
        <v>MiFish</v>
      </c>
      <c r="G964" t="str">
        <f>eDNA!D964</f>
        <v>Carassius gibelio</v>
      </c>
      <c r="H964" t="str">
        <f>_xlfn.XLOOKUP(G964,'Common name (master file)'!$B:$B,'Common name (master file)'!$A:$A,"-------------")</f>
        <v>기벨리오 붕어</v>
      </c>
      <c r="I964">
        <f>eDNA!E964</f>
        <v>17699</v>
      </c>
      <c r="J964" t="str">
        <f>_xlfn.XLOOKUP(G964,'Common name (master file)'!$B:$B,'Common name (master file)'!$C:$C,"")</f>
        <v>어류</v>
      </c>
      <c r="K964">
        <f>eDNA!B964</f>
        <v>126.95619790000001</v>
      </c>
      <c r="L964">
        <f>eDNA!C964</f>
        <v>37.363509200000003</v>
      </c>
      <c r="M964" s="10" t="str" cm="1">
        <f t="array" ref="M964">IFERROR(_xlfn.XLOOKUP(1,('env Parameter'!$A:$A=$A964)*('env Parameter'!$B:$B=$K964)*('env Parameter'!$C:$C=$L964),'env Parameter'!D:D,""),"")</f>
        <v>안양천-2</v>
      </c>
      <c r="N964" s="10" t="str" cm="1">
        <f t="array" ref="N964">IFERROR(_xlfn.XLOOKUP(1,('env Parameter'!$A:$A=$A964)*('env Parameter'!$B:$B=$K964)*('env Parameter'!$C:$C=$L964),'env Parameter'!I:I,""),"")</f>
        <v>YR</v>
      </c>
    </row>
    <row r="965" spans="1:14">
      <c r="A965">
        <f>eDNA!A965</f>
        <v>20201024</v>
      </c>
      <c r="B965" s="10" t="str" cm="1">
        <f t="array" ref="B965">IFERROR(_xlfn.XLOOKUP(1,('env Parameter'!$A:$A=$A965)*('env Parameter'!$B:$B=$K965)*('env Parameter'!$C:$C=$L965),'env Parameter'!H:H,""),"")</f>
        <v>생물상 조사</v>
      </c>
      <c r="C965" s="10" cm="1">
        <f t="array" ref="C965">IFERROR(_xlfn.XLOOKUP(1,('env Parameter'!$A:$A=$A965)*('env Parameter'!$B:$B=$K965)*('env Parameter'!$C:$C=$L965),'env Parameter'!E:E,""),"")</f>
        <v>2.14</v>
      </c>
      <c r="D965" s="10" cm="1">
        <f t="array" ref="D965">IFERROR(_xlfn.XLOOKUP(1,('env Parameter'!$A:$A=$A965)*('env Parameter'!$B:$B=$K965)*('env Parameter'!$C:$C=$L965),'env Parameter'!F:F,""),"")</f>
        <v>478</v>
      </c>
      <c r="E965" s="10" cm="1">
        <f t="array" ref="E965">IFERROR(_xlfn.XLOOKUP(1,('env Parameter'!$A:$A=$A965)*('env Parameter'!$B:$B=$K965)*('env Parameter'!$C:$C=$L965),'env Parameter'!G:G,""),"")</f>
        <v>7.6</v>
      </c>
      <c r="F965" t="str">
        <f>eDNA!F965</f>
        <v>MiFish</v>
      </c>
      <c r="G965" t="str">
        <f>eDNA!D965</f>
        <v>Zacco platypus</v>
      </c>
      <c r="H965" t="str">
        <f>_xlfn.XLOOKUP(G965,'Common name (master file)'!$B:$B,'Common name (master file)'!$A:$A,"-------------")</f>
        <v>피라미</v>
      </c>
      <c r="I965">
        <f>eDNA!E965</f>
        <v>34554</v>
      </c>
      <c r="J965" t="str">
        <f>_xlfn.XLOOKUP(G965,'Common name (master file)'!$B:$B,'Common name (master file)'!$C:$C,"")</f>
        <v>어류</v>
      </c>
      <c r="K965">
        <f>eDNA!B965</f>
        <v>126.95619790000001</v>
      </c>
      <c r="L965">
        <f>eDNA!C965</f>
        <v>37.363509200000003</v>
      </c>
      <c r="M965" s="10" t="str" cm="1">
        <f t="array" ref="M965">IFERROR(_xlfn.XLOOKUP(1,('env Parameter'!$A:$A=$A965)*('env Parameter'!$B:$B=$K965)*('env Parameter'!$C:$C=$L965),'env Parameter'!D:D,""),"")</f>
        <v>안양천-2</v>
      </c>
      <c r="N965" s="10" t="str" cm="1">
        <f t="array" ref="N965">IFERROR(_xlfn.XLOOKUP(1,('env Parameter'!$A:$A=$A965)*('env Parameter'!$B:$B=$K965)*('env Parameter'!$C:$C=$L965),'env Parameter'!I:I,""),"")</f>
        <v>YR</v>
      </c>
    </row>
    <row r="966" spans="1:14">
      <c r="A966">
        <f>eDNA!A966</f>
        <v>20201024</v>
      </c>
      <c r="B966" s="10" t="str" cm="1">
        <f t="array" ref="B966">IFERROR(_xlfn.XLOOKUP(1,('env Parameter'!$A:$A=$A966)*('env Parameter'!$B:$B=$K966)*('env Parameter'!$C:$C=$L966),'env Parameter'!H:H,""),"")</f>
        <v>생물상 조사</v>
      </c>
      <c r="C966" s="10" cm="1">
        <f t="array" ref="C966">IFERROR(_xlfn.XLOOKUP(1,('env Parameter'!$A:$A=$A966)*('env Parameter'!$B:$B=$K966)*('env Parameter'!$C:$C=$L966),'env Parameter'!E:E,""),"")</f>
        <v>2.14</v>
      </c>
      <c r="D966" s="10" cm="1">
        <f t="array" ref="D966">IFERROR(_xlfn.XLOOKUP(1,('env Parameter'!$A:$A=$A966)*('env Parameter'!$B:$B=$K966)*('env Parameter'!$C:$C=$L966),'env Parameter'!F:F,""),"")</f>
        <v>478</v>
      </c>
      <c r="E966" s="10" cm="1">
        <f t="array" ref="E966">IFERROR(_xlfn.XLOOKUP(1,('env Parameter'!$A:$A=$A966)*('env Parameter'!$B:$B=$K966)*('env Parameter'!$C:$C=$L966),'env Parameter'!G:G,""),"")</f>
        <v>7.6</v>
      </c>
      <c r="F966" t="str">
        <f>eDNA!F966</f>
        <v>MiFish</v>
      </c>
      <c r="G966" t="str">
        <f>eDNA!D966</f>
        <v>Odontobutis interrupta</v>
      </c>
      <c r="H966" t="str">
        <f>_xlfn.XLOOKUP(G966,'Common name (master file)'!$B:$B,'Common name (master file)'!$A:$A,"-------------")</f>
        <v>얼록동사리</v>
      </c>
      <c r="I966">
        <f>eDNA!E966</f>
        <v>28745</v>
      </c>
      <c r="J966" t="str">
        <f>_xlfn.XLOOKUP(G966,'Common name (master file)'!$B:$B,'Common name (master file)'!$C:$C,"")</f>
        <v>어류</v>
      </c>
      <c r="K966">
        <f>eDNA!B966</f>
        <v>126.95619790000001</v>
      </c>
      <c r="L966">
        <f>eDNA!C966</f>
        <v>37.363509200000003</v>
      </c>
      <c r="M966" s="10" t="str" cm="1">
        <f t="array" ref="M966">IFERROR(_xlfn.XLOOKUP(1,('env Parameter'!$A:$A=$A966)*('env Parameter'!$B:$B=$K966)*('env Parameter'!$C:$C=$L966),'env Parameter'!D:D,""),"")</f>
        <v>안양천-2</v>
      </c>
      <c r="N966" s="10" t="str" cm="1">
        <f t="array" ref="N966">IFERROR(_xlfn.XLOOKUP(1,('env Parameter'!$A:$A=$A966)*('env Parameter'!$B:$B=$K966)*('env Parameter'!$C:$C=$L966),'env Parameter'!I:I,""),"")</f>
        <v>YR</v>
      </c>
    </row>
    <row r="967" spans="1:14">
      <c r="A967">
        <f>eDNA!A967</f>
        <v>20201024</v>
      </c>
      <c r="B967" s="10" t="str" cm="1">
        <f t="array" ref="B967">IFERROR(_xlfn.XLOOKUP(1,('env Parameter'!$A:$A=$A967)*('env Parameter'!$B:$B=$K967)*('env Parameter'!$C:$C=$L967),'env Parameter'!H:H,""),"")</f>
        <v>생물상 조사</v>
      </c>
      <c r="C967" s="10" cm="1">
        <f t="array" ref="C967">IFERROR(_xlfn.XLOOKUP(1,('env Parameter'!$A:$A=$A967)*('env Parameter'!$B:$B=$K967)*('env Parameter'!$C:$C=$L967),'env Parameter'!E:E,""),"")</f>
        <v>2.14</v>
      </c>
      <c r="D967" s="10" cm="1">
        <f t="array" ref="D967">IFERROR(_xlfn.XLOOKUP(1,('env Parameter'!$A:$A=$A967)*('env Parameter'!$B:$B=$K967)*('env Parameter'!$C:$C=$L967),'env Parameter'!F:F,""),"")</f>
        <v>478</v>
      </c>
      <c r="E967" s="10" cm="1">
        <f t="array" ref="E967">IFERROR(_xlfn.XLOOKUP(1,('env Parameter'!$A:$A=$A967)*('env Parameter'!$B:$B=$K967)*('env Parameter'!$C:$C=$L967),'env Parameter'!G:G,""),"")</f>
        <v>7.6</v>
      </c>
      <c r="F967" t="str">
        <f>eDNA!F967</f>
        <v>MiFish</v>
      </c>
      <c r="G967" t="str">
        <f>eDNA!D967</f>
        <v>Rhinogobius giurinus</v>
      </c>
      <c r="H967" t="str">
        <f>_xlfn.XLOOKUP(G967,'Common name (master file)'!$B:$B,'Common name (master file)'!$A:$A,"-------------")</f>
        <v>갈문망둑</v>
      </c>
      <c r="I967">
        <f>eDNA!E967</f>
        <v>22</v>
      </c>
      <c r="J967" t="str">
        <f>_xlfn.XLOOKUP(G967,'Common name (master file)'!$B:$B,'Common name (master file)'!$C:$C,"")</f>
        <v>어류</v>
      </c>
      <c r="K967">
        <f>eDNA!B967</f>
        <v>126.94555939999999</v>
      </c>
      <c r="L967">
        <f>eDNA!C967</f>
        <v>37.373177800000001</v>
      </c>
      <c r="M967" s="10" t="str" cm="1">
        <f t="array" ref="M967">IFERROR(_xlfn.XLOOKUP(1,('env Parameter'!$A:$A=$A967)*('env Parameter'!$B:$B=$K967)*('env Parameter'!$C:$C=$L967),'env Parameter'!D:D,""),"")</f>
        <v>안양천-3</v>
      </c>
      <c r="N967" s="10" t="str" cm="1">
        <f t="array" ref="N967">IFERROR(_xlfn.XLOOKUP(1,('env Parameter'!$A:$A=$A967)*('env Parameter'!$B:$B=$K967)*('env Parameter'!$C:$C=$L967),'env Parameter'!I:I,""),"")</f>
        <v>YR</v>
      </c>
    </row>
    <row r="968" spans="1:14">
      <c r="A968">
        <f>eDNA!A968</f>
        <v>20201024</v>
      </c>
      <c r="B968" s="10" t="str" cm="1">
        <f t="array" ref="B968">IFERROR(_xlfn.XLOOKUP(1,('env Parameter'!$A:$A=$A968)*('env Parameter'!$B:$B=$K968)*('env Parameter'!$C:$C=$L968),'env Parameter'!H:H,""),"")</f>
        <v>생물상 조사</v>
      </c>
      <c r="C968" s="10" cm="1">
        <f t="array" ref="C968">IFERROR(_xlfn.XLOOKUP(1,('env Parameter'!$A:$A=$A968)*('env Parameter'!$B:$B=$K968)*('env Parameter'!$C:$C=$L968),'env Parameter'!E:E,""),"")</f>
        <v>2.14</v>
      </c>
      <c r="D968" s="10" cm="1">
        <f t="array" ref="D968">IFERROR(_xlfn.XLOOKUP(1,('env Parameter'!$A:$A=$A968)*('env Parameter'!$B:$B=$K968)*('env Parameter'!$C:$C=$L968),'env Parameter'!F:F,""),"")</f>
        <v>478</v>
      </c>
      <c r="E968" s="10" cm="1">
        <f t="array" ref="E968">IFERROR(_xlfn.XLOOKUP(1,('env Parameter'!$A:$A=$A968)*('env Parameter'!$B:$B=$K968)*('env Parameter'!$C:$C=$L968),'env Parameter'!G:G,""),"")</f>
        <v>7.6</v>
      </c>
      <c r="F968" t="str">
        <f>eDNA!F968</f>
        <v>MiFish</v>
      </c>
      <c r="G968" t="str">
        <f>eDNA!D968</f>
        <v>Gnathopogon polytaenia</v>
      </c>
      <c r="H968" t="str">
        <f>_xlfn.XLOOKUP(G968,'Common name (master file)'!$B:$B,'Common name (master file)'!$A:$A,"-------------")</f>
        <v>폴리테니아 줄몰개</v>
      </c>
      <c r="I968">
        <f>eDNA!E968</f>
        <v>47</v>
      </c>
      <c r="J968" t="str">
        <f>_xlfn.XLOOKUP(G968,'Common name (master file)'!$B:$B,'Common name (master file)'!$C:$C,"")</f>
        <v>어류</v>
      </c>
      <c r="K968">
        <f>eDNA!B968</f>
        <v>126.94555939999999</v>
      </c>
      <c r="L968">
        <f>eDNA!C968</f>
        <v>37.373177800000001</v>
      </c>
      <c r="M968" s="10" t="str" cm="1">
        <f t="array" ref="M968">IFERROR(_xlfn.XLOOKUP(1,('env Parameter'!$A:$A=$A968)*('env Parameter'!$B:$B=$K968)*('env Parameter'!$C:$C=$L968),'env Parameter'!D:D,""),"")</f>
        <v>안양천-3</v>
      </c>
      <c r="N968" s="10" t="str" cm="1">
        <f t="array" ref="N968">IFERROR(_xlfn.XLOOKUP(1,('env Parameter'!$A:$A=$A968)*('env Parameter'!$B:$B=$K968)*('env Parameter'!$C:$C=$L968),'env Parameter'!I:I,""),"")</f>
        <v>YR</v>
      </c>
    </row>
    <row r="969" spans="1:14">
      <c r="A969">
        <f>eDNA!A969</f>
        <v>20201024</v>
      </c>
      <c r="B969" s="10" t="str" cm="1">
        <f t="array" ref="B969">IFERROR(_xlfn.XLOOKUP(1,('env Parameter'!$A:$A=$A969)*('env Parameter'!$B:$B=$K969)*('env Parameter'!$C:$C=$L969),'env Parameter'!H:H,""),"")</f>
        <v>생물상 조사</v>
      </c>
      <c r="C969" s="10" cm="1">
        <f t="array" ref="C969">IFERROR(_xlfn.XLOOKUP(1,('env Parameter'!$A:$A=$A969)*('env Parameter'!$B:$B=$K969)*('env Parameter'!$C:$C=$L969),'env Parameter'!E:E,""),"")</f>
        <v>2.14</v>
      </c>
      <c r="D969" s="10" cm="1">
        <f t="array" ref="D969">IFERROR(_xlfn.XLOOKUP(1,('env Parameter'!$A:$A=$A969)*('env Parameter'!$B:$B=$K969)*('env Parameter'!$C:$C=$L969),'env Parameter'!F:F,""),"")</f>
        <v>478</v>
      </c>
      <c r="E969" s="10" cm="1">
        <f t="array" ref="E969">IFERROR(_xlfn.XLOOKUP(1,('env Parameter'!$A:$A=$A969)*('env Parameter'!$B:$B=$K969)*('env Parameter'!$C:$C=$L969),'env Parameter'!G:G,""),"")</f>
        <v>7.6</v>
      </c>
      <c r="F969" t="str">
        <f>eDNA!F969</f>
        <v>MiFish</v>
      </c>
      <c r="G969" t="str">
        <f>eDNA!D969</f>
        <v>Homo sapiens</v>
      </c>
      <c r="H969" t="str">
        <f>_xlfn.XLOOKUP(G969,'Common name (master file)'!$B:$B,'Common name (master file)'!$A:$A,"-------------")</f>
        <v>사람</v>
      </c>
      <c r="I969">
        <f>eDNA!E969</f>
        <v>60</v>
      </c>
      <c r="J969" t="str">
        <f>_xlfn.XLOOKUP(G969,'Common name (master file)'!$B:$B,'Common name (master file)'!$C:$C,"")</f>
        <v>포유류</v>
      </c>
      <c r="K969">
        <f>eDNA!B969</f>
        <v>126.94555939999999</v>
      </c>
      <c r="L969">
        <f>eDNA!C969</f>
        <v>37.373177800000001</v>
      </c>
      <c r="M969" s="10" t="str" cm="1">
        <f t="array" ref="M969">IFERROR(_xlfn.XLOOKUP(1,('env Parameter'!$A:$A=$A969)*('env Parameter'!$B:$B=$K969)*('env Parameter'!$C:$C=$L969),'env Parameter'!D:D,""),"")</f>
        <v>안양천-3</v>
      </c>
      <c r="N969" s="10" t="str" cm="1">
        <f t="array" ref="N969">IFERROR(_xlfn.XLOOKUP(1,('env Parameter'!$A:$A=$A969)*('env Parameter'!$B:$B=$K969)*('env Parameter'!$C:$C=$L969),'env Parameter'!I:I,""),"")</f>
        <v>YR</v>
      </c>
    </row>
    <row r="970" spans="1:14">
      <c r="A970">
        <f>eDNA!A970</f>
        <v>20201024</v>
      </c>
      <c r="B970" s="10" t="str" cm="1">
        <f t="array" ref="B970">IFERROR(_xlfn.XLOOKUP(1,('env Parameter'!$A:$A=$A970)*('env Parameter'!$B:$B=$K970)*('env Parameter'!$C:$C=$L970),'env Parameter'!H:H,""),"")</f>
        <v>생물상 조사</v>
      </c>
      <c r="C970" s="10" cm="1">
        <f t="array" ref="C970">IFERROR(_xlfn.XLOOKUP(1,('env Parameter'!$A:$A=$A970)*('env Parameter'!$B:$B=$K970)*('env Parameter'!$C:$C=$L970),'env Parameter'!E:E,""),"")</f>
        <v>2.14</v>
      </c>
      <c r="D970" s="10" cm="1">
        <f t="array" ref="D970">IFERROR(_xlfn.XLOOKUP(1,('env Parameter'!$A:$A=$A970)*('env Parameter'!$B:$B=$K970)*('env Parameter'!$C:$C=$L970),'env Parameter'!F:F,""),"")</f>
        <v>478</v>
      </c>
      <c r="E970" s="10" cm="1">
        <f t="array" ref="E970">IFERROR(_xlfn.XLOOKUP(1,('env Parameter'!$A:$A=$A970)*('env Parameter'!$B:$B=$K970)*('env Parameter'!$C:$C=$L970),'env Parameter'!G:G,""),"")</f>
        <v>7.6</v>
      </c>
      <c r="F970" t="str">
        <f>eDNA!F970</f>
        <v>MiFish</v>
      </c>
      <c r="G970" t="str">
        <f>eDNA!D970</f>
        <v>Carassius auratus</v>
      </c>
      <c r="H970" t="str">
        <f>_xlfn.XLOOKUP(G970,'Common name (master file)'!$B:$B,'Common name (master file)'!$A:$A,"-------------")</f>
        <v>붕어</v>
      </c>
      <c r="I970">
        <f>eDNA!E970</f>
        <v>27</v>
      </c>
      <c r="J970" t="str">
        <f>_xlfn.XLOOKUP(G970,'Common name (master file)'!$B:$B,'Common name (master file)'!$C:$C,"")</f>
        <v>어류</v>
      </c>
      <c r="K970">
        <f>eDNA!B970</f>
        <v>126.94555939999999</v>
      </c>
      <c r="L970">
        <f>eDNA!C970</f>
        <v>37.373177800000001</v>
      </c>
      <c r="M970" s="10" t="str" cm="1">
        <f t="array" ref="M970">IFERROR(_xlfn.XLOOKUP(1,('env Parameter'!$A:$A=$A970)*('env Parameter'!$B:$B=$K970)*('env Parameter'!$C:$C=$L970),'env Parameter'!D:D,""),"")</f>
        <v>안양천-3</v>
      </c>
      <c r="N970" s="10" t="str" cm="1">
        <f t="array" ref="N970">IFERROR(_xlfn.XLOOKUP(1,('env Parameter'!$A:$A=$A970)*('env Parameter'!$B:$B=$K970)*('env Parameter'!$C:$C=$L970),'env Parameter'!I:I,""),"")</f>
        <v>YR</v>
      </c>
    </row>
    <row r="971" spans="1:14">
      <c r="A971">
        <f>eDNA!A971</f>
        <v>20201024</v>
      </c>
      <c r="B971" s="10" t="str" cm="1">
        <f t="array" ref="B971">IFERROR(_xlfn.XLOOKUP(1,('env Parameter'!$A:$A=$A971)*('env Parameter'!$B:$B=$K971)*('env Parameter'!$C:$C=$L971),'env Parameter'!H:H,""),"")</f>
        <v>생물상 조사</v>
      </c>
      <c r="C971" s="10" cm="1">
        <f t="array" ref="C971">IFERROR(_xlfn.XLOOKUP(1,('env Parameter'!$A:$A=$A971)*('env Parameter'!$B:$B=$K971)*('env Parameter'!$C:$C=$L971),'env Parameter'!E:E,""),"")</f>
        <v>2.14</v>
      </c>
      <c r="D971" s="10" cm="1">
        <f t="array" ref="D971">IFERROR(_xlfn.XLOOKUP(1,('env Parameter'!$A:$A=$A971)*('env Parameter'!$B:$B=$K971)*('env Parameter'!$C:$C=$L971),'env Parameter'!F:F,""),"")</f>
        <v>478</v>
      </c>
      <c r="E971" s="10" cm="1">
        <f t="array" ref="E971">IFERROR(_xlfn.XLOOKUP(1,('env Parameter'!$A:$A=$A971)*('env Parameter'!$B:$B=$K971)*('env Parameter'!$C:$C=$L971),'env Parameter'!G:G,""),"")</f>
        <v>7.6</v>
      </c>
      <c r="F971" t="str">
        <f>eDNA!F971</f>
        <v>MiFish</v>
      </c>
      <c r="G971" t="str">
        <f>eDNA!D971</f>
        <v>Phoenicurus auroreus</v>
      </c>
      <c r="H971" t="str">
        <f>_xlfn.XLOOKUP(G971,'Common name (master file)'!$B:$B,'Common name (master file)'!$A:$A,"-------------")</f>
        <v>딱새</v>
      </c>
      <c r="I971">
        <f>eDNA!E971</f>
        <v>20</v>
      </c>
      <c r="J971" t="str">
        <f>_xlfn.XLOOKUP(G971,'Common name (master file)'!$B:$B,'Common name (master file)'!$C:$C,"")</f>
        <v>조류</v>
      </c>
      <c r="K971">
        <f>eDNA!B971</f>
        <v>126.9724018</v>
      </c>
      <c r="L971">
        <f>eDNA!C971</f>
        <v>37.348161500000003</v>
      </c>
      <c r="M971" s="10" t="str" cm="1">
        <f t="array" ref="M971">IFERROR(_xlfn.XLOOKUP(1,('env Parameter'!$A:$A=$A971)*('env Parameter'!$B:$B=$K971)*('env Parameter'!$C:$C=$L971),'env Parameter'!D:D,""),"")</f>
        <v>안양천-1</v>
      </c>
      <c r="N971" s="10" t="str" cm="1">
        <f t="array" ref="N971">IFERROR(_xlfn.XLOOKUP(1,('env Parameter'!$A:$A=$A971)*('env Parameter'!$B:$B=$K971)*('env Parameter'!$C:$C=$L971),'env Parameter'!I:I,""),"")</f>
        <v>YR</v>
      </c>
    </row>
    <row r="972" spans="1:14">
      <c r="A972">
        <f>eDNA!A972</f>
        <v>20201024</v>
      </c>
      <c r="B972" s="10" t="str" cm="1">
        <f t="array" ref="B972">IFERROR(_xlfn.XLOOKUP(1,('env Parameter'!$A:$A=$A972)*('env Parameter'!$B:$B=$K972)*('env Parameter'!$C:$C=$L972),'env Parameter'!H:H,""),"")</f>
        <v>생물상 조사</v>
      </c>
      <c r="C972" s="10" cm="1">
        <f t="array" ref="C972">IFERROR(_xlfn.XLOOKUP(1,('env Parameter'!$A:$A=$A972)*('env Parameter'!$B:$B=$K972)*('env Parameter'!$C:$C=$L972),'env Parameter'!E:E,""),"")</f>
        <v>2.14</v>
      </c>
      <c r="D972" s="10" cm="1">
        <f t="array" ref="D972">IFERROR(_xlfn.XLOOKUP(1,('env Parameter'!$A:$A=$A972)*('env Parameter'!$B:$B=$K972)*('env Parameter'!$C:$C=$L972),'env Parameter'!F:F,""),"")</f>
        <v>478</v>
      </c>
      <c r="E972" s="10" cm="1">
        <f t="array" ref="E972">IFERROR(_xlfn.XLOOKUP(1,('env Parameter'!$A:$A=$A972)*('env Parameter'!$B:$B=$K972)*('env Parameter'!$C:$C=$L972),'env Parameter'!G:G,""),"")</f>
        <v>7.6</v>
      </c>
      <c r="F972" t="str">
        <f>eDNA!F972</f>
        <v>MiFish</v>
      </c>
      <c r="G972" t="str">
        <f>eDNA!D972</f>
        <v>Tadorna tadorna</v>
      </c>
      <c r="H972" t="str">
        <f>_xlfn.XLOOKUP(G972,'Common name (master file)'!$B:$B,'Common name (master file)'!$A:$A,"-------------")</f>
        <v>혹부리오리</v>
      </c>
      <c r="I972">
        <f>eDNA!E972</f>
        <v>62</v>
      </c>
      <c r="J972" t="str">
        <f>_xlfn.XLOOKUP(G972,'Common name (master file)'!$B:$B,'Common name (master file)'!$C:$C,"")</f>
        <v>조류</v>
      </c>
      <c r="K972">
        <f>eDNA!B972</f>
        <v>126.94555939999999</v>
      </c>
      <c r="L972">
        <f>eDNA!C972</f>
        <v>37.373177800000001</v>
      </c>
      <c r="M972" s="10" t="str" cm="1">
        <f t="array" ref="M972">IFERROR(_xlfn.XLOOKUP(1,('env Parameter'!$A:$A=$A972)*('env Parameter'!$B:$B=$K972)*('env Parameter'!$C:$C=$L972),'env Parameter'!D:D,""),"")</f>
        <v>안양천-3</v>
      </c>
      <c r="N972" s="10" t="str" cm="1">
        <f t="array" ref="N972">IFERROR(_xlfn.XLOOKUP(1,('env Parameter'!$A:$A=$A972)*('env Parameter'!$B:$B=$K972)*('env Parameter'!$C:$C=$L972),'env Parameter'!I:I,""),"")</f>
        <v>YR</v>
      </c>
    </row>
    <row r="973" spans="1:14">
      <c r="A973">
        <f>eDNA!A973</f>
        <v>20201024</v>
      </c>
      <c r="B973" s="10" t="str" cm="1">
        <f t="array" ref="B973">IFERROR(_xlfn.XLOOKUP(1,('env Parameter'!$A:$A=$A973)*('env Parameter'!$B:$B=$K973)*('env Parameter'!$C:$C=$L973),'env Parameter'!H:H,""),"")</f>
        <v>생물상 조사</v>
      </c>
      <c r="C973" s="10" cm="1">
        <f t="array" ref="C973">IFERROR(_xlfn.XLOOKUP(1,('env Parameter'!$A:$A=$A973)*('env Parameter'!$B:$B=$K973)*('env Parameter'!$C:$C=$L973),'env Parameter'!E:E,""),"")</f>
        <v>2.14</v>
      </c>
      <c r="D973" s="10" cm="1">
        <f t="array" ref="D973">IFERROR(_xlfn.XLOOKUP(1,('env Parameter'!$A:$A=$A973)*('env Parameter'!$B:$B=$K973)*('env Parameter'!$C:$C=$L973),'env Parameter'!F:F,""),"")</f>
        <v>478</v>
      </c>
      <c r="E973" s="10" cm="1">
        <f t="array" ref="E973">IFERROR(_xlfn.XLOOKUP(1,('env Parameter'!$A:$A=$A973)*('env Parameter'!$B:$B=$K973)*('env Parameter'!$C:$C=$L973),'env Parameter'!G:G,""),"")</f>
        <v>7.6</v>
      </c>
      <c r="F973" t="str">
        <f>eDNA!F973</f>
        <v>MiFish</v>
      </c>
      <c r="G973" t="str">
        <f>eDNA!D973</f>
        <v>Rhinogobius sp.</v>
      </c>
      <c r="H973" t="str">
        <f>_xlfn.XLOOKUP(G973,'Common name (master file)'!$B:$B,'Common name (master file)'!$A:$A,"-------------")</f>
        <v>밀어</v>
      </c>
      <c r="I973">
        <f>eDNA!E973</f>
        <v>91</v>
      </c>
      <c r="J973" t="str">
        <f>_xlfn.XLOOKUP(G973,'Common name (master file)'!$B:$B,'Common name (master file)'!$C:$C,"")</f>
        <v>어류</v>
      </c>
      <c r="K973">
        <f>eDNA!B973</f>
        <v>126.94555939999999</v>
      </c>
      <c r="L973">
        <f>eDNA!C973</f>
        <v>37.373177800000001</v>
      </c>
      <c r="M973" s="10" t="str" cm="1">
        <f t="array" ref="M973">IFERROR(_xlfn.XLOOKUP(1,('env Parameter'!$A:$A=$A973)*('env Parameter'!$B:$B=$K973)*('env Parameter'!$C:$C=$L973),'env Parameter'!D:D,""),"")</f>
        <v>안양천-3</v>
      </c>
      <c r="N973" s="10" t="str" cm="1">
        <f t="array" ref="N973">IFERROR(_xlfn.XLOOKUP(1,('env Parameter'!$A:$A=$A973)*('env Parameter'!$B:$B=$K973)*('env Parameter'!$C:$C=$L973),'env Parameter'!I:I,""),"")</f>
        <v>YR</v>
      </c>
    </row>
    <row r="974" spans="1:14">
      <c r="A974">
        <f>eDNA!A974</f>
        <v>20201024</v>
      </c>
      <c r="B974" s="10" t="str" cm="1">
        <f t="array" ref="B974">IFERROR(_xlfn.XLOOKUP(1,('env Parameter'!$A:$A=$A974)*('env Parameter'!$B:$B=$K974)*('env Parameter'!$C:$C=$L974),'env Parameter'!H:H,""),"")</f>
        <v>생물상 조사</v>
      </c>
      <c r="C974" s="10" cm="1">
        <f t="array" ref="C974">IFERROR(_xlfn.XLOOKUP(1,('env Parameter'!$A:$A=$A974)*('env Parameter'!$B:$B=$K974)*('env Parameter'!$C:$C=$L974),'env Parameter'!E:E,""),"")</f>
        <v>2.14</v>
      </c>
      <c r="D974" s="10" cm="1">
        <f t="array" ref="D974">IFERROR(_xlfn.XLOOKUP(1,('env Parameter'!$A:$A=$A974)*('env Parameter'!$B:$B=$K974)*('env Parameter'!$C:$C=$L974),'env Parameter'!F:F,""),"")</f>
        <v>478</v>
      </c>
      <c r="E974" s="10" cm="1">
        <f t="array" ref="E974">IFERROR(_xlfn.XLOOKUP(1,('env Parameter'!$A:$A=$A974)*('env Parameter'!$B:$B=$K974)*('env Parameter'!$C:$C=$L974),'env Parameter'!G:G,""),"")</f>
        <v>7.6</v>
      </c>
      <c r="F974" t="str">
        <f>eDNA!F974</f>
        <v>MiFish</v>
      </c>
      <c r="G974" t="str">
        <f>eDNA!D974</f>
        <v>Rhynchocypris oxycephalus</v>
      </c>
      <c r="H974" t="str">
        <f>_xlfn.XLOOKUP(G974,'Common name (master file)'!$B:$B,'Common name (master file)'!$A:$A,"-------------")</f>
        <v>버들치</v>
      </c>
      <c r="I974">
        <f>eDNA!E974</f>
        <v>114</v>
      </c>
      <c r="J974" t="str">
        <f>_xlfn.XLOOKUP(G974,'Common name (master file)'!$B:$B,'Common name (master file)'!$C:$C,"")</f>
        <v>어류</v>
      </c>
      <c r="K974">
        <f>eDNA!B974</f>
        <v>126.94555939999999</v>
      </c>
      <c r="L974">
        <f>eDNA!C974</f>
        <v>37.373177800000001</v>
      </c>
      <c r="M974" s="10" t="str" cm="1">
        <f t="array" ref="M974">IFERROR(_xlfn.XLOOKUP(1,('env Parameter'!$A:$A=$A974)*('env Parameter'!$B:$B=$K974)*('env Parameter'!$C:$C=$L974),'env Parameter'!D:D,""),"")</f>
        <v>안양천-3</v>
      </c>
      <c r="N974" s="10" t="str" cm="1">
        <f t="array" ref="N974">IFERROR(_xlfn.XLOOKUP(1,('env Parameter'!$A:$A=$A974)*('env Parameter'!$B:$B=$K974)*('env Parameter'!$C:$C=$L974),'env Parameter'!I:I,""),"")</f>
        <v>YR</v>
      </c>
    </row>
    <row r="975" spans="1:14">
      <c r="A975">
        <f>eDNA!A975</f>
        <v>20201024</v>
      </c>
      <c r="B975" s="10" t="str" cm="1">
        <f t="array" ref="B975">IFERROR(_xlfn.XLOOKUP(1,('env Parameter'!$A:$A=$A975)*('env Parameter'!$B:$B=$K975)*('env Parameter'!$C:$C=$L975),'env Parameter'!H:H,""),"")</f>
        <v>생물상 조사</v>
      </c>
      <c r="C975" s="10" cm="1">
        <f t="array" ref="C975">IFERROR(_xlfn.XLOOKUP(1,('env Parameter'!$A:$A=$A975)*('env Parameter'!$B:$B=$K975)*('env Parameter'!$C:$C=$L975),'env Parameter'!E:E,""),"")</f>
        <v>2.14</v>
      </c>
      <c r="D975" s="10" cm="1">
        <f t="array" ref="D975">IFERROR(_xlfn.XLOOKUP(1,('env Parameter'!$A:$A=$A975)*('env Parameter'!$B:$B=$K975)*('env Parameter'!$C:$C=$L975),'env Parameter'!F:F,""),"")</f>
        <v>478</v>
      </c>
      <c r="E975" s="10" cm="1">
        <f t="array" ref="E975">IFERROR(_xlfn.XLOOKUP(1,('env Parameter'!$A:$A=$A975)*('env Parameter'!$B:$B=$K975)*('env Parameter'!$C:$C=$L975),'env Parameter'!G:G,""),"")</f>
        <v>7.6</v>
      </c>
      <c r="F975" t="str">
        <f>eDNA!F975</f>
        <v>MiFish</v>
      </c>
      <c r="G975" t="str">
        <f>eDNA!D975</f>
        <v>Pseudogobio esocinus</v>
      </c>
      <c r="H975" t="str">
        <f>_xlfn.XLOOKUP(G975,'Common name (master file)'!$B:$B,'Common name (master file)'!$A:$A,"-------------")</f>
        <v>모래무지</v>
      </c>
      <c r="I975">
        <f>eDNA!E975</f>
        <v>19</v>
      </c>
      <c r="J975" t="str">
        <f>_xlfn.XLOOKUP(G975,'Common name (master file)'!$B:$B,'Common name (master file)'!$C:$C,"")</f>
        <v>어류</v>
      </c>
      <c r="K975">
        <f>eDNA!B975</f>
        <v>126.93147879999999</v>
      </c>
      <c r="L975">
        <f>eDNA!C975</f>
        <v>37.397387999999999</v>
      </c>
      <c r="M975" s="10" t="str" cm="1">
        <f t="array" ref="M975">IFERROR(_xlfn.XLOOKUP(1,('env Parameter'!$A:$A=$A975)*('env Parameter'!$B:$B=$K975)*('env Parameter'!$C:$C=$L975),'env Parameter'!D:D,""),"")</f>
        <v>안양천-4</v>
      </c>
      <c r="N975" s="10" t="str" cm="1">
        <f t="array" ref="N975">IFERROR(_xlfn.XLOOKUP(1,('env Parameter'!$A:$A=$A975)*('env Parameter'!$B:$B=$K975)*('env Parameter'!$C:$C=$L975),'env Parameter'!I:I,""),"")</f>
        <v>YR</v>
      </c>
    </row>
    <row r="976" spans="1:14">
      <c r="A976">
        <f>eDNA!A976</f>
        <v>20201024</v>
      </c>
      <c r="B976" s="10" t="str" cm="1">
        <f t="array" ref="B976">IFERROR(_xlfn.XLOOKUP(1,('env Parameter'!$A:$A=$A976)*('env Parameter'!$B:$B=$K976)*('env Parameter'!$C:$C=$L976),'env Parameter'!H:H,""),"")</f>
        <v>생물상 조사</v>
      </c>
      <c r="C976" s="10" cm="1">
        <f t="array" ref="C976">IFERROR(_xlfn.XLOOKUP(1,('env Parameter'!$A:$A=$A976)*('env Parameter'!$B:$B=$K976)*('env Parameter'!$C:$C=$L976),'env Parameter'!E:E,""),"")</f>
        <v>2.14</v>
      </c>
      <c r="D976" s="10" cm="1">
        <f t="array" ref="D976">IFERROR(_xlfn.XLOOKUP(1,('env Parameter'!$A:$A=$A976)*('env Parameter'!$B:$B=$K976)*('env Parameter'!$C:$C=$L976),'env Parameter'!F:F,""),"")</f>
        <v>478</v>
      </c>
      <c r="E976" s="10" cm="1">
        <f t="array" ref="E976">IFERROR(_xlfn.XLOOKUP(1,('env Parameter'!$A:$A=$A976)*('env Parameter'!$B:$B=$K976)*('env Parameter'!$C:$C=$L976),'env Parameter'!G:G,""),"")</f>
        <v>7.6</v>
      </c>
      <c r="F976" t="str">
        <f>eDNA!F976</f>
        <v>MiFish</v>
      </c>
      <c r="G976" t="str">
        <f>eDNA!D976</f>
        <v>Misgurnus mizolepis</v>
      </c>
      <c r="H976" t="str">
        <f>_xlfn.XLOOKUP(G976,'Common name (master file)'!$B:$B,'Common name (master file)'!$A:$A,"-------------")</f>
        <v>미꾸라지</v>
      </c>
      <c r="I976">
        <f>eDNA!E976</f>
        <v>281</v>
      </c>
      <c r="J976" t="str">
        <f>_xlfn.XLOOKUP(G976,'Common name (master file)'!$B:$B,'Common name (master file)'!$C:$C,"")</f>
        <v>어류</v>
      </c>
      <c r="K976">
        <f>eDNA!B976</f>
        <v>126.94555939999999</v>
      </c>
      <c r="L976">
        <f>eDNA!C976</f>
        <v>37.373177800000001</v>
      </c>
      <c r="M976" s="10" t="str" cm="1">
        <f t="array" ref="M976">IFERROR(_xlfn.XLOOKUP(1,('env Parameter'!$A:$A=$A976)*('env Parameter'!$B:$B=$K976)*('env Parameter'!$C:$C=$L976),'env Parameter'!D:D,""),"")</f>
        <v>안양천-3</v>
      </c>
      <c r="N976" s="10" t="str" cm="1">
        <f t="array" ref="N976">IFERROR(_xlfn.XLOOKUP(1,('env Parameter'!$A:$A=$A976)*('env Parameter'!$B:$B=$K976)*('env Parameter'!$C:$C=$L976),'env Parameter'!I:I,""),"")</f>
        <v>YR</v>
      </c>
    </row>
    <row r="977" spans="1:14">
      <c r="A977">
        <f>eDNA!A977</f>
        <v>20201024</v>
      </c>
      <c r="B977" s="10" t="str" cm="1">
        <f t="array" ref="B977">IFERROR(_xlfn.XLOOKUP(1,('env Parameter'!$A:$A=$A977)*('env Parameter'!$B:$B=$K977)*('env Parameter'!$C:$C=$L977),'env Parameter'!H:H,""),"")</f>
        <v>생물상 조사</v>
      </c>
      <c r="C977" s="10" cm="1">
        <f t="array" ref="C977">IFERROR(_xlfn.XLOOKUP(1,('env Parameter'!$A:$A=$A977)*('env Parameter'!$B:$B=$K977)*('env Parameter'!$C:$C=$L977),'env Parameter'!E:E,""),"")</f>
        <v>2.14</v>
      </c>
      <c r="D977" s="10" cm="1">
        <f t="array" ref="D977">IFERROR(_xlfn.XLOOKUP(1,('env Parameter'!$A:$A=$A977)*('env Parameter'!$B:$B=$K977)*('env Parameter'!$C:$C=$L977),'env Parameter'!F:F,""),"")</f>
        <v>478</v>
      </c>
      <c r="E977" s="10" cm="1">
        <f t="array" ref="E977">IFERROR(_xlfn.XLOOKUP(1,('env Parameter'!$A:$A=$A977)*('env Parameter'!$B:$B=$K977)*('env Parameter'!$C:$C=$L977),'env Parameter'!G:G,""),"")</f>
        <v>7.6</v>
      </c>
      <c r="F977" t="str">
        <f>eDNA!F977</f>
        <v>MiFish</v>
      </c>
      <c r="G977" t="str">
        <f>eDNA!D977</f>
        <v>Micropterus salmoides</v>
      </c>
      <c r="H977" t="str">
        <f>_xlfn.XLOOKUP(G977,'Common name (master file)'!$B:$B,'Common name (master file)'!$A:$A,"-------------")</f>
        <v>큰입배스</v>
      </c>
      <c r="I977">
        <f>eDNA!E977</f>
        <v>241</v>
      </c>
      <c r="J977" t="str">
        <f>_xlfn.XLOOKUP(G977,'Common name (master file)'!$B:$B,'Common name (master file)'!$C:$C,"")</f>
        <v>어류</v>
      </c>
      <c r="K977">
        <f>eDNA!B977</f>
        <v>126.94555939999999</v>
      </c>
      <c r="L977">
        <f>eDNA!C977</f>
        <v>37.373177800000001</v>
      </c>
      <c r="M977" s="10" t="str" cm="1">
        <f t="array" ref="M977">IFERROR(_xlfn.XLOOKUP(1,('env Parameter'!$A:$A=$A977)*('env Parameter'!$B:$B=$K977)*('env Parameter'!$C:$C=$L977),'env Parameter'!D:D,""),"")</f>
        <v>안양천-3</v>
      </c>
      <c r="N977" s="10" t="str" cm="1">
        <f t="array" ref="N977">IFERROR(_xlfn.XLOOKUP(1,('env Parameter'!$A:$A=$A977)*('env Parameter'!$B:$B=$K977)*('env Parameter'!$C:$C=$L977),'env Parameter'!I:I,""),"")</f>
        <v>YR</v>
      </c>
    </row>
    <row r="978" spans="1:14">
      <c r="A978">
        <f>eDNA!A978</f>
        <v>20201024</v>
      </c>
      <c r="B978" s="10" t="str" cm="1">
        <f t="array" ref="B978">IFERROR(_xlfn.XLOOKUP(1,('env Parameter'!$A:$A=$A978)*('env Parameter'!$B:$B=$K978)*('env Parameter'!$C:$C=$L978),'env Parameter'!H:H,""),"")</f>
        <v>생물상 조사</v>
      </c>
      <c r="C978" s="10" cm="1">
        <f t="array" ref="C978">IFERROR(_xlfn.XLOOKUP(1,('env Parameter'!$A:$A=$A978)*('env Parameter'!$B:$B=$K978)*('env Parameter'!$C:$C=$L978),'env Parameter'!E:E,""),"")</f>
        <v>2.14</v>
      </c>
      <c r="D978" s="10" cm="1">
        <f t="array" ref="D978">IFERROR(_xlfn.XLOOKUP(1,('env Parameter'!$A:$A=$A978)*('env Parameter'!$B:$B=$K978)*('env Parameter'!$C:$C=$L978),'env Parameter'!F:F,""),"")</f>
        <v>478</v>
      </c>
      <c r="E978" s="10" cm="1">
        <f t="array" ref="E978">IFERROR(_xlfn.XLOOKUP(1,('env Parameter'!$A:$A=$A978)*('env Parameter'!$B:$B=$K978)*('env Parameter'!$C:$C=$L978),'env Parameter'!G:G,""),"")</f>
        <v>7.6</v>
      </c>
      <c r="F978" t="str">
        <f>eDNA!F978</f>
        <v>MiFish</v>
      </c>
      <c r="G978" t="str">
        <f>eDNA!D978</f>
        <v>Pseudogobio esocinus</v>
      </c>
      <c r="H978" t="str">
        <f>_xlfn.XLOOKUP(G978,'Common name (master file)'!$B:$B,'Common name (master file)'!$A:$A,"-------------")</f>
        <v>모래무지</v>
      </c>
      <c r="I978">
        <f>eDNA!E978</f>
        <v>459</v>
      </c>
      <c r="J978" t="str">
        <f>_xlfn.XLOOKUP(G978,'Common name (master file)'!$B:$B,'Common name (master file)'!$C:$C,"")</f>
        <v>어류</v>
      </c>
      <c r="K978">
        <f>eDNA!B978</f>
        <v>126.94555939999999</v>
      </c>
      <c r="L978">
        <f>eDNA!C978</f>
        <v>37.373177800000001</v>
      </c>
      <c r="M978" s="10" t="str" cm="1">
        <f t="array" ref="M978">IFERROR(_xlfn.XLOOKUP(1,('env Parameter'!$A:$A=$A978)*('env Parameter'!$B:$B=$K978)*('env Parameter'!$C:$C=$L978),'env Parameter'!D:D,""),"")</f>
        <v>안양천-3</v>
      </c>
      <c r="N978" s="10" t="str" cm="1">
        <f t="array" ref="N978">IFERROR(_xlfn.XLOOKUP(1,('env Parameter'!$A:$A=$A978)*('env Parameter'!$B:$B=$K978)*('env Parameter'!$C:$C=$L978),'env Parameter'!I:I,""),"")</f>
        <v>YR</v>
      </c>
    </row>
    <row r="979" spans="1:14">
      <c r="A979">
        <f>eDNA!A979</f>
        <v>20201024</v>
      </c>
      <c r="B979" s="10" t="str" cm="1">
        <f t="array" ref="B979">IFERROR(_xlfn.XLOOKUP(1,('env Parameter'!$A:$A=$A979)*('env Parameter'!$B:$B=$K979)*('env Parameter'!$C:$C=$L979),'env Parameter'!H:H,""),"")</f>
        <v>생물상 조사</v>
      </c>
      <c r="C979" s="10" cm="1">
        <f t="array" ref="C979">IFERROR(_xlfn.XLOOKUP(1,('env Parameter'!$A:$A=$A979)*('env Parameter'!$B:$B=$K979)*('env Parameter'!$C:$C=$L979),'env Parameter'!E:E,""),"")</f>
        <v>2.14</v>
      </c>
      <c r="D979" s="10" cm="1">
        <f t="array" ref="D979">IFERROR(_xlfn.XLOOKUP(1,('env Parameter'!$A:$A=$A979)*('env Parameter'!$B:$B=$K979)*('env Parameter'!$C:$C=$L979),'env Parameter'!F:F,""),"")</f>
        <v>478</v>
      </c>
      <c r="E979" s="10" cm="1">
        <f t="array" ref="E979">IFERROR(_xlfn.XLOOKUP(1,('env Parameter'!$A:$A=$A979)*('env Parameter'!$B:$B=$K979)*('env Parameter'!$C:$C=$L979),'env Parameter'!G:G,""),"")</f>
        <v>7.6</v>
      </c>
      <c r="F979" t="str">
        <f>eDNA!F979</f>
        <v>MiFish</v>
      </c>
      <c r="G979" t="str">
        <f>eDNA!D979</f>
        <v>Pelodiscus sinensis</v>
      </c>
      <c r="H979" t="str">
        <f>_xlfn.XLOOKUP(G979,'Common name (master file)'!$B:$B,'Common name (master file)'!$A:$A,"-------------")</f>
        <v>중국자라</v>
      </c>
      <c r="I979">
        <f>eDNA!E979</f>
        <v>377</v>
      </c>
      <c r="J979" t="str">
        <f>_xlfn.XLOOKUP(G979,'Common name (master file)'!$B:$B,'Common name (master file)'!$C:$C,"")</f>
        <v>양서파충류</v>
      </c>
      <c r="K979">
        <f>eDNA!B979</f>
        <v>126.94555939999999</v>
      </c>
      <c r="L979">
        <f>eDNA!C979</f>
        <v>37.373177800000001</v>
      </c>
      <c r="M979" s="10" t="str" cm="1">
        <f t="array" ref="M979">IFERROR(_xlfn.XLOOKUP(1,('env Parameter'!$A:$A=$A979)*('env Parameter'!$B:$B=$K979)*('env Parameter'!$C:$C=$L979),'env Parameter'!D:D,""),"")</f>
        <v>안양천-3</v>
      </c>
      <c r="N979" s="10" t="str" cm="1">
        <f t="array" ref="N979">IFERROR(_xlfn.XLOOKUP(1,('env Parameter'!$A:$A=$A979)*('env Parameter'!$B:$B=$K979)*('env Parameter'!$C:$C=$L979),'env Parameter'!I:I,""),"")</f>
        <v>YR</v>
      </c>
    </row>
    <row r="980" spans="1:14">
      <c r="A980">
        <f>eDNA!A980</f>
        <v>20201024</v>
      </c>
      <c r="B980" s="10" t="str" cm="1">
        <f t="array" ref="B980">IFERROR(_xlfn.XLOOKUP(1,('env Parameter'!$A:$A=$A980)*('env Parameter'!$B:$B=$K980)*('env Parameter'!$C:$C=$L980),'env Parameter'!H:H,""),"")</f>
        <v>생물상 조사</v>
      </c>
      <c r="C980" s="10" cm="1">
        <f t="array" ref="C980">IFERROR(_xlfn.XLOOKUP(1,('env Parameter'!$A:$A=$A980)*('env Parameter'!$B:$B=$K980)*('env Parameter'!$C:$C=$L980),'env Parameter'!E:E,""),"")</f>
        <v>2.14</v>
      </c>
      <c r="D980" s="10" cm="1">
        <f t="array" ref="D980">IFERROR(_xlfn.XLOOKUP(1,('env Parameter'!$A:$A=$A980)*('env Parameter'!$B:$B=$K980)*('env Parameter'!$C:$C=$L980),'env Parameter'!F:F,""),"")</f>
        <v>478</v>
      </c>
      <c r="E980" s="10" cm="1">
        <f t="array" ref="E980">IFERROR(_xlfn.XLOOKUP(1,('env Parameter'!$A:$A=$A980)*('env Parameter'!$B:$B=$K980)*('env Parameter'!$C:$C=$L980),'env Parameter'!G:G,""),"")</f>
        <v>7.6</v>
      </c>
      <c r="F980" t="str">
        <f>eDNA!F980</f>
        <v>MiFish</v>
      </c>
      <c r="G980" t="str">
        <f>eDNA!D980</f>
        <v>Carassius sp.</v>
      </c>
      <c r="H980" t="str">
        <f>_xlfn.XLOOKUP(G980,'Common name (master file)'!$B:$B,'Common name (master file)'!$A:$A,"-------------")</f>
        <v>붕어 속</v>
      </c>
      <c r="I980">
        <f>eDNA!E980</f>
        <v>702</v>
      </c>
      <c r="J980" t="str">
        <f>_xlfn.XLOOKUP(G980,'Common name (master file)'!$B:$B,'Common name (master file)'!$C:$C,"")</f>
        <v>어류</v>
      </c>
      <c r="K980">
        <f>eDNA!B980</f>
        <v>126.94555939999999</v>
      </c>
      <c r="L980">
        <f>eDNA!C980</f>
        <v>37.373177800000001</v>
      </c>
      <c r="M980" s="10" t="str" cm="1">
        <f t="array" ref="M980">IFERROR(_xlfn.XLOOKUP(1,('env Parameter'!$A:$A=$A980)*('env Parameter'!$B:$B=$K980)*('env Parameter'!$C:$C=$L980),'env Parameter'!D:D,""),"")</f>
        <v>안양천-3</v>
      </c>
      <c r="N980" s="10" t="str" cm="1">
        <f t="array" ref="N980">IFERROR(_xlfn.XLOOKUP(1,('env Parameter'!$A:$A=$A980)*('env Parameter'!$B:$B=$K980)*('env Parameter'!$C:$C=$L980),'env Parameter'!I:I,""),"")</f>
        <v>YR</v>
      </c>
    </row>
    <row r="981" spans="1:14">
      <c r="A981">
        <f>eDNA!A981</f>
        <v>20201024</v>
      </c>
      <c r="B981" s="10" t="str" cm="1">
        <f t="array" ref="B981">IFERROR(_xlfn.XLOOKUP(1,('env Parameter'!$A:$A=$A981)*('env Parameter'!$B:$B=$K981)*('env Parameter'!$C:$C=$L981),'env Parameter'!H:H,""),"")</f>
        <v>생물상 조사</v>
      </c>
      <c r="C981" s="10" cm="1">
        <f t="array" ref="C981">IFERROR(_xlfn.XLOOKUP(1,('env Parameter'!$A:$A=$A981)*('env Parameter'!$B:$B=$K981)*('env Parameter'!$C:$C=$L981),'env Parameter'!E:E,""),"")</f>
        <v>2.14</v>
      </c>
      <c r="D981" s="10" cm="1">
        <f t="array" ref="D981">IFERROR(_xlfn.XLOOKUP(1,('env Parameter'!$A:$A=$A981)*('env Parameter'!$B:$B=$K981)*('env Parameter'!$C:$C=$L981),'env Parameter'!F:F,""),"")</f>
        <v>478</v>
      </c>
      <c r="E981" s="10" cm="1">
        <f t="array" ref="E981">IFERROR(_xlfn.XLOOKUP(1,('env Parameter'!$A:$A=$A981)*('env Parameter'!$B:$B=$K981)*('env Parameter'!$C:$C=$L981),'env Parameter'!G:G,""),"")</f>
        <v>7.6</v>
      </c>
      <c r="F981" t="str">
        <f>eDNA!F981</f>
        <v>MiFish</v>
      </c>
      <c r="G981" t="str">
        <f>eDNA!D981</f>
        <v>Gnathopogon strigatus</v>
      </c>
      <c r="H981" t="str">
        <f>_xlfn.XLOOKUP(G981,'Common name (master file)'!$B:$B,'Common name (master file)'!$A:$A,"-------------")</f>
        <v>줄몰개</v>
      </c>
      <c r="I981">
        <f>eDNA!E981</f>
        <v>1529</v>
      </c>
      <c r="J981" t="str">
        <f>_xlfn.XLOOKUP(G981,'Common name (master file)'!$B:$B,'Common name (master file)'!$C:$C,"")</f>
        <v>어류</v>
      </c>
      <c r="K981">
        <f>eDNA!B981</f>
        <v>126.94555939999999</v>
      </c>
      <c r="L981">
        <f>eDNA!C981</f>
        <v>37.373177800000001</v>
      </c>
      <c r="M981" s="10" t="str" cm="1">
        <f t="array" ref="M981">IFERROR(_xlfn.XLOOKUP(1,('env Parameter'!$A:$A=$A981)*('env Parameter'!$B:$B=$K981)*('env Parameter'!$C:$C=$L981),'env Parameter'!D:D,""),"")</f>
        <v>안양천-3</v>
      </c>
      <c r="N981" s="10" t="str" cm="1">
        <f t="array" ref="N981">IFERROR(_xlfn.XLOOKUP(1,('env Parameter'!$A:$A=$A981)*('env Parameter'!$B:$B=$K981)*('env Parameter'!$C:$C=$L981),'env Parameter'!I:I,""),"")</f>
        <v>YR</v>
      </c>
    </row>
    <row r="982" spans="1:14">
      <c r="A982">
        <f>eDNA!A982</f>
        <v>20201024</v>
      </c>
      <c r="B982" s="10" t="str" cm="1">
        <f t="array" ref="B982">IFERROR(_xlfn.XLOOKUP(1,('env Parameter'!$A:$A=$A982)*('env Parameter'!$B:$B=$K982)*('env Parameter'!$C:$C=$L982),'env Parameter'!H:H,""),"")</f>
        <v>생물상 조사</v>
      </c>
      <c r="C982" s="10" cm="1">
        <f t="array" ref="C982">IFERROR(_xlfn.XLOOKUP(1,('env Parameter'!$A:$A=$A982)*('env Parameter'!$B:$B=$K982)*('env Parameter'!$C:$C=$L982),'env Parameter'!E:E,""),"")</f>
        <v>2.14</v>
      </c>
      <c r="D982" s="10" cm="1">
        <f t="array" ref="D982">IFERROR(_xlfn.XLOOKUP(1,('env Parameter'!$A:$A=$A982)*('env Parameter'!$B:$B=$K982)*('env Parameter'!$C:$C=$L982),'env Parameter'!F:F,""),"")</f>
        <v>478</v>
      </c>
      <c r="E982" s="10" cm="1">
        <f t="array" ref="E982">IFERROR(_xlfn.XLOOKUP(1,('env Parameter'!$A:$A=$A982)*('env Parameter'!$B:$B=$K982)*('env Parameter'!$C:$C=$L982),'env Parameter'!G:G,""),"")</f>
        <v>7.6</v>
      </c>
      <c r="F982" t="str">
        <f>eDNA!F982</f>
        <v>MiFish</v>
      </c>
      <c r="G982" t="str">
        <f>eDNA!D982</f>
        <v>Channa argus</v>
      </c>
      <c r="H982" t="str">
        <f>_xlfn.XLOOKUP(G982,'Common name (master file)'!$B:$B,'Common name (master file)'!$A:$A,"-------------")</f>
        <v>가물치</v>
      </c>
      <c r="I982">
        <f>eDNA!E982</f>
        <v>2543</v>
      </c>
      <c r="J982" t="str">
        <f>_xlfn.XLOOKUP(G982,'Common name (master file)'!$B:$B,'Common name (master file)'!$C:$C,"")</f>
        <v>어류</v>
      </c>
      <c r="K982">
        <f>eDNA!B982</f>
        <v>126.94555939999999</v>
      </c>
      <c r="L982">
        <f>eDNA!C982</f>
        <v>37.373177800000001</v>
      </c>
      <c r="M982" s="10" t="str" cm="1">
        <f t="array" ref="M982">IFERROR(_xlfn.XLOOKUP(1,('env Parameter'!$A:$A=$A982)*('env Parameter'!$B:$B=$K982)*('env Parameter'!$C:$C=$L982),'env Parameter'!D:D,""),"")</f>
        <v>안양천-3</v>
      </c>
      <c r="N982" s="10" t="str" cm="1">
        <f t="array" ref="N982">IFERROR(_xlfn.XLOOKUP(1,('env Parameter'!$A:$A=$A982)*('env Parameter'!$B:$B=$K982)*('env Parameter'!$C:$C=$L982),'env Parameter'!I:I,""),"")</f>
        <v>YR</v>
      </c>
    </row>
    <row r="983" spans="1:14">
      <c r="A983">
        <f>eDNA!A983</f>
        <v>20201024</v>
      </c>
      <c r="B983" s="10" t="str" cm="1">
        <f t="array" ref="B983">IFERROR(_xlfn.XLOOKUP(1,('env Parameter'!$A:$A=$A983)*('env Parameter'!$B:$B=$K983)*('env Parameter'!$C:$C=$L983),'env Parameter'!H:H,""),"")</f>
        <v>생물상 조사</v>
      </c>
      <c r="C983" s="10" cm="1">
        <f t="array" ref="C983">IFERROR(_xlfn.XLOOKUP(1,('env Parameter'!$A:$A=$A983)*('env Parameter'!$B:$B=$K983)*('env Parameter'!$C:$C=$L983),'env Parameter'!E:E,""),"")</f>
        <v>2.14</v>
      </c>
      <c r="D983" s="10" cm="1">
        <f t="array" ref="D983">IFERROR(_xlfn.XLOOKUP(1,('env Parameter'!$A:$A=$A983)*('env Parameter'!$B:$B=$K983)*('env Parameter'!$C:$C=$L983),'env Parameter'!F:F,""),"")</f>
        <v>478</v>
      </c>
      <c r="E983" s="10" cm="1">
        <f t="array" ref="E983">IFERROR(_xlfn.XLOOKUP(1,('env Parameter'!$A:$A=$A983)*('env Parameter'!$B:$B=$K983)*('env Parameter'!$C:$C=$L983),'env Parameter'!G:G,""),"")</f>
        <v>7.6</v>
      </c>
      <c r="F983" t="str">
        <f>eDNA!F983</f>
        <v>MiFish</v>
      </c>
      <c r="G983" t="str">
        <f>eDNA!D983</f>
        <v>Odontobutis interrupta</v>
      </c>
      <c r="H983" t="str">
        <f>_xlfn.XLOOKUP(G983,'Common name (master file)'!$B:$B,'Common name (master file)'!$A:$A,"-------------")</f>
        <v>얼록동사리</v>
      </c>
      <c r="I983">
        <f>eDNA!E983</f>
        <v>6662</v>
      </c>
      <c r="J983" t="str">
        <f>_xlfn.XLOOKUP(G983,'Common name (master file)'!$B:$B,'Common name (master file)'!$C:$C,"")</f>
        <v>어류</v>
      </c>
      <c r="K983">
        <f>eDNA!B983</f>
        <v>126.94555939999999</v>
      </c>
      <c r="L983">
        <f>eDNA!C983</f>
        <v>37.373177800000001</v>
      </c>
      <c r="M983" s="10" t="str" cm="1">
        <f t="array" ref="M983">IFERROR(_xlfn.XLOOKUP(1,('env Parameter'!$A:$A=$A983)*('env Parameter'!$B:$B=$K983)*('env Parameter'!$C:$C=$L983),'env Parameter'!D:D,""),"")</f>
        <v>안양천-3</v>
      </c>
      <c r="N983" s="10" t="str" cm="1">
        <f t="array" ref="N983">IFERROR(_xlfn.XLOOKUP(1,('env Parameter'!$A:$A=$A983)*('env Parameter'!$B:$B=$K983)*('env Parameter'!$C:$C=$L983),'env Parameter'!I:I,""),"")</f>
        <v>YR</v>
      </c>
    </row>
    <row r="984" spans="1:14">
      <c r="A984">
        <f>eDNA!A984</f>
        <v>20201024</v>
      </c>
      <c r="B984" s="10" t="str" cm="1">
        <f t="array" ref="B984">IFERROR(_xlfn.XLOOKUP(1,('env Parameter'!$A:$A=$A984)*('env Parameter'!$B:$B=$K984)*('env Parameter'!$C:$C=$L984),'env Parameter'!H:H,""),"")</f>
        <v>생물상 조사</v>
      </c>
      <c r="C984" s="10" cm="1">
        <f t="array" ref="C984">IFERROR(_xlfn.XLOOKUP(1,('env Parameter'!$A:$A=$A984)*('env Parameter'!$B:$B=$K984)*('env Parameter'!$C:$C=$L984),'env Parameter'!E:E,""),"")</f>
        <v>2.14</v>
      </c>
      <c r="D984" s="10" cm="1">
        <f t="array" ref="D984">IFERROR(_xlfn.XLOOKUP(1,('env Parameter'!$A:$A=$A984)*('env Parameter'!$B:$B=$K984)*('env Parameter'!$C:$C=$L984),'env Parameter'!F:F,""),"")</f>
        <v>478</v>
      </c>
      <c r="E984" s="10" cm="1">
        <f t="array" ref="E984">IFERROR(_xlfn.XLOOKUP(1,('env Parameter'!$A:$A=$A984)*('env Parameter'!$B:$B=$K984)*('env Parameter'!$C:$C=$L984),'env Parameter'!G:G,""),"")</f>
        <v>7.6</v>
      </c>
      <c r="F984" t="str">
        <f>eDNA!F984</f>
        <v>MiFish</v>
      </c>
      <c r="G984" t="str">
        <f>eDNA!D984</f>
        <v>Silurus soldatovi</v>
      </c>
      <c r="H984" t="str">
        <f>_xlfn.XLOOKUP(G984,'Common name (master file)'!$B:$B,'Common name (master file)'!$A:$A,"-------------")</f>
        <v>솔다토비 메기</v>
      </c>
      <c r="I984">
        <f>eDNA!E984</f>
        <v>7605</v>
      </c>
      <c r="J984" t="str">
        <f>_xlfn.XLOOKUP(G984,'Common name (master file)'!$B:$B,'Common name (master file)'!$C:$C,"")</f>
        <v>어류</v>
      </c>
      <c r="K984">
        <f>eDNA!B984</f>
        <v>126.94555939999999</v>
      </c>
      <c r="L984">
        <f>eDNA!C984</f>
        <v>37.373177800000001</v>
      </c>
      <c r="M984" s="10" t="str" cm="1">
        <f t="array" ref="M984">IFERROR(_xlfn.XLOOKUP(1,('env Parameter'!$A:$A=$A984)*('env Parameter'!$B:$B=$K984)*('env Parameter'!$C:$C=$L984),'env Parameter'!D:D,""),"")</f>
        <v>안양천-3</v>
      </c>
      <c r="N984" s="10" t="str" cm="1">
        <f t="array" ref="N984">IFERROR(_xlfn.XLOOKUP(1,('env Parameter'!$A:$A=$A984)*('env Parameter'!$B:$B=$K984)*('env Parameter'!$C:$C=$L984),'env Parameter'!I:I,""),"")</f>
        <v>YR</v>
      </c>
    </row>
    <row r="985" spans="1:14">
      <c r="A985">
        <f>eDNA!A985</f>
        <v>20201024</v>
      </c>
      <c r="B985" s="10" t="str" cm="1">
        <f t="array" ref="B985">IFERROR(_xlfn.XLOOKUP(1,('env Parameter'!$A:$A=$A985)*('env Parameter'!$B:$B=$K985)*('env Parameter'!$C:$C=$L985),'env Parameter'!H:H,""),"")</f>
        <v>생물상 조사</v>
      </c>
      <c r="C985" s="10" cm="1">
        <f t="array" ref="C985">IFERROR(_xlfn.XLOOKUP(1,('env Parameter'!$A:$A=$A985)*('env Parameter'!$B:$B=$K985)*('env Parameter'!$C:$C=$L985),'env Parameter'!E:E,""),"")</f>
        <v>2.14</v>
      </c>
      <c r="D985" s="10" cm="1">
        <f t="array" ref="D985">IFERROR(_xlfn.XLOOKUP(1,('env Parameter'!$A:$A=$A985)*('env Parameter'!$B:$B=$K985)*('env Parameter'!$C:$C=$L985),'env Parameter'!F:F,""),"")</f>
        <v>478</v>
      </c>
      <c r="E985" s="10" cm="1">
        <f t="array" ref="E985">IFERROR(_xlfn.XLOOKUP(1,('env Parameter'!$A:$A=$A985)*('env Parameter'!$B:$B=$K985)*('env Parameter'!$C:$C=$L985),'env Parameter'!G:G,""),"")</f>
        <v>7.6</v>
      </c>
      <c r="F985" t="str">
        <f>eDNA!F985</f>
        <v>MiFish</v>
      </c>
      <c r="G985" t="str">
        <f>eDNA!D985</f>
        <v>Carassius gibelio</v>
      </c>
      <c r="H985" t="str">
        <f>_xlfn.XLOOKUP(G985,'Common name (master file)'!$B:$B,'Common name (master file)'!$A:$A,"-------------")</f>
        <v>기벨리오 붕어</v>
      </c>
      <c r="I985">
        <f>eDNA!E985</f>
        <v>17232</v>
      </c>
      <c r="J985" t="str">
        <f>_xlfn.XLOOKUP(G985,'Common name (master file)'!$B:$B,'Common name (master file)'!$C:$C,"")</f>
        <v>어류</v>
      </c>
      <c r="K985">
        <f>eDNA!B985</f>
        <v>126.94555939999999</v>
      </c>
      <c r="L985">
        <f>eDNA!C985</f>
        <v>37.373177800000001</v>
      </c>
      <c r="M985" s="10" t="str" cm="1">
        <f t="array" ref="M985">IFERROR(_xlfn.XLOOKUP(1,('env Parameter'!$A:$A=$A985)*('env Parameter'!$B:$B=$K985)*('env Parameter'!$C:$C=$L985),'env Parameter'!D:D,""),"")</f>
        <v>안양천-3</v>
      </c>
      <c r="N985" s="10" t="str" cm="1">
        <f t="array" ref="N985">IFERROR(_xlfn.XLOOKUP(1,('env Parameter'!$A:$A=$A985)*('env Parameter'!$B:$B=$K985)*('env Parameter'!$C:$C=$L985),'env Parameter'!I:I,""),"")</f>
        <v>YR</v>
      </c>
    </row>
    <row r="986" spans="1:14">
      <c r="A986">
        <f>eDNA!A986</f>
        <v>20201024</v>
      </c>
      <c r="B986" s="10" t="str" cm="1">
        <f t="array" ref="B986">IFERROR(_xlfn.XLOOKUP(1,('env Parameter'!$A:$A=$A986)*('env Parameter'!$B:$B=$K986)*('env Parameter'!$C:$C=$L986),'env Parameter'!H:H,""),"")</f>
        <v>생물상 조사</v>
      </c>
      <c r="C986" s="10" cm="1">
        <f t="array" ref="C986">IFERROR(_xlfn.XLOOKUP(1,('env Parameter'!$A:$A=$A986)*('env Parameter'!$B:$B=$K986)*('env Parameter'!$C:$C=$L986),'env Parameter'!E:E,""),"")</f>
        <v>2.14</v>
      </c>
      <c r="D986" s="10" cm="1">
        <f t="array" ref="D986">IFERROR(_xlfn.XLOOKUP(1,('env Parameter'!$A:$A=$A986)*('env Parameter'!$B:$B=$K986)*('env Parameter'!$C:$C=$L986),'env Parameter'!F:F,""),"")</f>
        <v>478</v>
      </c>
      <c r="E986" s="10" cm="1">
        <f t="array" ref="E986">IFERROR(_xlfn.XLOOKUP(1,('env Parameter'!$A:$A=$A986)*('env Parameter'!$B:$B=$K986)*('env Parameter'!$C:$C=$L986),'env Parameter'!G:G,""),"")</f>
        <v>7.6</v>
      </c>
      <c r="F986" t="str">
        <f>eDNA!F986</f>
        <v>MiFish</v>
      </c>
      <c r="G986" t="str">
        <f>eDNA!D986</f>
        <v>Zacco platypus</v>
      </c>
      <c r="H986" t="str">
        <f>_xlfn.XLOOKUP(G986,'Common name (master file)'!$B:$B,'Common name (master file)'!$A:$A,"-------------")</f>
        <v>피라미</v>
      </c>
      <c r="I986">
        <f>eDNA!E986</f>
        <v>38503</v>
      </c>
      <c r="J986" t="str">
        <f>_xlfn.XLOOKUP(G986,'Common name (master file)'!$B:$B,'Common name (master file)'!$C:$C,"")</f>
        <v>어류</v>
      </c>
      <c r="K986">
        <f>eDNA!B986</f>
        <v>126.94555939999999</v>
      </c>
      <c r="L986">
        <f>eDNA!C986</f>
        <v>37.373177800000001</v>
      </c>
      <c r="M986" s="10" t="str" cm="1">
        <f t="array" ref="M986">IFERROR(_xlfn.XLOOKUP(1,('env Parameter'!$A:$A=$A986)*('env Parameter'!$B:$B=$K986)*('env Parameter'!$C:$C=$L986),'env Parameter'!D:D,""),"")</f>
        <v>안양천-3</v>
      </c>
      <c r="N986" s="10" t="str" cm="1">
        <f t="array" ref="N986">IFERROR(_xlfn.XLOOKUP(1,('env Parameter'!$A:$A=$A986)*('env Parameter'!$B:$B=$K986)*('env Parameter'!$C:$C=$L986),'env Parameter'!I:I,""),"")</f>
        <v>YR</v>
      </c>
    </row>
    <row r="987" spans="1:14">
      <c r="A987">
        <f>eDNA!A987</f>
        <v>20201024</v>
      </c>
      <c r="B987" s="10" t="str" cm="1">
        <f t="array" ref="B987">IFERROR(_xlfn.XLOOKUP(1,('env Parameter'!$A:$A=$A987)*('env Parameter'!$B:$B=$K987)*('env Parameter'!$C:$C=$L987),'env Parameter'!H:H,""),"")</f>
        <v>생물상 조사</v>
      </c>
      <c r="C987" s="10" cm="1">
        <f t="array" ref="C987">IFERROR(_xlfn.XLOOKUP(1,('env Parameter'!$A:$A=$A987)*('env Parameter'!$B:$B=$K987)*('env Parameter'!$C:$C=$L987),'env Parameter'!E:E,""),"")</f>
        <v>2.14</v>
      </c>
      <c r="D987" s="10" cm="1">
        <f t="array" ref="D987">IFERROR(_xlfn.XLOOKUP(1,('env Parameter'!$A:$A=$A987)*('env Parameter'!$B:$B=$K987)*('env Parameter'!$C:$C=$L987),'env Parameter'!F:F,""),"")</f>
        <v>478</v>
      </c>
      <c r="E987" s="10" cm="1">
        <f t="array" ref="E987">IFERROR(_xlfn.XLOOKUP(1,('env Parameter'!$A:$A=$A987)*('env Parameter'!$B:$B=$K987)*('env Parameter'!$C:$C=$L987),'env Parameter'!G:G,""),"")</f>
        <v>7.6</v>
      </c>
      <c r="F987" t="str">
        <f>eDNA!F987</f>
        <v>MiFish</v>
      </c>
      <c r="G987" t="str">
        <f>eDNA!D987</f>
        <v>Pseudorasbora parva</v>
      </c>
      <c r="H987" t="str">
        <f>_xlfn.XLOOKUP(G987,'Common name (master file)'!$B:$B,'Common name (master file)'!$A:$A,"-------------")</f>
        <v>참붕어</v>
      </c>
      <c r="I987">
        <f>eDNA!E987</f>
        <v>44759</v>
      </c>
      <c r="J987" t="str">
        <f>_xlfn.XLOOKUP(G987,'Common name (master file)'!$B:$B,'Common name (master file)'!$C:$C,"")</f>
        <v>어류</v>
      </c>
      <c r="K987">
        <f>eDNA!B987</f>
        <v>126.94555939999999</v>
      </c>
      <c r="L987">
        <f>eDNA!C987</f>
        <v>37.373177800000001</v>
      </c>
      <c r="M987" s="10" t="str" cm="1">
        <f t="array" ref="M987">IFERROR(_xlfn.XLOOKUP(1,('env Parameter'!$A:$A=$A987)*('env Parameter'!$B:$B=$K987)*('env Parameter'!$C:$C=$L987),'env Parameter'!D:D,""),"")</f>
        <v>안양천-3</v>
      </c>
      <c r="N987" s="10" t="str" cm="1">
        <f t="array" ref="N987">IFERROR(_xlfn.XLOOKUP(1,('env Parameter'!$A:$A=$A987)*('env Parameter'!$B:$B=$K987)*('env Parameter'!$C:$C=$L987),'env Parameter'!I:I,""),"")</f>
        <v>YR</v>
      </c>
    </row>
    <row r="988" spans="1:14">
      <c r="A988">
        <f>eDNA!A988</f>
        <v>20201024</v>
      </c>
      <c r="B988" s="10" t="str" cm="1">
        <f t="array" ref="B988">IFERROR(_xlfn.XLOOKUP(1,('env Parameter'!$A:$A=$A988)*('env Parameter'!$B:$B=$K988)*('env Parameter'!$C:$C=$L988),'env Parameter'!H:H,""),"")</f>
        <v>생물상 조사</v>
      </c>
      <c r="C988" s="10" cm="1">
        <f t="array" ref="C988">IFERROR(_xlfn.XLOOKUP(1,('env Parameter'!$A:$A=$A988)*('env Parameter'!$B:$B=$K988)*('env Parameter'!$C:$C=$L988),'env Parameter'!E:E,""),"")</f>
        <v>2.14</v>
      </c>
      <c r="D988" s="10" cm="1">
        <f t="array" ref="D988">IFERROR(_xlfn.XLOOKUP(1,('env Parameter'!$A:$A=$A988)*('env Parameter'!$B:$B=$K988)*('env Parameter'!$C:$C=$L988),'env Parameter'!F:F,""),"")</f>
        <v>478</v>
      </c>
      <c r="E988" s="10" cm="1">
        <f t="array" ref="E988">IFERROR(_xlfn.XLOOKUP(1,('env Parameter'!$A:$A=$A988)*('env Parameter'!$B:$B=$K988)*('env Parameter'!$C:$C=$L988),'env Parameter'!G:G,""),"")</f>
        <v>7.6</v>
      </c>
      <c r="F988" t="str">
        <f>eDNA!F988</f>
        <v>MiFish</v>
      </c>
      <c r="G988" t="str">
        <f>eDNA!D988</f>
        <v>Pseudogobio esocinus</v>
      </c>
      <c r="H988" t="str">
        <f>_xlfn.XLOOKUP(G988,'Common name (master file)'!$B:$B,'Common name (master file)'!$A:$A,"-------------")</f>
        <v>모래무지</v>
      </c>
      <c r="I988">
        <f>eDNA!E988</f>
        <v>17</v>
      </c>
      <c r="J988" t="str">
        <f>_xlfn.XLOOKUP(G988,'Common name (master file)'!$B:$B,'Common name (master file)'!$C:$C,"")</f>
        <v>어류</v>
      </c>
      <c r="K988">
        <f>eDNA!B988</f>
        <v>126.91482120000001</v>
      </c>
      <c r="L988">
        <f>eDNA!C988</f>
        <v>37.409803799999999</v>
      </c>
      <c r="M988" s="10" t="str" cm="1">
        <f t="array" ref="M988">IFERROR(_xlfn.XLOOKUP(1,('env Parameter'!$A:$A=$A988)*('env Parameter'!$B:$B=$K988)*('env Parameter'!$C:$C=$L988),'env Parameter'!D:D,""),"")</f>
        <v>안양천-5</v>
      </c>
      <c r="N988" s="10" t="str" cm="1">
        <f t="array" ref="N988">IFERROR(_xlfn.XLOOKUP(1,('env Parameter'!$A:$A=$A988)*('env Parameter'!$B:$B=$K988)*('env Parameter'!$C:$C=$L988),'env Parameter'!I:I,""),"")</f>
        <v>YR</v>
      </c>
    </row>
    <row r="989" spans="1:14">
      <c r="A989">
        <f>eDNA!A989</f>
        <v>20201024</v>
      </c>
      <c r="B989" s="10" t="str" cm="1">
        <f t="array" ref="B989">IFERROR(_xlfn.XLOOKUP(1,('env Parameter'!$A:$A=$A989)*('env Parameter'!$B:$B=$K989)*('env Parameter'!$C:$C=$L989),'env Parameter'!H:H,""),"")</f>
        <v>생물상 조사</v>
      </c>
      <c r="C989" s="10" cm="1">
        <f t="array" ref="C989">IFERROR(_xlfn.XLOOKUP(1,('env Parameter'!$A:$A=$A989)*('env Parameter'!$B:$B=$K989)*('env Parameter'!$C:$C=$L989),'env Parameter'!E:E,""),"")</f>
        <v>2.14</v>
      </c>
      <c r="D989" s="10" cm="1">
        <f t="array" ref="D989">IFERROR(_xlfn.XLOOKUP(1,('env Parameter'!$A:$A=$A989)*('env Parameter'!$B:$B=$K989)*('env Parameter'!$C:$C=$L989),'env Parameter'!F:F,""),"")</f>
        <v>478</v>
      </c>
      <c r="E989" s="10" cm="1">
        <f t="array" ref="E989">IFERROR(_xlfn.XLOOKUP(1,('env Parameter'!$A:$A=$A989)*('env Parameter'!$B:$B=$K989)*('env Parameter'!$C:$C=$L989),'env Parameter'!G:G,""),"")</f>
        <v>7.6</v>
      </c>
      <c r="F989" t="str">
        <f>eDNA!F989</f>
        <v>MiFish</v>
      </c>
      <c r="G989" t="str">
        <f>eDNA!D989</f>
        <v>Carassius auratus</v>
      </c>
      <c r="H989" t="str">
        <f>_xlfn.XLOOKUP(G989,'Common name (master file)'!$B:$B,'Common name (master file)'!$A:$A,"-------------")</f>
        <v>붕어</v>
      </c>
      <c r="I989">
        <f>eDNA!E989</f>
        <v>29</v>
      </c>
      <c r="J989" t="str">
        <f>_xlfn.XLOOKUP(G989,'Common name (master file)'!$B:$B,'Common name (master file)'!$C:$C,"")</f>
        <v>어류</v>
      </c>
      <c r="K989">
        <f>eDNA!B989</f>
        <v>126.93147879999999</v>
      </c>
      <c r="L989">
        <f>eDNA!C989</f>
        <v>37.397387999999999</v>
      </c>
      <c r="M989" s="10" t="str" cm="1">
        <f t="array" ref="M989">IFERROR(_xlfn.XLOOKUP(1,('env Parameter'!$A:$A=$A989)*('env Parameter'!$B:$B=$K989)*('env Parameter'!$C:$C=$L989),'env Parameter'!D:D,""),"")</f>
        <v>안양천-4</v>
      </c>
      <c r="N989" s="10" t="str" cm="1">
        <f t="array" ref="N989">IFERROR(_xlfn.XLOOKUP(1,('env Parameter'!$A:$A=$A989)*('env Parameter'!$B:$B=$K989)*('env Parameter'!$C:$C=$L989),'env Parameter'!I:I,""),"")</f>
        <v>YR</v>
      </c>
    </row>
    <row r="990" spans="1:14">
      <c r="A990">
        <f>eDNA!A990</f>
        <v>20201024</v>
      </c>
      <c r="B990" s="10" t="str" cm="1">
        <f t="array" ref="B990">IFERROR(_xlfn.XLOOKUP(1,('env Parameter'!$A:$A=$A990)*('env Parameter'!$B:$B=$K990)*('env Parameter'!$C:$C=$L990),'env Parameter'!H:H,""),"")</f>
        <v>생물상 조사</v>
      </c>
      <c r="C990" s="10" cm="1">
        <f t="array" ref="C990">IFERROR(_xlfn.XLOOKUP(1,('env Parameter'!$A:$A=$A990)*('env Parameter'!$B:$B=$K990)*('env Parameter'!$C:$C=$L990),'env Parameter'!E:E,""),"")</f>
        <v>2.14</v>
      </c>
      <c r="D990" s="10" cm="1">
        <f t="array" ref="D990">IFERROR(_xlfn.XLOOKUP(1,('env Parameter'!$A:$A=$A990)*('env Parameter'!$B:$B=$K990)*('env Parameter'!$C:$C=$L990),'env Parameter'!F:F,""),"")</f>
        <v>478</v>
      </c>
      <c r="E990" s="10" cm="1">
        <f t="array" ref="E990">IFERROR(_xlfn.XLOOKUP(1,('env Parameter'!$A:$A=$A990)*('env Parameter'!$B:$B=$K990)*('env Parameter'!$C:$C=$L990),'env Parameter'!G:G,""),"")</f>
        <v>7.6</v>
      </c>
      <c r="F990" t="str">
        <f>eDNA!F990</f>
        <v>MiFish</v>
      </c>
      <c r="G990" t="str">
        <f>eDNA!D990</f>
        <v>Gnathopogon polytaenia</v>
      </c>
      <c r="H990" t="str">
        <f>_xlfn.XLOOKUP(G990,'Common name (master file)'!$B:$B,'Common name (master file)'!$A:$A,"-------------")</f>
        <v>폴리테니아 줄몰개</v>
      </c>
      <c r="I990">
        <f>eDNA!E990</f>
        <v>49</v>
      </c>
      <c r="J990" t="str">
        <f>_xlfn.XLOOKUP(G990,'Common name (master file)'!$B:$B,'Common name (master file)'!$C:$C,"")</f>
        <v>어류</v>
      </c>
      <c r="K990">
        <f>eDNA!B990</f>
        <v>126.93147879999999</v>
      </c>
      <c r="L990">
        <f>eDNA!C990</f>
        <v>37.397387999999999</v>
      </c>
      <c r="M990" s="10" t="str" cm="1">
        <f t="array" ref="M990">IFERROR(_xlfn.XLOOKUP(1,('env Parameter'!$A:$A=$A990)*('env Parameter'!$B:$B=$K990)*('env Parameter'!$C:$C=$L990),'env Parameter'!D:D,""),"")</f>
        <v>안양천-4</v>
      </c>
      <c r="N990" s="10" t="str" cm="1">
        <f t="array" ref="N990">IFERROR(_xlfn.XLOOKUP(1,('env Parameter'!$A:$A=$A990)*('env Parameter'!$B:$B=$K990)*('env Parameter'!$C:$C=$L990),'env Parameter'!I:I,""),"")</f>
        <v>YR</v>
      </c>
    </row>
    <row r="991" spans="1:14">
      <c r="A991">
        <f>eDNA!A991</f>
        <v>20201024</v>
      </c>
      <c r="B991" s="10" t="str" cm="1">
        <f t="array" ref="B991">IFERROR(_xlfn.XLOOKUP(1,('env Parameter'!$A:$A=$A991)*('env Parameter'!$B:$B=$K991)*('env Parameter'!$C:$C=$L991),'env Parameter'!H:H,""),"")</f>
        <v>생물상 조사</v>
      </c>
      <c r="C991" s="10" cm="1">
        <f t="array" ref="C991">IFERROR(_xlfn.XLOOKUP(1,('env Parameter'!$A:$A=$A991)*('env Parameter'!$B:$B=$K991)*('env Parameter'!$C:$C=$L991),'env Parameter'!E:E,""),"")</f>
        <v>2.14</v>
      </c>
      <c r="D991" s="10" cm="1">
        <f t="array" ref="D991">IFERROR(_xlfn.XLOOKUP(1,('env Parameter'!$A:$A=$A991)*('env Parameter'!$B:$B=$K991)*('env Parameter'!$C:$C=$L991),'env Parameter'!F:F,""),"")</f>
        <v>478</v>
      </c>
      <c r="E991" s="10" cm="1">
        <f t="array" ref="E991">IFERROR(_xlfn.XLOOKUP(1,('env Parameter'!$A:$A=$A991)*('env Parameter'!$B:$B=$K991)*('env Parameter'!$C:$C=$L991),'env Parameter'!G:G,""),"")</f>
        <v>7.6</v>
      </c>
      <c r="F991" t="str">
        <f>eDNA!F991</f>
        <v>MiFish</v>
      </c>
      <c r="G991" t="str">
        <f>eDNA!D991</f>
        <v>Rattus norvegicus</v>
      </c>
      <c r="H991" t="str">
        <f>_xlfn.XLOOKUP(G991,'Common name (master file)'!$B:$B,'Common name (master file)'!$A:$A,"-------------")</f>
        <v>시궁쥐</v>
      </c>
      <c r="I991">
        <f>eDNA!E991</f>
        <v>44</v>
      </c>
      <c r="J991" t="str">
        <f>_xlfn.XLOOKUP(G991,'Common name (master file)'!$B:$B,'Common name (master file)'!$C:$C,"")</f>
        <v>포유류</v>
      </c>
      <c r="K991">
        <f>eDNA!B991</f>
        <v>126.93147879999999</v>
      </c>
      <c r="L991">
        <f>eDNA!C991</f>
        <v>37.397387999999999</v>
      </c>
      <c r="M991" s="10" t="str" cm="1">
        <f t="array" ref="M991">IFERROR(_xlfn.XLOOKUP(1,('env Parameter'!$A:$A=$A991)*('env Parameter'!$B:$B=$K991)*('env Parameter'!$C:$C=$L991),'env Parameter'!D:D,""),"")</f>
        <v>안양천-4</v>
      </c>
      <c r="N991" s="10" t="str" cm="1">
        <f t="array" ref="N991">IFERROR(_xlfn.XLOOKUP(1,('env Parameter'!$A:$A=$A991)*('env Parameter'!$B:$B=$K991)*('env Parameter'!$C:$C=$L991),'env Parameter'!I:I,""),"")</f>
        <v>YR</v>
      </c>
    </row>
    <row r="992" spans="1:14">
      <c r="A992">
        <f>eDNA!A992</f>
        <v>20201024</v>
      </c>
      <c r="B992" s="10" t="str" cm="1">
        <f t="array" ref="B992">IFERROR(_xlfn.XLOOKUP(1,('env Parameter'!$A:$A=$A992)*('env Parameter'!$B:$B=$K992)*('env Parameter'!$C:$C=$L992),'env Parameter'!H:H,""),"")</f>
        <v>생물상 조사</v>
      </c>
      <c r="C992" s="10" cm="1">
        <f t="array" ref="C992">IFERROR(_xlfn.XLOOKUP(1,('env Parameter'!$A:$A=$A992)*('env Parameter'!$B:$B=$K992)*('env Parameter'!$C:$C=$L992),'env Parameter'!E:E,""),"")</f>
        <v>2.14</v>
      </c>
      <c r="D992" s="10" cm="1">
        <f t="array" ref="D992">IFERROR(_xlfn.XLOOKUP(1,('env Parameter'!$A:$A=$A992)*('env Parameter'!$B:$B=$K992)*('env Parameter'!$C:$C=$L992),'env Parameter'!F:F,""),"")</f>
        <v>478</v>
      </c>
      <c r="E992" s="10" cm="1">
        <f t="array" ref="E992">IFERROR(_xlfn.XLOOKUP(1,('env Parameter'!$A:$A=$A992)*('env Parameter'!$B:$B=$K992)*('env Parameter'!$C:$C=$L992),'env Parameter'!G:G,""),"")</f>
        <v>7.6</v>
      </c>
      <c r="F992" t="str">
        <f>eDNA!F992</f>
        <v>MiFish</v>
      </c>
      <c r="G992" t="str">
        <f>eDNA!D992</f>
        <v>Tadorna tadorna</v>
      </c>
      <c r="H992" t="str">
        <f>_xlfn.XLOOKUP(G992,'Common name (master file)'!$B:$B,'Common name (master file)'!$A:$A,"-------------")</f>
        <v>혹부리오리</v>
      </c>
      <c r="I992">
        <f>eDNA!E992</f>
        <v>47</v>
      </c>
      <c r="J992" t="str">
        <f>_xlfn.XLOOKUP(G992,'Common name (master file)'!$B:$B,'Common name (master file)'!$C:$C,"")</f>
        <v>조류</v>
      </c>
      <c r="K992">
        <f>eDNA!B992</f>
        <v>126.93147879999999</v>
      </c>
      <c r="L992">
        <f>eDNA!C992</f>
        <v>37.397387999999999</v>
      </c>
      <c r="M992" s="10" t="str" cm="1">
        <f t="array" ref="M992">IFERROR(_xlfn.XLOOKUP(1,('env Parameter'!$A:$A=$A992)*('env Parameter'!$B:$B=$K992)*('env Parameter'!$C:$C=$L992),'env Parameter'!D:D,""),"")</f>
        <v>안양천-4</v>
      </c>
      <c r="N992" s="10" t="str" cm="1">
        <f t="array" ref="N992">IFERROR(_xlfn.XLOOKUP(1,('env Parameter'!$A:$A=$A992)*('env Parameter'!$B:$B=$K992)*('env Parameter'!$C:$C=$L992),'env Parameter'!I:I,""),"")</f>
        <v>YR</v>
      </c>
    </row>
    <row r="993" spans="1:14">
      <c r="A993">
        <f>eDNA!A993</f>
        <v>20201024</v>
      </c>
      <c r="B993" s="10" t="str" cm="1">
        <f t="array" ref="B993">IFERROR(_xlfn.XLOOKUP(1,('env Parameter'!$A:$A=$A993)*('env Parameter'!$B:$B=$K993)*('env Parameter'!$C:$C=$L993),'env Parameter'!H:H,""),"")</f>
        <v>생물상 조사</v>
      </c>
      <c r="C993" s="10" cm="1">
        <f t="array" ref="C993">IFERROR(_xlfn.XLOOKUP(1,('env Parameter'!$A:$A=$A993)*('env Parameter'!$B:$B=$K993)*('env Parameter'!$C:$C=$L993),'env Parameter'!E:E,""),"")</f>
        <v>2.14</v>
      </c>
      <c r="D993" s="10" cm="1">
        <f t="array" ref="D993">IFERROR(_xlfn.XLOOKUP(1,('env Parameter'!$A:$A=$A993)*('env Parameter'!$B:$B=$K993)*('env Parameter'!$C:$C=$L993),'env Parameter'!F:F,""),"")</f>
        <v>478</v>
      </c>
      <c r="E993" s="10" cm="1">
        <f t="array" ref="E993">IFERROR(_xlfn.XLOOKUP(1,('env Parameter'!$A:$A=$A993)*('env Parameter'!$B:$B=$K993)*('env Parameter'!$C:$C=$L993),'env Parameter'!G:G,""),"")</f>
        <v>7.6</v>
      </c>
      <c r="F993" t="str">
        <f>eDNA!F993</f>
        <v>MiFish</v>
      </c>
      <c r="G993" t="str">
        <f>eDNA!D993</f>
        <v>Hemibarbus sp.</v>
      </c>
      <c r="H993" t="str">
        <f>_xlfn.XLOOKUP(G993,'Common name (master file)'!$B:$B,'Common name (master file)'!$A:$A,"-------------")</f>
        <v>누치 속</v>
      </c>
      <c r="I993">
        <f>eDNA!E993</f>
        <v>337</v>
      </c>
      <c r="J993" t="str">
        <f>_xlfn.XLOOKUP(G993,'Common name (master file)'!$B:$B,'Common name (master file)'!$C:$C,"")</f>
        <v>어류</v>
      </c>
      <c r="K993">
        <f>eDNA!B993</f>
        <v>126.93147879999999</v>
      </c>
      <c r="L993">
        <f>eDNA!C993</f>
        <v>37.397387999999999</v>
      </c>
      <c r="M993" s="10" t="str" cm="1">
        <f t="array" ref="M993">IFERROR(_xlfn.XLOOKUP(1,('env Parameter'!$A:$A=$A993)*('env Parameter'!$B:$B=$K993)*('env Parameter'!$C:$C=$L993),'env Parameter'!D:D,""),"")</f>
        <v>안양천-4</v>
      </c>
      <c r="N993" s="10" t="str" cm="1">
        <f t="array" ref="N993">IFERROR(_xlfn.XLOOKUP(1,('env Parameter'!$A:$A=$A993)*('env Parameter'!$B:$B=$K993)*('env Parameter'!$C:$C=$L993),'env Parameter'!I:I,""),"")</f>
        <v>YR</v>
      </c>
    </row>
    <row r="994" spans="1:14">
      <c r="A994">
        <f>eDNA!A994</f>
        <v>20201024</v>
      </c>
      <c r="B994" s="10" t="str" cm="1">
        <f t="array" ref="B994">IFERROR(_xlfn.XLOOKUP(1,('env Parameter'!$A:$A=$A994)*('env Parameter'!$B:$B=$K994)*('env Parameter'!$C:$C=$L994),'env Parameter'!H:H,""),"")</f>
        <v>생물상 조사</v>
      </c>
      <c r="C994" s="10" cm="1">
        <f t="array" ref="C994">IFERROR(_xlfn.XLOOKUP(1,('env Parameter'!$A:$A=$A994)*('env Parameter'!$B:$B=$K994)*('env Parameter'!$C:$C=$L994),'env Parameter'!E:E,""),"")</f>
        <v>2.14</v>
      </c>
      <c r="D994" s="10" cm="1">
        <f t="array" ref="D994">IFERROR(_xlfn.XLOOKUP(1,('env Parameter'!$A:$A=$A994)*('env Parameter'!$B:$B=$K994)*('env Parameter'!$C:$C=$L994),'env Parameter'!F:F,""),"")</f>
        <v>478</v>
      </c>
      <c r="E994" s="10" cm="1">
        <f t="array" ref="E994">IFERROR(_xlfn.XLOOKUP(1,('env Parameter'!$A:$A=$A994)*('env Parameter'!$B:$B=$K994)*('env Parameter'!$C:$C=$L994),'env Parameter'!G:G,""),"")</f>
        <v>7.6</v>
      </c>
      <c r="F994" t="str">
        <f>eDNA!F994</f>
        <v>MiFish</v>
      </c>
      <c r="G994" t="str">
        <f>eDNA!D994</f>
        <v>Homo sapiens</v>
      </c>
      <c r="H994" t="str">
        <f>_xlfn.XLOOKUP(G994,'Common name (master file)'!$B:$B,'Common name (master file)'!$A:$A,"-------------")</f>
        <v>사람</v>
      </c>
      <c r="I994">
        <f>eDNA!E994</f>
        <v>209</v>
      </c>
      <c r="J994" t="str">
        <f>_xlfn.XLOOKUP(G994,'Common name (master file)'!$B:$B,'Common name (master file)'!$C:$C,"")</f>
        <v>포유류</v>
      </c>
      <c r="K994">
        <f>eDNA!B994</f>
        <v>126.93147879999999</v>
      </c>
      <c r="L994">
        <f>eDNA!C994</f>
        <v>37.397387999999999</v>
      </c>
      <c r="M994" s="10" t="str" cm="1">
        <f t="array" ref="M994">IFERROR(_xlfn.XLOOKUP(1,('env Parameter'!$A:$A=$A994)*('env Parameter'!$B:$B=$K994)*('env Parameter'!$C:$C=$L994),'env Parameter'!D:D,""),"")</f>
        <v>안양천-4</v>
      </c>
      <c r="N994" s="10" t="str" cm="1">
        <f t="array" ref="N994">IFERROR(_xlfn.XLOOKUP(1,('env Parameter'!$A:$A=$A994)*('env Parameter'!$B:$B=$K994)*('env Parameter'!$C:$C=$L994),'env Parameter'!I:I,""),"")</f>
        <v>YR</v>
      </c>
    </row>
    <row r="995" spans="1:14">
      <c r="A995">
        <f>eDNA!A995</f>
        <v>20201024</v>
      </c>
      <c r="B995" s="10" t="str" cm="1">
        <f t="array" ref="B995">IFERROR(_xlfn.XLOOKUP(1,('env Parameter'!$A:$A=$A995)*('env Parameter'!$B:$B=$K995)*('env Parameter'!$C:$C=$L995),'env Parameter'!H:H,""),"")</f>
        <v>생물상 조사</v>
      </c>
      <c r="C995" s="10" cm="1">
        <f t="array" ref="C995">IFERROR(_xlfn.XLOOKUP(1,('env Parameter'!$A:$A=$A995)*('env Parameter'!$B:$B=$K995)*('env Parameter'!$C:$C=$L995),'env Parameter'!E:E,""),"")</f>
        <v>2.14</v>
      </c>
      <c r="D995" s="10" cm="1">
        <f t="array" ref="D995">IFERROR(_xlfn.XLOOKUP(1,('env Parameter'!$A:$A=$A995)*('env Parameter'!$B:$B=$K995)*('env Parameter'!$C:$C=$L995),'env Parameter'!F:F,""),"")</f>
        <v>478</v>
      </c>
      <c r="E995" s="10" cm="1">
        <f t="array" ref="E995">IFERROR(_xlfn.XLOOKUP(1,('env Parameter'!$A:$A=$A995)*('env Parameter'!$B:$B=$K995)*('env Parameter'!$C:$C=$L995),'env Parameter'!G:G,""),"")</f>
        <v>7.6</v>
      </c>
      <c r="F995" t="str">
        <f>eDNA!F995</f>
        <v>MiFish</v>
      </c>
      <c r="G995" t="str">
        <f>eDNA!D995</f>
        <v>Rhynchocypris oxycephalus</v>
      </c>
      <c r="H995" t="str">
        <f>_xlfn.XLOOKUP(G995,'Common name (master file)'!$B:$B,'Common name (master file)'!$A:$A,"-------------")</f>
        <v>버들치</v>
      </c>
      <c r="I995">
        <f>eDNA!E995</f>
        <v>223</v>
      </c>
      <c r="J995" t="str">
        <f>_xlfn.XLOOKUP(G995,'Common name (master file)'!$B:$B,'Common name (master file)'!$C:$C,"")</f>
        <v>어류</v>
      </c>
      <c r="K995">
        <f>eDNA!B995</f>
        <v>126.93147879999999</v>
      </c>
      <c r="L995">
        <f>eDNA!C995</f>
        <v>37.397387999999999</v>
      </c>
      <c r="M995" s="10" t="str" cm="1">
        <f t="array" ref="M995">IFERROR(_xlfn.XLOOKUP(1,('env Parameter'!$A:$A=$A995)*('env Parameter'!$B:$B=$K995)*('env Parameter'!$C:$C=$L995),'env Parameter'!D:D,""),"")</f>
        <v>안양천-4</v>
      </c>
      <c r="N995" s="10" t="str" cm="1">
        <f t="array" ref="N995">IFERROR(_xlfn.XLOOKUP(1,('env Parameter'!$A:$A=$A995)*('env Parameter'!$B:$B=$K995)*('env Parameter'!$C:$C=$L995),'env Parameter'!I:I,""),"")</f>
        <v>YR</v>
      </c>
    </row>
    <row r="996" spans="1:14">
      <c r="A996">
        <f>eDNA!A996</f>
        <v>20201024</v>
      </c>
      <c r="B996" s="10" t="str" cm="1">
        <f t="array" ref="B996">IFERROR(_xlfn.XLOOKUP(1,('env Parameter'!$A:$A=$A996)*('env Parameter'!$B:$B=$K996)*('env Parameter'!$C:$C=$L996),'env Parameter'!H:H,""),"")</f>
        <v>생물상 조사</v>
      </c>
      <c r="C996" s="10" cm="1">
        <f t="array" ref="C996">IFERROR(_xlfn.XLOOKUP(1,('env Parameter'!$A:$A=$A996)*('env Parameter'!$B:$B=$K996)*('env Parameter'!$C:$C=$L996),'env Parameter'!E:E,""),"")</f>
        <v>2.14</v>
      </c>
      <c r="D996" s="10" cm="1">
        <f t="array" ref="D996">IFERROR(_xlfn.XLOOKUP(1,('env Parameter'!$A:$A=$A996)*('env Parameter'!$B:$B=$K996)*('env Parameter'!$C:$C=$L996),'env Parameter'!F:F,""),"")</f>
        <v>478</v>
      </c>
      <c r="E996" s="10" cm="1">
        <f t="array" ref="E996">IFERROR(_xlfn.XLOOKUP(1,('env Parameter'!$A:$A=$A996)*('env Parameter'!$B:$B=$K996)*('env Parameter'!$C:$C=$L996),'env Parameter'!G:G,""),"")</f>
        <v>7.6</v>
      </c>
      <c r="F996" t="str">
        <f>eDNA!F996</f>
        <v>MiFish</v>
      </c>
      <c r="G996" t="str">
        <f>eDNA!D996</f>
        <v>Carassius sp.</v>
      </c>
      <c r="H996" t="str">
        <f>_xlfn.XLOOKUP(G996,'Common name (master file)'!$B:$B,'Common name (master file)'!$A:$A,"-------------")</f>
        <v>붕어 속</v>
      </c>
      <c r="I996">
        <f>eDNA!E996</f>
        <v>453</v>
      </c>
      <c r="J996" t="str">
        <f>_xlfn.XLOOKUP(G996,'Common name (master file)'!$B:$B,'Common name (master file)'!$C:$C,"")</f>
        <v>어류</v>
      </c>
      <c r="K996">
        <f>eDNA!B996</f>
        <v>126.93147879999999</v>
      </c>
      <c r="L996">
        <f>eDNA!C996</f>
        <v>37.397387999999999</v>
      </c>
      <c r="M996" s="10" t="str" cm="1">
        <f t="array" ref="M996">IFERROR(_xlfn.XLOOKUP(1,('env Parameter'!$A:$A=$A996)*('env Parameter'!$B:$B=$K996)*('env Parameter'!$C:$C=$L996),'env Parameter'!D:D,""),"")</f>
        <v>안양천-4</v>
      </c>
      <c r="N996" s="10" t="str" cm="1">
        <f t="array" ref="N996">IFERROR(_xlfn.XLOOKUP(1,('env Parameter'!$A:$A=$A996)*('env Parameter'!$B:$B=$K996)*('env Parameter'!$C:$C=$L996),'env Parameter'!I:I,""),"")</f>
        <v>YR</v>
      </c>
    </row>
    <row r="997" spans="1:14">
      <c r="A997">
        <f>eDNA!A997</f>
        <v>20201024</v>
      </c>
      <c r="B997" s="10" t="str" cm="1">
        <f t="array" ref="B997">IFERROR(_xlfn.XLOOKUP(1,('env Parameter'!$A:$A=$A997)*('env Parameter'!$B:$B=$K997)*('env Parameter'!$C:$C=$L997),'env Parameter'!H:H,""),"")</f>
        <v>생물상 조사</v>
      </c>
      <c r="C997" s="10" cm="1">
        <f t="array" ref="C997">IFERROR(_xlfn.XLOOKUP(1,('env Parameter'!$A:$A=$A997)*('env Parameter'!$B:$B=$K997)*('env Parameter'!$C:$C=$L997),'env Parameter'!E:E,""),"")</f>
        <v>2.14</v>
      </c>
      <c r="D997" s="10" cm="1">
        <f t="array" ref="D997">IFERROR(_xlfn.XLOOKUP(1,('env Parameter'!$A:$A=$A997)*('env Parameter'!$B:$B=$K997)*('env Parameter'!$C:$C=$L997),'env Parameter'!F:F,""),"")</f>
        <v>478</v>
      </c>
      <c r="E997" s="10" cm="1">
        <f t="array" ref="E997">IFERROR(_xlfn.XLOOKUP(1,('env Parameter'!$A:$A=$A997)*('env Parameter'!$B:$B=$K997)*('env Parameter'!$C:$C=$L997),'env Parameter'!G:G,""),"")</f>
        <v>7.6</v>
      </c>
      <c r="F997" t="str">
        <f>eDNA!F997</f>
        <v>MiFish</v>
      </c>
      <c r="G997" t="str">
        <f>eDNA!D997</f>
        <v>Misgurnus mizolepis</v>
      </c>
      <c r="H997" t="str">
        <f>_xlfn.XLOOKUP(G997,'Common name (master file)'!$B:$B,'Common name (master file)'!$A:$A,"-------------")</f>
        <v>미꾸라지</v>
      </c>
      <c r="I997">
        <f>eDNA!E997</f>
        <v>723</v>
      </c>
      <c r="J997" t="str">
        <f>_xlfn.XLOOKUP(G997,'Common name (master file)'!$B:$B,'Common name (master file)'!$C:$C,"")</f>
        <v>어류</v>
      </c>
      <c r="K997">
        <f>eDNA!B997</f>
        <v>126.93147879999999</v>
      </c>
      <c r="L997">
        <f>eDNA!C997</f>
        <v>37.397387999999999</v>
      </c>
      <c r="M997" s="10" t="str" cm="1">
        <f t="array" ref="M997">IFERROR(_xlfn.XLOOKUP(1,('env Parameter'!$A:$A=$A997)*('env Parameter'!$B:$B=$K997)*('env Parameter'!$C:$C=$L997),'env Parameter'!D:D,""),"")</f>
        <v>안양천-4</v>
      </c>
      <c r="N997" s="10" t="str" cm="1">
        <f t="array" ref="N997">IFERROR(_xlfn.XLOOKUP(1,('env Parameter'!$A:$A=$A997)*('env Parameter'!$B:$B=$K997)*('env Parameter'!$C:$C=$L997),'env Parameter'!I:I,""),"")</f>
        <v>YR</v>
      </c>
    </row>
    <row r="998" spans="1:14">
      <c r="A998">
        <f>eDNA!A998</f>
        <v>20201024</v>
      </c>
      <c r="B998" s="10" t="str" cm="1">
        <f t="array" ref="B998">IFERROR(_xlfn.XLOOKUP(1,('env Parameter'!$A:$A=$A998)*('env Parameter'!$B:$B=$K998)*('env Parameter'!$C:$C=$L998),'env Parameter'!H:H,""),"")</f>
        <v>생물상 조사</v>
      </c>
      <c r="C998" s="10" cm="1">
        <f t="array" ref="C998">IFERROR(_xlfn.XLOOKUP(1,('env Parameter'!$A:$A=$A998)*('env Parameter'!$B:$B=$K998)*('env Parameter'!$C:$C=$L998),'env Parameter'!E:E,""),"")</f>
        <v>2.14</v>
      </c>
      <c r="D998" s="10" cm="1">
        <f t="array" ref="D998">IFERROR(_xlfn.XLOOKUP(1,('env Parameter'!$A:$A=$A998)*('env Parameter'!$B:$B=$K998)*('env Parameter'!$C:$C=$L998),'env Parameter'!F:F,""),"")</f>
        <v>478</v>
      </c>
      <c r="E998" s="10" cm="1">
        <f t="array" ref="E998">IFERROR(_xlfn.XLOOKUP(1,('env Parameter'!$A:$A=$A998)*('env Parameter'!$B:$B=$K998)*('env Parameter'!$C:$C=$L998),'env Parameter'!G:G,""),"")</f>
        <v>7.6</v>
      </c>
      <c r="F998" t="str">
        <f>eDNA!F998</f>
        <v>MiFish</v>
      </c>
      <c r="G998" t="str">
        <f>eDNA!D998</f>
        <v>Sus scrofa</v>
      </c>
      <c r="H998" t="str">
        <f>_xlfn.XLOOKUP(G998,'Common name (master file)'!$B:$B,'Common name (master file)'!$A:$A,"-------------")</f>
        <v>멧돼지</v>
      </c>
      <c r="I998">
        <f>eDNA!E998</f>
        <v>1896</v>
      </c>
      <c r="J998" t="str">
        <f>_xlfn.XLOOKUP(G998,'Common name (master file)'!$B:$B,'Common name (master file)'!$C:$C,"")</f>
        <v>포유류</v>
      </c>
      <c r="K998">
        <f>eDNA!B998</f>
        <v>126.93147879999999</v>
      </c>
      <c r="L998">
        <f>eDNA!C998</f>
        <v>37.397387999999999</v>
      </c>
      <c r="M998" s="10" t="str" cm="1">
        <f t="array" ref="M998">IFERROR(_xlfn.XLOOKUP(1,('env Parameter'!$A:$A=$A998)*('env Parameter'!$B:$B=$K998)*('env Parameter'!$C:$C=$L998),'env Parameter'!D:D,""),"")</f>
        <v>안양천-4</v>
      </c>
      <c r="N998" s="10" t="str" cm="1">
        <f t="array" ref="N998">IFERROR(_xlfn.XLOOKUP(1,('env Parameter'!$A:$A=$A998)*('env Parameter'!$B:$B=$K998)*('env Parameter'!$C:$C=$L998),'env Parameter'!I:I,""),"")</f>
        <v>YR</v>
      </c>
    </row>
    <row r="999" spans="1:14">
      <c r="A999">
        <f>eDNA!A999</f>
        <v>20201024</v>
      </c>
      <c r="B999" s="10" t="str" cm="1">
        <f t="array" ref="B999">IFERROR(_xlfn.XLOOKUP(1,('env Parameter'!$A:$A=$A999)*('env Parameter'!$B:$B=$K999)*('env Parameter'!$C:$C=$L999),'env Parameter'!H:H,""),"")</f>
        <v>생물상 조사</v>
      </c>
      <c r="C999" s="10" cm="1">
        <f t="array" ref="C999">IFERROR(_xlfn.XLOOKUP(1,('env Parameter'!$A:$A=$A999)*('env Parameter'!$B:$B=$K999)*('env Parameter'!$C:$C=$L999),'env Parameter'!E:E,""),"")</f>
        <v>2.14</v>
      </c>
      <c r="D999" s="10" cm="1">
        <f t="array" ref="D999">IFERROR(_xlfn.XLOOKUP(1,('env Parameter'!$A:$A=$A999)*('env Parameter'!$B:$B=$K999)*('env Parameter'!$C:$C=$L999),'env Parameter'!F:F,""),"")</f>
        <v>478</v>
      </c>
      <c r="E999" s="10" cm="1">
        <f t="array" ref="E999">IFERROR(_xlfn.XLOOKUP(1,('env Parameter'!$A:$A=$A999)*('env Parameter'!$B:$B=$K999)*('env Parameter'!$C:$C=$L999),'env Parameter'!G:G,""),"")</f>
        <v>7.6</v>
      </c>
      <c r="F999" t="str">
        <f>eDNA!F999</f>
        <v>MiFish</v>
      </c>
      <c r="G999" t="str">
        <f>eDNA!D999</f>
        <v>Gymnogobius urotaenia</v>
      </c>
      <c r="H999" t="str">
        <f>_xlfn.XLOOKUP(G999,'Common name (master file)'!$B:$B,'Common name (master file)'!$A:$A,"-------------")</f>
        <v>꾹저구</v>
      </c>
      <c r="I999">
        <f>eDNA!E999</f>
        <v>840</v>
      </c>
      <c r="J999" t="str">
        <f>_xlfn.XLOOKUP(G999,'Common name (master file)'!$B:$B,'Common name (master file)'!$C:$C,"")</f>
        <v>어류</v>
      </c>
      <c r="K999">
        <f>eDNA!B999</f>
        <v>126.93147879999999</v>
      </c>
      <c r="L999">
        <f>eDNA!C999</f>
        <v>37.397387999999999</v>
      </c>
      <c r="M999" s="10" t="str" cm="1">
        <f t="array" ref="M999">IFERROR(_xlfn.XLOOKUP(1,('env Parameter'!$A:$A=$A999)*('env Parameter'!$B:$B=$K999)*('env Parameter'!$C:$C=$L999),'env Parameter'!D:D,""),"")</f>
        <v>안양천-4</v>
      </c>
      <c r="N999" s="10" t="str" cm="1">
        <f t="array" ref="N999">IFERROR(_xlfn.XLOOKUP(1,('env Parameter'!$A:$A=$A999)*('env Parameter'!$B:$B=$K999)*('env Parameter'!$C:$C=$L999),'env Parameter'!I:I,""),"")</f>
        <v>YR</v>
      </c>
    </row>
    <row r="1000" spans="1:14">
      <c r="A1000">
        <f>eDNA!A1000</f>
        <v>20201024</v>
      </c>
      <c r="B1000" s="10" t="str" cm="1">
        <f t="array" ref="B1000">IFERROR(_xlfn.XLOOKUP(1,('env Parameter'!$A:$A=$A1000)*('env Parameter'!$B:$B=$K1000)*('env Parameter'!$C:$C=$L1000),'env Parameter'!H:H,""),"")</f>
        <v>생물상 조사</v>
      </c>
      <c r="C1000" s="10" cm="1">
        <f t="array" ref="C1000">IFERROR(_xlfn.XLOOKUP(1,('env Parameter'!$A:$A=$A1000)*('env Parameter'!$B:$B=$K1000)*('env Parameter'!$C:$C=$L1000),'env Parameter'!E:E,""),"")</f>
        <v>2.14</v>
      </c>
      <c r="D1000" s="10" cm="1">
        <f t="array" ref="D1000">IFERROR(_xlfn.XLOOKUP(1,('env Parameter'!$A:$A=$A1000)*('env Parameter'!$B:$B=$K1000)*('env Parameter'!$C:$C=$L1000),'env Parameter'!F:F,""),"")</f>
        <v>478</v>
      </c>
      <c r="E1000" s="10" cm="1">
        <f t="array" ref="E1000">IFERROR(_xlfn.XLOOKUP(1,('env Parameter'!$A:$A=$A1000)*('env Parameter'!$B:$B=$K1000)*('env Parameter'!$C:$C=$L1000),'env Parameter'!G:G,""),"")</f>
        <v>7.6</v>
      </c>
      <c r="F1000" t="str">
        <f>eDNA!F1000</f>
        <v>MiFish</v>
      </c>
      <c r="G1000" t="str">
        <f>eDNA!D1000</f>
        <v>Cyprinus carpio</v>
      </c>
      <c r="H1000" t="str">
        <f>_xlfn.XLOOKUP(G1000,'Common name (master file)'!$B:$B,'Common name (master file)'!$A:$A,"-------------")</f>
        <v>잉어</v>
      </c>
      <c r="I1000">
        <f>eDNA!E1000</f>
        <v>1115</v>
      </c>
      <c r="J1000" t="str">
        <f>_xlfn.XLOOKUP(G1000,'Common name (master file)'!$B:$B,'Common name (master file)'!$C:$C,"")</f>
        <v>어류</v>
      </c>
      <c r="K1000">
        <f>eDNA!B1000</f>
        <v>126.93147879999999</v>
      </c>
      <c r="L1000">
        <f>eDNA!C1000</f>
        <v>37.397387999999999</v>
      </c>
      <c r="M1000" s="10" t="str" cm="1">
        <f t="array" ref="M1000">IFERROR(_xlfn.XLOOKUP(1,('env Parameter'!$A:$A=$A1000)*('env Parameter'!$B:$B=$K1000)*('env Parameter'!$C:$C=$L1000),'env Parameter'!D:D,""),"")</f>
        <v>안양천-4</v>
      </c>
      <c r="N1000" s="10" t="str" cm="1">
        <f t="array" ref="N1000">IFERROR(_xlfn.XLOOKUP(1,('env Parameter'!$A:$A=$A1000)*('env Parameter'!$B:$B=$K1000)*('env Parameter'!$C:$C=$L1000),'env Parameter'!I:I,""),"")</f>
        <v>YR</v>
      </c>
    </row>
    <row r="1001" spans="1:14">
      <c r="A1001">
        <f>eDNA!A1001</f>
        <v>20201024</v>
      </c>
      <c r="B1001" s="10" t="str" cm="1">
        <f t="array" ref="B1001">IFERROR(_xlfn.XLOOKUP(1,('env Parameter'!$A:$A=$A1001)*('env Parameter'!$B:$B=$K1001)*('env Parameter'!$C:$C=$L1001),'env Parameter'!H:H,""),"")</f>
        <v>생물상 조사</v>
      </c>
      <c r="C1001" s="10" cm="1">
        <f t="array" ref="C1001">IFERROR(_xlfn.XLOOKUP(1,('env Parameter'!$A:$A=$A1001)*('env Parameter'!$B:$B=$K1001)*('env Parameter'!$C:$C=$L1001),'env Parameter'!E:E,""),"")</f>
        <v>2.14</v>
      </c>
      <c r="D1001" s="10" cm="1">
        <f t="array" ref="D1001">IFERROR(_xlfn.XLOOKUP(1,('env Parameter'!$A:$A=$A1001)*('env Parameter'!$B:$B=$K1001)*('env Parameter'!$C:$C=$L1001),'env Parameter'!F:F,""),"")</f>
        <v>478</v>
      </c>
      <c r="E1001" s="10" cm="1">
        <f t="array" ref="E1001">IFERROR(_xlfn.XLOOKUP(1,('env Parameter'!$A:$A=$A1001)*('env Parameter'!$B:$B=$K1001)*('env Parameter'!$C:$C=$L1001),'env Parameter'!G:G,""),"")</f>
        <v>7.6</v>
      </c>
      <c r="F1001" t="str">
        <f>eDNA!F1001</f>
        <v>MiFish</v>
      </c>
      <c r="G1001" t="str">
        <f>eDNA!D1001</f>
        <v>Gnathopogon strigatus</v>
      </c>
      <c r="H1001" t="str">
        <f>_xlfn.XLOOKUP(G1001,'Common name (master file)'!$B:$B,'Common name (master file)'!$A:$A,"-------------")</f>
        <v>줄몰개</v>
      </c>
      <c r="I1001">
        <f>eDNA!E1001</f>
        <v>1499</v>
      </c>
      <c r="J1001" t="str">
        <f>_xlfn.XLOOKUP(G1001,'Common name (master file)'!$B:$B,'Common name (master file)'!$C:$C,"")</f>
        <v>어류</v>
      </c>
      <c r="K1001">
        <f>eDNA!B1001</f>
        <v>126.93147879999999</v>
      </c>
      <c r="L1001">
        <f>eDNA!C1001</f>
        <v>37.397387999999999</v>
      </c>
      <c r="M1001" s="10" t="str" cm="1">
        <f t="array" ref="M1001">IFERROR(_xlfn.XLOOKUP(1,('env Parameter'!$A:$A=$A1001)*('env Parameter'!$B:$B=$K1001)*('env Parameter'!$C:$C=$L1001),'env Parameter'!D:D,""),"")</f>
        <v>안양천-4</v>
      </c>
      <c r="N1001" s="10" t="str" cm="1">
        <f t="array" ref="N1001">IFERROR(_xlfn.XLOOKUP(1,('env Parameter'!$A:$A=$A1001)*('env Parameter'!$B:$B=$K1001)*('env Parameter'!$C:$C=$L1001),'env Parameter'!I:I,""),"")</f>
        <v>YR</v>
      </c>
    </row>
    <row r="1002" spans="1:14">
      <c r="A1002">
        <f>eDNA!A1002</f>
        <v>20201024</v>
      </c>
      <c r="B1002" s="10" t="str" cm="1">
        <f t="array" ref="B1002">IFERROR(_xlfn.XLOOKUP(1,('env Parameter'!$A:$A=$A1002)*('env Parameter'!$B:$B=$K1002)*('env Parameter'!$C:$C=$L1002),'env Parameter'!H:H,""),"")</f>
        <v>생물상 조사</v>
      </c>
      <c r="C1002" s="10" cm="1">
        <f t="array" ref="C1002">IFERROR(_xlfn.XLOOKUP(1,('env Parameter'!$A:$A=$A1002)*('env Parameter'!$B:$B=$K1002)*('env Parameter'!$C:$C=$L1002),'env Parameter'!E:E,""),"")</f>
        <v>2.14</v>
      </c>
      <c r="D1002" s="10" cm="1">
        <f t="array" ref="D1002">IFERROR(_xlfn.XLOOKUP(1,('env Parameter'!$A:$A=$A1002)*('env Parameter'!$B:$B=$K1002)*('env Parameter'!$C:$C=$L1002),'env Parameter'!F:F,""),"")</f>
        <v>478</v>
      </c>
      <c r="E1002" s="10" cm="1">
        <f t="array" ref="E1002">IFERROR(_xlfn.XLOOKUP(1,('env Parameter'!$A:$A=$A1002)*('env Parameter'!$B:$B=$K1002)*('env Parameter'!$C:$C=$L1002),'env Parameter'!G:G,""),"")</f>
        <v>7.6</v>
      </c>
      <c r="F1002" t="str">
        <f>eDNA!F1002</f>
        <v>MiFish</v>
      </c>
      <c r="G1002" t="str">
        <f>eDNA!D1002</f>
        <v>Micropterus salmoides</v>
      </c>
      <c r="H1002" t="str">
        <f>_xlfn.XLOOKUP(G1002,'Common name (master file)'!$B:$B,'Common name (master file)'!$A:$A,"-------------")</f>
        <v>큰입배스</v>
      </c>
      <c r="I1002">
        <f>eDNA!E1002</f>
        <v>3442</v>
      </c>
      <c r="J1002" t="str">
        <f>_xlfn.XLOOKUP(G1002,'Common name (master file)'!$B:$B,'Common name (master file)'!$C:$C,"")</f>
        <v>어류</v>
      </c>
      <c r="K1002">
        <f>eDNA!B1002</f>
        <v>126.93147879999999</v>
      </c>
      <c r="L1002">
        <f>eDNA!C1002</f>
        <v>37.397387999999999</v>
      </c>
      <c r="M1002" s="10" t="str" cm="1">
        <f t="array" ref="M1002">IFERROR(_xlfn.XLOOKUP(1,('env Parameter'!$A:$A=$A1002)*('env Parameter'!$B:$B=$K1002)*('env Parameter'!$C:$C=$L1002),'env Parameter'!D:D,""),"")</f>
        <v>안양천-4</v>
      </c>
      <c r="N1002" s="10" t="str" cm="1">
        <f t="array" ref="N1002">IFERROR(_xlfn.XLOOKUP(1,('env Parameter'!$A:$A=$A1002)*('env Parameter'!$B:$B=$K1002)*('env Parameter'!$C:$C=$L1002),'env Parameter'!I:I,""),"")</f>
        <v>YR</v>
      </c>
    </row>
    <row r="1003" spans="1:14">
      <c r="A1003">
        <f>eDNA!A1003</f>
        <v>20201024</v>
      </c>
      <c r="B1003" s="10" t="str" cm="1">
        <f t="array" ref="B1003">IFERROR(_xlfn.XLOOKUP(1,('env Parameter'!$A:$A=$A1003)*('env Parameter'!$B:$B=$K1003)*('env Parameter'!$C:$C=$L1003),'env Parameter'!H:H,""),"")</f>
        <v>생물상 조사</v>
      </c>
      <c r="C1003" s="10" cm="1">
        <f t="array" ref="C1003">IFERROR(_xlfn.XLOOKUP(1,('env Parameter'!$A:$A=$A1003)*('env Parameter'!$B:$B=$K1003)*('env Parameter'!$C:$C=$L1003),'env Parameter'!E:E,""),"")</f>
        <v>2.14</v>
      </c>
      <c r="D1003" s="10" cm="1">
        <f t="array" ref="D1003">IFERROR(_xlfn.XLOOKUP(1,('env Parameter'!$A:$A=$A1003)*('env Parameter'!$B:$B=$K1003)*('env Parameter'!$C:$C=$L1003),'env Parameter'!F:F,""),"")</f>
        <v>478</v>
      </c>
      <c r="E1003" s="10" cm="1">
        <f t="array" ref="E1003">IFERROR(_xlfn.XLOOKUP(1,('env Parameter'!$A:$A=$A1003)*('env Parameter'!$B:$B=$K1003)*('env Parameter'!$C:$C=$L1003),'env Parameter'!G:G,""),"")</f>
        <v>7.6</v>
      </c>
      <c r="F1003" t="str">
        <f>eDNA!F1003</f>
        <v>MiFish</v>
      </c>
      <c r="G1003" t="str">
        <f>eDNA!D1003</f>
        <v>Silurus soldatovi</v>
      </c>
      <c r="H1003" t="str">
        <f>_xlfn.XLOOKUP(G1003,'Common name (master file)'!$B:$B,'Common name (master file)'!$A:$A,"-------------")</f>
        <v>솔다토비 메기</v>
      </c>
      <c r="I1003">
        <f>eDNA!E1003</f>
        <v>3408</v>
      </c>
      <c r="J1003" t="str">
        <f>_xlfn.XLOOKUP(G1003,'Common name (master file)'!$B:$B,'Common name (master file)'!$C:$C,"")</f>
        <v>어류</v>
      </c>
      <c r="K1003">
        <f>eDNA!B1003</f>
        <v>126.93147879999999</v>
      </c>
      <c r="L1003">
        <f>eDNA!C1003</f>
        <v>37.397387999999999</v>
      </c>
      <c r="M1003" s="10" t="str" cm="1">
        <f t="array" ref="M1003">IFERROR(_xlfn.XLOOKUP(1,('env Parameter'!$A:$A=$A1003)*('env Parameter'!$B:$B=$K1003)*('env Parameter'!$C:$C=$L1003),'env Parameter'!D:D,""),"")</f>
        <v>안양천-4</v>
      </c>
      <c r="N1003" s="10" t="str" cm="1">
        <f t="array" ref="N1003">IFERROR(_xlfn.XLOOKUP(1,('env Parameter'!$A:$A=$A1003)*('env Parameter'!$B:$B=$K1003)*('env Parameter'!$C:$C=$L1003),'env Parameter'!I:I,""),"")</f>
        <v>YR</v>
      </c>
    </row>
    <row r="1004" spans="1:14">
      <c r="A1004">
        <f>eDNA!A1004</f>
        <v>20201024</v>
      </c>
      <c r="B1004" s="10" t="str" cm="1">
        <f t="array" ref="B1004">IFERROR(_xlfn.XLOOKUP(1,('env Parameter'!$A:$A=$A1004)*('env Parameter'!$B:$B=$K1004)*('env Parameter'!$C:$C=$L1004),'env Parameter'!H:H,""),"")</f>
        <v>생물상 조사</v>
      </c>
      <c r="C1004" s="10" cm="1">
        <f t="array" ref="C1004">IFERROR(_xlfn.XLOOKUP(1,('env Parameter'!$A:$A=$A1004)*('env Parameter'!$B:$B=$K1004)*('env Parameter'!$C:$C=$L1004),'env Parameter'!E:E,""),"")</f>
        <v>2.14</v>
      </c>
      <c r="D1004" s="10" cm="1">
        <f t="array" ref="D1004">IFERROR(_xlfn.XLOOKUP(1,('env Parameter'!$A:$A=$A1004)*('env Parameter'!$B:$B=$K1004)*('env Parameter'!$C:$C=$L1004),'env Parameter'!F:F,""),"")</f>
        <v>478</v>
      </c>
      <c r="E1004" s="10" cm="1">
        <f t="array" ref="E1004">IFERROR(_xlfn.XLOOKUP(1,('env Parameter'!$A:$A=$A1004)*('env Parameter'!$B:$B=$K1004)*('env Parameter'!$C:$C=$L1004),'env Parameter'!G:G,""),"")</f>
        <v>7.6</v>
      </c>
      <c r="F1004" t="str">
        <f>eDNA!F1004</f>
        <v>MiFish</v>
      </c>
      <c r="G1004" t="str">
        <f>eDNA!D1004</f>
        <v>Channa argus</v>
      </c>
      <c r="H1004" t="str">
        <f>_xlfn.XLOOKUP(G1004,'Common name (master file)'!$B:$B,'Common name (master file)'!$A:$A,"-------------")</f>
        <v>가물치</v>
      </c>
      <c r="I1004">
        <f>eDNA!E1004</f>
        <v>4272</v>
      </c>
      <c r="J1004" t="str">
        <f>_xlfn.XLOOKUP(G1004,'Common name (master file)'!$B:$B,'Common name (master file)'!$C:$C,"")</f>
        <v>어류</v>
      </c>
      <c r="K1004">
        <f>eDNA!B1004</f>
        <v>126.93147879999999</v>
      </c>
      <c r="L1004">
        <f>eDNA!C1004</f>
        <v>37.397387999999999</v>
      </c>
      <c r="M1004" s="10" t="str" cm="1">
        <f t="array" ref="M1004">IFERROR(_xlfn.XLOOKUP(1,('env Parameter'!$A:$A=$A1004)*('env Parameter'!$B:$B=$K1004)*('env Parameter'!$C:$C=$L1004),'env Parameter'!D:D,""),"")</f>
        <v>안양천-4</v>
      </c>
      <c r="N1004" s="10" t="str" cm="1">
        <f t="array" ref="N1004">IFERROR(_xlfn.XLOOKUP(1,('env Parameter'!$A:$A=$A1004)*('env Parameter'!$B:$B=$K1004)*('env Parameter'!$C:$C=$L1004),'env Parameter'!I:I,""),"")</f>
        <v>YR</v>
      </c>
    </row>
    <row r="1005" spans="1:14">
      <c r="A1005">
        <f>eDNA!A1005</f>
        <v>20201024</v>
      </c>
      <c r="B1005" s="10" t="str" cm="1">
        <f t="array" ref="B1005">IFERROR(_xlfn.XLOOKUP(1,('env Parameter'!$A:$A=$A1005)*('env Parameter'!$B:$B=$K1005)*('env Parameter'!$C:$C=$L1005),'env Parameter'!H:H,""),"")</f>
        <v>생물상 조사</v>
      </c>
      <c r="C1005" s="10" cm="1">
        <f t="array" ref="C1005">IFERROR(_xlfn.XLOOKUP(1,('env Parameter'!$A:$A=$A1005)*('env Parameter'!$B:$B=$K1005)*('env Parameter'!$C:$C=$L1005),'env Parameter'!E:E,""),"")</f>
        <v>2.14</v>
      </c>
      <c r="D1005" s="10" cm="1">
        <f t="array" ref="D1005">IFERROR(_xlfn.XLOOKUP(1,('env Parameter'!$A:$A=$A1005)*('env Parameter'!$B:$B=$K1005)*('env Parameter'!$C:$C=$L1005),'env Parameter'!F:F,""),"")</f>
        <v>478</v>
      </c>
      <c r="E1005" s="10" cm="1">
        <f t="array" ref="E1005">IFERROR(_xlfn.XLOOKUP(1,('env Parameter'!$A:$A=$A1005)*('env Parameter'!$B:$B=$K1005)*('env Parameter'!$C:$C=$L1005),'env Parameter'!G:G,""),"")</f>
        <v>7.6</v>
      </c>
      <c r="F1005" t="str">
        <f>eDNA!F1005</f>
        <v>MiFish</v>
      </c>
      <c r="G1005" t="str">
        <f>eDNA!D1005</f>
        <v>Bos taurus</v>
      </c>
      <c r="H1005" t="str">
        <f>_xlfn.XLOOKUP(G1005,'Common name (master file)'!$B:$B,'Common name (master file)'!$A:$A,"-------------")</f>
        <v>소</v>
      </c>
      <c r="I1005">
        <f>eDNA!E1005</f>
        <v>5141</v>
      </c>
      <c r="J1005" t="str">
        <f>_xlfn.XLOOKUP(G1005,'Common name (master file)'!$B:$B,'Common name (master file)'!$C:$C,"")</f>
        <v>포유류</v>
      </c>
      <c r="K1005">
        <f>eDNA!B1005</f>
        <v>126.93147879999999</v>
      </c>
      <c r="L1005">
        <f>eDNA!C1005</f>
        <v>37.397387999999999</v>
      </c>
      <c r="M1005" s="10" t="str" cm="1">
        <f t="array" ref="M1005">IFERROR(_xlfn.XLOOKUP(1,('env Parameter'!$A:$A=$A1005)*('env Parameter'!$B:$B=$K1005)*('env Parameter'!$C:$C=$L1005),'env Parameter'!D:D,""),"")</f>
        <v>안양천-4</v>
      </c>
      <c r="N1005" s="10" t="str" cm="1">
        <f t="array" ref="N1005">IFERROR(_xlfn.XLOOKUP(1,('env Parameter'!$A:$A=$A1005)*('env Parameter'!$B:$B=$K1005)*('env Parameter'!$C:$C=$L1005),'env Parameter'!I:I,""),"")</f>
        <v>YR</v>
      </c>
    </row>
    <row r="1006" spans="1:14">
      <c r="A1006">
        <f>eDNA!A1006</f>
        <v>20201024</v>
      </c>
      <c r="B1006" s="10" t="str" cm="1">
        <f t="array" ref="B1006">IFERROR(_xlfn.XLOOKUP(1,('env Parameter'!$A:$A=$A1006)*('env Parameter'!$B:$B=$K1006)*('env Parameter'!$C:$C=$L1006),'env Parameter'!H:H,""),"")</f>
        <v>생물상 조사</v>
      </c>
      <c r="C1006" s="10" cm="1">
        <f t="array" ref="C1006">IFERROR(_xlfn.XLOOKUP(1,('env Parameter'!$A:$A=$A1006)*('env Parameter'!$B:$B=$K1006)*('env Parameter'!$C:$C=$L1006),'env Parameter'!E:E,""),"")</f>
        <v>2.14</v>
      </c>
      <c r="D1006" s="10" cm="1">
        <f t="array" ref="D1006">IFERROR(_xlfn.XLOOKUP(1,('env Parameter'!$A:$A=$A1006)*('env Parameter'!$B:$B=$K1006)*('env Parameter'!$C:$C=$L1006),'env Parameter'!F:F,""),"")</f>
        <v>478</v>
      </c>
      <c r="E1006" s="10" cm="1">
        <f t="array" ref="E1006">IFERROR(_xlfn.XLOOKUP(1,('env Parameter'!$A:$A=$A1006)*('env Parameter'!$B:$B=$K1006)*('env Parameter'!$C:$C=$L1006),'env Parameter'!G:G,""),"")</f>
        <v>7.6</v>
      </c>
      <c r="F1006" t="str">
        <f>eDNA!F1006</f>
        <v>MiFish</v>
      </c>
      <c r="G1006" t="str">
        <f>eDNA!D1006</f>
        <v>Pseudogobio esocinus</v>
      </c>
      <c r="H1006" t="str">
        <f>_xlfn.XLOOKUP(G1006,'Common name (master file)'!$B:$B,'Common name (master file)'!$A:$A,"-------------")</f>
        <v>모래무지</v>
      </c>
      <c r="I1006">
        <f>eDNA!E1006</f>
        <v>9099</v>
      </c>
      <c r="J1006" t="str">
        <f>_xlfn.XLOOKUP(G1006,'Common name (master file)'!$B:$B,'Common name (master file)'!$C:$C,"")</f>
        <v>어류</v>
      </c>
      <c r="K1006">
        <f>eDNA!B1006</f>
        <v>126.93147879999999</v>
      </c>
      <c r="L1006">
        <f>eDNA!C1006</f>
        <v>37.397387999999999</v>
      </c>
      <c r="M1006" s="10" t="str" cm="1">
        <f t="array" ref="M1006">IFERROR(_xlfn.XLOOKUP(1,('env Parameter'!$A:$A=$A1006)*('env Parameter'!$B:$B=$K1006)*('env Parameter'!$C:$C=$L1006),'env Parameter'!D:D,""),"")</f>
        <v>안양천-4</v>
      </c>
      <c r="N1006" s="10" t="str" cm="1">
        <f t="array" ref="N1006">IFERROR(_xlfn.XLOOKUP(1,('env Parameter'!$A:$A=$A1006)*('env Parameter'!$B:$B=$K1006)*('env Parameter'!$C:$C=$L1006),'env Parameter'!I:I,""),"")</f>
        <v>YR</v>
      </c>
    </row>
    <row r="1007" spans="1:14">
      <c r="A1007">
        <f>eDNA!A1007</f>
        <v>20201024</v>
      </c>
      <c r="B1007" s="10" t="str" cm="1">
        <f t="array" ref="B1007">IFERROR(_xlfn.XLOOKUP(1,('env Parameter'!$A:$A=$A1007)*('env Parameter'!$B:$B=$K1007)*('env Parameter'!$C:$C=$L1007),'env Parameter'!H:H,""),"")</f>
        <v>생물상 조사</v>
      </c>
      <c r="C1007" s="10" cm="1">
        <f t="array" ref="C1007">IFERROR(_xlfn.XLOOKUP(1,('env Parameter'!$A:$A=$A1007)*('env Parameter'!$B:$B=$K1007)*('env Parameter'!$C:$C=$L1007),'env Parameter'!E:E,""),"")</f>
        <v>2.14</v>
      </c>
      <c r="D1007" s="10" cm="1">
        <f t="array" ref="D1007">IFERROR(_xlfn.XLOOKUP(1,('env Parameter'!$A:$A=$A1007)*('env Parameter'!$B:$B=$K1007)*('env Parameter'!$C:$C=$L1007),'env Parameter'!F:F,""),"")</f>
        <v>478</v>
      </c>
      <c r="E1007" s="10" cm="1">
        <f t="array" ref="E1007">IFERROR(_xlfn.XLOOKUP(1,('env Parameter'!$A:$A=$A1007)*('env Parameter'!$B:$B=$K1007)*('env Parameter'!$C:$C=$L1007),'env Parameter'!G:G,""),"")</f>
        <v>7.6</v>
      </c>
      <c r="F1007" t="str">
        <f>eDNA!F1007</f>
        <v>MiFish</v>
      </c>
      <c r="G1007" t="str">
        <f>eDNA!D1007</f>
        <v>Carassius gibelio</v>
      </c>
      <c r="H1007" t="str">
        <f>_xlfn.XLOOKUP(G1007,'Common name (master file)'!$B:$B,'Common name (master file)'!$A:$A,"-------------")</f>
        <v>기벨리오 붕어</v>
      </c>
      <c r="I1007">
        <f>eDNA!E1007</f>
        <v>10565</v>
      </c>
      <c r="J1007" t="str">
        <f>_xlfn.XLOOKUP(G1007,'Common name (master file)'!$B:$B,'Common name (master file)'!$C:$C,"")</f>
        <v>어류</v>
      </c>
      <c r="K1007">
        <f>eDNA!B1007</f>
        <v>126.93147879999999</v>
      </c>
      <c r="L1007">
        <f>eDNA!C1007</f>
        <v>37.397387999999999</v>
      </c>
      <c r="M1007" s="10" t="str" cm="1">
        <f t="array" ref="M1007">IFERROR(_xlfn.XLOOKUP(1,('env Parameter'!$A:$A=$A1007)*('env Parameter'!$B:$B=$K1007)*('env Parameter'!$C:$C=$L1007),'env Parameter'!D:D,""),"")</f>
        <v>안양천-4</v>
      </c>
      <c r="N1007" s="10" t="str" cm="1">
        <f t="array" ref="N1007">IFERROR(_xlfn.XLOOKUP(1,('env Parameter'!$A:$A=$A1007)*('env Parameter'!$B:$B=$K1007)*('env Parameter'!$C:$C=$L1007),'env Parameter'!I:I,""),"")</f>
        <v>YR</v>
      </c>
    </row>
    <row r="1008" spans="1:14">
      <c r="A1008">
        <f>eDNA!A1008</f>
        <v>20201024</v>
      </c>
      <c r="B1008" s="10" t="str" cm="1">
        <f t="array" ref="B1008">IFERROR(_xlfn.XLOOKUP(1,('env Parameter'!$A:$A=$A1008)*('env Parameter'!$B:$B=$K1008)*('env Parameter'!$C:$C=$L1008),'env Parameter'!H:H,""),"")</f>
        <v>생물상 조사</v>
      </c>
      <c r="C1008" s="10" cm="1">
        <f t="array" ref="C1008">IFERROR(_xlfn.XLOOKUP(1,('env Parameter'!$A:$A=$A1008)*('env Parameter'!$B:$B=$K1008)*('env Parameter'!$C:$C=$L1008),'env Parameter'!E:E,""),"")</f>
        <v>2.14</v>
      </c>
      <c r="D1008" s="10" cm="1">
        <f t="array" ref="D1008">IFERROR(_xlfn.XLOOKUP(1,('env Parameter'!$A:$A=$A1008)*('env Parameter'!$B:$B=$K1008)*('env Parameter'!$C:$C=$L1008),'env Parameter'!F:F,""),"")</f>
        <v>478</v>
      </c>
      <c r="E1008" s="10" cm="1">
        <f t="array" ref="E1008">IFERROR(_xlfn.XLOOKUP(1,('env Parameter'!$A:$A=$A1008)*('env Parameter'!$B:$B=$K1008)*('env Parameter'!$C:$C=$L1008),'env Parameter'!G:G,""),"")</f>
        <v>7.6</v>
      </c>
      <c r="F1008" t="str">
        <f>eDNA!F1008</f>
        <v>MiFish</v>
      </c>
      <c r="G1008" t="str">
        <f>eDNA!D1008</f>
        <v>Odontobutis interrupta</v>
      </c>
      <c r="H1008" t="str">
        <f>_xlfn.XLOOKUP(G1008,'Common name (master file)'!$B:$B,'Common name (master file)'!$A:$A,"-------------")</f>
        <v>얼록동사리</v>
      </c>
      <c r="I1008">
        <f>eDNA!E1008</f>
        <v>22969</v>
      </c>
      <c r="J1008" t="str">
        <f>_xlfn.XLOOKUP(G1008,'Common name (master file)'!$B:$B,'Common name (master file)'!$C:$C,"")</f>
        <v>어류</v>
      </c>
      <c r="K1008">
        <f>eDNA!B1008</f>
        <v>126.93147879999999</v>
      </c>
      <c r="L1008">
        <f>eDNA!C1008</f>
        <v>37.397387999999999</v>
      </c>
      <c r="M1008" s="10" t="str" cm="1">
        <f t="array" ref="M1008">IFERROR(_xlfn.XLOOKUP(1,('env Parameter'!$A:$A=$A1008)*('env Parameter'!$B:$B=$K1008)*('env Parameter'!$C:$C=$L1008),'env Parameter'!D:D,""),"")</f>
        <v>안양천-4</v>
      </c>
      <c r="N1008" s="10" t="str" cm="1">
        <f t="array" ref="N1008">IFERROR(_xlfn.XLOOKUP(1,('env Parameter'!$A:$A=$A1008)*('env Parameter'!$B:$B=$K1008)*('env Parameter'!$C:$C=$L1008),'env Parameter'!I:I,""),"")</f>
        <v>YR</v>
      </c>
    </row>
    <row r="1009" spans="1:14">
      <c r="A1009">
        <f>eDNA!A1009</f>
        <v>20201024</v>
      </c>
      <c r="B1009" s="10" t="str" cm="1">
        <f t="array" ref="B1009">IFERROR(_xlfn.XLOOKUP(1,('env Parameter'!$A:$A=$A1009)*('env Parameter'!$B:$B=$K1009)*('env Parameter'!$C:$C=$L1009),'env Parameter'!H:H,""),"")</f>
        <v>생물상 조사</v>
      </c>
      <c r="C1009" s="10" cm="1">
        <f t="array" ref="C1009">IFERROR(_xlfn.XLOOKUP(1,('env Parameter'!$A:$A=$A1009)*('env Parameter'!$B:$B=$K1009)*('env Parameter'!$C:$C=$L1009),'env Parameter'!E:E,""),"")</f>
        <v>2.14</v>
      </c>
      <c r="D1009" s="10" cm="1">
        <f t="array" ref="D1009">IFERROR(_xlfn.XLOOKUP(1,('env Parameter'!$A:$A=$A1009)*('env Parameter'!$B:$B=$K1009)*('env Parameter'!$C:$C=$L1009),'env Parameter'!F:F,""),"")</f>
        <v>478</v>
      </c>
      <c r="E1009" s="10" cm="1">
        <f t="array" ref="E1009">IFERROR(_xlfn.XLOOKUP(1,('env Parameter'!$A:$A=$A1009)*('env Parameter'!$B:$B=$K1009)*('env Parameter'!$C:$C=$L1009),'env Parameter'!G:G,""),"")</f>
        <v>7.6</v>
      </c>
      <c r="F1009" t="str">
        <f>eDNA!F1009</f>
        <v>MiFish</v>
      </c>
      <c r="G1009" t="str">
        <f>eDNA!D1009</f>
        <v>Zacco platypus</v>
      </c>
      <c r="H1009" t="str">
        <f>_xlfn.XLOOKUP(G1009,'Common name (master file)'!$B:$B,'Common name (master file)'!$A:$A,"-------------")</f>
        <v>피라미</v>
      </c>
      <c r="I1009">
        <f>eDNA!E1009</f>
        <v>41404</v>
      </c>
      <c r="J1009" t="str">
        <f>_xlfn.XLOOKUP(G1009,'Common name (master file)'!$B:$B,'Common name (master file)'!$C:$C,"")</f>
        <v>어류</v>
      </c>
      <c r="K1009">
        <f>eDNA!B1009</f>
        <v>126.93147879999999</v>
      </c>
      <c r="L1009">
        <f>eDNA!C1009</f>
        <v>37.397387999999999</v>
      </c>
      <c r="M1009" s="10" t="str" cm="1">
        <f t="array" ref="M1009">IFERROR(_xlfn.XLOOKUP(1,('env Parameter'!$A:$A=$A1009)*('env Parameter'!$B:$B=$K1009)*('env Parameter'!$C:$C=$L1009),'env Parameter'!D:D,""),"")</f>
        <v>안양천-4</v>
      </c>
      <c r="N1009" s="10" t="str" cm="1">
        <f t="array" ref="N1009">IFERROR(_xlfn.XLOOKUP(1,('env Parameter'!$A:$A=$A1009)*('env Parameter'!$B:$B=$K1009)*('env Parameter'!$C:$C=$L1009),'env Parameter'!I:I,""),"")</f>
        <v>YR</v>
      </c>
    </row>
    <row r="1010" spans="1:14">
      <c r="A1010">
        <f>eDNA!A1010</f>
        <v>20201024</v>
      </c>
      <c r="B1010" s="10" t="str" cm="1">
        <f t="array" ref="B1010">IFERROR(_xlfn.XLOOKUP(1,('env Parameter'!$A:$A=$A1010)*('env Parameter'!$B:$B=$K1010)*('env Parameter'!$C:$C=$L1010),'env Parameter'!H:H,""),"")</f>
        <v>생물상 조사</v>
      </c>
      <c r="C1010" s="10" cm="1">
        <f t="array" ref="C1010">IFERROR(_xlfn.XLOOKUP(1,('env Parameter'!$A:$A=$A1010)*('env Parameter'!$B:$B=$K1010)*('env Parameter'!$C:$C=$L1010),'env Parameter'!E:E,""),"")</f>
        <v>2.14</v>
      </c>
      <c r="D1010" s="10" cm="1">
        <f t="array" ref="D1010">IFERROR(_xlfn.XLOOKUP(1,('env Parameter'!$A:$A=$A1010)*('env Parameter'!$B:$B=$K1010)*('env Parameter'!$C:$C=$L1010),'env Parameter'!F:F,""),"")</f>
        <v>478</v>
      </c>
      <c r="E1010" s="10" cm="1">
        <f t="array" ref="E1010">IFERROR(_xlfn.XLOOKUP(1,('env Parameter'!$A:$A=$A1010)*('env Parameter'!$B:$B=$K1010)*('env Parameter'!$C:$C=$L1010),'env Parameter'!G:G,""),"")</f>
        <v>7.6</v>
      </c>
      <c r="F1010" t="str">
        <f>eDNA!F1010</f>
        <v>MiFish</v>
      </c>
      <c r="G1010" t="str">
        <f>eDNA!D1010</f>
        <v>Pseudorasbora parva</v>
      </c>
      <c r="H1010" t="str">
        <f>_xlfn.XLOOKUP(G1010,'Common name (master file)'!$B:$B,'Common name (master file)'!$A:$A,"-------------")</f>
        <v>참붕어</v>
      </c>
      <c r="I1010">
        <f>eDNA!E1010</f>
        <v>49306</v>
      </c>
      <c r="J1010" t="str">
        <f>_xlfn.XLOOKUP(G1010,'Common name (master file)'!$B:$B,'Common name (master file)'!$C:$C,"")</f>
        <v>어류</v>
      </c>
      <c r="K1010">
        <f>eDNA!B1010</f>
        <v>126.93147879999999</v>
      </c>
      <c r="L1010">
        <f>eDNA!C1010</f>
        <v>37.397387999999999</v>
      </c>
      <c r="M1010" s="10" t="str" cm="1">
        <f t="array" ref="M1010">IFERROR(_xlfn.XLOOKUP(1,('env Parameter'!$A:$A=$A1010)*('env Parameter'!$B:$B=$K1010)*('env Parameter'!$C:$C=$L1010),'env Parameter'!D:D,""),"")</f>
        <v>안양천-4</v>
      </c>
      <c r="N1010" s="10" t="str" cm="1">
        <f t="array" ref="N1010">IFERROR(_xlfn.XLOOKUP(1,('env Parameter'!$A:$A=$A1010)*('env Parameter'!$B:$B=$K1010)*('env Parameter'!$C:$C=$L1010),'env Parameter'!I:I,""),"")</f>
        <v>YR</v>
      </c>
    </row>
    <row r="1011" spans="1:14">
      <c r="A1011">
        <f>eDNA!A1011</f>
        <v>20201024</v>
      </c>
      <c r="B1011" s="10" t="str" cm="1">
        <f t="array" ref="B1011">IFERROR(_xlfn.XLOOKUP(1,('env Parameter'!$A:$A=$A1011)*('env Parameter'!$B:$B=$K1011)*('env Parameter'!$C:$C=$L1011),'env Parameter'!H:H,""),"")</f>
        <v>생물상 조사</v>
      </c>
      <c r="C1011" s="10" cm="1">
        <f t="array" ref="C1011">IFERROR(_xlfn.XLOOKUP(1,('env Parameter'!$A:$A=$A1011)*('env Parameter'!$B:$B=$K1011)*('env Parameter'!$C:$C=$L1011),'env Parameter'!E:E,""),"")</f>
        <v>2.14</v>
      </c>
      <c r="D1011" s="10" cm="1">
        <f t="array" ref="D1011">IFERROR(_xlfn.XLOOKUP(1,('env Parameter'!$A:$A=$A1011)*('env Parameter'!$B:$B=$K1011)*('env Parameter'!$C:$C=$L1011),'env Parameter'!F:F,""),"")</f>
        <v>478</v>
      </c>
      <c r="E1011" s="10" cm="1">
        <f t="array" ref="E1011">IFERROR(_xlfn.XLOOKUP(1,('env Parameter'!$A:$A=$A1011)*('env Parameter'!$B:$B=$K1011)*('env Parameter'!$C:$C=$L1011),'env Parameter'!G:G,""),"")</f>
        <v>7.6</v>
      </c>
      <c r="F1011" t="str">
        <f>eDNA!F1011</f>
        <v>MiFish</v>
      </c>
      <c r="G1011" t="str">
        <f>eDNA!D1011</f>
        <v>Pseudogobio esocinus</v>
      </c>
      <c r="H1011" t="str">
        <f>_xlfn.XLOOKUP(G1011,'Common name (master file)'!$B:$B,'Common name (master file)'!$A:$A,"-------------")</f>
        <v>모래무지</v>
      </c>
      <c r="I1011">
        <f>eDNA!E1011</f>
        <v>365</v>
      </c>
      <c r="J1011" t="str">
        <f>_xlfn.XLOOKUP(G1011,'Common name (master file)'!$B:$B,'Common name (master file)'!$C:$C,"")</f>
        <v>어류</v>
      </c>
      <c r="K1011">
        <f>eDNA!B1011</f>
        <v>126.9350989</v>
      </c>
      <c r="L1011">
        <f>eDNA!C1011</f>
        <v>37.419096199999998</v>
      </c>
      <c r="M1011" s="10" t="str" cm="1">
        <f t="array" ref="M1011">IFERROR(_xlfn.XLOOKUP(1,('env Parameter'!$A:$A=$A1011)*('env Parameter'!$B:$B=$K1011)*('env Parameter'!$C:$C=$L1011),'env Parameter'!D:D,""),"")</f>
        <v>삼성천-2</v>
      </c>
      <c r="N1011" s="10" t="str" cm="1">
        <f t="array" ref="N1011">IFERROR(_xlfn.XLOOKUP(1,('env Parameter'!$A:$A=$A1011)*('env Parameter'!$B:$B=$K1011)*('env Parameter'!$C:$C=$L1011),'env Parameter'!I:I,""),"")</f>
        <v>YR</v>
      </c>
    </row>
    <row r="1012" spans="1:14">
      <c r="A1012">
        <f>eDNA!A1012</f>
        <v>20201024</v>
      </c>
      <c r="B1012" s="10" t="str" cm="1">
        <f t="array" ref="B1012">IFERROR(_xlfn.XLOOKUP(1,('env Parameter'!$A:$A=$A1012)*('env Parameter'!$B:$B=$K1012)*('env Parameter'!$C:$C=$L1012),'env Parameter'!H:H,""),"")</f>
        <v>생물상 조사</v>
      </c>
      <c r="C1012" s="10" cm="1">
        <f t="array" ref="C1012">IFERROR(_xlfn.XLOOKUP(1,('env Parameter'!$A:$A=$A1012)*('env Parameter'!$B:$B=$K1012)*('env Parameter'!$C:$C=$L1012),'env Parameter'!E:E,""),"")</f>
        <v>2.14</v>
      </c>
      <c r="D1012" s="10" cm="1">
        <f t="array" ref="D1012">IFERROR(_xlfn.XLOOKUP(1,('env Parameter'!$A:$A=$A1012)*('env Parameter'!$B:$B=$K1012)*('env Parameter'!$C:$C=$L1012),'env Parameter'!F:F,""),"")</f>
        <v>478</v>
      </c>
      <c r="E1012" s="10" cm="1">
        <f t="array" ref="E1012">IFERROR(_xlfn.XLOOKUP(1,('env Parameter'!$A:$A=$A1012)*('env Parameter'!$B:$B=$K1012)*('env Parameter'!$C:$C=$L1012),'env Parameter'!G:G,""),"")</f>
        <v>7.6</v>
      </c>
      <c r="F1012" t="str">
        <f>eDNA!F1012</f>
        <v>MiFish</v>
      </c>
      <c r="G1012" t="str">
        <f>eDNA!D1012</f>
        <v>Carassius auratus</v>
      </c>
      <c r="H1012" t="str">
        <f>_xlfn.XLOOKUP(G1012,'Common name (master file)'!$B:$B,'Common name (master file)'!$A:$A,"-------------")</f>
        <v>붕어</v>
      </c>
      <c r="I1012">
        <f>eDNA!E1012</f>
        <v>21</v>
      </c>
      <c r="J1012" t="str">
        <f>_xlfn.XLOOKUP(G1012,'Common name (master file)'!$B:$B,'Common name (master file)'!$C:$C,"")</f>
        <v>어류</v>
      </c>
      <c r="K1012">
        <f>eDNA!B1012</f>
        <v>126.91482120000001</v>
      </c>
      <c r="L1012">
        <f>eDNA!C1012</f>
        <v>37.409803799999999</v>
      </c>
      <c r="M1012" s="10" t="str" cm="1">
        <f t="array" ref="M1012">IFERROR(_xlfn.XLOOKUP(1,('env Parameter'!$A:$A=$A1012)*('env Parameter'!$B:$B=$K1012)*('env Parameter'!$C:$C=$L1012),'env Parameter'!D:D,""),"")</f>
        <v>안양천-5</v>
      </c>
      <c r="N1012" s="10" t="str" cm="1">
        <f t="array" ref="N1012">IFERROR(_xlfn.XLOOKUP(1,('env Parameter'!$A:$A=$A1012)*('env Parameter'!$B:$B=$K1012)*('env Parameter'!$C:$C=$L1012),'env Parameter'!I:I,""),"")</f>
        <v>YR</v>
      </c>
    </row>
    <row r="1013" spans="1:14">
      <c r="A1013">
        <f>eDNA!A1013</f>
        <v>20201024</v>
      </c>
      <c r="B1013" s="10" t="str" cm="1">
        <f t="array" ref="B1013">IFERROR(_xlfn.XLOOKUP(1,('env Parameter'!$A:$A=$A1013)*('env Parameter'!$B:$B=$K1013)*('env Parameter'!$C:$C=$L1013),'env Parameter'!H:H,""),"")</f>
        <v>생물상 조사</v>
      </c>
      <c r="C1013" s="10" cm="1">
        <f t="array" ref="C1013">IFERROR(_xlfn.XLOOKUP(1,('env Parameter'!$A:$A=$A1013)*('env Parameter'!$B:$B=$K1013)*('env Parameter'!$C:$C=$L1013),'env Parameter'!E:E,""),"")</f>
        <v>2.14</v>
      </c>
      <c r="D1013" s="10" cm="1">
        <f t="array" ref="D1013">IFERROR(_xlfn.XLOOKUP(1,('env Parameter'!$A:$A=$A1013)*('env Parameter'!$B:$B=$K1013)*('env Parameter'!$C:$C=$L1013),'env Parameter'!F:F,""),"")</f>
        <v>478</v>
      </c>
      <c r="E1013" s="10" cm="1">
        <f t="array" ref="E1013">IFERROR(_xlfn.XLOOKUP(1,('env Parameter'!$A:$A=$A1013)*('env Parameter'!$B:$B=$K1013)*('env Parameter'!$C:$C=$L1013),'env Parameter'!G:G,""),"")</f>
        <v>7.6</v>
      </c>
      <c r="F1013" t="str">
        <f>eDNA!F1013</f>
        <v>MiFish</v>
      </c>
      <c r="G1013" t="str">
        <f>eDNA!D1013</f>
        <v>Rattus norvegicus</v>
      </c>
      <c r="H1013" t="str">
        <f>_xlfn.XLOOKUP(G1013,'Common name (master file)'!$B:$B,'Common name (master file)'!$A:$A,"-------------")</f>
        <v>시궁쥐</v>
      </c>
      <c r="I1013">
        <f>eDNA!E1013</f>
        <v>26</v>
      </c>
      <c r="J1013" t="str">
        <f>_xlfn.XLOOKUP(G1013,'Common name (master file)'!$B:$B,'Common name (master file)'!$C:$C,"")</f>
        <v>포유류</v>
      </c>
      <c r="K1013">
        <f>eDNA!B1013</f>
        <v>126.91482120000001</v>
      </c>
      <c r="L1013">
        <f>eDNA!C1013</f>
        <v>37.409803799999999</v>
      </c>
      <c r="M1013" s="10" t="str" cm="1">
        <f t="array" ref="M1013">IFERROR(_xlfn.XLOOKUP(1,('env Parameter'!$A:$A=$A1013)*('env Parameter'!$B:$B=$K1013)*('env Parameter'!$C:$C=$L1013),'env Parameter'!D:D,""),"")</f>
        <v>안양천-5</v>
      </c>
      <c r="N1013" s="10" t="str" cm="1">
        <f t="array" ref="N1013">IFERROR(_xlfn.XLOOKUP(1,('env Parameter'!$A:$A=$A1013)*('env Parameter'!$B:$B=$K1013)*('env Parameter'!$C:$C=$L1013),'env Parameter'!I:I,""),"")</f>
        <v>YR</v>
      </c>
    </row>
    <row r="1014" spans="1:14">
      <c r="A1014">
        <f>eDNA!A1014</f>
        <v>20201024</v>
      </c>
      <c r="B1014" s="10" t="str" cm="1">
        <f t="array" ref="B1014">IFERROR(_xlfn.XLOOKUP(1,('env Parameter'!$A:$A=$A1014)*('env Parameter'!$B:$B=$K1014)*('env Parameter'!$C:$C=$L1014),'env Parameter'!H:H,""),"")</f>
        <v>생물상 조사</v>
      </c>
      <c r="C1014" s="10" cm="1">
        <f t="array" ref="C1014">IFERROR(_xlfn.XLOOKUP(1,('env Parameter'!$A:$A=$A1014)*('env Parameter'!$B:$B=$K1014)*('env Parameter'!$C:$C=$L1014),'env Parameter'!E:E,""),"")</f>
        <v>2.14</v>
      </c>
      <c r="D1014" s="10" cm="1">
        <f t="array" ref="D1014">IFERROR(_xlfn.XLOOKUP(1,('env Parameter'!$A:$A=$A1014)*('env Parameter'!$B:$B=$K1014)*('env Parameter'!$C:$C=$L1014),'env Parameter'!F:F,""),"")</f>
        <v>478</v>
      </c>
      <c r="E1014" s="10" cm="1">
        <f t="array" ref="E1014">IFERROR(_xlfn.XLOOKUP(1,('env Parameter'!$A:$A=$A1014)*('env Parameter'!$B:$B=$K1014)*('env Parameter'!$C:$C=$L1014),'env Parameter'!G:G,""),"")</f>
        <v>7.6</v>
      </c>
      <c r="F1014" t="str">
        <f>eDNA!F1014</f>
        <v>MiFish</v>
      </c>
      <c r="G1014" t="str">
        <f>eDNA!D1014</f>
        <v>Gnathopogon polytaenia</v>
      </c>
      <c r="H1014" t="str">
        <f>_xlfn.XLOOKUP(G1014,'Common name (master file)'!$B:$B,'Common name (master file)'!$A:$A,"-------------")</f>
        <v>폴리테니아 줄몰개</v>
      </c>
      <c r="I1014">
        <f>eDNA!E1014</f>
        <v>60</v>
      </c>
      <c r="J1014" t="str">
        <f>_xlfn.XLOOKUP(G1014,'Common name (master file)'!$B:$B,'Common name (master file)'!$C:$C,"")</f>
        <v>어류</v>
      </c>
      <c r="K1014">
        <f>eDNA!B1014</f>
        <v>126.91482120000001</v>
      </c>
      <c r="L1014">
        <f>eDNA!C1014</f>
        <v>37.409803799999999</v>
      </c>
      <c r="M1014" s="10" t="str" cm="1">
        <f t="array" ref="M1014">IFERROR(_xlfn.XLOOKUP(1,('env Parameter'!$A:$A=$A1014)*('env Parameter'!$B:$B=$K1014)*('env Parameter'!$C:$C=$L1014),'env Parameter'!D:D,""),"")</f>
        <v>안양천-5</v>
      </c>
      <c r="N1014" s="10" t="str" cm="1">
        <f t="array" ref="N1014">IFERROR(_xlfn.XLOOKUP(1,('env Parameter'!$A:$A=$A1014)*('env Parameter'!$B:$B=$K1014)*('env Parameter'!$C:$C=$L1014),'env Parameter'!I:I,""),"")</f>
        <v>YR</v>
      </c>
    </row>
    <row r="1015" spans="1:14">
      <c r="A1015">
        <f>eDNA!A1015</f>
        <v>20201024</v>
      </c>
      <c r="B1015" s="10" t="str" cm="1">
        <f t="array" ref="B1015">IFERROR(_xlfn.XLOOKUP(1,('env Parameter'!$A:$A=$A1015)*('env Parameter'!$B:$B=$K1015)*('env Parameter'!$C:$C=$L1015),'env Parameter'!H:H,""),"")</f>
        <v>생물상 조사</v>
      </c>
      <c r="C1015" s="10" cm="1">
        <f t="array" ref="C1015">IFERROR(_xlfn.XLOOKUP(1,('env Parameter'!$A:$A=$A1015)*('env Parameter'!$B:$B=$K1015)*('env Parameter'!$C:$C=$L1015),'env Parameter'!E:E,""),"")</f>
        <v>2.14</v>
      </c>
      <c r="D1015" s="10" cm="1">
        <f t="array" ref="D1015">IFERROR(_xlfn.XLOOKUP(1,('env Parameter'!$A:$A=$A1015)*('env Parameter'!$B:$B=$K1015)*('env Parameter'!$C:$C=$L1015),'env Parameter'!F:F,""),"")</f>
        <v>478</v>
      </c>
      <c r="E1015" s="10" cm="1">
        <f t="array" ref="E1015">IFERROR(_xlfn.XLOOKUP(1,('env Parameter'!$A:$A=$A1015)*('env Parameter'!$B:$B=$K1015)*('env Parameter'!$C:$C=$L1015),'env Parameter'!G:G,""),"")</f>
        <v>7.6</v>
      </c>
      <c r="F1015" t="str">
        <f>eDNA!F1015</f>
        <v>MiFish</v>
      </c>
      <c r="G1015" t="str">
        <f>eDNA!D1015</f>
        <v>Homo sapiens</v>
      </c>
      <c r="H1015" t="str">
        <f>_xlfn.XLOOKUP(G1015,'Common name (master file)'!$B:$B,'Common name (master file)'!$A:$A,"-------------")</f>
        <v>사람</v>
      </c>
      <c r="I1015">
        <f>eDNA!E1015</f>
        <v>37</v>
      </c>
      <c r="J1015" t="str">
        <f>_xlfn.XLOOKUP(G1015,'Common name (master file)'!$B:$B,'Common name (master file)'!$C:$C,"")</f>
        <v>포유류</v>
      </c>
      <c r="K1015">
        <f>eDNA!B1015</f>
        <v>126.91482120000001</v>
      </c>
      <c r="L1015">
        <f>eDNA!C1015</f>
        <v>37.409803799999999</v>
      </c>
      <c r="M1015" s="10" t="str" cm="1">
        <f t="array" ref="M1015">IFERROR(_xlfn.XLOOKUP(1,('env Parameter'!$A:$A=$A1015)*('env Parameter'!$B:$B=$K1015)*('env Parameter'!$C:$C=$L1015),'env Parameter'!D:D,""),"")</f>
        <v>안양천-5</v>
      </c>
      <c r="N1015" s="10" t="str" cm="1">
        <f t="array" ref="N1015">IFERROR(_xlfn.XLOOKUP(1,('env Parameter'!$A:$A=$A1015)*('env Parameter'!$B:$B=$K1015)*('env Parameter'!$C:$C=$L1015),'env Parameter'!I:I,""),"")</f>
        <v>YR</v>
      </c>
    </row>
    <row r="1016" spans="1:14">
      <c r="A1016">
        <f>eDNA!A1016</f>
        <v>20201024</v>
      </c>
      <c r="B1016" s="10" t="str" cm="1">
        <f t="array" ref="B1016">IFERROR(_xlfn.XLOOKUP(1,('env Parameter'!$A:$A=$A1016)*('env Parameter'!$B:$B=$K1016)*('env Parameter'!$C:$C=$L1016),'env Parameter'!H:H,""),"")</f>
        <v>생물상 조사</v>
      </c>
      <c r="C1016" s="10" cm="1">
        <f t="array" ref="C1016">IFERROR(_xlfn.XLOOKUP(1,('env Parameter'!$A:$A=$A1016)*('env Parameter'!$B:$B=$K1016)*('env Parameter'!$C:$C=$L1016),'env Parameter'!E:E,""),"")</f>
        <v>2.14</v>
      </c>
      <c r="D1016" s="10" cm="1">
        <f t="array" ref="D1016">IFERROR(_xlfn.XLOOKUP(1,('env Parameter'!$A:$A=$A1016)*('env Parameter'!$B:$B=$K1016)*('env Parameter'!$C:$C=$L1016),'env Parameter'!F:F,""),"")</f>
        <v>478</v>
      </c>
      <c r="E1016" s="10" cm="1">
        <f t="array" ref="E1016">IFERROR(_xlfn.XLOOKUP(1,('env Parameter'!$A:$A=$A1016)*('env Parameter'!$B:$B=$K1016)*('env Parameter'!$C:$C=$L1016),'env Parameter'!G:G,""),"")</f>
        <v>7.6</v>
      </c>
      <c r="F1016" t="str">
        <f>eDNA!F1016</f>
        <v>MiFish</v>
      </c>
      <c r="G1016" t="str">
        <f>eDNA!D1016</f>
        <v>Pelodiscus sinensis</v>
      </c>
      <c r="H1016" t="str">
        <f>_xlfn.XLOOKUP(G1016,'Common name (master file)'!$B:$B,'Common name (master file)'!$A:$A,"-------------")</f>
        <v>중국자라</v>
      </c>
      <c r="I1016">
        <f>eDNA!E1016</f>
        <v>77</v>
      </c>
      <c r="J1016" t="str">
        <f>_xlfn.XLOOKUP(G1016,'Common name (master file)'!$B:$B,'Common name (master file)'!$C:$C,"")</f>
        <v>양서파충류</v>
      </c>
      <c r="K1016">
        <f>eDNA!B1016</f>
        <v>126.91482120000001</v>
      </c>
      <c r="L1016">
        <f>eDNA!C1016</f>
        <v>37.409803799999999</v>
      </c>
      <c r="M1016" s="10" t="str" cm="1">
        <f t="array" ref="M1016">IFERROR(_xlfn.XLOOKUP(1,('env Parameter'!$A:$A=$A1016)*('env Parameter'!$B:$B=$K1016)*('env Parameter'!$C:$C=$L1016),'env Parameter'!D:D,""),"")</f>
        <v>안양천-5</v>
      </c>
      <c r="N1016" s="10" t="str" cm="1">
        <f t="array" ref="N1016">IFERROR(_xlfn.XLOOKUP(1,('env Parameter'!$A:$A=$A1016)*('env Parameter'!$B:$B=$K1016)*('env Parameter'!$C:$C=$L1016),'env Parameter'!I:I,""),"")</f>
        <v>YR</v>
      </c>
    </row>
    <row r="1017" spans="1:14">
      <c r="A1017">
        <f>eDNA!A1017</f>
        <v>20201024</v>
      </c>
      <c r="B1017" s="10" t="str" cm="1">
        <f t="array" ref="B1017">IFERROR(_xlfn.XLOOKUP(1,('env Parameter'!$A:$A=$A1017)*('env Parameter'!$B:$B=$K1017)*('env Parameter'!$C:$C=$L1017),'env Parameter'!H:H,""),"")</f>
        <v>생물상 조사</v>
      </c>
      <c r="C1017" s="10" cm="1">
        <f t="array" ref="C1017">IFERROR(_xlfn.XLOOKUP(1,('env Parameter'!$A:$A=$A1017)*('env Parameter'!$B:$B=$K1017)*('env Parameter'!$C:$C=$L1017),'env Parameter'!E:E,""),"")</f>
        <v>2.14</v>
      </c>
      <c r="D1017" s="10" cm="1">
        <f t="array" ref="D1017">IFERROR(_xlfn.XLOOKUP(1,('env Parameter'!$A:$A=$A1017)*('env Parameter'!$B:$B=$K1017)*('env Parameter'!$C:$C=$L1017),'env Parameter'!F:F,""),"")</f>
        <v>478</v>
      </c>
      <c r="E1017" s="10" cm="1">
        <f t="array" ref="E1017">IFERROR(_xlfn.XLOOKUP(1,('env Parameter'!$A:$A=$A1017)*('env Parameter'!$B:$B=$K1017)*('env Parameter'!$C:$C=$L1017),'env Parameter'!G:G,""),"")</f>
        <v>7.6</v>
      </c>
      <c r="F1017" t="str">
        <f>eDNA!F1017</f>
        <v>MiFish</v>
      </c>
      <c r="G1017" t="str">
        <f>eDNA!D1017</f>
        <v>Rhynchocypris oxycephalus</v>
      </c>
      <c r="H1017" t="str">
        <f>_xlfn.XLOOKUP(G1017,'Common name (master file)'!$B:$B,'Common name (master file)'!$A:$A,"-------------")</f>
        <v>버들치</v>
      </c>
      <c r="I1017">
        <f>eDNA!E1017</f>
        <v>78</v>
      </c>
      <c r="J1017" t="str">
        <f>_xlfn.XLOOKUP(G1017,'Common name (master file)'!$B:$B,'Common name (master file)'!$C:$C,"")</f>
        <v>어류</v>
      </c>
      <c r="K1017">
        <f>eDNA!B1017</f>
        <v>126.91482120000001</v>
      </c>
      <c r="L1017">
        <f>eDNA!C1017</f>
        <v>37.409803799999999</v>
      </c>
      <c r="M1017" s="10" t="str" cm="1">
        <f t="array" ref="M1017">IFERROR(_xlfn.XLOOKUP(1,('env Parameter'!$A:$A=$A1017)*('env Parameter'!$B:$B=$K1017)*('env Parameter'!$C:$C=$L1017),'env Parameter'!D:D,""),"")</f>
        <v>안양천-5</v>
      </c>
      <c r="N1017" s="10" t="str" cm="1">
        <f t="array" ref="N1017">IFERROR(_xlfn.XLOOKUP(1,('env Parameter'!$A:$A=$A1017)*('env Parameter'!$B:$B=$K1017)*('env Parameter'!$C:$C=$L1017),'env Parameter'!I:I,""),"")</f>
        <v>YR</v>
      </c>
    </row>
    <row r="1018" spans="1:14">
      <c r="A1018">
        <f>eDNA!A1018</f>
        <v>20201024</v>
      </c>
      <c r="B1018" s="10" t="str" cm="1">
        <f t="array" ref="B1018">IFERROR(_xlfn.XLOOKUP(1,('env Parameter'!$A:$A=$A1018)*('env Parameter'!$B:$B=$K1018)*('env Parameter'!$C:$C=$L1018),'env Parameter'!H:H,""),"")</f>
        <v>생물상 조사</v>
      </c>
      <c r="C1018" s="10" cm="1">
        <f t="array" ref="C1018">IFERROR(_xlfn.XLOOKUP(1,('env Parameter'!$A:$A=$A1018)*('env Parameter'!$B:$B=$K1018)*('env Parameter'!$C:$C=$L1018),'env Parameter'!E:E,""),"")</f>
        <v>2.14</v>
      </c>
      <c r="D1018" s="10" cm="1">
        <f t="array" ref="D1018">IFERROR(_xlfn.XLOOKUP(1,('env Parameter'!$A:$A=$A1018)*('env Parameter'!$B:$B=$K1018)*('env Parameter'!$C:$C=$L1018),'env Parameter'!F:F,""),"")</f>
        <v>478</v>
      </c>
      <c r="E1018" s="10" cm="1">
        <f t="array" ref="E1018">IFERROR(_xlfn.XLOOKUP(1,('env Parameter'!$A:$A=$A1018)*('env Parameter'!$B:$B=$K1018)*('env Parameter'!$C:$C=$L1018),'env Parameter'!G:G,""),"")</f>
        <v>7.6</v>
      </c>
      <c r="F1018" t="str">
        <f>eDNA!F1018</f>
        <v>MiFish</v>
      </c>
      <c r="G1018" t="str">
        <f>eDNA!D1018</f>
        <v>Tadorna tadorna</v>
      </c>
      <c r="H1018" t="str">
        <f>_xlfn.XLOOKUP(G1018,'Common name (master file)'!$B:$B,'Common name (master file)'!$A:$A,"-------------")</f>
        <v>혹부리오리</v>
      </c>
      <c r="I1018">
        <f>eDNA!E1018</f>
        <v>94</v>
      </c>
      <c r="J1018" t="str">
        <f>_xlfn.XLOOKUP(G1018,'Common name (master file)'!$B:$B,'Common name (master file)'!$C:$C,"")</f>
        <v>조류</v>
      </c>
      <c r="K1018">
        <f>eDNA!B1018</f>
        <v>126.91482120000001</v>
      </c>
      <c r="L1018">
        <f>eDNA!C1018</f>
        <v>37.409803799999999</v>
      </c>
      <c r="M1018" s="10" t="str" cm="1">
        <f t="array" ref="M1018">IFERROR(_xlfn.XLOOKUP(1,('env Parameter'!$A:$A=$A1018)*('env Parameter'!$B:$B=$K1018)*('env Parameter'!$C:$C=$L1018),'env Parameter'!D:D,""),"")</f>
        <v>안양천-5</v>
      </c>
      <c r="N1018" s="10" t="str" cm="1">
        <f t="array" ref="N1018">IFERROR(_xlfn.XLOOKUP(1,('env Parameter'!$A:$A=$A1018)*('env Parameter'!$B:$B=$K1018)*('env Parameter'!$C:$C=$L1018),'env Parameter'!I:I,""),"")</f>
        <v>YR</v>
      </c>
    </row>
    <row r="1019" spans="1:14">
      <c r="A1019">
        <f>eDNA!A1019</f>
        <v>20201024</v>
      </c>
      <c r="B1019" s="10" t="str" cm="1">
        <f t="array" ref="B1019">IFERROR(_xlfn.XLOOKUP(1,('env Parameter'!$A:$A=$A1019)*('env Parameter'!$B:$B=$K1019)*('env Parameter'!$C:$C=$L1019),'env Parameter'!H:H,""),"")</f>
        <v>생물상 조사</v>
      </c>
      <c r="C1019" s="10" cm="1">
        <f t="array" ref="C1019">IFERROR(_xlfn.XLOOKUP(1,('env Parameter'!$A:$A=$A1019)*('env Parameter'!$B:$B=$K1019)*('env Parameter'!$C:$C=$L1019),'env Parameter'!E:E,""),"")</f>
        <v>2.14</v>
      </c>
      <c r="D1019" s="10" cm="1">
        <f t="array" ref="D1019">IFERROR(_xlfn.XLOOKUP(1,('env Parameter'!$A:$A=$A1019)*('env Parameter'!$B:$B=$K1019)*('env Parameter'!$C:$C=$L1019),'env Parameter'!F:F,""),"")</f>
        <v>478</v>
      </c>
      <c r="E1019" s="10" cm="1">
        <f t="array" ref="E1019">IFERROR(_xlfn.XLOOKUP(1,('env Parameter'!$A:$A=$A1019)*('env Parameter'!$B:$B=$K1019)*('env Parameter'!$C:$C=$L1019),'env Parameter'!G:G,""),"")</f>
        <v>7.6</v>
      </c>
      <c r="F1019" t="str">
        <f>eDNA!F1019</f>
        <v>MiFish</v>
      </c>
      <c r="G1019" t="str">
        <f>eDNA!D1019</f>
        <v>Acheilognathus macropterus</v>
      </c>
      <c r="H1019" t="str">
        <f>_xlfn.XLOOKUP(G1019,'Common name (master file)'!$B:$B,'Common name (master file)'!$A:$A,"-------------")</f>
        <v>큰납지리</v>
      </c>
      <c r="I1019">
        <f>eDNA!E1019</f>
        <v>104</v>
      </c>
      <c r="J1019" t="str">
        <f>_xlfn.XLOOKUP(G1019,'Common name (master file)'!$B:$B,'Common name (master file)'!$C:$C,"")</f>
        <v>어류</v>
      </c>
      <c r="K1019">
        <f>eDNA!B1019</f>
        <v>126.91482120000001</v>
      </c>
      <c r="L1019">
        <f>eDNA!C1019</f>
        <v>37.409803799999999</v>
      </c>
      <c r="M1019" s="10" t="str" cm="1">
        <f t="array" ref="M1019">IFERROR(_xlfn.XLOOKUP(1,('env Parameter'!$A:$A=$A1019)*('env Parameter'!$B:$B=$K1019)*('env Parameter'!$C:$C=$L1019),'env Parameter'!D:D,""),"")</f>
        <v>안양천-5</v>
      </c>
      <c r="N1019" s="10" t="str" cm="1">
        <f t="array" ref="N1019">IFERROR(_xlfn.XLOOKUP(1,('env Parameter'!$A:$A=$A1019)*('env Parameter'!$B:$B=$K1019)*('env Parameter'!$C:$C=$L1019),'env Parameter'!I:I,""),"")</f>
        <v>YR</v>
      </c>
    </row>
    <row r="1020" spans="1:14">
      <c r="A1020">
        <f>eDNA!A1020</f>
        <v>20201024</v>
      </c>
      <c r="B1020" s="10" t="str" cm="1">
        <f t="array" ref="B1020">IFERROR(_xlfn.XLOOKUP(1,('env Parameter'!$A:$A=$A1020)*('env Parameter'!$B:$B=$K1020)*('env Parameter'!$C:$C=$L1020),'env Parameter'!H:H,""),"")</f>
        <v>생물상 조사</v>
      </c>
      <c r="C1020" s="10" cm="1">
        <f t="array" ref="C1020">IFERROR(_xlfn.XLOOKUP(1,('env Parameter'!$A:$A=$A1020)*('env Parameter'!$B:$B=$K1020)*('env Parameter'!$C:$C=$L1020),'env Parameter'!E:E,""),"")</f>
        <v>2.14</v>
      </c>
      <c r="D1020" s="10" cm="1">
        <f t="array" ref="D1020">IFERROR(_xlfn.XLOOKUP(1,('env Parameter'!$A:$A=$A1020)*('env Parameter'!$B:$B=$K1020)*('env Parameter'!$C:$C=$L1020),'env Parameter'!F:F,""),"")</f>
        <v>478</v>
      </c>
      <c r="E1020" s="10" cm="1">
        <f t="array" ref="E1020">IFERROR(_xlfn.XLOOKUP(1,('env Parameter'!$A:$A=$A1020)*('env Parameter'!$B:$B=$K1020)*('env Parameter'!$C:$C=$L1020),'env Parameter'!G:G,""),"")</f>
        <v>7.6</v>
      </c>
      <c r="F1020" t="str">
        <f>eDNA!F1020</f>
        <v>MiFish</v>
      </c>
      <c r="G1020" t="str">
        <f>eDNA!D1020</f>
        <v>Canis lupus familiaris</v>
      </c>
      <c r="H1020" t="str">
        <f>_xlfn.XLOOKUP(G1020,'Common name (master file)'!$B:$B,'Common name (master file)'!$A:$A,"-------------")</f>
        <v>개</v>
      </c>
      <c r="I1020">
        <f>eDNA!E1020</f>
        <v>162</v>
      </c>
      <c r="J1020" t="str">
        <f>_xlfn.XLOOKUP(G1020,'Common name (master file)'!$B:$B,'Common name (master file)'!$C:$C,"")</f>
        <v>포유류</v>
      </c>
      <c r="K1020">
        <f>eDNA!B1020</f>
        <v>126.91482120000001</v>
      </c>
      <c r="L1020">
        <f>eDNA!C1020</f>
        <v>37.409803799999999</v>
      </c>
      <c r="M1020" s="10" t="str" cm="1">
        <f t="array" ref="M1020">IFERROR(_xlfn.XLOOKUP(1,('env Parameter'!$A:$A=$A1020)*('env Parameter'!$B:$B=$K1020)*('env Parameter'!$C:$C=$L1020),'env Parameter'!D:D,""),"")</f>
        <v>안양천-5</v>
      </c>
      <c r="N1020" s="10" t="str" cm="1">
        <f t="array" ref="N1020">IFERROR(_xlfn.XLOOKUP(1,('env Parameter'!$A:$A=$A1020)*('env Parameter'!$B:$B=$K1020)*('env Parameter'!$C:$C=$L1020),'env Parameter'!I:I,""),"")</f>
        <v>YR</v>
      </c>
    </row>
    <row r="1021" spans="1:14">
      <c r="A1021">
        <f>eDNA!A1021</f>
        <v>20201024</v>
      </c>
      <c r="B1021" s="10" t="str" cm="1">
        <f t="array" ref="B1021">IFERROR(_xlfn.XLOOKUP(1,('env Parameter'!$A:$A=$A1021)*('env Parameter'!$B:$B=$K1021)*('env Parameter'!$C:$C=$L1021),'env Parameter'!H:H,""),"")</f>
        <v>생물상 조사</v>
      </c>
      <c r="C1021" s="10" cm="1">
        <f t="array" ref="C1021">IFERROR(_xlfn.XLOOKUP(1,('env Parameter'!$A:$A=$A1021)*('env Parameter'!$B:$B=$K1021)*('env Parameter'!$C:$C=$L1021),'env Parameter'!E:E,""),"")</f>
        <v>2.14</v>
      </c>
      <c r="D1021" s="10" cm="1">
        <f t="array" ref="D1021">IFERROR(_xlfn.XLOOKUP(1,('env Parameter'!$A:$A=$A1021)*('env Parameter'!$B:$B=$K1021)*('env Parameter'!$C:$C=$L1021),'env Parameter'!F:F,""),"")</f>
        <v>478</v>
      </c>
      <c r="E1021" s="10" cm="1">
        <f t="array" ref="E1021">IFERROR(_xlfn.XLOOKUP(1,('env Parameter'!$A:$A=$A1021)*('env Parameter'!$B:$B=$K1021)*('env Parameter'!$C:$C=$L1021),'env Parameter'!G:G,""),"")</f>
        <v>7.6</v>
      </c>
      <c r="F1021" t="str">
        <f>eDNA!F1021</f>
        <v>MiFish</v>
      </c>
      <c r="G1021" t="str">
        <f>eDNA!D1021</f>
        <v>Bos taurus</v>
      </c>
      <c r="H1021" t="str">
        <f>_xlfn.XLOOKUP(G1021,'Common name (master file)'!$B:$B,'Common name (master file)'!$A:$A,"-------------")</f>
        <v>소</v>
      </c>
      <c r="I1021">
        <f>eDNA!E1021</f>
        <v>288</v>
      </c>
      <c r="J1021" t="str">
        <f>_xlfn.XLOOKUP(G1021,'Common name (master file)'!$B:$B,'Common name (master file)'!$C:$C,"")</f>
        <v>포유류</v>
      </c>
      <c r="K1021">
        <f>eDNA!B1021</f>
        <v>126.91482120000001</v>
      </c>
      <c r="L1021">
        <f>eDNA!C1021</f>
        <v>37.409803799999999</v>
      </c>
      <c r="M1021" s="10" t="str" cm="1">
        <f t="array" ref="M1021">IFERROR(_xlfn.XLOOKUP(1,('env Parameter'!$A:$A=$A1021)*('env Parameter'!$B:$B=$K1021)*('env Parameter'!$C:$C=$L1021),'env Parameter'!D:D,""),"")</f>
        <v>안양천-5</v>
      </c>
      <c r="N1021" s="10" t="str" cm="1">
        <f t="array" ref="N1021">IFERROR(_xlfn.XLOOKUP(1,('env Parameter'!$A:$A=$A1021)*('env Parameter'!$B:$B=$K1021)*('env Parameter'!$C:$C=$L1021),'env Parameter'!I:I,""),"")</f>
        <v>YR</v>
      </c>
    </row>
    <row r="1022" spans="1:14">
      <c r="A1022">
        <f>eDNA!A1022</f>
        <v>20201024</v>
      </c>
      <c r="B1022" s="10" t="str" cm="1">
        <f t="array" ref="B1022">IFERROR(_xlfn.XLOOKUP(1,('env Parameter'!$A:$A=$A1022)*('env Parameter'!$B:$B=$K1022)*('env Parameter'!$C:$C=$L1022),'env Parameter'!H:H,""),"")</f>
        <v>생물상 조사</v>
      </c>
      <c r="C1022" s="10" cm="1">
        <f t="array" ref="C1022">IFERROR(_xlfn.XLOOKUP(1,('env Parameter'!$A:$A=$A1022)*('env Parameter'!$B:$B=$K1022)*('env Parameter'!$C:$C=$L1022),'env Parameter'!E:E,""),"")</f>
        <v>2.14</v>
      </c>
      <c r="D1022" s="10" cm="1">
        <f t="array" ref="D1022">IFERROR(_xlfn.XLOOKUP(1,('env Parameter'!$A:$A=$A1022)*('env Parameter'!$B:$B=$K1022)*('env Parameter'!$C:$C=$L1022),'env Parameter'!F:F,""),"")</f>
        <v>478</v>
      </c>
      <c r="E1022" s="10" cm="1">
        <f t="array" ref="E1022">IFERROR(_xlfn.XLOOKUP(1,('env Parameter'!$A:$A=$A1022)*('env Parameter'!$B:$B=$K1022)*('env Parameter'!$C:$C=$L1022),'env Parameter'!G:G,""),"")</f>
        <v>7.6</v>
      </c>
      <c r="F1022" t="str">
        <f>eDNA!F1022</f>
        <v>MiFish</v>
      </c>
      <c r="G1022" t="str">
        <f>eDNA!D1022</f>
        <v>Rhinogobius sp.</v>
      </c>
      <c r="H1022" t="str">
        <f>_xlfn.XLOOKUP(G1022,'Common name (master file)'!$B:$B,'Common name (master file)'!$A:$A,"-------------")</f>
        <v>밀어</v>
      </c>
      <c r="I1022">
        <f>eDNA!E1022</f>
        <v>293</v>
      </c>
      <c r="J1022" t="str">
        <f>_xlfn.XLOOKUP(G1022,'Common name (master file)'!$B:$B,'Common name (master file)'!$C:$C,"")</f>
        <v>어류</v>
      </c>
      <c r="K1022">
        <f>eDNA!B1022</f>
        <v>126.91482120000001</v>
      </c>
      <c r="L1022">
        <f>eDNA!C1022</f>
        <v>37.409803799999999</v>
      </c>
      <c r="M1022" s="10" t="str" cm="1">
        <f t="array" ref="M1022">IFERROR(_xlfn.XLOOKUP(1,('env Parameter'!$A:$A=$A1022)*('env Parameter'!$B:$B=$K1022)*('env Parameter'!$C:$C=$L1022),'env Parameter'!D:D,""),"")</f>
        <v>안양천-5</v>
      </c>
      <c r="N1022" s="10" t="str" cm="1">
        <f t="array" ref="N1022">IFERROR(_xlfn.XLOOKUP(1,('env Parameter'!$A:$A=$A1022)*('env Parameter'!$B:$B=$K1022)*('env Parameter'!$C:$C=$L1022),'env Parameter'!I:I,""),"")</f>
        <v>YR</v>
      </c>
    </row>
    <row r="1023" spans="1:14">
      <c r="A1023">
        <f>eDNA!A1023</f>
        <v>20201024</v>
      </c>
      <c r="B1023" s="10" t="str" cm="1">
        <f t="array" ref="B1023">IFERROR(_xlfn.XLOOKUP(1,('env Parameter'!$A:$A=$A1023)*('env Parameter'!$B:$B=$K1023)*('env Parameter'!$C:$C=$L1023),'env Parameter'!H:H,""),"")</f>
        <v>생물상 조사</v>
      </c>
      <c r="C1023" s="10" cm="1">
        <f t="array" ref="C1023">IFERROR(_xlfn.XLOOKUP(1,('env Parameter'!$A:$A=$A1023)*('env Parameter'!$B:$B=$K1023)*('env Parameter'!$C:$C=$L1023),'env Parameter'!E:E,""),"")</f>
        <v>2.14</v>
      </c>
      <c r="D1023" s="10" cm="1">
        <f t="array" ref="D1023">IFERROR(_xlfn.XLOOKUP(1,('env Parameter'!$A:$A=$A1023)*('env Parameter'!$B:$B=$K1023)*('env Parameter'!$C:$C=$L1023),'env Parameter'!F:F,""),"")</f>
        <v>478</v>
      </c>
      <c r="E1023" s="10" cm="1">
        <f t="array" ref="E1023">IFERROR(_xlfn.XLOOKUP(1,('env Parameter'!$A:$A=$A1023)*('env Parameter'!$B:$B=$K1023)*('env Parameter'!$C:$C=$L1023),'env Parameter'!G:G,""),"")</f>
        <v>7.6</v>
      </c>
      <c r="F1023" t="str">
        <f>eDNA!F1023</f>
        <v>MiFish</v>
      </c>
      <c r="G1023" t="str">
        <f>eDNA!D1023</f>
        <v>Hemibarbus sp.</v>
      </c>
      <c r="H1023" t="str">
        <f>_xlfn.XLOOKUP(G1023,'Common name (master file)'!$B:$B,'Common name (master file)'!$A:$A,"-------------")</f>
        <v>누치 속</v>
      </c>
      <c r="I1023">
        <f>eDNA!E1023</f>
        <v>381</v>
      </c>
      <c r="J1023" t="str">
        <f>_xlfn.XLOOKUP(G1023,'Common name (master file)'!$B:$B,'Common name (master file)'!$C:$C,"")</f>
        <v>어류</v>
      </c>
      <c r="K1023">
        <f>eDNA!B1023</f>
        <v>126.91482120000001</v>
      </c>
      <c r="L1023">
        <f>eDNA!C1023</f>
        <v>37.409803799999999</v>
      </c>
      <c r="M1023" s="10" t="str" cm="1">
        <f t="array" ref="M1023">IFERROR(_xlfn.XLOOKUP(1,('env Parameter'!$A:$A=$A1023)*('env Parameter'!$B:$B=$K1023)*('env Parameter'!$C:$C=$L1023),'env Parameter'!D:D,""),"")</f>
        <v>안양천-5</v>
      </c>
      <c r="N1023" s="10" t="str" cm="1">
        <f t="array" ref="N1023">IFERROR(_xlfn.XLOOKUP(1,('env Parameter'!$A:$A=$A1023)*('env Parameter'!$B:$B=$K1023)*('env Parameter'!$C:$C=$L1023),'env Parameter'!I:I,""),"")</f>
        <v>YR</v>
      </c>
    </row>
    <row r="1024" spans="1:14">
      <c r="A1024">
        <f>eDNA!A1024</f>
        <v>20201024</v>
      </c>
      <c r="B1024" s="10" t="str" cm="1">
        <f t="array" ref="B1024">IFERROR(_xlfn.XLOOKUP(1,('env Parameter'!$A:$A=$A1024)*('env Parameter'!$B:$B=$K1024)*('env Parameter'!$C:$C=$L1024),'env Parameter'!H:H,""),"")</f>
        <v>생물상 조사</v>
      </c>
      <c r="C1024" s="10" cm="1">
        <f t="array" ref="C1024">IFERROR(_xlfn.XLOOKUP(1,('env Parameter'!$A:$A=$A1024)*('env Parameter'!$B:$B=$K1024)*('env Parameter'!$C:$C=$L1024),'env Parameter'!E:E,""),"")</f>
        <v>2.14</v>
      </c>
      <c r="D1024" s="10" cm="1">
        <f t="array" ref="D1024">IFERROR(_xlfn.XLOOKUP(1,('env Parameter'!$A:$A=$A1024)*('env Parameter'!$B:$B=$K1024)*('env Parameter'!$C:$C=$L1024),'env Parameter'!F:F,""),"")</f>
        <v>478</v>
      </c>
      <c r="E1024" s="10" cm="1">
        <f t="array" ref="E1024">IFERROR(_xlfn.XLOOKUP(1,('env Parameter'!$A:$A=$A1024)*('env Parameter'!$B:$B=$K1024)*('env Parameter'!$C:$C=$L1024),'env Parameter'!G:G,""),"")</f>
        <v>7.6</v>
      </c>
      <c r="F1024" t="str">
        <f>eDNA!F1024</f>
        <v>MiFish</v>
      </c>
      <c r="G1024" t="str">
        <f>eDNA!D1024</f>
        <v>Culter dabryi</v>
      </c>
      <c r="H1024" t="str">
        <f>_xlfn.XLOOKUP(G1024,'Common name (master file)'!$B:$B,'Common name (master file)'!$A:$A,"-------------")</f>
        <v>다브리날카로운입치</v>
      </c>
      <c r="I1024">
        <f>eDNA!E1024</f>
        <v>391</v>
      </c>
      <c r="J1024" t="str">
        <f>_xlfn.XLOOKUP(G1024,'Common name (master file)'!$B:$B,'Common name (master file)'!$C:$C,"")</f>
        <v>어류</v>
      </c>
      <c r="K1024">
        <f>eDNA!B1024</f>
        <v>126.91482120000001</v>
      </c>
      <c r="L1024">
        <f>eDNA!C1024</f>
        <v>37.409803799999999</v>
      </c>
      <c r="M1024" s="10" t="str" cm="1">
        <f t="array" ref="M1024">IFERROR(_xlfn.XLOOKUP(1,('env Parameter'!$A:$A=$A1024)*('env Parameter'!$B:$B=$K1024)*('env Parameter'!$C:$C=$L1024),'env Parameter'!D:D,""),"")</f>
        <v>안양천-5</v>
      </c>
      <c r="N1024" s="10" t="str" cm="1">
        <f t="array" ref="N1024">IFERROR(_xlfn.XLOOKUP(1,('env Parameter'!$A:$A=$A1024)*('env Parameter'!$B:$B=$K1024)*('env Parameter'!$C:$C=$L1024),'env Parameter'!I:I,""),"")</f>
        <v>YR</v>
      </c>
    </row>
    <row r="1025" spans="1:14">
      <c r="A1025">
        <f>eDNA!A1025</f>
        <v>20201024</v>
      </c>
      <c r="B1025" s="10" t="str" cm="1">
        <f t="array" ref="B1025">IFERROR(_xlfn.XLOOKUP(1,('env Parameter'!$A:$A=$A1025)*('env Parameter'!$B:$B=$K1025)*('env Parameter'!$C:$C=$L1025),'env Parameter'!H:H,""),"")</f>
        <v>생물상 조사</v>
      </c>
      <c r="C1025" s="10" cm="1">
        <f t="array" ref="C1025">IFERROR(_xlfn.XLOOKUP(1,('env Parameter'!$A:$A=$A1025)*('env Parameter'!$B:$B=$K1025)*('env Parameter'!$C:$C=$L1025),'env Parameter'!E:E,""),"")</f>
        <v>2.14</v>
      </c>
      <c r="D1025" s="10" cm="1">
        <f t="array" ref="D1025">IFERROR(_xlfn.XLOOKUP(1,('env Parameter'!$A:$A=$A1025)*('env Parameter'!$B:$B=$K1025)*('env Parameter'!$C:$C=$L1025),'env Parameter'!F:F,""),"")</f>
        <v>478</v>
      </c>
      <c r="E1025" s="10" cm="1">
        <f t="array" ref="E1025">IFERROR(_xlfn.XLOOKUP(1,('env Parameter'!$A:$A=$A1025)*('env Parameter'!$B:$B=$K1025)*('env Parameter'!$C:$C=$L1025),'env Parameter'!G:G,""),"")</f>
        <v>7.6</v>
      </c>
      <c r="F1025" t="str">
        <f>eDNA!F1025</f>
        <v>MiFish</v>
      </c>
      <c r="G1025" t="str">
        <f>eDNA!D1025</f>
        <v>Sus scrofa</v>
      </c>
      <c r="H1025" t="str">
        <f>_xlfn.XLOOKUP(G1025,'Common name (master file)'!$B:$B,'Common name (master file)'!$A:$A,"-------------")</f>
        <v>멧돼지</v>
      </c>
      <c r="I1025">
        <f>eDNA!E1025</f>
        <v>636</v>
      </c>
      <c r="J1025" t="str">
        <f>_xlfn.XLOOKUP(G1025,'Common name (master file)'!$B:$B,'Common name (master file)'!$C:$C,"")</f>
        <v>포유류</v>
      </c>
      <c r="K1025">
        <f>eDNA!B1025</f>
        <v>126.91482120000001</v>
      </c>
      <c r="L1025">
        <f>eDNA!C1025</f>
        <v>37.409803799999999</v>
      </c>
      <c r="M1025" s="10" t="str" cm="1">
        <f t="array" ref="M1025">IFERROR(_xlfn.XLOOKUP(1,('env Parameter'!$A:$A=$A1025)*('env Parameter'!$B:$B=$K1025)*('env Parameter'!$C:$C=$L1025),'env Parameter'!D:D,""),"")</f>
        <v>안양천-5</v>
      </c>
      <c r="N1025" s="10" t="str" cm="1">
        <f t="array" ref="N1025">IFERROR(_xlfn.XLOOKUP(1,('env Parameter'!$A:$A=$A1025)*('env Parameter'!$B:$B=$K1025)*('env Parameter'!$C:$C=$L1025),'env Parameter'!I:I,""),"")</f>
        <v>YR</v>
      </c>
    </row>
    <row r="1026" spans="1:14">
      <c r="A1026">
        <f>eDNA!A1026</f>
        <v>20201024</v>
      </c>
      <c r="B1026" s="10" t="str" cm="1">
        <f t="array" ref="B1026">IFERROR(_xlfn.XLOOKUP(1,('env Parameter'!$A:$A=$A1026)*('env Parameter'!$B:$B=$K1026)*('env Parameter'!$C:$C=$L1026),'env Parameter'!H:H,""),"")</f>
        <v>생물상 조사</v>
      </c>
      <c r="C1026" s="10" cm="1">
        <f t="array" ref="C1026">IFERROR(_xlfn.XLOOKUP(1,('env Parameter'!$A:$A=$A1026)*('env Parameter'!$B:$B=$K1026)*('env Parameter'!$C:$C=$L1026),'env Parameter'!E:E,""),"")</f>
        <v>2.14</v>
      </c>
      <c r="D1026" s="10" cm="1">
        <f t="array" ref="D1026">IFERROR(_xlfn.XLOOKUP(1,('env Parameter'!$A:$A=$A1026)*('env Parameter'!$B:$B=$K1026)*('env Parameter'!$C:$C=$L1026),'env Parameter'!F:F,""),"")</f>
        <v>478</v>
      </c>
      <c r="E1026" s="10" cm="1">
        <f t="array" ref="E1026">IFERROR(_xlfn.XLOOKUP(1,('env Parameter'!$A:$A=$A1026)*('env Parameter'!$B:$B=$K1026)*('env Parameter'!$C:$C=$L1026),'env Parameter'!G:G,""),"")</f>
        <v>7.6</v>
      </c>
      <c r="F1026" t="str">
        <f>eDNA!F1026</f>
        <v>MiFish</v>
      </c>
      <c r="G1026" t="str">
        <f>eDNA!D1026</f>
        <v>Carassius sp.</v>
      </c>
      <c r="H1026" t="str">
        <f>_xlfn.XLOOKUP(G1026,'Common name (master file)'!$B:$B,'Common name (master file)'!$A:$A,"-------------")</f>
        <v>붕어 속</v>
      </c>
      <c r="I1026">
        <f>eDNA!E1026</f>
        <v>533</v>
      </c>
      <c r="J1026" t="str">
        <f>_xlfn.XLOOKUP(G1026,'Common name (master file)'!$B:$B,'Common name (master file)'!$C:$C,"")</f>
        <v>어류</v>
      </c>
      <c r="K1026">
        <f>eDNA!B1026</f>
        <v>126.91482120000001</v>
      </c>
      <c r="L1026">
        <f>eDNA!C1026</f>
        <v>37.409803799999999</v>
      </c>
      <c r="M1026" s="10" t="str" cm="1">
        <f t="array" ref="M1026">IFERROR(_xlfn.XLOOKUP(1,('env Parameter'!$A:$A=$A1026)*('env Parameter'!$B:$B=$K1026)*('env Parameter'!$C:$C=$L1026),'env Parameter'!D:D,""),"")</f>
        <v>안양천-5</v>
      </c>
      <c r="N1026" s="10" t="str" cm="1">
        <f t="array" ref="N1026">IFERROR(_xlfn.XLOOKUP(1,('env Parameter'!$A:$A=$A1026)*('env Parameter'!$B:$B=$K1026)*('env Parameter'!$C:$C=$L1026),'env Parameter'!I:I,""),"")</f>
        <v>YR</v>
      </c>
    </row>
    <row r="1027" spans="1:14">
      <c r="A1027">
        <f>eDNA!A1027</f>
        <v>20201024</v>
      </c>
      <c r="B1027" s="10" t="str" cm="1">
        <f t="array" ref="B1027">IFERROR(_xlfn.XLOOKUP(1,('env Parameter'!$A:$A=$A1027)*('env Parameter'!$B:$B=$K1027)*('env Parameter'!$C:$C=$L1027),'env Parameter'!H:H,""),"")</f>
        <v>생물상 조사</v>
      </c>
      <c r="C1027" s="10" cm="1">
        <f t="array" ref="C1027">IFERROR(_xlfn.XLOOKUP(1,('env Parameter'!$A:$A=$A1027)*('env Parameter'!$B:$B=$K1027)*('env Parameter'!$C:$C=$L1027),'env Parameter'!E:E,""),"")</f>
        <v>2.14</v>
      </c>
      <c r="D1027" s="10" cm="1">
        <f t="array" ref="D1027">IFERROR(_xlfn.XLOOKUP(1,('env Parameter'!$A:$A=$A1027)*('env Parameter'!$B:$B=$K1027)*('env Parameter'!$C:$C=$L1027),'env Parameter'!F:F,""),"")</f>
        <v>478</v>
      </c>
      <c r="E1027" s="10" cm="1">
        <f t="array" ref="E1027">IFERROR(_xlfn.XLOOKUP(1,('env Parameter'!$A:$A=$A1027)*('env Parameter'!$B:$B=$K1027)*('env Parameter'!$C:$C=$L1027),'env Parameter'!G:G,""),"")</f>
        <v>7.6</v>
      </c>
      <c r="F1027" t="str">
        <f>eDNA!F1027</f>
        <v>MiFish</v>
      </c>
      <c r="G1027" t="str">
        <f>eDNA!D1027</f>
        <v>Misgurnus mizolepis</v>
      </c>
      <c r="H1027" t="str">
        <f>_xlfn.XLOOKUP(G1027,'Common name (master file)'!$B:$B,'Common name (master file)'!$A:$A,"-------------")</f>
        <v>미꾸라지</v>
      </c>
      <c r="I1027">
        <f>eDNA!E1027</f>
        <v>723</v>
      </c>
      <c r="J1027" t="str">
        <f>_xlfn.XLOOKUP(G1027,'Common name (master file)'!$B:$B,'Common name (master file)'!$C:$C,"")</f>
        <v>어류</v>
      </c>
      <c r="K1027">
        <f>eDNA!B1027</f>
        <v>126.91482120000001</v>
      </c>
      <c r="L1027">
        <f>eDNA!C1027</f>
        <v>37.409803799999999</v>
      </c>
      <c r="M1027" s="10" t="str" cm="1">
        <f t="array" ref="M1027">IFERROR(_xlfn.XLOOKUP(1,('env Parameter'!$A:$A=$A1027)*('env Parameter'!$B:$B=$K1027)*('env Parameter'!$C:$C=$L1027),'env Parameter'!D:D,""),"")</f>
        <v>안양천-5</v>
      </c>
      <c r="N1027" s="10" t="str" cm="1">
        <f t="array" ref="N1027">IFERROR(_xlfn.XLOOKUP(1,('env Parameter'!$A:$A=$A1027)*('env Parameter'!$B:$B=$K1027)*('env Parameter'!$C:$C=$L1027),'env Parameter'!I:I,""),"")</f>
        <v>YR</v>
      </c>
    </row>
    <row r="1028" spans="1:14">
      <c r="A1028">
        <f>eDNA!A1028</f>
        <v>20201024</v>
      </c>
      <c r="B1028" s="10" t="str" cm="1">
        <f t="array" ref="B1028">IFERROR(_xlfn.XLOOKUP(1,('env Parameter'!$A:$A=$A1028)*('env Parameter'!$B:$B=$K1028)*('env Parameter'!$C:$C=$L1028),'env Parameter'!H:H,""),"")</f>
        <v>생물상 조사</v>
      </c>
      <c r="C1028" s="10" cm="1">
        <f t="array" ref="C1028">IFERROR(_xlfn.XLOOKUP(1,('env Parameter'!$A:$A=$A1028)*('env Parameter'!$B:$B=$K1028)*('env Parameter'!$C:$C=$L1028),'env Parameter'!E:E,""),"")</f>
        <v>2.14</v>
      </c>
      <c r="D1028" s="10" cm="1">
        <f t="array" ref="D1028">IFERROR(_xlfn.XLOOKUP(1,('env Parameter'!$A:$A=$A1028)*('env Parameter'!$B:$B=$K1028)*('env Parameter'!$C:$C=$L1028),'env Parameter'!F:F,""),"")</f>
        <v>478</v>
      </c>
      <c r="E1028" s="10" cm="1">
        <f t="array" ref="E1028">IFERROR(_xlfn.XLOOKUP(1,('env Parameter'!$A:$A=$A1028)*('env Parameter'!$B:$B=$K1028)*('env Parameter'!$C:$C=$L1028),'env Parameter'!G:G,""),"")</f>
        <v>7.6</v>
      </c>
      <c r="F1028" t="str">
        <f>eDNA!F1028</f>
        <v>MiFish</v>
      </c>
      <c r="G1028" t="str">
        <f>eDNA!D1028</f>
        <v>Micropterus salmoides</v>
      </c>
      <c r="H1028" t="str">
        <f>_xlfn.XLOOKUP(G1028,'Common name (master file)'!$B:$B,'Common name (master file)'!$A:$A,"-------------")</f>
        <v>큰입배스</v>
      </c>
      <c r="I1028">
        <f>eDNA!E1028</f>
        <v>795</v>
      </c>
      <c r="J1028" t="str">
        <f>_xlfn.XLOOKUP(G1028,'Common name (master file)'!$B:$B,'Common name (master file)'!$C:$C,"")</f>
        <v>어류</v>
      </c>
      <c r="K1028">
        <f>eDNA!B1028</f>
        <v>126.91482120000001</v>
      </c>
      <c r="L1028">
        <f>eDNA!C1028</f>
        <v>37.409803799999999</v>
      </c>
      <c r="M1028" s="10" t="str" cm="1">
        <f t="array" ref="M1028">IFERROR(_xlfn.XLOOKUP(1,('env Parameter'!$A:$A=$A1028)*('env Parameter'!$B:$B=$K1028)*('env Parameter'!$C:$C=$L1028),'env Parameter'!D:D,""),"")</f>
        <v>안양천-5</v>
      </c>
      <c r="N1028" s="10" t="str" cm="1">
        <f t="array" ref="N1028">IFERROR(_xlfn.XLOOKUP(1,('env Parameter'!$A:$A=$A1028)*('env Parameter'!$B:$B=$K1028)*('env Parameter'!$C:$C=$L1028),'env Parameter'!I:I,""),"")</f>
        <v>YR</v>
      </c>
    </row>
    <row r="1029" spans="1:14">
      <c r="A1029">
        <f>eDNA!A1029</f>
        <v>20201024</v>
      </c>
      <c r="B1029" s="10" t="str" cm="1">
        <f t="array" ref="B1029">IFERROR(_xlfn.XLOOKUP(1,('env Parameter'!$A:$A=$A1029)*('env Parameter'!$B:$B=$K1029)*('env Parameter'!$C:$C=$L1029),'env Parameter'!H:H,""),"")</f>
        <v>생물상 조사</v>
      </c>
      <c r="C1029" s="10" cm="1">
        <f t="array" ref="C1029">IFERROR(_xlfn.XLOOKUP(1,('env Parameter'!$A:$A=$A1029)*('env Parameter'!$B:$B=$K1029)*('env Parameter'!$C:$C=$L1029),'env Parameter'!E:E,""),"")</f>
        <v>2.14</v>
      </c>
      <c r="D1029" s="10" cm="1">
        <f t="array" ref="D1029">IFERROR(_xlfn.XLOOKUP(1,('env Parameter'!$A:$A=$A1029)*('env Parameter'!$B:$B=$K1029)*('env Parameter'!$C:$C=$L1029),'env Parameter'!F:F,""),"")</f>
        <v>478</v>
      </c>
      <c r="E1029" s="10" cm="1">
        <f t="array" ref="E1029">IFERROR(_xlfn.XLOOKUP(1,('env Parameter'!$A:$A=$A1029)*('env Parameter'!$B:$B=$K1029)*('env Parameter'!$C:$C=$L1029),'env Parameter'!G:G,""),"")</f>
        <v>7.6</v>
      </c>
      <c r="F1029" t="str">
        <f>eDNA!F1029</f>
        <v>MiFish</v>
      </c>
      <c r="G1029" t="str">
        <f>eDNA!D1029</f>
        <v>Cyprinus carpio</v>
      </c>
      <c r="H1029" t="str">
        <f>_xlfn.XLOOKUP(G1029,'Common name (master file)'!$B:$B,'Common name (master file)'!$A:$A,"-------------")</f>
        <v>잉어</v>
      </c>
      <c r="I1029">
        <f>eDNA!E1029</f>
        <v>979</v>
      </c>
      <c r="J1029" t="str">
        <f>_xlfn.XLOOKUP(G1029,'Common name (master file)'!$B:$B,'Common name (master file)'!$C:$C,"")</f>
        <v>어류</v>
      </c>
      <c r="K1029">
        <f>eDNA!B1029</f>
        <v>126.91482120000001</v>
      </c>
      <c r="L1029">
        <f>eDNA!C1029</f>
        <v>37.409803799999999</v>
      </c>
      <c r="M1029" s="10" t="str" cm="1">
        <f t="array" ref="M1029">IFERROR(_xlfn.XLOOKUP(1,('env Parameter'!$A:$A=$A1029)*('env Parameter'!$B:$B=$K1029)*('env Parameter'!$C:$C=$L1029),'env Parameter'!D:D,""),"")</f>
        <v>안양천-5</v>
      </c>
      <c r="N1029" s="10" t="str" cm="1">
        <f t="array" ref="N1029">IFERROR(_xlfn.XLOOKUP(1,('env Parameter'!$A:$A=$A1029)*('env Parameter'!$B:$B=$K1029)*('env Parameter'!$C:$C=$L1029),'env Parameter'!I:I,""),"")</f>
        <v>YR</v>
      </c>
    </row>
    <row r="1030" spans="1:14">
      <c r="A1030">
        <f>eDNA!A1030</f>
        <v>20201024</v>
      </c>
      <c r="B1030" s="10" t="str" cm="1">
        <f t="array" ref="B1030">IFERROR(_xlfn.XLOOKUP(1,('env Parameter'!$A:$A=$A1030)*('env Parameter'!$B:$B=$K1030)*('env Parameter'!$C:$C=$L1030),'env Parameter'!H:H,""),"")</f>
        <v>생물상 조사</v>
      </c>
      <c r="C1030" s="10" cm="1">
        <f t="array" ref="C1030">IFERROR(_xlfn.XLOOKUP(1,('env Parameter'!$A:$A=$A1030)*('env Parameter'!$B:$B=$K1030)*('env Parameter'!$C:$C=$L1030),'env Parameter'!E:E,""),"")</f>
        <v>2.14</v>
      </c>
      <c r="D1030" s="10" cm="1">
        <f t="array" ref="D1030">IFERROR(_xlfn.XLOOKUP(1,('env Parameter'!$A:$A=$A1030)*('env Parameter'!$B:$B=$K1030)*('env Parameter'!$C:$C=$L1030),'env Parameter'!F:F,""),"")</f>
        <v>478</v>
      </c>
      <c r="E1030" s="10" cm="1">
        <f t="array" ref="E1030">IFERROR(_xlfn.XLOOKUP(1,('env Parameter'!$A:$A=$A1030)*('env Parameter'!$B:$B=$K1030)*('env Parameter'!$C:$C=$L1030),'env Parameter'!G:G,""),"")</f>
        <v>7.6</v>
      </c>
      <c r="F1030" t="str">
        <f>eDNA!F1030</f>
        <v>MiFish</v>
      </c>
      <c r="G1030" t="str">
        <f>eDNA!D1030</f>
        <v>Channa argus</v>
      </c>
      <c r="H1030" t="str">
        <f>_xlfn.XLOOKUP(G1030,'Common name (master file)'!$B:$B,'Common name (master file)'!$A:$A,"-------------")</f>
        <v>가물치</v>
      </c>
      <c r="I1030">
        <f>eDNA!E1030</f>
        <v>1026</v>
      </c>
      <c r="J1030" t="str">
        <f>_xlfn.XLOOKUP(G1030,'Common name (master file)'!$B:$B,'Common name (master file)'!$C:$C,"")</f>
        <v>어류</v>
      </c>
      <c r="K1030">
        <f>eDNA!B1030</f>
        <v>126.91482120000001</v>
      </c>
      <c r="L1030">
        <f>eDNA!C1030</f>
        <v>37.409803799999999</v>
      </c>
      <c r="M1030" s="10" t="str" cm="1">
        <f t="array" ref="M1030">IFERROR(_xlfn.XLOOKUP(1,('env Parameter'!$A:$A=$A1030)*('env Parameter'!$B:$B=$K1030)*('env Parameter'!$C:$C=$L1030),'env Parameter'!D:D,""),"")</f>
        <v>안양천-5</v>
      </c>
      <c r="N1030" s="10" t="str" cm="1">
        <f t="array" ref="N1030">IFERROR(_xlfn.XLOOKUP(1,('env Parameter'!$A:$A=$A1030)*('env Parameter'!$B:$B=$K1030)*('env Parameter'!$C:$C=$L1030),'env Parameter'!I:I,""),"")</f>
        <v>YR</v>
      </c>
    </row>
    <row r="1031" spans="1:14">
      <c r="A1031">
        <f>eDNA!A1031</f>
        <v>20201024</v>
      </c>
      <c r="B1031" s="10" t="str" cm="1">
        <f t="array" ref="B1031">IFERROR(_xlfn.XLOOKUP(1,('env Parameter'!$A:$A=$A1031)*('env Parameter'!$B:$B=$K1031)*('env Parameter'!$C:$C=$L1031),'env Parameter'!H:H,""),"")</f>
        <v>생물상 조사</v>
      </c>
      <c r="C1031" s="10" cm="1">
        <f t="array" ref="C1031">IFERROR(_xlfn.XLOOKUP(1,('env Parameter'!$A:$A=$A1031)*('env Parameter'!$B:$B=$K1031)*('env Parameter'!$C:$C=$L1031),'env Parameter'!E:E,""),"")</f>
        <v>2.14</v>
      </c>
      <c r="D1031" s="10" cm="1">
        <f t="array" ref="D1031">IFERROR(_xlfn.XLOOKUP(1,('env Parameter'!$A:$A=$A1031)*('env Parameter'!$B:$B=$K1031)*('env Parameter'!$C:$C=$L1031),'env Parameter'!F:F,""),"")</f>
        <v>478</v>
      </c>
      <c r="E1031" s="10" cm="1">
        <f t="array" ref="E1031">IFERROR(_xlfn.XLOOKUP(1,('env Parameter'!$A:$A=$A1031)*('env Parameter'!$B:$B=$K1031)*('env Parameter'!$C:$C=$L1031),'env Parameter'!G:G,""),"")</f>
        <v>7.6</v>
      </c>
      <c r="F1031" t="str">
        <f>eDNA!F1031</f>
        <v>MiFish</v>
      </c>
      <c r="G1031" t="str">
        <f>eDNA!D1031</f>
        <v>Gnathopogon strigatus</v>
      </c>
      <c r="H1031" t="str">
        <f>_xlfn.XLOOKUP(G1031,'Common name (master file)'!$B:$B,'Common name (master file)'!$A:$A,"-------------")</f>
        <v>줄몰개</v>
      </c>
      <c r="I1031">
        <f>eDNA!E1031</f>
        <v>2720</v>
      </c>
      <c r="J1031" t="str">
        <f>_xlfn.XLOOKUP(G1031,'Common name (master file)'!$B:$B,'Common name (master file)'!$C:$C,"")</f>
        <v>어류</v>
      </c>
      <c r="K1031">
        <f>eDNA!B1031</f>
        <v>126.91482120000001</v>
      </c>
      <c r="L1031">
        <f>eDNA!C1031</f>
        <v>37.409803799999999</v>
      </c>
      <c r="M1031" s="10" t="str" cm="1">
        <f t="array" ref="M1031">IFERROR(_xlfn.XLOOKUP(1,('env Parameter'!$A:$A=$A1031)*('env Parameter'!$B:$B=$K1031)*('env Parameter'!$C:$C=$L1031),'env Parameter'!D:D,""),"")</f>
        <v>안양천-5</v>
      </c>
      <c r="N1031" s="10" t="str" cm="1">
        <f t="array" ref="N1031">IFERROR(_xlfn.XLOOKUP(1,('env Parameter'!$A:$A=$A1031)*('env Parameter'!$B:$B=$K1031)*('env Parameter'!$C:$C=$L1031),'env Parameter'!I:I,""),"")</f>
        <v>YR</v>
      </c>
    </row>
    <row r="1032" spans="1:14">
      <c r="A1032">
        <f>eDNA!A1032</f>
        <v>20201024</v>
      </c>
      <c r="B1032" s="10" t="str" cm="1">
        <f t="array" ref="B1032">IFERROR(_xlfn.XLOOKUP(1,('env Parameter'!$A:$A=$A1032)*('env Parameter'!$B:$B=$K1032)*('env Parameter'!$C:$C=$L1032),'env Parameter'!H:H,""),"")</f>
        <v>생물상 조사</v>
      </c>
      <c r="C1032" s="10" cm="1">
        <f t="array" ref="C1032">IFERROR(_xlfn.XLOOKUP(1,('env Parameter'!$A:$A=$A1032)*('env Parameter'!$B:$B=$K1032)*('env Parameter'!$C:$C=$L1032),'env Parameter'!E:E,""),"")</f>
        <v>2.14</v>
      </c>
      <c r="D1032" s="10" cm="1">
        <f t="array" ref="D1032">IFERROR(_xlfn.XLOOKUP(1,('env Parameter'!$A:$A=$A1032)*('env Parameter'!$B:$B=$K1032)*('env Parameter'!$C:$C=$L1032),'env Parameter'!F:F,""),"")</f>
        <v>478</v>
      </c>
      <c r="E1032" s="10" cm="1">
        <f t="array" ref="E1032">IFERROR(_xlfn.XLOOKUP(1,('env Parameter'!$A:$A=$A1032)*('env Parameter'!$B:$B=$K1032)*('env Parameter'!$C:$C=$L1032),'env Parameter'!G:G,""),"")</f>
        <v>7.6</v>
      </c>
      <c r="F1032" t="str">
        <f>eDNA!F1032</f>
        <v>MiFish</v>
      </c>
      <c r="G1032" t="str">
        <f>eDNA!D1032</f>
        <v>Silurus soldatovi</v>
      </c>
      <c r="H1032" t="str">
        <f>_xlfn.XLOOKUP(G1032,'Common name (master file)'!$B:$B,'Common name (master file)'!$A:$A,"-------------")</f>
        <v>솔다토비 메기</v>
      </c>
      <c r="I1032">
        <f>eDNA!E1032</f>
        <v>3560</v>
      </c>
      <c r="J1032" t="str">
        <f>_xlfn.XLOOKUP(G1032,'Common name (master file)'!$B:$B,'Common name (master file)'!$C:$C,"")</f>
        <v>어류</v>
      </c>
      <c r="K1032">
        <f>eDNA!B1032</f>
        <v>126.91482120000001</v>
      </c>
      <c r="L1032">
        <f>eDNA!C1032</f>
        <v>37.409803799999999</v>
      </c>
      <c r="M1032" s="10" t="str" cm="1">
        <f t="array" ref="M1032">IFERROR(_xlfn.XLOOKUP(1,('env Parameter'!$A:$A=$A1032)*('env Parameter'!$B:$B=$K1032)*('env Parameter'!$C:$C=$L1032),'env Parameter'!D:D,""),"")</f>
        <v>안양천-5</v>
      </c>
      <c r="N1032" s="10" t="str" cm="1">
        <f t="array" ref="N1032">IFERROR(_xlfn.XLOOKUP(1,('env Parameter'!$A:$A=$A1032)*('env Parameter'!$B:$B=$K1032)*('env Parameter'!$C:$C=$L1032),'env Parameter'!I:I,""),"")</f>
        <v>YR</v>
      </c>
    </row>
    <row r="1033" spans="1:14">
      <c r="A1033">
        <f>eDNA!A1033</f>
        <v>20201024</v>
      </c>
      <c r="B1033" s="10" t="str" cm="1">
        <f t="array" ref="B1033">IFERROR(_xlfn.XLOOKUP(1,('env Parameter'!$A:$A=$A1033)*('env Parameter'!$B:$B=$K1033)*('env Parameter'!$C:$C=$L1033),'env Parameter'!H:H,""),"")</f>
        <v>생물상 조사</v>
      </c>
      <c r="C1033" s="10" cm="1">
        <f t="array" ref="C1033">IFERROR(_xlfn.XLOOKUP(1,('env Parameter'!$A:$A=$A1033)*('env Parameter'!$B:$B=$K1033)*('env Parameter'!$C:$C=$L1033),'env Parameter'!E:E,""),"")</f>
        <v>2.14</v>
      </c>
      <c r="D1033" s="10" cm="1">
        <f t="array" ref="D1033">IFERROR(_xlfn.XLOOKUP(1,('env Parameter'!$A:$A=$A1033)*('env Parameter'!$B:$B=$K1033)*('env Parameter'!$C:$C=$L1033),'env Parameter'!F:F,""),"")</f>
        <v>478</v>
      </c>
      <c r="E1033" s="10" cm="1">
        <f t="array" ref="E1033">IFERROR(_xlfn.XLOOKUP(1,('env Parameter'!$A:$A=$A1033)*('env Parameter'!$B:$B=$K1033)*('env Parameter'!$C:$C=$L1033),'env Parameter'!G:G,""),"")</f>
        <v>7.6</v>
      </c>
      <c r="F1033" t="str">
        <f>eDNA!F1033</f>
        <v>MiFish</v>
      </c>
      <c r="G1033" t="str">
        <f>eDNA!D1033</f>
        <v>Odontobutis interrupta</v>
      </c>
      <c r="H1033" t="str">
        <f>_xlfn.XLOOKUP(G1033,'Common name (master file)'!$B:$B,'Common name (master file)'!$A:$A,"-------------")</f>
        <v>얼록동사리</v>
      </c>
      <c r="I1033">
        <f>eDNA!E1033</f>
        <v>6109</v>
      </c>
      <c r="J1033" t="str">
        <f>_xlfn.XLOOKUP(G1033,'Common name (master file)'!$B:$B,'Common name (master file)'!$C:$C,"")</f>
        <v>어류</v>
      </c>
      <c r="K1033">
        <f>eDNA!B1033</f>
        <v>126.91482120000001</v>
      </c>
      <c r="L1033">
        <f>eDNA!C1033</f>
        <v>37.409803799999999</v>
      </c>
      <c r="M1033" s="10" t="str" cm="1">
        <f t="array" ref="M1033">IFERROR(_xlfn.XLOOKUP(1,('env Parameter'!$A:$A=$A1033)*('env Parameter'!$B:$B=$K1033)*('env Parameter'!$C:$C=$L1033),'env Parameter'!D:D,""),"")</f>
        <v>안양천-5</v>
      </c>
      <c r="N1033" s="10" t="str" cm="1">
        <f t="array" ref="N1033">IFERROR(_xlfn.XLOOKUP(1,('env Parameter'!$A:$A=$A1033)*('env Parameter'!$B:$B=$K1033)*('env Parameter'!$C:$C=$L1033),'env Parameter'!I:I,""),"")</f>
        <v>YR</v>
      </c>
    </row>
    <row r="1034" spans="1:14">
      <c r="A1034">
        <f>eDNA!A1034</f>
        <v>20201024</v>
      </c>
      <c r="B1034" s="10" t="str" cm="1">
        <f t="array" ref="B1034">IFERROR(_xlfn.XLOOKUP(1,('env Parameter'!$A:$A=$A1034)*('env Parameter'!$B:$B=$K1034)*('env Parameter'!$C:$C=$L1034),'env Parameter'!H:H,""),"")</f>
        <v>생물상 조사</v>
      </c>
      <c r="C1034" s="10" cm="1">
        <f t="array" ref="C1034">IFERROR(_xlfn.XLOOKUP(1,('env Parameter'!$A:$A=$A1034)*('env Parameter'!$B:$B=$K1034)*('env Parameter'!$C:$C=$L1034),'env Parameter'!E:E,""),"")</f>
        <v>2.14</v>
      </c>
      <c r="D1034" s="10" cm="1">
        <f t="array" ref="D1034">IFERROR(_xlfn.XLOOKUP(1,('env Parameter'!$A:$A=$A1034)*('env Parameter'!$B:$B=$K1034)*('env Parameter'!$C:$C=$L1034),'env Parameter'!F:F,""),"")</f>
        <v>478</v>
      </c>
      <c r="E1034" s="10" cm="1">
        <f t="array" ref="E1034">IFERROR(_xlfn.XLOOKUP(1,('env Parameter'!$A:$A=$A1034)*('env Parameter'!$B:$B=$K1034)*('env Parameter'!$C:$C=$L1034),'env Parameter'!G:G,""),"")</f>
        <v>7.6</v>
      </c>
      <c r="F1034" t="str">
        <f>eDNA!F1034</f>
        <v>MiFish</v>
      </c>
      <c r="G1034" t="str">
        <f>eDNA!D1034</f>
        <v>Carassius gibelio</v>
      </c>
      <c r="H1034" t="str">
        <f>_xlfn.XLOOKUP(G1034,'Common name (master file)'!$B:$B,'Common name (master file)'!$A:$A,"-------------")</f>
        <v>기벨리오 붕어</v>
      </c>
      <c r="I1034">
        <f>eDNA!E1034</f>
        <v>14651</v>
      </c>
      <c r="J1034" t="str">
        <f>_xlfn.XLOOKUP(G1034,'Common name (master file)'!$B:$B,'Common name (master file)'!$C:$C,"")</f>
        <v>어류</v>
      </c>
      <c r="K1034">
        <f>eDNA!B1034</f>
        <v>126.91482120000001</v>
      </c>
      <c r="L1034">
        <f>eDNA!C1034</f>
        <v>37.409803799999999</v>
      </c>
      <c r="M1034" s="10" t="str" cm="1">
        <f t="array" ref="M1034">IFERROR(_xlfn.XLOOKUP(1,('env Parameter'!$A:$A=$A1034)*('env Parameter'!$B:$B=$K1034)*('env Parameter'!$C:$C=$L1034),'env Parameter'!D:D,""),"")</f>
        <v>안양천-5</v>
      </c>
      <c r="N1034" s="10" t="str" cm="1">
        <f t="array" ref="N1034">IFERROR(_xlfn.XLOOKUP(1,('env Parameter'!$A:$A=$A1034)*('env Parameter'!$B:$B=$K1034)*('env Parameter'!$C:$C=$L1034),'env Parameter'!I:I,""),"")</f>
        <v>YR</v>
      </c>
    </row>
    <row r="1035" spans="1:14">
      <c r="A1035">
        <f>eDNA!A1035</f>
        <v>20201024</v>
      </c>
      <c r="B1035" s="10" t="str" cm="1">
        <f t="array" ref="B1035">IFERROR(_xlfn.XLOOKUP(1,('env Parameter'!$A:$A=$A1035)*('env Parameter'!$B:$B=$K1035)*('env Parameter'!$C:$C=$L1035),'env Parameter'!H:H,""),"")</f>
        <v>생물상 조사</v>
      </c>
      <c r="C1035" s="10" cm="1">
        <f t="array" ref="C1035">IFERROR(_xlfn.XLOOKUP(1,('env Parameter'!$A:$A=$A1035)*('env Parameter'!$B:$B=$K1035)*('env Parameter'!$C:$C=$L1035),'env Parameter'!E:E,""),"")</f>
        <v>2.14</v>
      </c>
      <c r="D1035" s="10" cm="1">
        <f t="array" ref="D1035">IFERROR(_xlfn.XLOOKUP(1,('env Parameter'!$A:$A=$A1035)*('env Parameter'!$B:$B=$K1035)*('env Parameter'!$C:$C=$L1035),'env Parameter'!F:F,""),"")</f>
        <v>478</v>
      </c>
      <c r="E1035" s="10" cm="1">
        <f t="array" ref="E1035">IFERROR(_xlfn.XLOOKUP(1,('env Parameter'!$A:$A=$A1035)*('env Parameter'!$B:$B=$K1035)*('env Parameter'!$C:$C=$L1035),'env Parameter'!G:G,""),"")</f>
        <v>7.6</v>
      </c>
      <c r="F1035" t="str">
        <f>eDNA!F1035</f>
        <v>MiFish</v>
      </c>
      <c r="G1035" t="str">
        <f>eDNA!D1035</f>
        <v>Pseudogobio esocinus</v>
      </c>
      <c r="H1035" t="str">
        <f>_xlfn.XLOOKUP(G1035,'Common name (master file)'!$B:$B,'Common name (master file)'!$A:$A,"-------------")</f>
        <v>모래무지</v>
      </c>
      <c r="I1035">
        <f>eDNA!E1035</f>
        <v>15636</v>
      </c>
      <c r="J1035" t="str">
        <f>_xlfn.XLOOKUP(G1035,'Common name (master file)'!$B:$B,'Common name (master file)'!$C:$C,"")</f>
        <v>어류</v>
      </c>
      <c r="K1035">
        <f>eDNA!B1035</f>
        <v>126.91482120000001</v>
      </c>
      <c r="L1035">
        <f>eDNA!C1035</f>
        <v>37.409803799999999</v>
      </c>
      <c r="M1035" s="10" t="str" cm="1">
        <f t="array" ref="M1035">IFERROR(_xlfn.XLOOKUP(1,('env Parameter'!$A:$A=$A1035)*('env Parameter'!$B:$B=$K1035)*('env Parameter'!$C:$C=$L1035),'env Parameter'!D:D,""),"")</f>
        <v>안양천-5</v>
      </c>
      <c r="N1035" s="10" t="str" cm="1">
        <f t="array" ref="N1035">IFERROR(_xlfn.XLOOKUP(1,('env Parameter'!$A:$A=$A1035)*('env Parameter'!$B:$B=$K1035)*('env Parameter'!$C:$C=$L1035),'env Parameter'!I:I,""),"")</f>
        <v>YR</v>
      </c>
    </row>
    <row r="1036" spans="1:14">
      <c r="A1036">
        <f>eDNA!A1036</f>
        <v>20201024</v>
      </c>
      <c r="B1036" s="10" t="str" cm="1">
        <f t="array" ref="B1036">IFERROR(_xlfn.XLOOKUP(1,('env Parameter'!$A:$A=$A1036)*('env Parameter'!$B:$B=$K1036)*('env Parameter'!$C:$C=$L1036),'env Parameter'!H:H,""),"")</f>
        <v>생물상 조사</v>
      </c>
      <c r="C1036" s="10" cm="1">
        <f t="array" ref="C1036">IFERROR(_xlfn.XLOOKUP(1,('env Parameter'!$A:$A=$A1036)*('env Parameter'!$B:$B=$K1036)*('env Parameter'!$C:$C=$L1036),'env Parameter'!E:E,""),"")</f>
        <v>2.14</v>
      </c>
      <c r="D1036" s="10" cm="1">
        <f t="array" ref="D1036">IFERROR(_xlfn.XLOOKUP(1,('env Parameter'!$A:$A=$A1036)*('env Parameter'!$B:$B=$K1036)*('env Parameter'!$C:$C=$L1036),'env Parameter'!F:F,""),"")</f>
        <v>478</v>
      </c>
      <c r="E1036" s="10" cm="1">
        <f t="array" ref="E1036">IFERROR(_xlfn.XLOOKUP(1,('env Parameter'!$A:$A=$A1036)*('env Parameter'!$B:$B=$K1036)*('env Parameter'!$C:$C=$L1036),'env Parameter'!G:G,""),"")</f>
        <v>7.6</v>
      </c>
      <c r="F1036" t="str">
        <f>eDNA!F1036</f>
        <v>MiFish</v>
      </c>
      <c r="G1036" t="str">
        <f>eDNA!D1036</f>
        <v>Zacco platypus</v>
      </c>
      <c r="H1036" t="str">
        <f>_xlfn.XLOOKUP(G1036,'Common name (master file)'!$B:$B,'Common name (master file)'!$A:$A,"-------------")</f>
        <v>피라미</v>
      </c>
      <c r="I1036">
        <f>eDNA!E1036</f>
        <v>36809</v>
      </c>
      <c r="J1036" t="str">
        <f>_xlfn.XLOOKUP(G1036,'Common name (master file)'!$B:$B,'Common name (master file)'!$C:$C,"")</f>
        <v>어류</v>
      </c>
      <c r="K1036">
        <f>eDNA!B1036</f>
        <v>126.91482120000001</v>
      </c>
      <c r="L1036">
        <f>eDNA!C1036</f>
        <v>37.409803799999999</v>
      </c>
      <c r="M1036" s="10" t="str" cm="1">
        <f t="array" ref="M1036">IFERROR(_xlfn.XLOOKUP(1,('env Parameter'!$A:$A=$A1036)*('env Parameter'!$B:$B=$K1036)*('env Parameter'!$C:$C=$L1036),'env Parameter'!D:D,""),"")</f>
        <v>안양천-5</v>
      </c>
      <c r="N1036" s="10" t="str" cm="1">
        <f t="array" ref="N1036">IFERROR(_xlfn.XLOOKUP(1,('env Parameter'!$A:$A=$A1036)*('env Parameter'!$B:$B=$K1036)*('env Parameter'!$C:$C=$L1036),'env Parameter'!I:I,""),"")</f>
        <v>YR</v>
      </c>
    </row>
    <row r="1037" spans="1:14">
      <c r="A1037">
        <f>eDNA!A1037</f>
        <v>20201024</v>
      </c>
      <c r="B1037" s="10" t="str" cm="1">
        <f t="array" ref="B1037">IFERROR(_xlfn.XLOOKUP(1,('env Parameter'!$A:$A=$A1037)*('env Parameter'!$B:$B=$K1037)*('env Parameter'!$C:$C=$L1037),'env Parameter'!H:H,""),"")</f>
        <v>생물상 조사</v>
      </c>
      <c r="C1037" s="10" cm="1">
        <f t="array" ref="C1037">IFERROR(_xlfn.XLOOKUP(1,('env Parameter'!$A:$A=$A1037)*('env Parameter'!$B:$B=$K1037)*('env Parameter'!$C:$C=$L1037),'env Parameter'!E:E,""),"")</f>
        <v>2.14</v>
      </c>
      <c r="D1037" s="10" cm="1">
        <f t="array" ref="D1037">IFERROR(_xlfn.XLOOKUP(1,('env Parameter'!$A:$A=$A1037)*('env Parameter'!$B:$B=$K1037)*('env Parameter'!$C:$C=$L1037),'env Parameter'!F:F,""),"")</f>
        <v>478</v>
      </c>
      <c r="E1037" s="10" cm="1">
        <f t="array" ref="E1037">IFERROR(_xlfn.XLOOKUP(1,('env Parameter'!$A:$A=$A1037)*('env Parameter'!$B:$B=$K1037)*('env Parameter'!$C:$C=$L1037),'env Parameter'!G:G,""),"")</f>
        <v>7.6</v>
      </c>
      <c r="F1037" t="str">
        <f>eDNA!F1037</f>
        <v>MiFish</v>
      </c>
      <c r="G1037" t="str">
        <f>eDNA!D1037</f>
        <v>Pseudorasbora parva</v>
      </c>
      <c r="H1037" t="str">
        <f>_xlfn.XLOOKUP(G1037,'Common name (master file)'!$B:$B,'Common name (master file)'!$A:$A,"-------------")</f>
        <v>참붕어</v>
      </c>
      <c r="I1037">
        <f>eDNA!E1037</f>
        <v>47927</v>
      </c>
      <c r="J1037" t="str">
        <f>_xlfn.XLOOKUP(G1037,'Common name (master file)'!$B:$B,'Common name (master file)'!$C:$C,"")</f>
        <v>어류</v>
      </c>
      <c r="K1037">
        <f>eDNA!B1037</f>
        <v>126.91482120000001</v>
      </c>
      <c r="L1037">
        <f>eDNA!C1037</f>
        <v>37.409803799999999</v>
      </c>
      <c r="M1037" s="10" t="str" cm="1">
        <f t="array" ref="M1037">IFERROR(_xlfn.XLOOKUP(1,('env Parameter'!$A:$A=$A1037)*('env Parameter'!$B:$B=$K1037)*('env Parameter'!$C:$C=$L1037),'env Parameter'!D:D,""),"")</f>
        <v>안양천-5</v>
      </c>
      <c r="N1037" s="10" t="str" cm="1">
        <f t="array" ref="N1037">IFERROR(_xlfn.XLOOKUP(1,('env Parameter'!$A:$A=$A1037)*('env Parameter'!$B:$B=$K1037)*('env Parameter'!$C:$C=$L1037),'env Parameter'!I:I,""),"")</f>
        <v>YR</v>
      </c>
    </row>
    <row r="1038" spans="1:14">
      <c r="A1038">
        <f>eDNA!A1038</f>
        <v>20201024</v>
      </c>
      <c r="B1038" s="10" t="str" cm="1">
        <f t="array" ref="B1038">IFERROR(_xlfn.XLOOKUP(1,('env Parameter'!$A:$A=$A1038)*('env Parameter'!$B:$B=$K1038)*('env Parameter'!$C:$C=$L1038),'env Parameter'!H:H,""),"")</f>
        <v>생물상 조사</v>
      </c>
      <c r="C1038" s="10" cm="1">
        <f t="array" ref="C1038">IFERROR(_xlfn.XLOOKUP(1,('env Parameter'!$A:$A=$A1038)*('env Parameter'!$B:$B=$K1038)*('env Parameter'!$C:$C=$L1038),'env Parameter'!E:E,""),"")</f>
        <v>2.14</v>
      </c>
      <c r="D1038" s="10" cm="1">
        <f t="array" ref="D1038">IFERROR(_xlfn.XLOOKUP(1,('env Parameter'!$A:$A=$A1038)*('env Parameter'!$B:$B=$K1038)*('env Parameter'!$C:$C=$L1038),'env Parameter'!F:F,""),"")</f>
        <v>478</v>
      </c>
      <c r="E1038" s="10" cm="1">
        <f t="array" ref="E1038">IFERROR(_xlfn.XLOOKUP(1,('env Parameter'!$A:$A=$A1038)*('env Parameter'!$B:$B=$K1038)*('env Parameter'!$C:$C=$L1038),'env Parameter'!G:G,""),"")</f>
        <v>7.6</v>
      </c>
      <c r="F1038" t="str">
        <f>eDNA!F1038</f>
        <v>MiFish</v>
      </c>
      <c r="G1038" t="str">
        <f>eDNA!D1038</f>
        <v>Hemibarbus maculatus</v>
      </c>
      <c r="H1038" t="str">
        <f>_xlfn.XLOOKUP(G1038,'Common name (master file)'!$B:$B,'Common name (master file)'!$A:$A,"-------------")</f>
        <v>알락누치</v>
      </c>
      <c r="I1038">
        <f>eDNA!E1038</f>
        <v>23</v>
      </c>
      <c r="J1038" t="str">
        <f>_xlfn.XLOOKUP(G1038,'Common name (master file)'!$B:$B,'Common name (master file)'!$C:$C,"")</f>
        <v>어류</v>
      </c>
      <c r="K1038">
        <f>eDNA!B1038</f>
        <v>126.8960105</v>
      </c>
      <c r="L1038">
        <f>eDNA!C1038</f>
        <v>37.403669399999998</v>
      </c>
      <c r="M1038" s="10" t="str" cm="1">
        <f t="array" ref="M1038">IFERROR(_xlfn.XLOOKUP(1,('env Parameter'!$A:$A=$A1038)*('env Parameter'!$B:$B=$K1038)*('env Parameter'!$C:$C=$L1038),'env Parameter'!D:D,""),"")</f>
        <v>안양천-6</v>
      </c>
      <c r="N1038" s="10" t="str" cm="1">
        <f t="array" ref="N1038">IFERROR(_xlfn.XLOOKUP(1,('env Parameter'!$A:$A=$A1038)*('env Parameter'!$B:$B=$K1038)*('env Parameter'!$C:$C=$L1038),'env Parameter'!I:I,""),"")</f>
        <v>YR</v>
      </c>
    </row>
    <row r="1039" spans="1:14">
      <c r="A1039">
        <f>eDNA!A1039</f>
        <v>20201024</v>
      </c>
      <c r="B1039" s="10" t="str" cm="1">
        <f t="array" ref="B1039">IFERROR(_xlfn.XLOOKUP(1,('env Parameter'!$A:$A=$A1039)*('env Parameter'!$B:$B=$K1039)*('env Parameter'!$C:$C=$L1039),'env Parameter'!H:H,""),"")</f>
        <v>생물상 조사</v>
      </c>
      <c r="C1039" s="10" cm="1">
        <f t="array" ref="C1039">IFERROR(_xlfn.XLOOKUP(1,('env Parameter'!$A:$A=$A1039)*('env Parameter'!$B:$B=$K1039)*('env Parameter'!$C:$C=$L1039),'env Parameter'!E:E,""),"")</f>
        <v>2.14</v>
      </c>
      <c r="D1039" s="10" cm="1">
        <f t="array" ref="D1039">IFERROR(_xlfn.XLOOKUP(1,('env Parameter'!$A:$A=$A1039)*('env Parameter'!$B:$B=$K1039)*('env Parameter'!$C:$C=$L1039),'env Parameter'!F:F,""),"")</f>
        <v>478</v>
      </c>
      <c r="E1039" s="10" cm="1">
        <f t="array" ref="E1039">IFERROR(_xlfn.XLOOKUP(1,('env Parameter'!$A:$A=$A1039)*('env Parameter'!$B:$B=$K1039)*('env Parameter'!$C:$C=$L1039),'env Parameter'!G:G,""),"")</f>
        <v>7.6</v>
      </c>
      <c r="F1039" t="str">
        <f>eDNA!F1039</f>
        <v>MiFish</v>
      </c>
      <c r="G1039" t="str">
        <f>eDNA!D1039</f>
        <v>Gnathopogon polytaenia</v>
      </c>
      <c r="H1039" t="str">
        <f>_xlfn.XLOOKUP(G1039,'Common name (master file)'!$B:$B,'Common name (master file)'!$A:$A,"-------------")</f>
        <v>폴리테니아 줄몰개</v>
      </c>
      <c r="I1039">
        <f>eDNA!E1039</f>
        <v>69</v>
      </c>
      <c r="J1039" t="str">
        <f>_xlfn.XLOOKUP(G1039,'Common name (master file)'!$B:$B,'Common name (master file)'!$C:$C,"")</f>
        <v>어류</v>
      </c>
      <c r="K1039">
        <f>eDNA!B1039</f>
        <v>126.8960105</v>
      </c>
      <c r="L1039">
        <f>eDNA!C1039</f>
        <v>37.403669399999998</v>
      </c>
      <c r="M1039" s="10" t="str" cm="1">
        <f t="array" ref="M1039">IFERROR(_xlfn.XLOOKUP(1,('env Parameter'!$A:$A=$A1039)*('env Parameter'!$B:$B=$K1039)*('env Parameter'!$C:$C=$L1039),'env Parameter'!D:D,""),"")</f>
        <v>안양천-6</v>
      </c>
      <c r="N1039" s="10" t="str" cm="1">
        <f t="array" ref="N1039">IFERROR(_xlfn.XLOOKUP(1,('env Parameter'!$A:$A=$A1039)*('env Parameter'!$B:$B=$K1039)*('env Parameter'!$C:$C=$L1039),'env Parameter'!I:I,""),"")</f>
        <v>YR</v>
      </c>
    </row>
    <row r="1040" spans="1:14">
      <c r="A1040">
        <f>eDNA!A1040</f>
        <v>20201024</v>
      </c>
      <c r="B1040" s="10" t="str" cm="1">
        <f t="array" ref="B1040">IFERROR(_xlfn.XLOOKUP(1,('env Parameter'!$A:$A=$A1040)*('env Parameter'!$B:$B=$K1040)*('env Parameter'!$C:$C=$L1040),'env Parameter'!H:H,""),"")</f>
        <v>생물상 조사</v>
      </c>
      <c r="C1040" s="10" cm="1">
        <f t="array" ref="C1040">IFERROR(_xlfn.XLOOKUP(1,('env Parameter'!$A:$A=$A1040)*('env Parameter'!$B:$B=$K1040)*('env Parameter'!$C:$C=$L1040),'env Parameter'!E:E,""),"")</f>
        <v>2.14</v>
      </c>
      <c r="D1040" s="10" cm="1">
        <f t="array" ref="D1040">IFERROR(_xlfn.XLOOKUP(1,('env Parameter'!$A:$A=$A1040)*('env Parameter'!$B:$B=$K1040)*('env Parameter'!$C:$C=$L1040),'env Parameter'!F:F,""),"")</f>
        <v>478</v>
      </c>
      <c r="E1040" s="10" cm="1">
        <f t="array" ref="E1040">IFERROR(_xlfn.XLOOKUP(1,('env Parameter'!$A:$A=$A1040)*('env Parameter'!$B:$B=$K1040)*('env Parameter'!$C:$C=$L1040),'env Parameter'!G:G,""),"")</f>
        <v>7.6</v>
      </c>
      <c r="F1040" t="str">
        <f>eDNA!F1040</f>
        <v>MiFish</v>
      </c>
      <c r="G1040" t="str">
        <f>eDNA!D1040</f>
        <v>Paramisgurnus dabryanus</v>
      </c>
      <c r="H1040" t="str">
        <f>_xlfn.XLOOKUP(G1040,'Common name (master file)'!$B:$B,'Common name (master file)'!$A:$A,"-------------")</f>
        <v>중국미꾸라지</v>
      </c>
      <c r="I1040">
        <f>eDNA!E1040</f>
        <v>78</v>
      </c>
      <c r="J1040" t="str">
        <f>_xlfn.XLOOKUP(G1040,'Common name (master file)'!$B:$B,'Common name (master file)'!$C:$C,"")</f>
        <v>어류</v>
      </c>
      <c r="K1040">
        <f>eDNA!B1040</f>
        <v>126.8960105</v>
      </c>
      <c r="L1040">
        <f>eDNA!C1040</f>
        <v>37.403669399999998</v>
      </c>
      <c r="M1040" s="10" t="str" cm="1">
        <f t="array" ref="M1040">IFERROR(_xlfn.XLOOKUP(1,('env Parameter'!$A:$A=$A1040)*('env Parameter'!$B:$B=$K1040)*('env Parameter'!$C:$C=$L1040),'env Parameter'!D:D,""),"")</f>
        <v>안양천-6</v>
      </c>
      <c r="N1040" s="10" t="str" cm="1">
        <f t="array" ref="N1040">IFERROR(_xlfn.XLOOKUP(1,('env Parameter'!$A:$A=$A1040)*('env Parameter'!$B:$B=$K1040)*('env Parameter'!$C:$C=$L1040),'env Parameter'!I:I,""),"")</f>
        <v>YR</v>
      </c>
    </row>
    <row r="1041" spans="1:14">
      <c r="A1041">
        <f>eDNA!A1041</f>
        <v>20201024</v>
      </c>
      <c r="B1041" s="10" t="str" cm="1">
        <f t="array" ref="B1041">IFERROR(_xlfn.XLOOKUP(1,('env Parameter'!$A:$A=$A1041)*('env Parameter'!$B:$B=$K1041)*('env Parameter'!$C:$C=$L1041),'env Parameter'!H:H,""),"")</f>
        <v>생물상 조사</v>
      </c>
      <c r="C1041" s="10" cm="1">
        <f t="array" ref="C1041">IFERROR(_xlfn.XLOOKUP(1,('env Parameter'!$A:$A=$A1041)*('env Parameter'!$B:$B=$K1041)*('env Parameter'!$C:$C=$L1041),'env Parameter'!E:E,""),"")</f>
        <v>2.14</v>
      </c>
      <c r="D1041" s="10" cm="1">
        <f t="array" ref="D1041">IFERROR(_xlfn.XLOOKUP(1,('env Parameter'!$A:$A=$A1041)*('env Parameter'!$B:$B=$K1041)*('env Parameter'!$C:$C=$L1041),'env Parameter'!F:F,""),"")</f>
        <v>478</v>
      </c>
      <c r="E1041" s="10" cm="1">
        <f t="array" ref="E1041">IFERROR(_xlfn.XLOOKUP(1,('env Parameter'!$A:$A=$A1041)*('env Parameter'!$B:$B=$K1041)*('env Parameter'!$C:$C=$L1041),'env Parameter'!G:G,""),"")</f>
        <v>7.6</v>
      </c>
      <c r="F1041" t="str">
        <f>eDNA!F1041</f>
        <v>MiFish</v>
      </c>
      <c r="G1041" t="str">
        <f>eDNA!D1041</f>
        <v>Homo sapiens</v>
      </c>
      <c r="H1041" t="str">
        <f>_xlfn.XLOOKUP(G1041,'Common name (master file)'!$B:$B,'Common name (master file)'!$A:$A,"-------------")</f>
        <v>사람</v>
      </c>
      <c r="I1041">
        <f>eDNA!E1041</f>
        <v>88</v>
      </c>
      <c r="J1041" t="str">
        <f>_xlfn.XLOOKUP(G1041,'Common name (master file)'!$B:$B,'Common name (master file)'!$C:$C,"")</f>
        <v>포유류</v>
      </c>
      <c r="K1041">
        <f>eDNA!B1041</f>
        <v>126.8960105</v>
      </c>
      <c r="L1041">
        <f>eDNA!C1041</f>
        <v>37.403669399999998</v>
      </c>
      <c r="M1041" s="10" t="str" cm="1">
        <f t="array" ref="M1041">IFERROR(_xlfn.XLOOKUP(1,('env Parameter'!$A:$A=$A1041)*('env Parameter'!$B:$B=$K1041)*('env Parameter'!$C:$C=$L1041),'env Parameter'!D:D,""),"")</f>
        <v>안양천-6</v>
      </c>
      <c r="N1041" s="10" t="str" cm="1">
        <f t="array" ref="N1041">IFERROR(_xlfn.XLOOKUP(1,('env Parameter'!$A:$A=$A1041)*('env Parameter'!$B:$B=$K1041)*('env Parameter'!$C:$C=$L1041),'env Parameter'!I:I,""),"")</f>
        <v>YR</v>
      </c>
    </row>
    <row r="1042" spans="1:14">
      <c r="A1042">
        <f>eDNA!A1042</f>
        <v>20201024</v>
      </c>
      <c r="B1042" s="10" t="str" cm="1">
        <f t="array" ref="B1042">IFERROR(_xlfn.XLOOKUP(1,('env Parameter'!$A:$A=$A1042)*('env Parameter'!$B:$B=$K1042)*('env Parameter'!$C:$C=$L1042),'env Parameter'!H:H,""),"")</f>
        <v>생물상 조사</v>
      </c>
      <c r="C1042" s="10" cm="1">
        <f t="array" ref="C1042">IFERROR(_xlfn.XLOOKUP(1,('env Parameter'!$A:$A=$A1042)*('env Parameter'!$B:$B=$K1042)*('env Parameter'!$C:$C=$L1042),'env Parameter'!E:E,""),"")</f>
        <v>2.14</v>
      </c>
      <c r="D1042" s="10" cm="1">
        <f t="array" ref="D1042">IFERROR(_xlfn.XLOOKUP(1,('env Parameter'!$A:$A=$A1042)*('env Parameter'!$B:$B=$K1042)*('env Parameter'!$C:$C=$L1042),'env Parameter'!F:F,""),"")</f>
        <v>478</v>
      </c>
      <c r="E1042" s="10" cm="1">
        <f t="array" ref="E1042">IFERROR(_xlfn.XLOOKUP(1,('env Parameter'!$A:$A=$A1042)*('env Parameter'!$B:$B=$K1042)*('env Parameter'!$C:$C=$L1042),'env Parameter'!G:G,""),"")</f>
        <v>7.6</v>
      </c>
      <c r="F1042" t="str">
        <f>eDNA!F1042</f>
        <v>MiFish</v>
      </c>
      <c r="G1042" t="str">
        <f>eDNA!D1042</f>
        <v>Culter dabryi</v>
      </c>
      <c r="H1042" t="str">
        <f>_xlfn.XLOOKUP(G1042,'Common name (master file)'!$B:$B,'Common name (master file)'!$A:$A,"-------------")</f>
        <v>다브리날카로운입치</v>
      </c>
      <c r="I1042">
        <f>eDNA!E1042</f>
        <v>149</v>
      </c>
      <c r="J1042" t="str">
        <f>_xlfn.XLOOKUP(G1042,'Common name (master file)'!$B:$B,'Common name (master file)'!$C:$C,"")</f>
        <v>어류</v>
      </c>
      <c r="K1042">
        <f>eDNA!B1042</f>
        <v>126.8960105</v>
      </c>
      <c r="L1042">
        <f>eDNA!C1042</f>
        <v>37.403669399999998</v>
      </c>
      <c r="M1042" s="10" t="str" cm="1">
        <f t="array" ref="M1042">IFERROR(_xlfn.XLOOKUP(1,('env Parameter'!$A:$A=$A1042)*('env Parameter'!$B:$B=$K1042)*('env Parameter'!$C:$C=$L1042),'env Parameter'!D:D,""),"")</f>
        <v>안양천-6</v>
      </c>
      <c r="N1042" s="10" t="str" cm="1">
        <f t="array" ref="N1042">IFERROR(_xlfn.XLOOKUP(1,('env Parameter'!$A:$A=$A1042)*('env Parameter'!$B:$B=$K1042)*('env Parameter'!$C:$C=$L1042),'env Parameter'!I:I,""),"")</f>
        <v>YR</v>
      </c>
    </row>
    <row r="1043" spans="1:14">
      <c r="A1043">
        <f>eDNA!A1043</f>
        <v>20201024</v>
      </c>
      <c r="B1043" s="10" t="str" cm="1">
        <f t="array" ref="B1043">IFERROR(_xlfn.XLOOKUP(1,('env Parameter'!$A:$A=$A1043)*('env Parameter'!$B:$B=$K1043)*('env Parameter'!$C:$C=$L1043),'env Parameter'!H:H,""),"")</f>
        <v>생물상 조사</v>
      </c>
      <c r="C1043" s="10" cm="1">
        <f t="array" ref="C1043">IFERROR(_xlfn.XLOOKUP(1,('env Parameter'!$A:$A=$A1043)*('env Parameter'!$B:$B=$K1043)*('env Parameter'!$C:$C=$L1043),'env Parameter'!E:E,""),"")</f>
        <v>2.14</v>
      </c>
      <c r="D1043" s="10" cm="1">
        <f t="array" ref="D1043">IFERROR(_xlfn.XLOOKUP(1,('env Parameter'!$A:$A=$A1043)*('env Parameter'!$B:$B=$K1043)*('env Parameter'!$C:$C=$L1043),'env Parameter'!F:F,""),"")</f>
        <v>478</v>
      </c>
      <c r="E1043" s="10" cm="1">
        <f t="array" ref="E1043">IFERROR(_xlfn.XLOOKUP(1,('env Parameter'!$A:$A=$A1043)*('env Parameter'!$B:$B=$K1043)*('env Parameter'!$C:$C=$L1043),'env Parameter'!G:G,""),"")</f>
        <v>7.6</v>
      </c>
      <c r="F1043" t="str">
        <f>eDNA!F1043</f>
        <v>MiFish</v>
      </c>
      <c r="G1043" t="str">
        <f>eDNA!D1043</f>
        <v>Misgurnus mizolepis</v>
      </c>
      <c r="H1043" t="str">
        <f>_xlfn.XLOOKUP(G1043,'Common name (master file)'!$B:$B,'Common name (master file)'!$A:$A,"-------------")</f>
        <v>미꾸라지</v>
      </c>
      <c r="I1043">
        <f>eDNA!E1043</f>
        <v>144</v>
      </c>
      <c r="J1043" t="str">
        <f>_xlfn.XLOOKUP(G1043,'Common name (master file)'!$B:$B,'Common name (master file)'!$C:$C,"")</f>
        <v>어류</v>
      </c>
      <c r="K1043">
        <f>eDNA!B1043</f>
        <v>126.8960105</v>
      </c>
      <c r="L1043">
        <f>eDNA!C1043</f>
        <v>37.403669399999998</v>
      </c>
      <c r="M1043" s="10" t="str" cm="1">
        <f t="array" ref="M1043">IFERROR(_xlfn.XLOOKUP(1,('env Parameter'!$A:$A=$A1043)*('env Parameter'!$B:$B=$K1043)*('env Parameter'!$C:$C=$L1043),'env Parameter'!D:D,""),"")</f>
        <v>안양천-6</v>
      </c>
      <c r="N1043" s="10" t="str" cm="1">
        <f t="array" ref="N1043">IFERROR(_xlfn.XLOOKUP(1,('env Parameter'!$A:$A=$A1043)*('env Parameter'!$B:$B=$K1043)*('env Parameter'!$C:$C=$L1043),'env Parameter'!I:I,""),"")</f>
        <v>YR</v>
      </c>
    </row>
    <row r="1044" spans="1:14">
      <c r="A1044">
        <f>eDNA!A1044</f>
        <v>20201024</v>
      </c>
      <c r="B1044" s="10" t="str" cm="1">
        <f t="array" ref="B1044">IFERROR(_xlfn.XLOOKUP(1,('env Parameter'!$A:$A=$A1044)*('env Parameter'!$B:$B=$K1044)*('env Parameter'!$C:$C=$L1044),'env Parameter'!H:H,""),"")</f>
        <v>생물상 조사</v>
      </c>
      <c r="C1044" s="10" cm="1">
        <f t="array" ref="C1044">IFERROR(_xlfn.XLOOKUP(1,('env Parameter'!$A:$A=$A1044)*('env Parameter'!$B:$B=$K1044)*('env Parameter'!$C:$C=$L1044),'env Parameter'!E:E,""),"")</f>
        <v>2.14</v>
      </c>
      <c r="D1044" s="10" cm="1">
        <f t="array" ref="D1044">IFERROR(_xlfn.XLOOKUP(1,('env Parameter'!$A:$A=$A1044)*('env Parameter'!$B:$B=$K1044)*('env Parameter'!$C:$C=$L1044),'env Parameter'!F:F,""),"")</f>
        <v>478</v>
      </c>
      <c r="E1044" s="10" cm="1">
        <f t="array" ref="E1044">IFERROR(_xlfn.XLOOKUP(1,('env Parameter'!$A:$A=$A1044)*('env Parameter'!$B:$B=$K1044)*('env Parameter'!$C:$C=$L1044),'env Parameter'!G:G,""),"")</f>
        <v>7.6</v>
      </c>
      <c r="F1044" t="str">
        <f>eDNA!F1044</f>
        <v>MiFish</v>
      </c>
      <c r="G1044" t="str">
        <f>eDNA!D1044</f>
        <v>Carassius sp.</v>
      </c>
      <c r="H1044" t="str">
        <f>_xlfn.XLOOKUP(G1044,'Common name (master file)'!$B:$B,'Common name (master file)'!$A:$A,"-------------")</f>
        <v>붕어 속</v>
      </c>
      <c r="I1044">
        <f>eDNA!E1044</f>
        <v>178</v>
      </c>
      <c r="J1044" t="str">
        <f>_xlfn.XLOOKUP(G1044,'Common name (master file)'!$B:$B,'Common name (master file)'!$C:$C,"")</f>
        <v>어류</v>
      </c>
      <c r="K1044">
        <f>eDNA!B1044</f>
        <v>126.8960105</v>
      </c>
      <c r="L1044">
        <f>eDNA!C1044</f>
        <v>37.403669399999998</v>
      </c>
      <c r="M1044" s="10" t="str" cm="1">
        <f t="array" ref="M1044">IFERROR(_xlfn.XLOOKUP(1,('env Parameter'!$A:$A=$A1044)*('env Parameter'!$B:$B=$K1044)*('env Parameter'!$C:$C=$L1044),'env Parameter'!D:D,""),"")</f>
        <v>안양천-6</v>
      </c>
      <c r="N1044" s="10" t="str" cm="1">
        <f t="array" ref="N1044">IFERROR(_xlfn.XLOOKUP(1,('env Parameter'!$A:$A=$A1044)*('env Parameter'!$B:$B=$K1044)*('env Parameter'!$C:$C=$L1044),'env Parameter'!I:I,""),"")</f>
        <v>YR</v>
      </c>
    </row>
    <row r="1045" spans="1:14">
      <c r="A1045">
        <f>eDNA!A1045</f>
        <v>20201024</v>
      </c>
      <c r="B1045" s="10" t="str" cm="1">
        <f t="array" ref="B1045">IFERROR(_xlfn.XLOOKUP(1,('env Parameter'!$A:$A=$A1045)*('env Parameter'!$B:$B=$K1045)*('env Parameter'!$C:$C=$L1045),'env Parameter'!H:H,""),"")</f>
        <v>생물상 조사</v>
      </c>
      <c r="C1045" s="10" cm="1">
        <f t="array" ref="C1045">IFERROR(_xlfn.XLOOKUP(1,('env Parameter'!$A:$A=$A1045)*('env Parameter'!$B:$B=$K1045)*('env Parameter'!$C:$C=$L1045),'env Parameter'!E:E,""),"")</f>
        <v>2.14</v>
      </c>
      <c r="D1045" s="10" cm="1">
        <f t="array" ref="D1045">IFERROR(_xlfn.XLOOKUP(1,('env Parameter'!$A:$A=$A1045)*('env Parameter'!$B:$B=$K1045)*('env Parameter'!$C:$C=$L1045),'env Parameter'!F:F,""),"")</f>
        <v>478</v>
      </c>
      <c r="E1045" s="10" cm="1">
        <f t="array" ref="E1045">IFERROR(_xlfn.XLOOKUP(1,('env Parameter'!$A:$A=$A1045)*('env Parameter'!$B:$B=$K1045)*('env Parameter'!$C:$C=$L1045),'env Parameter'!G:G,""),"")</f>
        <v>7.6</v>
      </c>
      <c r="F1045" t="str">
        <f>eDNA!F1045</f>
        <v>MiFish</v>
      </c>
      <c r="G1045" t="str">
        <f>eDNA!D1045</f>
        <v>Sus scrofa</v>
      </c>
      <c r="H1045" t="str">
        <f>_xlfn.XLOOKUP(G1045,'Common name (master file)'!$B:$B,'Common name (master file)'!$A:$A,"-------------")</f>
        <v>멧돼지</v>
      </c>
      <c r="I1045">
        <f>eDNA!E1045</f>
        <v>302</v>
      </c>
      <c r="J1045" t="str">
        <f>_xlfn.XLOOKUP(G1045,'Common name (master file)'!$B:$B,'Common name (master file)'!$C:$C,"")</f>
        <v>포유류</v>
      </c>
      <c r="K1045">
        <f>eDNA!B1045</f>
        <v>126.8960105</v>
      </c>
      <c r="L1045">
        <f>eDNA!C1045</f>
        <v>37.403669399999998</v>
      </c>
      <c r="M1045" s="10" t="str" cm="1">
        <f t="array" ref="M1045">IFERROR(_xlfn.XLOOKUP(1,('env Parameter'!$A:$A=$A1045)*('env Parameter'!$B:$B=$K1045)*('env Parameter'!$C:$C=$L1045),'env Parameter'!D:D,""),"")</f>
        <v>안양천-6</v>
      </c>
      <c r="N1045" s="10" t="str" cm="1">
        <f t="array" ref="N1045">IFERROR(_xlfn.XLOOKUP(1,('env Parameter'!$A:$A=$A1045)*('env Parameter'!$B:$B=$K1045)*('env Parameter'!$C:$C=$L1045),'env Parameter'!I:I,""),"")</f>
        <v>YR</v>
      </c>
    </row>
    <row r="1046" spans="1:14">
      <c r="A1046">
        <f>eDNA!A1046</f>
        <v>20201024</v>
      </c>
      <c r="B1046" s="10" t="str" cm="1">
        <f t="array" ref="B1046">IFERROR(_xlfn.XLOOKUP(1,('env Parameter'!$A:$A=$A1046)*('env Parameter'!$B:$B=$K1046)*('env Parameter'!$C:$C=$L1046),'env Parameter'!H:H,""),"")</f>
        <v>생물상 조사</v>
      </c>
      <c r="C1046" s="10" cm="1">
        <f t="array" ref="C1046">IFERROR(_xlfn.XLOOKUP(1,('env Parameter'!$A:$A=$A1046)*('env Parameter'!$B:$B=$K1046)*('env Parameter'!$C:$C=$L1046),'env Parameter'!E:E,""),"")</f>
        <v>2.14</v>
      </c>
      <c r="D1046" s="10" cm="1">
        <f t="array" ref="D1046">IFERROR(_xlfn.XLOOKUP(1,('env Parameter'!$A:$A=$A1046)*('env Parameter'!$B:$B=$K1046)*('env Parameter'!$C:$C=$L1046),'env Parameter'!F:F,""),"")</f>
        <v>478</v>
      </c>
      <c r="E1046" s="10" cm="1">
        <f t="array" ref="E1046">IFERROR(_xlfn.XLOOKUP(1,('env Parameter'!$A:$A=$A1046)*('env Parameter'!$B:$B=$K1046)*('env Parameter'!$C:$C=$L1046),'env Parameter'!G:G,""),"")</f>
        <v>7.6</v>
      </c>
      <c r="F1046" t="str">
        <f>eDNA!F1046</f>
        <v>MiFish</v>
      </c>
      <c r="G1046" t="str">
        <f>eDNA!D1046</f>
        <v>Cyprinus carpio</v>
      </c>
      <c r="H1046" t="str">
        <f>_xlfn.XLOOKUP(G1046,'Common name (master file)'!$B:$B,'Common name (master file)'!$A:$A,"-------------")</f>
        <v>잉어</v>
      </c>
      <c r="I1046">
        <f>eDNA!E1046</f>
        <v>183</v>
      </c>
      <c r="J1046" t="str">
        <f>_xlfn.XLOOKUP(G1046,'Common name (master file)'!$B:$B,'Common name (master file)'!$C:$C,"")</f>
        <v>어류</v>
      </c>
      <c r="K1046">
        <f>eDNA!B1046</f>
        <v>126.8960105</v>
      </c>
      <c r="L1046">
        <f>eDNA!C1046</f>
        <v>37.403669399999998</v>
      </c>
      <c r="M1046" s="10" t="str" cm="1">
        <f t="array" ref="M1046">IFERROR(_xlfn.XLOOKUP(1,('env Parameter'!$A:$A=$A1046)*('env Parameter'!$B:$B=$K1046)*('env Parameter'!$C:$C=$L1046),'env Parameter'!D:D,""),"")</f>
        <v>안양천-6</v>
      </c>
      <c r="N1046" s="10" t="str" cm="1">
        <f t="array" ref="N1046">IFERROR(_xlfn.XLOOKUP(1,('env Parameter'!$A:$A=$A1046)*('env Parameter'!$B:$B=$K1046)*('env Parameter'!$C:$C=$L1046),'env Parameter'!I:I,""),"")</f>
        <v>YR</v>
      </c>
    </row>
    <row r="1047" spans="1:14">
      <c r="A1047">
        <f>eDNA!A1047</f>
        <v>20201024</v>
      </c>
      <c r="B1047" s="10" t="str" cm="1">
        <f t="array" ref="B1047">IFERROR(_xlfn.XLOOKUP(1,('env Parameter'!$A:$A=$A1047)*('env Parameter'!$B:$B=$K1047)*('env Parameter'!$C:$C=$L1047),'env Parameter'!H:H,""),"")</f>
        <v>생물상 조사</v>
      </c>
      <c r="C1047" s="10" cm="1">
        <f t="array" ref="C1047">IFERROR(_xlfn.XLOOKUP(1,('env Parameter'!$A:$A=$A1047)*('env Parameter'!$B:$B=$K1047)*('env Parameter'!$C:$C=$L1047),'env Parameter'!E:E,""),"")</f>
        <v>2.14</v>
      </c>
      <c r="D1047" s="10" cm="1">
        <f t="array" ref="D1047">IFERROR(_xlfn.XLOOKUP(1,('env Parameter'!$A:$A=$A1047)*('env Parameter'!$B:$B=$K1047)*('env Parameter'!$C:$C=$L1047),'env Parameter'!F:F,""),"")</f>
        <v>478</v>
      </c>
      <c r="E1047" s="10" cm="1">
        <f t="array" ref="E1047">IFERROR(_xlfn.XLOOKUP(1,('env Parameter'!$A:$A=$A1047)*('env Parameter'!$B:$B=$K1047)*('env Parameter'!$C:$C=$L1047),'env Parameter'!G:G,""),"")</f>
        <v>7.6</v>
      </c>
      <c r="F1047" t="str">
        <f>eDNA!F1047</f>
        <v>MiFish</v>
      </c>
      <c r="G1047" t="str">
        <f>eDNA!D1047</f>
        <v>Rhinogobius sp.</v>
      </c>
      <c r="H1047" t="str">
        <f>_xlfn.XLOOKUP(G1047,'Common name (master file)'!$B:$B,'Common name (master file)'!$A:$A,"-------------")</f>
        <v>밀어</v>
      </c>
      <c r="I1047">
        <f>eDNA!E1047</f>
        <v>200</v>
      </c>
      <c r="J1047" t="str">
        <f>_xlfn.XLOOKUP(G1047,'Common name (master file)'!$B:$B,'Common name (master file)'!$C:$C,"")</f>
        <v>어류</v>
      </c>
      <c r="K1047">
        <f>eDNA!B1047</f>
        <v>126.8960105</v>
      </c>
      <c r="L1047">
        <f>eDNA!C1047</f>
        <v>37.403669399999998</v>
      </c>
      <c r="M1047" s="10" t="str" cm="1">
        <f t="array" ref="M1047">IFERROR(_xlfn.XLOOKUP(1,('env Parameter'!$A:$A=$A1047)*('env Parameter'!$B:$B=$K1047)*('env Parameter'!$C:$C=$L1047),'env Parameter'!D:D,""),"")</f>
        <v>안양천-6</v>
      </c>
      <c r="N1047" s="10" t="str" cm="1">
        <f t="array" ref="N1047">IFERROR(_xlfn.XLOOKUP(1,('env Parameter'!$A:$A=$A1047)*('env Parameter'!$B:$B=$K1047)*('env Parameter'!$C:$C=$L1047),'env Parameter'!I:I,""),"")</f>
        <v>YR</v>
      </c>
    </row>
    <row r="1048" spans="1:14">
      <c r="A1048">
        <f>eDNA!A1048</f>
        <v>20201024</v>
      </c>
      <c r="B1048" s="10" t="str" cm="1">
        <f t="array" ref="B1048">IFERROR(_xlfn.XLOOKUP(1,('env Parameter'!$A:$A=$A1048)*('env Parameter'!$B:$B=$K1048)*('env Parameter'!$C:$C=$L1048),'env Parameter'!H:H,""),"")</f>
        <v>생물상 조사</v>
      </c>
      <c r="C1048" s="10" cm="1">
        <f t="array" ref="C1048">IFERROR(_xlfn.XLOOKUP(1,('env Parameter'!$A:$A=$A1048)*('env Parameter'!$B:$B=$K1048)*('env Parameter'!$C:$C=$L1048),'env Parameter'!E:E,""),"")</f>
        <v>2.14</v>
      </c>
      <c r="D1048" s="10" cm="1">
        <f t="array" ref="D1048">IFERROR(_xlfn.XLOOKUP(1,('env Parameter'!$A:$A=$A1048)*('env Parameter'!$B:$B=$K1048)*('env Parameter'!$C:$C=$L1048),'env Parameter'!F:F,""),"")</f>
        <v>478</v>
      </c>
      <c r="E1048" s="10" cm="1">
        <f t="array" ref="E1048">IFERROR(_xlfn.XLOOKUP(1,('env Parameter'!$A:$A=$A1048)*('env Parameter'!$B:$B=$K1048)*('env Parameter'!$C:$C=$L1048),'env Parameter'!G:G,""),"")</f>
        <v>7.6</v>
      </c>
      <c r="F1048" t="str">
        <f>eDNA!F1048</f>
        <v>MiFish</v>
      </c>
      <c r="G1048" t="str">
        <f>eDNA!D1048</f>
        <v>Pseudogobio esocinus</v>
      </c>
      <c r="H1048" t="str">
        <f>_xlfn.XLOOKUP(G1048,'Common name (master file)'!$B:$B,'Common name (master file)'!$A:$A,"-------------")</f>
        <v>모래무지</v>
      </c>
      <c r="I1048">
        <f>eDNA!E1048</f>
        <v>20</v>
      </c>
      <c r="J1048" t="str">
        <f>_xlfn.XLOOKUP(G1048,'Common name (master file)'!$B:$B,'Common name (master file)'!$C:$C,"")</f>
        <v>어류</v>
      </c>
      <c r="K1048">
        <f>eDNA!B1048</f>
        <v>126.970473</v>
      </c>
      <c r="L1048">
        <f>eDNA!C1048</f>
        <v>37.401905599999999</v>
      </c>
      <c r="M1048" s="10" t="str" cm="1">
        <f t="array" ref="M1048">IFERROR(_xlfn.XLOOKUP(1,('env Parameter'!$A:$A=$A1048)*('env Parameter'!$B:$B=$K1048)*('env Parameter'!$C:$C=$L1048),'env Parameter'!D:D,""),"")</f>
        <v>안양천-29</v>
      </c>
      <c r="N1048" s="10" t="str" cm="1">
        <f t="array" ref="N1048">IFERROR(_xlfn.XLOOKUP(1,('env Parameter'!$A:$A=$A1048)*('env Parameter'!$B:$B=$K1048)*('env Parameter'!$C:$C=$L1048),'env Parameter'!I:I,""),"")</f>
        <v>YR</v>
      </c>
    </row>
    <row r="1049" spans="1:14">
      <c r="A1049">
        <f>eDNA!A1049</f>
        <v>20201024</v>
      </c>
      <c r="B1049" s="10" t="str" cm="1">
        <f t="array" ref="B1049">IFERROR(_xlfn.XLOOKUP(1,('env Parameter'!$A:$A=$A1049)*('env Parameter'!$B:$B=$K1049)*('env Parameter'!$C:$C=$L1049),'env Parameter'!H:H,""),"")</f>
        <v>생물상 조사</v>
      </c>
      <c r="C1049" s="10" cm="1">
        <f t="array" ref="C1049">IFERROR(_xlfn.XLOOKUP(1,('env Parameter'!$A:$A=$A1049)*('env Parameter'!$B:$B=$K1049)*('env Parameter'!$C:$C=$L1049),'env Parameter'!E:E,""),"")</f>
        <v>2.14</v>
      </c>
      <c r="D1049" s="10" cm="1">
        <f t="array" ref="D1049">IFERROR(_xlfn.XLOOKUP(1,('env Parameter'!$A:$A=$A1049)*('env Parameter'!$B:$B=$K1049)*('env Parameter'!$C:$C=$L1049),'env Parameter'!F:F,""),"")</f>
        <v>478</v>
      </c>
      <c r="E1049" s="10" cm="1">
        <f t="array" ref="E1049">IFERROR(_xlfn.XLOOKUP(1,('env Parameter'!$A:$A=$A1049)*('env Parameter'!$B:$B=$K1049)*('env Parameter'!$C:$C=$L1049),'env Parameter'!G:G,""),"")</f>
        <v>7.6</v>
      </c>
      <c r="F1049" t="str">
        <f>eDNA!F1049</f>
        <v>MiFish</v>
      </c>
      <c r="G1049" t="str">
        <f>eDNA!D1049</f>
        <v>Hemibarbus umbrifer</v>
      </c>
      <c r="H1049" t="str">
        <f>_xlfn.XLOOKUP(G1049,'Common name (master file)'!$B:$B,'Common name (master file)'!$A:$A,"-------------")</f>
        <v>누치</v>
      </c>
      <c r="I1049">
        <f>eDNA!E1049</f>
        <v>218</v>
      </c>
      <c r="J1049" t="str">
        <f>_xlfn.XLOOKUP(G1049,'Common name (master file)'!$B:$B,'Common name (master file)'!$C:$C,"")</f>
        <v>어류</v>
      </c>
      <c r="K1049">
        <f>eDNA!B1049</f>
        <v>126.8960105</v>
      </c>
      <c r="L1049">
        <f>eDNA!C1049</f>
        <v>37.403669399999998</v>
      </c>
      <c r="M1049" s="10" t="str" cm="1">
        <f t="array" ref="M1049">IFERROR(_xlfn.XLOOKUP(1,('env Parameter'!$A:$A=$A1049)*('env Parameter'!$B:$B=$K1049)*('env Parameter'!$C:$C=$L1049),'env Parameter'!D:D,""),"")</f>
        <v>안양천-6</v>
      </c>
      <c r="N1049" s="10" t="str" cm="1">
        <f t="array" ref="N1049">IFERROR(_xlfn.XLOOKUP(1,('env Parameter'!$A:$A=$A1049)*('env Parameter'!$B:$B=$K1049)*('env Parameter'!$C:$C=$L1049),'env Parameter'!I:I,""),"")</f>
        <v>YR</v>
      </c>
    </row>
    <row r="1050" spans="1:14">
      <c r="A1050">
        <f>eDNA!A1050</f>
        <v>20201024</v>
      </c>
      <c r="B1050" s="10" t="str" cm="1">
        <f t="array" ref="B1050">IFERROR(_xlfn.XLOOKUP(1,('env Parameter'!$A:$A=$A1050)*('env Parameter'!$B:$B=$K1050)*('env Parameter'!$C:$C=$L1050),'env Parameter'!H:H,""),"")</f>
        <v>생물상 조사</v>
      </c>
      <c r="C1050" s="10" cm="1">
        <f t="array" ref="C1050">IFERROR(_xlfn.XLOOKUP(1,('env Parameter'!$A:$A=$A1050)*('env Parameter'!$B:$B=$K1050)*('env Parameter'!$C:$C=$L1050),'env Parameter'!E:E,""),"")</f>
        <v>2.14</v>
      </c>
      <c r="D1050" s="10" cm="1">
        <f t="array" ref="D1050">IFERROR(_xlfn.XLOOKUP(1,('env Parameter'!$A:$A=$A1050)*('env Parameter'!$B:$B=$K1050)*('env Parameter'!$C:$C=$L1050),'env Parameter'!F:F,""),"")</f>
        <v>478</v>
      </c>
      <c r="E1050" s="10" cm="1">
        <f t="array" ref="E1050">IFERROR(_xlfn.XLOOKUP(1,('env Parameter'!$A:$A=$A1050)*('env Parameter'!$B:$B=$K1050)*('env Parameter'!$C:$C=$L1050),'env Parameter'!G:G,""),"")</f>
        <v>7.6</v>
      </c>
      <c r="F1050" t="str">
        <f>eDNA!F1050</f>
        <v>MiFish</v>
      </c>
      <c r="G1050" t="str">
        <f>eDNA!D1050</f>
        <v>Pseudogobio esocinus</v>
      </c>
      <c r="H1050" t="str">
        <f>_xlfn.XLOOKUP(G1050,'Common name (master file)'!$B:$B,'Common name (master file)'!$A:$A,"-------------")</f>
        <v>모래무지</v>
      </c>
      <c r="I1050">
        <f>eDNA!E1050</f>
        <v>16</v>
      </c>
      <c r="J1050" t="str">
        <f>_xlfn.XLOOKUP(G1050,'Common name (master file)'!$B:$B,'Common name (master file)'!$C:$C,"")</f>
        <v>어류</v>
      </c>
      <c r="K1050">
        <f>eDNA!B1050</f>
        <v>126.9866722</v>
      </c>
      <c r="L1050">
        <f>eDNA!C1050</f>
        <v>37.398721700000003</v>
      </c>
      <c r="M1050" s="10" t="str" cm="1">
        <f t="array" ref="M1050">IFERROR(_xlfn.XLOOKUP(1,('env Parameter'!$A:$A=$A1050)*('env Parameter'!$B:$B=$K1050)*('env Parameter'!$C:$C=$L1050),'env Parameter'!D:D,""),"")</f>
        <v>안양천-30</v>
      </c>
      <c r="N1050" s="10" t="str" cm="1">
        <f t="array" ref="N1050">IFERROR(_xlfn.XLOOKUP(1,('env Parameter'!$A:$A=$A1050)*('env Parameter'!$B:$B=$K1050)*('env Parameter'!$C:$C=$L1050),'env Parameter'!I:I,""),"")</f>
        <v>YR</v>
      </c>
    </row>
    <row r="1051" spans="1:14">
      <c r="A1051">
        <f>eDNA!A1051</f>
        <v>20201024</v>
      </c>
      <c r="B1051" s="10" t="str" cm="1">
        <f t="array" ref="B1051">IFERROR(_xlfn.XLOOKUP(1,('env Parameter'!$A:$A=$A1051)*('env Parameter'!$B:$B=$K1051)*('env Parameter'!$C:$C=$L1051),'env Parameter'!H:H,""),"")</f>
        <v>생물상 조사</v>
      </c>
      <c r="C1051" s="10" cm="1">
        <f t="array" ref="C1051">IFERROR(_xlfn.XLOOKUP(1,('env Parameter'!$A:$A=$A1051)*('env Parameter'!$B:$B=$K1051)*('env Parameter'!$C:$C=$L1051),'env Parameter'!E:E,""),"")</f>
        <v>2.14</v>
      </c>
      <c r="D1051" s="10" cm="1">
        <f t="array" ref="D1051">IFERROR(_xlfn.XLOOKUP(1,('env Parameter'!$A:$A=$A1051)*('env Parameter'!$B:$B=$K1051)*('env Parameter'!$C:$C=$L1051),'env Parameter'!F:F,""),"")</f>
        <v>478</v>
      </c>
      <c r="E1051" s="10" cm="1">
        <f t="array" ref="E1051">IFERROR(_xlfn.XLOOKUP(1,('env Parameter'!$A:$A=$A1051)*('env Parameter'!$B:$B=$K1051)*('env Parameter'!$C:$C=$L1051),'env Parameter'!G:G,""),"")</f>
        <v>7.6</v>
      </c>
      <c r="F1051" t="str">
        <f>eDNA!F1051</f>
        <v>MiFish</v>
      </c>
      <c r="G1051" t="str">
        <f>eDNA!D1051</f>
        <v>Pagrus major</v>
      </c>
      <c r="H1051" t="str">
        <f>_xlfn.XLOOKUP(G1051,'Common name (master file)'!$B:$B,'Common name (master file)'!$A:$A,"-------------")</f>
        <v>참돔</v>
      </c>
      <c r="I1051">
        <f>eDNA!E1051</f>
        <v>238</v>
      </c>
      <c r="J1051" t="str">
        <f>_xlfn.XLOOKUP(G1051,'Common name (master file)'!$B:$B,'Common name (master file)'!$C:$C,"")</f>
        <v>어류</v>
      </c>
      <c r="K1051">
        <f>eDNA!B1051</f>
        <v>126.8960105</v>
      </c>
      <c r="L1051">
        <f>eDNA!C1051</f>
        <v>37.403669399999998</v>
      </c>
      <c r="M1051" s="10" t="str" cm="1">
        <f t="array" ref="M1051">IFERROR(_xlfn.XLOOKUP(1,('env Parameter'!$A:$A=$A1051)*('env Parameter'!$B:$B=$K1051)*('env Parameter'!$C:$C=$L1051),'env Parameter'!D:D,""),"")</f>
        <v>안양천-6</v>
      </c>
      <c r="N1051" s="10" t="str" cm="1">
        <f t="array" ref="N1051">IFERROR(_xlfn.XLOOKUP(1,('env Parameter'!$A:$A=$A1051)*('env Parameter'!$B:$B=$K1051)*('env Parameter'!$C:$C=$L1051),'env Parameter'!I:I,""),"")</f>
        <v>YR</v>
      </c>
    </row>
    <row r="1052" spans="1:14">
      <c r="A1052">
        <f>eDNA!A1052</f>
        <v>20201024</v>
      </c>
      <c r="B1052" s="10" t="str" cm="1">
        <f t="array" ref="B1052">IFERROR(_xlfn.XLOOKUP(1,('env Parameter'!$A:$A=$A1052)*('env Parameter'!$B:$B=$K1052)*('env Parameter'!$C:$C=$L1052),'env Parameter'!H:H,""),"")</f>
        <v>생물상 조사</v>
      </c>
      <c r="C1052" s="10" cm="1">
        <f t="array" ref="C1052">IFERROR(_xlfn.XLOOKUP(1,('env Parameter'!$A:$A=$A1052)*('env Parameter'!$B:$B=$K1052)*('env Parameter'!$C:$C=$L1052),'env Parameter'!E:E,""),"")</f>
        <v>2.14</v>
      </c>
      <c r="D1052" s="10" cm="1">
        <f t="array" ref="D1052">IFERROR(_xlfn.XLOOKUP(1,('env Parameter'!$A:$A=$A1052)*('env Parameter'!$B:$B=$K1052)*('env Parameter'!$C:$C=$L1052),'env Parameter'!F:F,""),"")</f>
        <v>478</v>
      </c>
      <c r="E1052" s="10" cm="1">
        <f t="array" ref="E1052">IFERROR(_xlfn.XLOOKUP(1,('env Parameter'!$A:$A=$A1052)*('env Parameter'!$B:$B=$K1052)*('env Parameter'!$C:$C=$L1052),'env Parameter'!G:G,""),"")</f>
        <v>7.6</v>
      </c>
      <c r="F1052" t="str">
        <f>eDNA!F1052</f>
        <v>MiFish</v>
      </c>
      <c r="G1052" t="str">
        <f>eDNA!D1052</f>
        <v>Channa argus</v>
      </c>
      <c r="H1052" t="str">
        <f>_xlfn.XLOOKUP(G1052,'Common name (master file)'!$B:$B,'Common name (master file)'!$A:$A,"-------------")</f>
        <v>가물치</v>
      </c>
      <c r="I1052">
        <f>eDNA!E1052</f>
        <v>299</v>
      </c>
      <c r="J1052" t="str">
        <f>_xlfn.XLOOKUP(G1052,'Common name (master file)'!$B:$B,'Common name (master file)'!$C:$C,"")</f>
        <v>어류</v>
      </c>
      <c r="K1052">
        <f>eDNA!B1052</f>
        <v>126.8960105</v>
      </c>
      <c r="L1052">
        <f>eDNA!C1052</f>
        <v>37.403669399999998</v>
      </c>
      <c r="M1052" s="10" t="str" cm="1">
        <f t="array" ref="M1052">IFERROR(_xlfn.XLOOKUP(1,('env Parameter'!$A:$A=$A1052)*('env Parameter'!$B:$B=$K1052)*('env Parameter'!$C:$C=$L1052),'env Parameter'!D:D,""),"")</f>
        <v>안양천-6</v>
      </c>
      <c r="N1052" s="10" t="str" cm="1">
        <f t="array" ref="N1052">IFERROR(_xlfn.XLOOKUP(1,('env Parameter'!$A:$A=$A1052)*('env Parameter'!$B:$B=$K1052)*('env Parameter'!$C:$C=$L1052),'env Parameter'!I:I,""),"")</f>
        <v>YR</v>
      </c>
    </row>
    <row r="1053" spans="1:14">
      <c r="A1053">
        <f>eDNA!A1053</f>
        <v>20201024</v>
      </c>
      <c r="B1053" s="10" t="str" cm="1">
        <f t="array" ref="B1053">IFERROR(_xlfn.XLOOKUP(1,('env Parameter'!$A:$A=$A1053)*('env Parameter'!$B:$B=$K1053)*('env Parameter'!$C:$C=$L1053),'env Parameter'!H:H,""),"")</f>
        <v>생물상 조사</v>
      </c>
      <c r="C1053" s="10" cm="1">
        <f t="array" ref="C1053">IFERROR(_xlfn.XLOOKUP(1,('env Parameter'!$A:$A=$A1053)*('env Parameter'!$B:$B=$K1053)*('env Parameter'!$C:$C=$L1053),'env Parameter'!E:E,""),"")</f>
        <v>2.14</v>
      </c>
      <c r="D1053" s="10" cm="1">
        <f t="array" ref="D1053">IFERROR(_xlfn.XLOOKUP(1,('env Parameter'!$A:$A=$A1053)*('env Parameter'!$B:$B=$K1053)*('env Parameter'!$C:$C=$L1053),'env Parameter'!F:F,""),"")</f>
        <v>478</v>
      </c>
      <c r="E1053" s="10" cm="1">
        <f t="array" ref="E1053">IFERROR(_xlfn.XLOOKUP(1,('env Parameter'!$A:$A=$A1053)*('env Parameter'!$B:$B=$K1053)*('env Parameter'!$C:$C=$L1053),'env Parameter'!G:G,""),"")</f>
        <v>7.6</v>
      </c>
      <c r="F1053" t="str">
        <f>eDNA!F1053</f>
        <v>MiFish</v>
      </c>
      <c r="G1053" t="str">
        <f>eDNA!D1053</f>
        <v>Gymnogobius urotaenia</v>
      </c>
      <c r="H1053" t="str">
        <f>_xlfn.XLOOKUP(G1053,'Common name (master file)'!$B:$B,'Common name (master file)'!$A:$A,"-------------")</f>
        <v>꾹저구</v>
      </c>
      <c r="I1053">
        <f>eDNA!E1053</f>
        <v>448</v>
      </c>
      <c r="J1053" t="str">
        <f>_xlfn.XLOOKUP(G1053,'Common name (master file)'!$B:$B,'Common name (master file)'!$C:$C,"")</f>
        <v>어류</v>
      </c>
      <c r="K1053">
        <f>eDNA!B1053</f>
        <v>126.8960105</v>
      </c>
      <c r="L1053">
        <f>eDNA!C1053</f>
        <v>37.403669399999998</v>
      </c>
      <c r="M1053" s="10" t="str" cm="1">
        <f t="array" ref="M1053">IFERROR(_xlfn.XLOOKUP(1,('env Parameter'!$A:$A=$A1053)*('env Parameter'!$B:$B=$K1053)*('env Parameter'!$C:$C=$L1053),'env Parameter'!D:D,""),"")</f>
        <v>안양천-6</v>
      </c>
      <c r="N1053" s="10" t="str" cm="1">
        <f t="array" ref="N1053">IFERROR(_xlfn.XLOOKUP(1,('env Parameter'!$A:$A=$A1053)*('env Parameter'!$B:$B=$K1053)*('env Parameter'!$C:$C=$L1053),'env Parameter'!I:I,""),"")</f>
        <v>YR</v>
      </c>
    </row>
    <row r="1054" spans="1:14">
      <c r="A1054">
        <f>eDNA!A1054</f>
        <v>20201024</v>
      </c>
      <c r="B1054" s="10" t="str" cm="1">
        <f t="array" ref="B1054">IFERROR(_xlfn.XLOOKUP(1,('env Parameter'!$A:$A=$A1054)*('env Parameter'!$B:$B=$K1054)*('env Parameter'!$C:$C=$L1054),'env Parameter'!H:H,""),"")</f>
        <v>생물상 조사</v>
      </c>
      <c r="C1054" s="10" cm="1">
        <f t="array" ref="C1054">IFERROR(_xlfn.XLOOKUP(1,('env Parameter'!$A:$A=$A1054)*('env Parameter'!$B:$B=$K1054)*('env Parameter'!$C:$C=$L1054),'env Parameter'!E:E,""),"")</f>
        <v>2.14</v>
      </c>
      <c r="D1054" s="10" cm="1">
        <f t="array" ref="D1054">IFERROR(_xlfn.XLOOKUP(1,('env Parameter'!$A:$A=$A1054)*('env Parameter'!$B:$B=$K1054)*('env Parameter'!$C:$C=$L1054),'env Parameter'!F:F,""),"")</f>
        <v>478</v>
      </c>
      <c r="E1054" s="10" cm="1">
        <f t="array" ref="E1054">IFERROR(_xlfn.XLOOKUP(1,('env Parameter'!$A:$A=$A1054)*('env Parameter'!$B:$B=$K1054)*('env Parameter'!$C:$C=$L1054),'env Parameter'!G:G,""),"")</f>
        <v>7.6</v>
      </c>
      <c r="F1054" t="str">
        <f>eDNA!F1054</f>
        <v>MiFish</v>
      </c>
      <c r="G1054" t="str">
        <f>eDNA!D1054</f>
        <v>Gnathopogon strigatus</v>
      </c>
      <c r="H1054" t="str">
        <f>_xlfn.XLOOKUP(G1054,'Common name (master file)'!$B:$B,'Common name (master file)'!$A:$A,"-------------")</f>
        <v>줄몰개</v>
      </c>
      <c r="I1054">
        <f>eDNA!E1054</f>
        <v>1462</v>
      </c>
      <c r="J1054" t="str">
        <f>_xlfn.XLOOKUP(G1054,'Common name (master file)'!$B:$B,'Common name (master file)'!$C:$C,"")</f>
        <v>어류</v>
      </c>
      <c r="K1054">
        <f>eDNA!B1054</f>
        <v>126.8960105</v>
      </c>
      <c r="L1054">
        <f>eDNA!C1054</f>
        <v>37.403669399999998</v>
      </c>
      <c r="M1054" s="10" t="str" cm="1">
        <f t="array" ref="M1054">IFERROR(_xlfn.XLOOKUP(1,('env Parameter'!$A:$A=$A1054)*('env Parameter'!$B:$B=$K1054)*('env Parameter'!$C:$C=$L1054),'env Parameter'!D:D,""),"")</f>
        <v>안양천-6</v>
      </c>
      <c r="N1054" s="10" t="str" cm="1">
        <f t="array" ref="N1054">IFERROR(_xlfn.XLOOKUP(1,('env Parameter'!$A:$A=$A1054)*('env Parameter'!$B:$B=$K1054)*('env Parameter'!$C:$C=$L1054),'env Parameter'!I:I,""),"")</f>
        <v>YR</v>
      </c>
    </row>
    <row r="1055" spans="1:14">
      <c r="A1055">
        <f>eDNA!A1055</f>
        <v>20201024</v>
      </c>
      <c r="B1055" s="10" t="str" cm="1">
        <f t="array" ref="B1055">IFERROR(_xlfn.XLOOKUP(1,('env Parameter'!$A:$A=$A1055)*('env Parameter'!$B:$B=$K1055)*('env Parameter'!$C:$C=$L1055),'env Parameter'!H:H,""),"")</f>
        <v>생물상 조사</v>
      </c>
      <c r="C1055" s="10" cm="1">
        <f t="array" ref="C1055">IFERROR(_xlfn.XLOOKUP(1,('env Parameter'!$A:$A=$A1055)*('env Parameter'!$B:$B=$K1055)*('env Parameter'!$C:$C=$L1055),'env Parameter'!E:E,""),"")</f>
        <v>2.14</v>
      </c>
      <c r="D1055" s="10" cm="1">
        <f t="array" ref="D1055">IFERROR(_xlfn.XLOOKUP(1,('env Parameter'!$A:$A=$A1055)*('env Parameter'!$B:$B=$K1055)*('env Parameter'!$C:$C=$L1055),'env Parameter'!F:F,""),"")</f>
        <v>478</v>
      </c>
      <c r="E1055" s="10" cm="1">
        <f t="array" ref="E1055">IFERROR(_xlfn.XLOOKUP(1,('env Parameter'!$A:$A=$A1055)*('env Parameter'!$B:$B=$K1055)*('env Parameter'!$C:$C=$L1055),'env Parameter'!G:G,""),"")</f>
        <v>7.6</v>
      </c>
      <c r="F1055" t="str">
        <f>eDNA!F1055</f>
        <v>MiFish</v>
      </c>
      <c r="G1055" t="str">
        <f>eDNA!D1055</f>
        <v>Hemibarbus sp.</v>
      </c>
      <c r="H1055" t="str">
        <f>_xlfn.XLOOKUP(G1055,'Common name (master file)'!$B:$B,'Common name (master file)'!$A:$A,"-------------")</f>
        <v>누치 속</v>
      </c>
      <c r="I1055">
        <f>eDNA!E1055</f>
        <v>1230</v>
      </c>
      <c r="J1055" t="str">
        <f>_xlfn.XLOOKUP(G1055,'Common name (master file)'!$B:$B,'Common name (master file)'!$C:$C,"")</f>
        <v>어류</v>
      </c>
      <c r="K1055">
        <f>eDNA!B1055</f>
        <v>126.8960105</v>
      </c>
      <c r="L1055">
        <f>eDNA!C1055</f>
        <v>37.403669399999998</v>
      </c>
      <c r="M1055" s="10" t="str" cm="1">
        <f t="array" ref="M1055">IFERROR(_xlfn.XLOOKUP(1,('env Parameter'!$A:$A=$A1055)*('env Parameter'!$B:$B=$K1055)*('env Parameter'!$C:$C=$L1055),'env Parameter'!D:D,""),"")</f>
        <v>안양천-6</v>
      </c>
      <c r="N1055" s="10" t="str" cm="1">
        <f t="array" ref="N1055">IFERROR(_xlfn.XLOOKUP(1,('env Parameter'!$A:$A=$A1055)*('env Parameter'!$B:$B=$K1055)*('env Parameter'!$C:$C=$L1055),'env Parameter'!I:I,""),"")</f>
        <v>YR</v>
      </c>
    </row>
    <row r="1056" spans="1:14">
      <c r="A1056">
        <f>eDNA!A1056</f>
        <v>20201024</v>
      </c>
      <c r="B1056" s="10" t="str" cm="1">
        <f t="array" ref="B1056">IFERROR(_xlfn.XLOOKUP(1,('env Parameter'!$A:$A=$A1056)*('env Parameter'!$B:$B=$K1056)*('env Parameter'!$C:$C=$L1056),'env Parameter'!H:H,""),"")</f>
        <v>생물상 조사</v>
      </c>
      <c r="C1056" s="10" cm="1">
        <f t="array" ref="C1056">IFERROR(_xlfn.XLOOKUP(1,('env Parameter'!$A:$A=$A1056)*('env Parameter'!$B:$B=$K1056)*('env Parameter'!$C:$C=$L1056),'env Parameter'!E:E,""),"")</f>
        <v>2.14</v>
      </c>
      <c r="D1056" s="10" cm="1">
        <f t="array" ref="D1056">IFERROR(_xlfn.XLOOKUP(1,('env Parameter'!$A:$A=$A1056)*('env Parameter'!$B:$B=$K1056)*('env Parameter'!$C:$C=$L1056),'env Parameter'!F:F,""),"")</f>
        <v>478</v>
      </c>
      <c r="E1056" s="10" cm="1">
        <f t="array" ref="E1056">IFERROR(_xlfn.XLOOKUP(1,('env Parameter'!$A:$A=$A1056)*('env Parameter'!$B:$B=$K1056)*('env Parameter'!$C:$C=$L1056),'env Parameter'!G:G,""),"")</f>
        <v>7.6</v>
      </c>
      <c r="F1056" t="str">
        <f>eDNA!F1056</f>
        <v>MiFish</v>
      </c>
      <c r="G1056" t="str">
        <f>eDNA!D1056</f>
        <v>Silurus soldatovi</v>
      </c>
      <c r="H1056" t="str">
        <f>_xlfn.XLOOKUP(G1056,'Common name (master file)'!$B:$B,'Common name (master file)'!$A:$A,"-------------")</f>
        <v>솔다토비 메기</v>
      </c>
      <c r="I1056">
        <f>eDNA!E1056</f>
        <v>1929</v>
      </c>
      <c r="J1056" t="str">
        <f>_xlfn.XLOOKUP(G1056,'Common name (master file)'!$B:$B,'Common name (master file)'!$C:$C,"")</f>
        <v>어류</v>
      </c>
      <c r="K1056">
        <f>eDNA!B1056</f>
        <v>126.8960105</v>
      </c>
      <c r="L1056">
        <f>eDNA!C1056</f>
        <v>37.403669399999998</v>
      </c>
      <c r="M1056" s="10" t="str" cm="1">
        <f t="array" ref="M1056">IFERROR(_xlfn.XLOOKUP(1,('env Parameter'!$A:$A=$A1056)*('env Parameter'!$B:$B=$K1056)*('env Parameter'!$C:$C=$L1056),'env Parameter'!D:D,""),"")</f>
        <v>안양천-6</v>
      </c>
      <c r="N1056" s="10" t="str" cm="1">
        <f t="array" ref="N1056">IFERROR(_xlfn.XLOOKUP(1,('env Parameter'!$A:$A=$A1056)*('env Parameter'!$B:$B=$K1056)*('env Parameter'!$C:$C=$L1056),'env Parameter'!I:I,""),"")</f>
        <v>YR</v>
      </c>
    </row>
    <row r="1057" spans="1:14">
      <c r="A1057">
        <f>eDNA!A1057</f>
        <v>20201024</v>
      </c>
      <c r="B1057" s="10" t="str" cm="1">
        <f t="array" ref="B1057">IFERROR(_xlfn.XLOOKUP(1,('env Parameter'!$A:$A=$A1057)*('env Parameter'!$B:$B=$K1057)*('env Parameter'!$C:$C=$L1057),'env Parameter'!H:H,""),"")</f>
        <v>생물상 조사</v>
      </c>
      <c r="C1057" s="10" cm="1">
        <f t="array" ref="C1057">IFERROR(_xlfn.XLOOKUP(1,('env Parameter'!$A:$A=$A1057)*('env Parameter'!$B:$B=$K1057)*('env Parameter'!$C:$C=$L1057),'env Parameter'!E:E,""),"")</f>
        <v>2.14</v>
      </c>
      <c r="D1057" s="10" cm="1">
        <f t="array" ref="D1057">IFERROR(_xlfn.XLOOKUP(1,('env Parameter'!$A:$A=$A1057)*('env Parameter'!$B:$B=$K1057)*('env Parameter'!$C:$C=$L1057),'env Parameter'!F:F,""),"")</f>
        <v>478</v>
      </c>
      <c r="E1057" s="10" cm="1">
        <f t="array" ref="E1057">IFERROR(_xlfn.XLOOKUP(1,('env Parameter'!$A:$A=$A1057)*('env Parameter'!$B:$B=$K1057)*('env Parameter'!$C:$C=$L1057),'env Parameter'!G:G,""),"")</f>
        <v>7.6</v>
      </c>
      <c r="F1057" t="str">
        <f>eDNA!F1057</f>
        <v>MiFish</v>
      </c>
      <c r="G1057" t="str">
        <f>eDNA!D1057</f>
        <v>Tridentiger obscurus</v>
      </c>
      <c r="H1057" t="str">
        <f>_xlfn.XLOOKUP(G1057,'Common name (master file)'!$B:$B,'Common name (master file)'!$A:$A,"-------------")</f>
        <v>검정망둑</v>
      </c>
      <c r="I1057">
        <f>eDNA!E1057</f>
        <v>2417</v>
      </c>
      <c r="J1057" t="str">
        <f>_xlfn.XLOOKUP(G1057,'Common name (master file)'!$B:$B,'Common name (master file)'!$C:$C,"")</f>
        <v>어류</v>
      </c>
      <c r="K1057">
        <f>eDNA!B1057</f>
        <v>126.8960105</v>
      </c>
      <c r="L1057">
        <f>eDNA!C1057</f>
        <v>37.403669399999998</v>
      </c>
      <c r="M1057" s="10" t="str" cm="1">
        <f t="array" ref="M1057">IFERROR(_xlfn.XLOOKUP(1,('env Parameter'!$A:$A=$A1057)*('env Parameter'!$B:$B=$K1057)*('env Parameter'!$C:$C=$L1057),'env Parameter'!D:D,""),"")</f>
        <v>안양천-6</v>
      </c>
      <c r="N1057" s="10" t="str" cm="1">
        <f t="array" ref="N1057">IFERROR(_xlfn.XLOOKUP(1,('env Parameter'!$A:$A=$A1057)*('env Parameter'!$B:$B=$K1057)*('env Parameter'!$C:$C=$L1057),'env Parameter'!I:I,""),"")</f>
        <v>YR</v>
      </c>
    </row>
    <row r="1058" spans="1:14">
      <c r="A1058">
        <f>eDNA!A1058</f>
        <v>20201024</v>
      </c>
      <c r="B1058" s="10" t="str" cm="1">
        <f t="array" ref="B1058">IFERROR(_xlfn.XLOOKUP(1,('env Parameter'!$A:$A=$A1058)*('env Parameter'!$B:$B=$K1058)*('env Parameter'!$C:$C=$L1058),'env Parameter'!H:H,""),"")</f>
        <v>생물상 조사</v>
      </c>
      <c r="C1058" s="10" cm="1">
        <f t="array" ref="C1058">IFERROR(_xlfn.XLOOKUP(1,('env Parameter'!$A:$A=$A1058)*('env Parameter'!$B:$B=$K1058)*('env Parameter'!$C:$C=$L1058),'env Parameter'!E:E,""),"")</f>
        <v>2.14</v>
      </c>
      <c r="D1058" s="10" cm="1">
        <f t="array" ref="D1058">IFERROR(_xlfn.XLOOKUP(1,('env Parameter'!$A:$A=$A1058)*('env Parameter'!$B:$B=$K1058)*('env Parameter'!$C:$C=$L1058),'env Parameter'!F:F,""),"")</f>
        <v>478</v>
      </c>
      <c r="E1058" s="10" cm="1">
        <f t="array" ref="E1058">IFERROR(_xlfn.XLOOKUP(1,('env Parameter'!$A:$A=$A1058)*('env Parameter'!$B:$B=$K1058)*('env Parameter'!$C:$C=$L1058),'env Parameter'!G:G,""),"")</f>
        <v>7.6</v>
      </c>
      <c r="F1058" t="str">
        <f>eDNA!F1058</f>
        <v>MiFish</v>
      </c>
      <c r="G1058" t="str">
        <f>eDNA!D1058</f>
        <v>Pseudogobio esocinus</v>
      </c>
      <c r="H1058" t="str">
        <f>_xlfn.XLOOKUP(G1058,'Common name (master file)'!$B:$B,'Common name (master file)'!$A:$A,"-------------")</f>
        <v>모래무지</v>
      </c>
      <c r="I1058">
        <f>eDNA!E1058</f>
        <v>3683</v>
      </c>
      <c r="J1058" t="str">
        <f>_xlfn.XLOOKUP(G1058,'Common name (master file)'!$B:$B,'Common name (master file)'!$C:$C,"")</f>
        <v>어류</v>
      </c>
      <c r="K1058">
        <f>eDNA!B1058</f>
        <v>126.8960105</v>
      </c>
      <c r="L1058">
        <f>eDNA!C1058</f>
        <v>37.403669399999998</v>
      </c>
      <c r="M1058" s="10" t="str" cm="1">
        <f t="array" ref="M1058">IFERROR(_xlfn.XLOOKUP(1,('env Parameter'!$A:$A=$A1058)*('env Parameter'!$B:$B=$K1058)*('env Parameter'!$C:$C=$L1058),'env Parameter'!D:D,""),"")</f>
        <v>안양천-6</v>
      </c>
      <c r="N1058" s="10" t="str" cm="1">
        <f t="array" ref="N1058">IFERROR(_xlfn.XLOOKUP(1,('env Parameter'!$A:$A=$A1058)*('env Parameter'!$B:$B=$K1058)*('env Parameter'!$C:$C=$L1058),'env Parameter'!I:I,""),"")</f>
        <v>YR</v>
      </c>
    </row>
    <row r="1059" spans="1:14">
      <c r="A1059">
        <f>eDNA!A1059</f>
        <v>20201024</v>
      </c>
      <c r="B1059" s="10" t="str" cm="1">
        <f t="array" ref="B1059">IFERROR(_xlfn.XLOOKUP(1,('env Parameter'!$A:$A=$A1059)*('env Parameter'!$B:$B=$K1059)*('env Parameter'!$C:$C=$L1059),'env Parameter'!H:H,""),"")</f>
        <v>생물상 조사</v>
      </c>
      <c r="C1059" s="10" cm="1">
        <f t="array" ref="C1059">IFERROR(_xlfn.XLOOKUP(1,('env Parameter'!$A:$A=$A1059)*('env Parameter'!$B:$B=$K1059)*('env Parameter'!$C:$C=$L1059),'env Parameter'!E:E,""),"")</f>
        <v>2.14</v>
      </c>
      <c r="D1059" s="10" cm="1">
        <f t="array" ref="D1059">IFERROR(_xlfn.XLOOKUP(1,('env Parameter'!$A:$A=$A1059)*('env Parameter'!$B:$B=$K1059)*('env Parameter'!$C:$C=$L1059),'env Parameter'!F:F,""),"")</f>
        <v>478</v>
      </c>
      <c r="E1059" s="10" cm="1">
        <f t="array" ref="E1059">IFERROR(_xlfn.XLOOKUP(1,('env Parameter'!$A:$A=$A1059)*('env Parameter'!$B:$B=$K1059)*('env Parameter'!$C:$C=$L1059),'env Parameter'!G:G,""),"")</f>
        <v>7.6</v>
      </c>
      <c r="F1059" t="str">
        <f>eDNA!F1059</f>
        <v>MiFish</v>
      </c>
      <c r="G1059" t="str">
        <f>eDNA!D1059</f>
        <v>Carassius gibelio</v>
      </c>
      <c r="H1059" t="str">
        <f>_xlfn.XLOOKUP(G1059,'Common name (master file)'!$B:$B,'Common name (master file)'!$A:$A,"-------------")</f>
        <v>기벨리오 붕어</v>
      </c>
      <c r="I1059">
        <f>eDNA!E1059</f>
        <v>6634</v>
      </c>
      <c r="J1059" t="str">
        <f>_xlfn.XLOOKUP(G1059,'Common name (master file)'!$B:$B,'Common name (master file)'!$C:$C,"")</f>
        <v>어류</v>
      </c>
      <c r="K1059">
        <f>eDNA!B1059</f>
        <v>126.8960105</v>
      </c>
      <c r="L1059">
        <f>eDNA!C1059</f>
        <v>37.403669399999998</v>
      </c>
      <c r="M1059" s="10" t="str" cm="1">
        <f t="array" ref="M1059">IFERROR(_xlfn.XLOOKUP(1,('env Parameter'!$A:$A=$A1059)*('env Parameter'!$B:$B=$K1059)*('env Parameter'!$C:$C=$L1059),'env Parameter'!D:D,""),"")</f>
        <v>안양천-6</v>
      </c>
      <c r="N1059" s="10" t="str" cm="1">
        <f t="array" ref="N1059">IFERROR(_xlfn.XLOOKUP(1,('env Parameter'!$A:$A=$A1059)*('env Parameter'!$B:$B=$K1059)*('env Parameter'!$C:$C=$L1059),'env Parameter'!I:I,""),"")</f>
        <v>YR</v>
      </c>
    </row>
    <row r="1060" spans="1:14">
      <c r="A1060">
        <f>eDNA!A1060</f>
        <v>20201024</v>
      </c>
      <c r="B1060" s="10" t="str" cm="1">
        <f t="array" ref="B1060">IFERROR(_xlfn.XLOOKUP(1,('env Parameter'!$A:$A=$A1060)*('env Parameter'!$B:$B=$K1060)*('env Parameter'!$C:$C=$L1060),'env Parameter'!H:H,""),"")</f>
        <v>생물상 조사</v>
      </c>
      <c r="C1060" s="10" cm="1">
        <f t="array" ref="C1060">IFERROR(_xlfn.XLOOKUP(1,('env Parameter'!$A:$A=$A1060)*('env Parameter'!$B:$B=$K1060)*('env Parameter'!$C:$C=$L1060),'env Parameter'!E:E,""),"")</f>
        <v>2.14</v>
      </c>
      <c r="D1060" s="10" cm="1">
        <f t="array" ref="D1060">IFERROR(_xlfn.XLOOKUP(1,('env Parameter'!$A:$A=$A1060)*('env Parameter'!$B:$B=$K1060)*('env Parameter'!$C:$C=$L1060),'env Parameter'!F:F,""),"")</f>
        <v>478</v>
      </c>
      <c r="E1060" s="10" cm="1">
        <f t="array" ref="E1060">IFERROR(_xlfn.XLOOKUP(1,('env Parameter'!$A:$A=$A1060)*('env Parameter'!$B:$B=$K1060)*('env Parameter'!$C:$C=$L1060),'env Parameter'!G:G,""),"")</f>
        <v>7.6</v>
      </c>
      <c r="F1060" t="str">
        <f>eDNA!F1060</f>
        <v>MiFish</v>
      </c>
      <c r="G1060" t="str">
        <f>eDNA!D1060</f>
        <v>Pseudorasbora parva</v>
      </c>
      <c r="H1060" t="str">
        <f>_xlfn.XLOOKUP(G1060,'Common name (master file)'!$B:$B,'Common name (master file)'!$A:$A,"-------------")</f>
        <v>참붕어</v>
      </c>
      <c r="I1060">
        <f>eDNA!E1060</f>
        <v>22003</v>
      </c>
      <c r="J1060" t="str">
        <f>_xlfn.XLOOKUP(G1060,'Common name (master file)'!$B:$B,'Common name (master file)'!$C:$C,"")</f>
        <v>어류</v>
      </c>
      <c r="K1060">
        <f>eDNA!B1060</f>
        <v>126.8960105</v>
      </c>
      <c r="L1060">
        <f>eDNA!C1060</f>
        <v>37.403669399999998</v>
      </c>
      <c r="M1060" s="10" t="str" cm="1">
        <f t="array" ref="M1060">IFERROR(_xlfn.XLOOKUP(1,('env Parameter'!$A:$A=$A1060)*('env Parameter'!$B:$B=$K1060)*('env Parameter'!$C:$C=$L1060),'env Parameter'!D:D,""),"")</f>
        <v>안양천-6</v>
      </c>
      <c r="N1060" s="10" t="str" cm="1">
        <f t="array" ref="N1060">IFERROR(_xlfn.XLOOKUP(1,('env Parameter'!$A:$A=$A1060)*('env Parameter'!$B:$B=$K1060)*('env Parameter'!$C:$C=$L1060),'env Parameter'!I:I,""),"")</f>
        <v>YR</v>
      </c>
    </row>
    <row r="1061" spans="1:14">
      <c r="A1061">
        <f>eDNA!A1061</f>
        <v>20201024</v>
      </c>
      <c r="B1061" s="10" t="str" cm="1">
        <f t="array" ref="B1061">IFERROR(_xlfn.XLOOKUP(1,('env Parameter'!$A:$A=$A1061)*('env Parameter'!$B:$B=$K1061)*('env Parameter'!$C:$C=$L1061),'env Parameter'!H:H,""),"")</f>
        <v>생물상 조사</v>
      </c>
      <c r="C1061" s="10" cm="1">
        <f t="array" ref="C1061">IFERROR(_xlfn.XLOOKUP(1,('env Parameter'!$A:$A=$A1061)*('env Parameter'!$B:$B=$K1061)*('env Parameter'!$C:$C=$L1061),'env Parameter'!E:E,""),"")</f>
        <v>2.14</v>
      </c>
      <c r="D1061" s="10" cm="1">
        <f t="array" ref="D1061">IFERROR(_xlfn.XLOOKUP(1,('env Parameter'!$A:$A=$A1061)*('env Parameter'!$B:$B=$K1061)*('env Parameter'!$C:$C=$L1061),'env Parameter'!F:F,""),"")</f>
        <v>478</v>
      </c>
      <c r="E1061" s="10" cm="1">
        <f t="array" ref="E1061">IFERROR(_xlfn.XLOOKUP(1,('env Parameter'!$A:$A=$A1061)*('env Parameter'!$B:$B=$K1061)*('env Parameter'!$C:$C=$L1061),'env Parameter'!G:G,""),"")</f>
        <v>7.6</v>
      </c>
      <c r="F1061" t="str">
        <f>eDNA!F1061</f>
        <v>MiFish</v>
      </c>
      <c r="G1061" t="str">
        <f>eDNA!D1061</f>
        <v>Zacco platypus</v>
      </c>
      <c r="H1061" t="str">
        <f>_xlfn.XLOOKUP(G1061,'Common name (master file)'!$B:$B,'Common name (master file)'!$A:$A,"-------------")</f>
        <v>피라미</v>
      </c>
      <c r="I1061">
        <f>eDNA!E1061</f>
        <v>76030</v>
      </c>
      <c r="J1061" t="str">
        <f>_xlfn.XLOOKUP(G1061,'Common name (master file)'!$B:$B,'Common name (master file)'!$C:$C,"")</f>
        <v>어류</v>
      </c>
      <c r="K1061">
        <f>eDNA!B1061</f>
        <v>126.8960105</v>
      </c>
      <c r="L1061">
        <f>eDNA!C1061</f>
        <v>37.403669399999998</v>
      </c>
      <c r="M1061" s="10" t="str" cm="1">
        <f t="array" ref="M1061">IFERROR(_xlfn.XLOOKUP(1,('env Parameter'!$A:$A=$A1061)*('env Parameter'!$B:$B=$K1061)*('env Parameter'!$C:$C=$L1061),'env Parameter'!D:D,""),"")</f>
        <v>안양천-6</v>
      </c>
      <c r="N1061" s="10" t="str" cm="1">
        <f t="array" ref="N1061">IFERROR(_xlfn.XLOOKUP(1,('env Parameter'!$A:$A=$A1061)*('env Parameter'!$B:$B=$K1061)*('env Parameter'!$C:$C=$L1061),'env Parameter'!I:I,""),"")</f>
        <v>YR</v>
      </c>
    </row>
    <row r="1062" spans="1:14">
      <c r="A1062">
        <f>eDNA!A1062</f>
        <v>20201024</v>
      </c>
      <c r="B1062" s="10" t="str" cm="1">
        <f t="array" ref="B1062">IFERROR(_xlfn.XLOOKUP(1,('env Parameter'!$A:$A=$A1062)*('env Parameter'!$B:$B=$K1062)*('env Parameter'!$C:$C=$L1062),'env Parameter'!H:H,""),"")</f>
        <v>생물상 조사</v>
      </c>
      <c r="C1062" s="10" cm="1">
        <f t="array" ref="C1062">IFERROR(_xlfn.XLOOKUP(1,('env Parameter'!$A:$A=$A1062)*('env Parameter'!$B:$B=$K1062)*('env Parameter'!$C:$C=$L1062),'env Parameter'!E:E,""),"")</f>
        <v>2.14</v>
      </c>
      <c r="D1062" s="10" cm="1">
        <f t="array" ref="D1062">IFERROR(_xlfn.XLOOKUP(1,('env Parameter'!$A:$A=$A1062)*('env Parameter'!$B:$B=$K1062)*('env Parameter'!$C:$C=$L1062),'env Parameter'!F:F,""),"")</f>
        <v>478</v>
      </c>
      <c r="E1062" s="10" cm="1">
        <f t="array" ref="E1062">IFERROR(_xlfn.XLOOKUP(1,('env Parameter'!$A:$A=$A1062)*('env Parameter'!$B:$B=$K1062)*('env Parameter'!$C:$C=$L1062),'env Parameter'!G:G,""),"")</f>
        <v>7.6</v>
      </c>
      <c r="F1062" t="str">
        <f>eDNA!F1062</f>
        <v>MiFish</v>
      </c>
      <c r="G1062" t="str">
        <f>eDNA!D1062</f>
        <v>Odontobutis interrupta</v>
      </c>
      <c r="H1062" t="str">
        <f>_xlfn.XLOOKUP(G1062,'Common name (master file)'!$B:$B,'Common name (master file)'!$A:$A,"-------------")</f>
        <v>얼록동사리</v>
      </c>
      <c r="I1062">
        <f>eDNA!E1062</f>
        <v>71189</v>
      </c>
      <c r="J1062" t="str">
        <f>_xlfn.XLOOKUP(G1062,'Common name (master file)'!$B:$B,'Common name (master file)'!$C:$C,"")</f>
        <v>어류</v>
      </c>
      <c r="K1062">
        <f>eDNA!B1062</f>
        <v>126.8960105</v>
      </c>
      <c r="L1062">
        <f>eDNA!C1062</f>
        <v>37.403669399999998</v>
      </c>
      <c r="M1062" s="10" t="str" cm="1">
        <f t="array" ref="M1062">IFERROR(_xlfn.XLOOKUP(1,('env Parameter'!$A:$A=$A1062)*('env Parameter'!$B:$B=$K1062)*('env Parameter'!$C:$C=$L1062),'env Parameter'!D:D,""),"")</f>
        <v>안양천-6</v>
      </c>
      <c r="N1062" s="10" t="str" cm="1">
        <f t="array" ref="N1062">IFERROR(_xlfn.XLOOKUP(1,('env Parameter'!$A:$A=$A1062)*('env Parameter'!$B:$B=$K1062)*('env Parameter'!$C:$C=$L1062),'env Parameter'!I:I,""),"")</f>
        <v>YR</v>
      </c>
    </row>
    <row r="1063" spans="1:14">
      <c r="A1063">
        <f>eDNA!A1063</f>
        <v>20201024</v>
      </c>
      <c r="B1063" s="10" t="str" cm="1">
        <f t="array" ref="B1063">IFERROR(_xlfn.XLOOKUP(1,('env Parameter'!$A:$A=$A1063)*('env Parameter'!$B:$B=$K1063)*('env Parameter'!$C:$C=$L1063),'env Parameter'!H:H,""),"")</f>
        <v>생물상 조사</v>
      </c>
      <c r="C1063" s="10" cm="1">
        <f t="array" ref="C1063">IFERROR(_xlfn.XLOOKUP(1,('env Parameter'!$A:$A=$A1063)*('env Parameter'!$B:$B=$K1063)*('env Parameter'!$C:$C=$L1063),'env Parameter'!E:E,""),"")</f>
        <v>2.14</v>
      </c>
      <c r="D1063" s="10" cm="1">
        <f t="array" ref="D1063">IFERROR(_xlfn.XLOOKUP(1,('env Parameter'!$A:$A=$A1063)*('env Parameter'!$B:$B=$K1063)*('env Parameter'!$C:$C=$L1063),'env Parameter'!F:F,""),"")</f>
        <v>478</v>
      </c>
      <c r="E1063" s="10" cm="1">
        <f t="array" ref="E1063">IFERROR(_xlfn.XLOOKUP(1,('env Parameter'!$A:$A=$A1063)*('env Parameter'!$B:$B=$K1063)*('env Parameter'!$C:$C=$L1063),'env Parameter'!G:G,""),"")</f>
        <v>7.6</v>
      </c>
      <c r="F1063" t="str">
        <f>eDNA!F1063</f>
        <v>MiFish</v>
      </c>
      <c r="G1063" t="str">
        <f>eDNA!D1063</f>
        <v>Rhynchocypris oxycephalus</v>
      </c>
      <c r="H1063" t="str">
        <f>_xlfn.XLOOKUP(G1063,'Common name (master file)'!$B:$B,'Common name (master file)'!$A:$A,"-------------")</f>
        <v>버들치</v>
      </c>
      <c r="I1063">
        <f>eDNA!E1063</f>
        <v>17</v>
      </c>
      <c r="J1063" t="str">
        <f>_xlfn.XLOOKUP(G1063,'Common name (master file)'!$B:$B,'Common name (master file)'!$C:$C,"")</f>
        <v>어류</v>
      </c>
      <c r="K1063">
        <f>eDNA!B1063</f>
        <v>126.89556140000001</v>
      </c>
      <c r="L1063">
        <f>eDNA!C1063</f>
        <v>37.418411599999999</v>
      </c>
      <c r="M1063" s="10" t="str" cm="1">
        <f t="array" ref="M1063">IFERROR(_xlfn.XLOOKUP(1,('env Parameter'!$A:$A=$A1063)*('env Parameter'!$B:$B=$K1063)*('env Parameter'!$C:$C=$L1063),'env Parameter'!D:D,""),"")</f>
        <v>안양천-7</v>
      </c>
      <c r="N1063" s="10" t="str" cm="1">
        <f t="array" ref="N1063">IFERROR(_xlfn.XLOOKUP(1,('env Parameter'!$A:$A=$A1063)*('env Parameter'!$B:$B=$K1063)*('env Parameter'!$C:$C=$L1063),'env Parameter'!I:I,""),"")</f>
        <v>YR</v>
      </c>
    </row>
    <row r="1064" spans="1:14">
      <c r="A1064">
        <f>eDNA!A1064</f>
        <v>20201024</v>
      </c>
      <c r="B1064" s="10" t="str" cm="1">
        <f t="array" ref="B1064">IFERROR(_xlfn.XLOOKUP(1,('env Parameter'!$A:$A=$A1064)*('env Parameter'!$B:$B=$K1064)*('env Parameter'!$C:$C=$L1064),'env Parameter'!H:H,""),"")</f>
        <v>생물상 조사</v>
      </c>
      <c r="C1064" s="10" cm="1">
        <f t="array" ref="C1064">IFERROR(_xlfn.XLOOKUP(1,('env Parameter'!$A:$A=$A1064)*('env Parameter'!$B:$B=$K1064)*('env Parameter'!$C:$C=$L1064),'env Parameter'!E:E,""),"")</f>
        <v>2.14</v>
      </c>
      <c r="D1064" s="10" cm="1">
        <f t="array" ref="D1064">IFERROR(_xlfn.XLOOKUP(1,('env Parameter'!$A:$A=$A1064)*('env Parameter'!$B:$B=$K1064)*('env Parameter'!$C:$C=$L1064),'env Parameter'!F:F,""),"")</f>
        <v>478</v>
      </c>
      <c r="E1064" s="10" cm="1">
        <f t="array" ref="E1064">IFERROR(_xlfn.XLOOKUP(1,('env Parameter'!$A:$A=$A1064)*('env Parameter'!$B:$B=$K1064)*('env Parameter'!$C:$C=$L1064),'env Parameter'!G:G,""),"")</f>
        <v>7.6</v>
      </c>
      <c r="F1064" t="str">
        <f>eDNA!F1064</f>
        <v>MiFish</v>
      </c>
      <c r="G1064" t="str">
        <f>eDNA!D1064</f>
        <v>Misgurnus mizolepis</v>
      </c>
      <c r="H1064" t="str">
        <f>_xlfn.XLOOKUP(G1064,'Common name (master file)'!$B:$B,'Common name (master file)'!$A:$A,"-------------")</f>
        <v>미꾸라지</v>
      </c>
      <c r="I1064">
        <f>eDNA!E1064</f>
        <v>19</v>
      </c>
      <c r="J1064" t="str">
        <f>_xlfn.XLOOKUP(G1064,'Common name (master file)'!$B:$B,'Common name (master file)'!$C:$C,"")</f>
        <v>어류</v>
      </c>
      <c r="K1064">
        <f>eDNA!B1064</f>
        <v>126.89556140000001</v>
      </c>
      <c r="L1064">
        <f>eDNA!C1064</f>
        <v>37.418411599999999</v>
      </c>
      <c r="M1064" s="10" t="str" cm="1">
        <f t="array" ref="M1064">IFERROR(_xlfn.XLOOKUP(1,('env Parameter'!$A:$A=$A1064)*('env Parameter'!$B:$B=$K1064)*('env Parameter'!$C:$C=$L1064),'env Parameter'!D:D,""),"")</f>
        <v>안양천-7</v>
      </c>
      <c r="N1064" s="10" t="str" cm="1">
        <f t="array" ref="N1064">IFERROR(_xlfn.XLOOKUP(1,('env Parameter'!$A:$A=$A1064)*('env Parameter'!$B:$B=$K1064)*('env Parameter'!$C:$C=$L1064),'env Parameter'!I:I,""),"")</f>
        <v>YR</v>
      </c>
    </row>
    <row r="1065" spans="1:14">
      <c r="A1065">
        <f>eDNA!A1065</f>
        <v>20201024</v>
      </c>
      <c r="B1065" s="10" t="str" cm="1">
        <f t="array" ref="B1065">IFERROR(_xlfn.XLOOKUP(1,('env Parameter'!$A:$A=$A1065)*('env Parameter'!$B:$B=$K1065)*('env Parameter'!$C:$C=$L1065),'env Parameter'!H:H,""),"")</f>
        <v>생물상 조사</v>
      </c>
      <c r="C1065" s="10" cm="1">
        <f t="array" ref="C1065">IFERROR(_xlfn.XLOOKUP(1,('env Parameter'!$A:$A=$A1065)*('env Parameter'!$B:$B=$K1065)*('env Parameter'!$C:$C=$L1065),'env Parameter'!E:E,""),"")</f>
        <v>2.14</v>
      </c>
      <c r="D1065" s="10" cm="1">
        <f t="array" ref="D1065">IFERROR(_xlfn.XLOOKUP(1,('env Parameter'!$A:$A=$A1065)*('env Parameter'!$B:$B=$K1065)*('env Parameter'!$C:$C=$L1065),'env Parameter'!F:F,""),"")</f>
        <v>478</v>
      </c>
      <c r="E1065" s="10" cm="1">
        <f t="array" ref="E1065">IFERROR(_xlfn.XLOOKUP(1,('env Parameter'!$A:$A=$A1065)*('env Parameter'!$B:$B=$K1065)*('env Parameter'!$C:$C=$L1065),'env Parameter'!G:G,""),"")</f>
        <v>7.6</v>
      </c>
      <c r="F1065" t="str">
        <f>eDNA!F1065</f>
        <v>MiFish</v>
      </c>
      <c r="G1065" t="str">
        <f>eDNA!D1065</f>
        <v>Canis lupus familiaris</v>
      </c>
      <c r="H1065" t="str">
        <f>_xlfn.XLOOKUP(G1065,'Common name (master file)'!$B:$B,'Common name (master file)'!$A:$A,"-------------")</f>
        <v>개</v>
      </c>
      <c r="I1065">
        <f>eDNA!E1065</f>
        <v>26</v>
      </c>
      <c r="J1065" t="str">
        <f>_xlfn.XLOOKUP(G1065,'Common name (master file)'!$B:$B,'Common name (master file)'!$C:$C,"")</f>
        <v>포유류</v>
      </c>
      <c r="K1065">
        <f>eDNA!B1065</f>
        <v>126.89556140000001</v>
      </c>
      <c r="L1065">
        <f>eDNA!C1065</f>
        <v>37.418411599999999</v>
      </c>
      <c r="M1065" s="10" t="str" cm="1">
        <f t="array" ref="M1065">IFERROR(_xlfn.XLOOKUP(1,('env Parameter'!$A:$A=$A1065)*('env Parameter'!$B:$B=$K1065)*('env Parameter'!$C:$C=$L1065),'env Parameter'!D:D,""),"")</f>
        <v>안양천-7</v>
      </c>
      <c r="N1065" s="10" t="str" cm="1">
        <f t="array" ref="N1065">IFERROR(_xlfn.XLOOKUP(1,('env Parameter'!$A:$A=$A1065)*('env Parameter'!$B:$B=$K1065)*('env Parameter'!$C:$C=$L1065),'env Parameter'!I:I,""),"")</f>
        <v>YR</v>
      </c>
    </row>
    <row r="1066" spans="1:14">
      <c r="A1066">
        <f>eDNA!A1066</f>
        <v>20201024</v>
      </c>
      <c r="B1066" s="10" t="str" cm="1">
        <f t="array" ref="B1066">IFERROR(_xlfn.XLOOKUP(1,('env Parameter'!$A:$A=$A1066)*('env Parameter'!$B:$B=$K1066)*('env Parameter'!$C:$C=$L1066),'env Parameter'!H:H,""),"")</f>
        <v>생물상 조사</v>
      </c>
      <c r="C1066" s="10" cm="1">
        <f t="array" ref="C1066">IFERROR(_xlfn.XLOOKUP(1,('env Parameter'!$A:$A=$A1066)*('env Parameter'!$B:$B=$K1066)*('env Parameter'!$C:$C=$L1066),'env Parameter'!E:E,""),"")</f>
        <v>2.14</v>
      </c>
      <c r="D1066" s="10" cm="1">
        <f t="array" ref="D1066">IFERROR(_xlfn.XLOOKUP(1,('env Parameter'!$A:$A=$A1066)*('env Parameter'!$B:$B=$K1066)*('env Parameter'!$C:$C=$L1066),'env Parameter'!F:F,""),"")</f>
        <v>478</v>
      </c>
      <c r="E1066" s="10" cm="1">
        <f t="array" ref="E1066">IFERROR(_xlfn.XLOOKUP(1,('env Parameter'!$A:$A=$A1066)*('env Parameter'!$B:$B=$K1066)*('env Parameter'!$C:$C=$L1066),'env Parameter'!G:G,""),"")</f>
        <v>7.6</v>
      </c>
      <c r="F1066" t="str">
        <f>eDNA!F1066</f>
        <v>MiFish</v>
      </c>
      <c r="G1066" t="str">
        <f>eDNA!D1066</f>
        <v>Carassius auratus</v>
      </c>
      <c r="H1066" t="str">
        <f>_xlfn.XLOOKUP(G1066,'Common name (master file)'!$B:$B,'Common name (master file)'!$A:$A,"-------------")</f>
        <v>붕어</v>
      </c>
      <c r="I1066">
        <f>eDNA!E1066</f>
        <v>29</v>
      </c>
      <c r="J1066" t="str">
        <f>_xlfn.XLOOKUP(G1066,'Common name (master file)'!$B:$B,'Common name (master file)'!$C:$C,"")</f>
        <v>어류</v>
      </c>
      <c r="K1066">
        <f>eDNA!B1066</f>
        <v>126.89556140000001</v>
      </c>
      <c r="L1066">
        <f>eDNA!C1066</f>
        <v>37.418411599999999</v>
      </c>
      <c r="M1066" s="10" t="str" cm="1">
        <f t="array" ref="M1066">IFERROR(_xlfn.XLOOKUP(1,('env Parameter'!$A:$A=$A1066)*('env Parameter'!$B:$B=$K1066)*('env Parameter'!$C:$C=$L1066),'env Parameter'!D:D,""),"")</f>
        <v>안양천-7</v>
      </c>
      <c r="N1066" s="10" t="str" cm="1">
        <f t="array" ref="N1066">IFERROR(_xlfn.XLOOKUP(1,('env Parameter'!$A:$A=$A1066)*('env Parameter'!$B:$B=$K1066)*('env Parameter'!$C:$C=$L1066),'env Parameter'!I:I,""),"")</f>
        <v>YR</v>
      </c>
    </row>
    <row r="1067" spans="1:14">
      <c r="A1067">
        <f>eDNA!A1067</f>
        <v>20201024</v>
      </c>
      <c r="B1067" s="10" t="str" cm="1">
        <f t="array" ref="B1067">IFERROR(_xlfn.XLOOKUP(1,('env Parameter'!$A:$A=$A1067)*('env Parameter'!$B:$B=$K1067)*('env Parameter'!$C:$C=$L1067),'env Parameter'!H:H,""),"")</f>
        <v>생물상 조사</v>
      </c>
      <c r="C1067" s="10" cm="1">
        <f t="array" ref="C1067">IFERROR(_xlfn.XLOOKUP(1,('env Parameter'!$A:$A=$A1067)*('env Parameter'!$B:$B=$K1067)*('env Parameter'!$C:$C=$L1067),'env Parameter'!E:E,""),"")</f>
        <v>2.14</v>
      </c>
      <c r="D1067" s="10" cm="1">
        <f t="array" ref="D1067">IFERROR(_xlfn.XLOOKUP(1,('env Parameter'!$A:$A=$A1067)*('env Parameter'!$B:$B=$K1067)*('env Parameter'!$C:$C=$L1067),'env Parameter'!F:F,""),"")</f>
        <v>478</v>
      </c>
      <c r="E1067" s="10" cm="1">
        <f t="array" ref="E1067">IFERROR(_xlfn.XLOOKUP(1,('env Parameter'!$A:$A=$A1067)*('env Parameter'!$B:$B=$K1067)*('env Parameter'!$C:$C=$L1067),'env Parameter'!G:G,""),"")</f>
        <v>7.6</v>
      </c>
      <c r="F1067" t="str">
        <f>eDNA!F1067</f>
        <v>MiFish</v>
      </c>
      <c r="G1067" t="str">
        <f>eDNA!D1067</f>
        <v>Carassius cuvieri</v>
      </c>
      <c r="H1067" t="str">
        <f>_xlfn.XLOOKUP(G1067,'Common name (master file)'!$B:$B,'Common name (master file)'!$A:$A,"-------------")</f>
        <v>떡붕어</v>
      </c>
      <c r="I1067">
        <f>eDNA!E1067</f>
        <v>64</v>
      </c>
      <c r="J1067" t="str">
        <f>_xlfn.XLOOKUP(G1067,'Common name (master file)'!$B:$B,'Common name (master file)'!$C:$C,"")</f>
        <v>어류</v>
      </c>
      <c r="K1067">
        <f>eDNA!B1067</f>
        <v>126.89556140000001</v>
      </c>
      <c r="L1067">
        <f>eDNA!C1067</f>
        <v>37.418411599999999</v>
      </c>
      <c r="M1067" s="10" t="str" cm="1">
        <f t="array" ref="M1067">IFERROR(_xlfn.XLOOKUP(1,('env Parameter'!$A:$A=$A1067)*('env Parameter'!$B:$B=$K1067)*('env Parameter'!$C:$C=$L1067),'env Parameter'!D:D,""),"")</f>
        <v>안양천-7</v>
      </c>
      <c r="N1067" s="10" t="str" cm="1">
        <f t="array" ref="N1067">IFERROR(_xlfn.XLOOKUP(1,('env Parameter'!$A:$A=$A1067)*('env Parameter'!$B:$B=$K1067)*('env Parameter'!$C:$C=$L1067),'env Parameter'!I:I,""),"")</f>
        <v>YR</v>
      </c>
    </row>
    <row r="1068" spans="1:14">
      <c r="A1068">
        <f>eDNA!A1068</f>
        <v>20201024</v>
      </c>
      <c r="B1068" s="10" t="str" cm="1">
        <f t="array" ref="B1068">IFERROR(_xlfn.XLOOKUP(1,('env Parameter'!$A:$A=$A1068)*('env Parameter'!$B:$B=$K1068)*('env Parameter'!$C:$C=$L1068),'env Parameter'!H:H,""),"")</f>
        <v>생물상 조사</v>
      </c>
      <c r="C1068" s="10" cm="1">
        <f t="array" ref="C1068">IFERROR(_xlfn.XLOOKUP(1,('env Parameter'!$A:$A=$A1068)*('env Parameter'!$B:$B=$K1068)*('env Parameter'!$C:$C=$L1068),'env Parameter'!E:E,""),"")</f>
        <v>2.14</v>
      </c>
      <c r="D1068" s="10" cm="1">
        <f t="array" ref="D1068">IFERROR(_xlfn.XLOOKUP(1,('env Parameter'!$A:$A=$A1068)*('env Parameter'!$B:$B=$K1068)*('env Parameter'!$C:$C=$L1068),'env Parameter'!F:F,""),"")</f>
        <v>478</v>
      </c>
      <c r="E1068" s="10" cm="1">
        <f t="array" ref="E1068">IFERROR(_xlfn.XLOOKUP(1,('env Parameter'!$A:$A=$A1068)*('env Parameter'!$B:$B=$K1068)*('env Parameter'!$C:$C=$L1068),'env Parameter'!G:G,""),"")</f>
        <v>7.6</v>
      </c>
      <c r="F1068" t="str">
        <f>eDNA!F1068</f>
        <v>MiFish</v>
      </c>
      <c r="G1068" t="str">
        <f>eDNA!D1068</f>
        <v>Homo sapiens</v>
      </c>
      <c r="H1068" t="str">
        <f>_xlfn.XLOOKUP(G1068,'Common name (master file)'!$B:$B,'Common name (master file)'!$A:$A,"-------------")</f>
        <v>사람</v>
      </c>
      <c r="I1068">
        <f>eDNA!E1068</f>
        <v>49</v>
      </c>
      <c r="J1068" t="str">
        <f>_xlfn.XLOOKUP(G1068,'Common name (master file)'!$B:$B,'Common name (master file)'!$C:$C,"")</f>
        <v>포유류</v>
      </c>
      <c r="K1068">
        <f>eDNA!B1068</f>
        <v>126.89556140000001</v>
      </c>
      <c r="L1068">
        <f>eDNA!C1068</f>
        <v>37.418411599999999</v>
      </c>
      <c r="M1068" s="10" t="str" cm="1">
        <f t="array" ref="M1068">IFERROR(_xlfn.XLOOKUP(1,('env Parameter'!$A:$A=$A1068)*('env Parameter'!$B:$B=$K1068)*('env Parameter'!$C:$C=$L1068),'env Parameter'!D:D,""),"")</f>
        <v>안양천-7</v>
      </c>
      <c r="N1068" s="10" t="str" cm="1">
        <f t="array" ref="N1068">IFERROR(_xlfn.XLOOKUP(1,('env Parameter'!$A:$A=$A1068)*('env Parameter'!$B:$B=$K1068)*('env Parameter'!$C:$C=$L1068),'env Parameter'!I:I,""),"")</f>
        <v>YR</v>
      </c>
    </row>
    <row r="1069" spans="1:14">
      <c r="A1069">
        <f>eDNA!A1069</f>
        <v>20201024</v>
      </c>
      <c r="B1069" s="10" t="str" cm="1">
        <f t="array" ref="B1069">IFERROR(_xlfn.XLOOKUP(1,('env Parameter'!$A:$A=$A1069)*('env Parameter'!$B:$B=$K1069)*('env Parameter'!$C:$C=$L1069),'env Parameter'!H:H,""),"")</f>
        <v>생물상 조사</v>
      </c>
      <c r="C1069" s="10" cm="1">
        <f t="array" ref="C1069">IFERROR(_xlfn.XLOOKUP(1,('env Parameter'!$A:$A=$A1069)*('env Parameter'!$B:$B=$K1069)*('env Parameter'!$C:$C=$L1069),'env Parameter'!E:E,""),"")</f>
        <v>2.14</v>
      </c>
      <c r="D1069" s="10" cm="1">
        <f t="array" ref="D1069">IFERROR(_xlfn.XLOOKUP(1,('env Parameter'!$A:$A=$A1069)*('env Parameter'!$B:$B=$K1069)*('env Parameter'!$C:$C=$L1069),'env Parameter'!F:F,""),"")</f>
        <v>478</v>
      </c>
      <c r="E1069" s="10" cm="1">
        <f t="array" ref="E1069">IFERROR(_xlfn.XLOOKUP(1,('env Parameter'!$A:$A=$A1069)*('env Parameter'!$B:$B=$K1069)*('env Parameter'!$C:$C=$L1069),'env Parameter'!G:G,""),"")</f>
        <v>7.6</v>
      </c>
      <c r="F1069" t="str">
        <f>eDNA!F1069</f>
        <v>MiFish</v>
      </c>
      <c r="G1069" t="str">
        <f>eDNA!D1069</f>
        <v>Hemibarbus sp.</v>
      </c>
      <c r="H1069" t="str">
        <f>_xlfn.XLOOKUP(G1069,'Common name (master file)'!$B:$B,'Common name (master file)'!$A:$A,"-------------")</f>
        <v>누치 속</v>
      </c>
      <c r="I1069">
        <f>eDNA!E1069</f>
        <v>272</v>
      </c>
      <c r="J1069" t="str">
        <f>_xlfn.XLOOKUP(G1069,'Common name (master file)'!$B:$B,'Common name (master file)'!$C:$C,"")</f>
        <v>어류</v>
      </c>
      <c r="K1069">
        <f>eDNA!B1069</f>
        <v>126.89556140000001</v>
      </c>
      <c r="L1069">
        <f>eDNA!C1069</f>
        <v>37.418411599999999</v>
      </c>
      <c r="M1069" s="10" t="str" cm="1">
        <f t="array" ref="M1069">IFERROR(_xlfn.XLOOKUP(1,('env Parameter'!$A:$A=$A1069)*('env Parameter'!$B:$B=$K1069)*('env Parameter'!$C:$C=$L1069),'env Parameter'!D:D,""),"")</f>
        <v>안양천-7</v>
      </c>
      <c r="N1069" s="10" t="str" cm="1">
        <f t="array" ref="N1069">IFERROR(_xlfn.XLOOKUP(1,('env Parameter'!$A:$A=$A1069)*('env Parameter'!$B:$B=$K1069)*('env Parameter'!$C:$C=$L1069),'env Parameter'!I:I,""),"")</f>
        <v>YR</v>
      </c>
    </row>
    <row r="1070" spans="1:14">
      <c r="A1070">
        <f>eDNA!A1070</f>
        <v>20201024</v>
      </c>
      <c r="B1070" s="10" t="str" cm="1">
        <f t="array" ref="B1070">IFERROR(_xlfn.XLOOKUP(1,('env Parameter'!$A:$A=$A1070)*('env Parameter'!$B:$B=$K1070)*('env Parameter'!$C:$C=$L1070),'env Parameter'!H:H,""),"")</f>
        <v>생물상 조사</v>
      </c>
      <c r="C1070" s="10" cm="1">
        <f t="array" ref="C1070">IFERROR(_xlfn.XLOOKUP(1,('env Parameter'!$A:$A=$A1070)*('env Parameter'!$B:$B=$K1070)*('env Parameter'!$C:$C=$L1070),'env Parameter'!E:E,""),"")</f>
        <v>2.14</v>
      </c>
      <c r="D1070" s="10" cm="1">
        <f t="array" ref="D1070">IFERROR(_xlfn.XLOOKUP(1,('env Parameter'!$A:$A=$A1070)*('env Parameter'!$B:$B=$K1070)*('env Parameter'!$C:$C=$L1070),'env Parameter'!F:F,""),"")</f>
        <v>478</v>
      </c>
      <c r="E1070" s="10" cm="1">
        <f t="array" ref="E1070">IFERROR(_xlfn.XLOOKUP(1,('env Parameter'!$A:$A=$A1070)*('env Parameter'!$B:$B=$K1070)*('env Parameter'!$C:$C=$L1070),'env Parameter'!G:G,""),"")</f>
        <v>7.6</v>
      </c>
      <c r="F1070" t="str">
        <f>eDNA!F1070</f>
        <v>MiFish</v>
      </c>
      <c r="G1070" t="str">
        <f>eDNA!D1070</f>
        <v>Silurus microdorsalis</v>
      </c>
      <c r="H1070" t="str">
        <f>_xlfn.XLOOKUP(G1070,'Common name (master file)'!$B:$B,'Common name (master file)'!$A:$A,"-------------")</f>
        <v>미유기</v>
      </c>
      <c r="I1070">
        <f>eDNA!E1070</f>
        <v>683</v>
      </c>
      <c r="J1070" t="str">
        <f>_xlfn.XLOOKUP(G1070,'Common name (master file)'!$B:$B,'Common name (master file)'!$C:$C,"")</f>
        <v>어류</v>
      </c>
      <c r="K1070">
        <f>eDNA!B1070</f>
        <v>126.92050639999999</v>
      </c>
      <c r="L1070">
        <f>eDNA!C1070</f>
        <v>37.418606500000003</v>
      </c>
      <c r="M1070" s="10" t="str" cm="1">
        <f t="array" ref="M1070">IFERROR(_xlfn.XLOOKUP(1,('env Parameter'!$A:$A=$A1070)*('env Parameter'!$B:$B=$K1070)*('env Parameter'!$C:$C=$L1070),'env Parameter'!D:D,""),"")</f>
        <v>삼성천-1</v>
      </c>
      <c r="N1070" s="10" t="str" cm="1">
        <f t="array" ref="N1070">IFERROR(_xlfn.XLOOKUP(1,('env Parameter'!$A:$A=$A1070)*('env Parameter'!$B:$B=$K1070)*('env Parameter'!$C:$C=$L1070),'env Parameter'!I:I,""),"")</f>
        <v>YR</v>
      </c>
    </row>
    <row r="1071" spans="1:14">
      <c r="A1071">
        <f>eDNA!A1071</f>
        <v>20201024</v>
      </c>
      <c r="B1071" s="10" t="str" cm="1">
        <f t="array" ref="B1071">IFERROR(_xlfn.XLOOKUP(1,('env Parameter'!$A:$A=$A1071)*('env Parameter'!$B:$B=$K1071)*('env Parameter'!$C:$C=$L1071),'env Parameter'!H:H,""),"")</f>
        <v>생물상 조사</v>
      </c>
      <c r="C1071" s="10" cm="1">
        <f t="array" ref="C1071">IFERROR(_xlfn.XLOOKUP(1,('env Parameter'!$A:$A=$A1071)*('env Parameter'!$B:$B=$K1071)*('env Parameter'!$C:$C=$L1071),'env Parameter'!E:E,""),"")</f>
        <v>2.14</v>
      </c>
      <c r="D1071" s="10" cm="1">
        <f t="array" ref="D1071">IFERROR(_xlfn.XLOOKUP(1,('env Parameter'!$A:$A=$A1071)*('env Parameter'!$B:$B=$K1071)*('env Parameter'!$C:$C=$L1071),'env Parameter'!F:F,""),"")</f>
        <v>478</v>
      </c>
      <c r="E1071" s="10" cm="1">
        <f t="array" ref="E1071">IFERROR(_xlfn.XLOOKUP(1,('env Parameter'!$A:$A=$A1071)*('env Parameter'!$B:$B=$K1071)*('env Parameter'!$C:$C=$L1071),'env Parameter'!G:G,""),"")</f>
        <v>7.6</v>
      </c>
      <c r="F1071" t="str">
        <f>eDNA!F1071</f>
        <v>MiFish</v>
      </c>
      <c r="G1071" t="str">
        <f>eDNA!D1071</f>
        <v>Silurus soldatovi</v>
      </c>
      <c r="H1071" t="str">
        <f>_xlfn.XLOOKUP(G1071,'Common name (master file)'!$B:$B,'Common name (master file)'!$A:$A,"-------------")</f>
        <v>솔다토비 메기</v>
      </c>
      <c r="I1071">
        <f>eDNA!E1071</f>
        <v>350</v>
      </c>
      <c r="J1071" t="str">
        <f>_xlfn.XLOOKUP(G1071,'Common name (master file)'!$B:$B,'Common name (master file)'!$C:$C,"")</f>
        <v>어류</v>
      </c>
      <c r="K1071">
        <f>eDNA!B1071</f>
        <v>126.89556140000001</v>
      </c>
      <c r="L1071">
        <f>eDNA!C1071</f>
        <v>37.418411599999999</v>
      </c>
      <c r="M1071" s="10" t="str" cm="1">
        <f t="array" ref="M1071">IFERROR(_xlfn.XLOOKUP(1,('env Parameter'!$A:$A=$A1071)*('env Parameter'!$B:$B=$K1071)*('env Parameter'!$C:$C=$L1071),'env Parameter'!D:D,""),"")</f>
        <v>안양천-7</v>
      </c>
      <c r="N1071" s="10" t="str" cm="1">
        <f t="array" ref="N1071">IFERROR(_xlfn.XLOOKUP(1,('env Parameter'!$A:$A=$A1071)*('env Parameter'!$B:$B=$K1071)*('env Parameter'!$C:$C=$L1071),'env Parameter'!I:I,""),"")</f>
        <v>YR</v>
      </c>
    </row>
    <row r="1072" spans="1:14">
      <c r="A1072">
        <f>eDNA!A1072</f>
        <v>20201024</v>
      </c>
      <c r="B1072" s="10" t="str" cm="1">
        <f t="array" ref="B1072">IFERROR(_xlfn.XLOOKUP(1,('env Parameter'!$A:$A=$A1072)*('env Parameter'!$B:$B=$K1072)*('env Parameter'!$C:$C=$L1072),'env Parameter'!H:H,""),"")</f>
        <v>생물상 조사</v>
      </c>
      <c r="C1072" s="10" cm="1">
        <f t="array" ref="C1072">IFERROR(_xlfn.XLOOKUP(1,('env Parameter'!$A:$A=$A1072)*('env Parameter'!$B:$B=$K1072)*('env Parameter'!$C:$C=$L1072),'env Parameter'!E:E,""),"")</f>
        <v>2.14</v>
      </c>
      <c r="D1072" s="10" cm="1">
        <f t="array" ref="D1072">IFERROR(_xlfn.XLOOKUP(1,('env Parameter'!$A:$A=$A1072)*('env Parameter'!$B:$B=$K1072)*('env Parameter'!$C:$C=$L1072),'env Parameter'!F:F,""),"")</f>
        <v>478</v>
      </c>
      <c r="E1072" s="10" cm="1">
        <f t="array" ref="E1072">IFERROR(_xlfn.XLOOKUP(1,('env Parameter'!$A:$A=$A1072)*('env Parameter'!$B:$B=$K1072)*('env Parameter'!$C:$C=$L1072),'env Parameter'!G:G,""),"")</f>
        <v>7.6</v>
      </c>
      <c r="F1072" t="str">
        <f>eDNA!F1072</f>
        <v>MiFish</v>
      </c>
      <c r="G1072" t="str">
        <f>eDNA!D1072</f>
        <v>Cyprinus carpio</v>
      </c>
      <c r="H1072" t="str">
        <f>_xlfn.XLOOKUP(G1072,'Common name (master file)'!$B:$B,'Common name (master file)'!$A:$A,"-------------")</f>
        <v>잉어</v>
      </c>
      <c r="I1072">
        <f>eDNA!E1072</f>
        <v>338</v>
      </c>
      <c r="J1072" t="str">
        <f>_xlfn.XLOOKUP(G1072,'Common name (master file)'!$B:$B,'Common name (master file)'!$C:$C,"")</f>
        <v>어류</v>
      </c>
      <c r="K1072">
        <f>eDNA!B1072</f>
        <v>126.89556140000001</v>
      </c>
      <c r="L1072">
        <f>eDNA!C1072</f>
        <v>37.418411599999999</v>
      </c>
      <c r="M1072" s="10" t="str" cm="1">
        <f t="array" ref="M1072">IFERROR(_xlfn.XLOOKUP(1,('env Parameter'!$A:$A=$A1072)*('env Parameter'!$B:$B=$K1072)*('env Parameter'!$C:$C=$L1072),'env Parameter'!D:D,""),"")</f>
        <v>안양천-7</v>
      </c>
      <c r="N1072" s="10" t="str" cm="1">
        <f t="array" ref="N1072">IFERROR(_xlfn.XLOOKUP(1,('env Parameter'!$A:$A=$A1072)*('env Parameter'!$B:$B=$K1072)*('env Parameter'!$C:$C=$L1072),'env Parameter'!I:I,""),"")</f>
        <v>YR</v>
      </c>
    </row>
    <row r="1073" spans="1:14">
      <c r="A1073">
        <f>eDNA!A1073</f>
        <v>20201024</v>
      </c>
      <c r="B1073" s="10" t="str" cm="1">
        <f t="array" ref="B1073">IFERROR(_xlfn.XLOOKUP(1,('env Parameter'!$A:$A=$A1073)*('env Parameter'!$B:$B=$K1073)*('env Parameter'!$C:$C=$L1073),'env Parameter'!H:H,""),"")</f>
        <v>생물상 조사</v>
      </c>
      <c r="C1073" s="10" cm="1">
        <f t="array" ref="C1073">IFERROR(_xlfn.XLOOKUP(1,('env Parameter'!$A:$A=$A1073)*('env Parameter'!$B:$B=$K1073)*('env Parameter'!$C:$C=$L1073),'env Parameter'!E:E,""),"")</f>
        <v>2.14</v>
      </c>
      <c r="D1073" s="10" cm="1">
        <f t="array" ref="D1073">IFERROR(_xlfn.XLOOKUP(1,('env Parameter'!$A:$A=$A1073)*('env Parameter'!$B:$B=$K1073)*('env Parameter'!$C:$C=$L1073),'env Parameter'!F:F,""),"")</f>
        <v>478</v>
      </c>
      <c r="E1073" s="10" cm="1">
        <f t="array" ref="E1073">IFERROR(_xlfn.XLOOKUP(1,('env Parameter'!$A:$A=$A1073)*('env Parameter'!$B:$B=$K1073)*('env Parameter'!$C:$C=$L1073),'env Parameter'!G:G,""),"")</f>
        <v>7.6</v>
      </c>
      <c r="F1073" t="str">
        <f>eDNA!F1073</f>
        <v>MiFish</v>
      </c>
      <c r="G1073" t="str">
        <f>eDNA!D1073</f>
        <v>Tadorna tadorna</v>
      </c>
      <c r="H1073" t="str">
        <f>_xlfn.XLOOKUP(G1073,'Common name (master file)'!$B:$B,'Common name (master file)'!$A:$A,"-------------")</f>
        <v>혹부리오리</v>
      </c>
      <c r="I1073">
        <f>eDNA!E1073</f>
        <v>318</v>
      </c>
      <c r="J1073" t="str">
        <f>_xlfn.XLOOKUP(G1073,'Common name (master file)'!$B:$B,'Common name (master file)'!$C:$C,"")</f>
        <v>조류</v>
      </c>
      <c r="K1073">
        <f>eDNA!B1073</f>
        <v>126.89556140000001</v>
      </c>
      <c r="L1073">
        <f>eDNA!C1073</f>
        <v>37.418411599999999</v>
      </c>
      <c r="M1073" s="10" t="str" cm="1">
        <f t="array" ref="M1073">IFERROR(_xlfn.XLOOKUP(1,('env Parameter'!$A:$A=$A1073)*('env Parameter'!$B:$B=$K1073)*('env Parameter'!$C:$C=$L1073),'env Parameter'!D:D,""),"")</f>
        <v>안양천-7</v>
      </c>
      <c r="N1073" s="10" t="str" cm="1">
        <f t="array" ref="N1073">IFERROR(_xlfn.XLOOKUP(1,('env Parameter'!$A:$A=$A1073)*('env Parameter'!$B:$B=$K1073)*('env Parameter'!$C:$C=$L1073),'env Parameter'!I:I,""),"")</f>
        <v>YR</v>
      </c>
    </row>
    <row r="1074" spans="1:14">
      <c r="A1074">
        <f>eDNA!A1074</f>
        <v>20201024</v>
      </c>
      <c r="B1074" s="10" t="str" cm="1">
        <f t="array" ref="B1074">IFERROR(_xlfn.XLOOKUP(1,('env Parameter'!$A:$A=$A1074)*('env Parameter'!$B:$B=$K1074)*('env Parameter'!$C:$C=$L1074),'env Parameter'!H:H,""),"")</f>
        <v>생물상 조사</v>
      </c>
      <c r="C1074" s="10" cm="1">
        <f t="array" ref="C1074">IFERROR(_xlfn.XLOOKUP(1,('env Parameter'!$A:$A=$A1074)*('env Parameter'!$B:$B=$K1074)*('env Parameter'!$C:$C=$L1074),'env Parameter'!E:E,""),"")</f>
        <v>2.14</v>
      </c>
      <c r="D1074" s="10" cm="1">
        <f t="array" ref="D1074">IFERROR(_xlfn.XLOOKUP(1,('env Parameter'!$A:$A=$A1074)*('env Parameter'!$B:$B=$K1074)*('env Parameter'!$C:$C=$L1074),'env Parameter'!F:F,""),"")</f>
        <v>478</v>
      </c>
      <c r="E1074" s="10" cm="1">
        <f t="array" ref="E1074">IFERROR(_xlfn.XLOOKUP(1,('env Parameter'!$A:$A=$A1074)*('env Parameter'!$B:$B=$K1074)*('env Parameter'!$C:$C=$L1074),'env Parameter'!G:G,""),"")</f>
        <v>7.6</v>
      </c>
      <c r="F1074" t="str">
        <f>eDNA!F1074</f>
        <v>MiFish</v>
      </c>
      <c r="G1074" t="str">
        <f>eDNA!D1074</f>
        <v>Misgurnus bipartitus</v>
      </c>
      <c r="H1074" t="str">
        <f>_xlfn.XLOOKUP(G1074,'Common name (master file)'!$B:$B,'Common name (master file)'!$A:$A,"-------------")</f>
        <v>쌍무늬미꾸리</v>
      </c>
      <c r="I1074">
        <f>eDNA!E1074</f>
        <v>348</v>
      </c>
      <c r="J1074" t="str">
        <f>_xlfn.XLOOKUP(G1074,'Common name (master file)'!$B:$B,'Common name (master file)'!$C:$C,"")</f>
        <v>어류</v>
      </c>
      <c r="K1074">
        <f>eDNA!B1074</f>
        <v>126.89556140000001</v>
      </c>
      <c r="L1074">
        <f>eDNA!C1074</f>
        <v>37.418411599999999</v>
      </c>
      <c r="M1074" s="10" t="str" cm="1">
        <f t="array" ref="M1074">IFERROR(_xlfn.XLOOKUP(1,('env Parameter'!$A:$A=$A1074)*('env Parameter'!$B:$B=$K1074)*('env Parameter'!$C:$C=$L1074),'env Parameter'!D:D,""),"")</f>
        <v>안양천-7</v>
      </c>
      <c r="N1074" s="10" t="str" cm="1">
        <f t="array" ref="N1074">IFERROR(_xlfn.XLOOKUP(1,('env Parameter'!$A:$A=$A1074)*('env Parameter'!$B:$B=$K1074)*('env Parameter'!$C:$C=$L1074),'env Parameter'!I:I,""),"")</f>
        <v>YR</v>
      </c>
    </row>
    <row r="1075" spans="1:14">
      <c r="A1075">
        <f>eDNA!A1075</f>
        <v>20201024</v>
      </c>
      <c r="B1075" s="10" t="str" cm="1">
        <f t="array" ref="B1075">IFERROR(_xlfn.XLOOKUP(1,('env Parameter'!$A:$A=$A1075)*('env Parameter'!$B:$B=$K1075)*('env Parameter'!$C:$C=$L1075),'env Parameter'!H:H,""),"")</f>
        <v>생물상 조사</v>
      </c>
      <c r="C1075" s="10" cm="1">
        <f t="array" ref="C1075">IFERROR(_xlfn.XLOOKUP(1,('env Parameter'!$A:$A=$A1075)*('env Parameter'!$B:$B=$K1075)*('env Parameter'!$C:$C=$L1075),'env Parameter'!E:E,""),"")</f>
        <v>2.14</v>
      </c>
      <c r="D1075" s="10" cm="1">
        <f t="array" ref="D1075">IFERROR(_xlfn.XLOOKUP(1,('env Parameter'!$A:$A=$A1075)*('env Parameter'!$B:$B=$K1075)*('env Parameter'!$C:$C=$L1075),'env Parameter'!F:F,""),"")</f>
        <v>478</v>
      </c>
      <c r="E1075" s="10" cm="1">
        <f t="array" ref="E1075">IFERROR(_xlfn.XLOOKUP(1,('env Parameter'!$A:$A=$A1075)*('env Parameter'!$B:$B=$K1075)*('env Parameter'!$C:$C=$L1075),'env Parameter'!G:G,""),"")</f>
        <v>7.6</v>
      </c>
      <c r="F1075" t="str">
        <f>eDNA!F1075</f>
        <v>MiFish</v>
      </c>
      <c r="G1075" t="str">
        <f>eDNA!D1075</f>
        <v>Gymnogobius opperiens</v>
      </c>
      <c r="H1075" t="str">
        <f>_xlfn.XLOOKUP(G1075,'Common name (master file)'!$B:$B,'Common name (master file)'!$A:$A,"-------------")</f>
        <v>무늬꾹저구</v>
      </c>
      <c r="I1075">
        <f>eDNA!E1075</f>
        <v>527</v>
      </c>
      <c r="J1075" t="str">
        <f>_xlfn.XLOOKUP(G1075,'Common name (master file)'!$B:$B,'Common name (master file)'!$C:$C,"")</f>
        <v>어류</v>
      </c>
      <c r="K1075">
        <f>eDNA!B1075</f>
        <v>126.89556140000001</v>
      </c>
      <c r="L1075">
        <f>eDNA!C1075</f>
        <v>37.418411599999999</v>
      </c>
      <c r="M1075" s="10" t="str" cm="1">
        <f t="array" ref="M1075">IFERROR(_xlfn.XLOOKUP(1,('env Parameter'!$A:$A=$A1075)*('env Parameter'!$B:$B=$K1075)*('env Parameter'!$C:$C=$L1075),'env Parameter'!D:D,""),"")</f>
        <v>안양천-7</v>
      </c>
      <c r="N1075" s="10" t="str" cm="1">
        <f t="array" ref="N1075">IFERROR(_xlfn.XLOOKUP(1,('env Parameter'!$A:$A=$A1075)*('env Parameter'!$B:$B=$K1075)*('env Parameter'!$C:$C=$L1075),'env Parameter'!I:I,""),"")</f>
        <v>YR</v>
      </c>
    </row>
    <row r="1076" spans="1:14">
      <c r="A1076">
        <f>eDNA!A1076</f>
        <v>20201024</v>
      </c>
      <c r="B1076" s="10" t="str" cm="1">
        <f t="array" ref="B1076">IFERROR(_xlfn.XLOOKUP(1,('env Parameter'!$A:$A=$A1076)*('env Parameter'!$B:$B=$K1076)*('env Parameter'!$C:$C=$L1076),'env Parameter'!H:H,""),"")</f>
        <v>생물상 조사</v>
      </c>
      <c r="C1076" s="10" cm="1">
        <f t="array" ref="C1076">IFERROR(_xlfn.XLOOKUP(1,('env Parameter'!$A:$A=$A1076)*('env Parameter'!$B:$B=$K1076)*('env Parameter'!$C:$C=$L1076),'env Parameter'!E:E,""),"")</f>
        <v>2.14</v>
      </c>
      <c r="D1076" s="10" cm="1">
        <f t="array" ref="D1076">IFERROR(_xlfn.XLOOKUP(1,('env Parameter'!$A:$A=$A1076)*('env Parameter'!$B:$B=$K1076)*('env Parameter'!$C:$C=$L1076),'env Parameter'!F:F,""),"")</f>
        <v>478</v>
      </c>
      <c r="E1076" s="10" cm="1">
        <f t="array" ref="E1076">IFERROR(_xlfn.XLOOKUP(1,('env Parameter'!$A:$A=$A1076)*('env Parameter'!$B:$B=$K1076)*('env Parameter'!$C:$C=$L1076),'env Parameter'!G:G,""),"")</f>
        <v>7.6</v>
      </c>
      <c r="F1076" t="str">
        <f>eDNA!F1076</f>
        <v>MiFish</v>
      </c>
      <c r="G1076" t="str">
        <f>eDNA!D1076</f>
        <v>Gnathopogon strigatus</v>
      </c>
      <c r="H1076" t="str">
        <f>_xlfn.XLOOKUP(G1076,'Common name (master file)'!$B:$B,'Common name (master file)'!$A:$A,"-------------")</f>
        <v>줄몰개</v>
      </c>
      <c r="I1076">
        <f>eDNA!E1076</f>
        <v>642</v>
      </c>
      <c r="J1076" t="str">
        <f>_xlfn.XLOOKUP(G1076,'Common name (master file)'!$B:$B,'Common name (master file)'!$C:$C,"")</f>
        <v>어류</v>
      </c>
      <c r="K1076">
        <f>eDNA!B1076</f>
        <v>126.89556140000001</v>
      </c>
      <c r="L1076">
        <f>eDNA!C1076</f>
        <v>37.418411599999999</v>
      </c>
      <c r="M1076" s="10" t="str" cm="1">
        <f t="array" ref="M1076">IFERROR(_xlfn.XLOOKUP(1,('env Parameter'!$A:$A=$A1076)*('env Parameter'!$B:$B=$K1076)*('env Parameter'!$C:$C=$L1076),'env Parameter'!D:D,""),"")</f>
        <v>안양천-7</v>
      </c>
      <c r="N1076" s="10" t="str" cm="1">
        <f t="array" ref="N1076">IFERROR(_xlfn.XLOOKUP(1,('env Parameter'!$A:$A=$A1076)*('env Parameter'!$B:$B=$K1076)*('env Parameter'!$C:$C=$L1076),'env Parameter'!I:I,""),"")</f>
        <v>YR</v>
      </c>
    </row>
    <row r="1077" spans="1:14">
      <c r="A1077">
        <f>eDNA!A1077</f>
        <v>20201024</v>
      </c>
      <c r="B1077" s="10" t="str" cm="1">
        <f t="array" ref="B1077">IFERROR(_xlfn.XLOOKUP(1,('env Parameter'!$A:$A=$A1077)*('env Parameter'!$B:$B=$K1077)*('env Parameter'!$C:$C=$L1077),'env Parameter'!H:H,""),"")</f>
        <v>생물상 조사</v>
      </c>
      <c r="C1077" s="10" cm="1">
        <f t="array" ref="C1077">IFERROR(_xlfn.XLOOKUP(1,('env Parameter'!$A:$A=$A1077)*('env Parameter'!$B:$B=$K1077)*('env Parameter'!$C:$C=$L1077),'env Parameter'!E:E,""),"")</f>
        <v>2.14</v>
      </c>
      <c r="D1077" s="10" cm="1">
        <f t="array" ref="D1077">IFERROR(_xlfn.XLOOKUP(1,('env Parameter'!$A:$A=$A1077)*('env Parameter'!$B:$B=$K1077)*('env Parameter'!$C:$C=$L1077),'env Parameter'!F:F,""),"")</f>
        <v>478</v>
      </c>
      <c r="E1077" s="10" cm="1">
        <f t="array" ref="E1077">IFERROR(_xlfn.XLOOKUP(1,('env Parameter'!$A:$A=$A1077)*('env Parameter'!$B:$B=$K1077)*('env Parameter'!$C:$C=$L1077),'env Parameter'!G:G,""),"")</f>
        <v>7.6</v>
      </c>
      <c r="F1077" t="str">
        <f>eDNA!F1077</f>
        <v>MiFish</v>
      </c>
      <c r="G1077" t="str">
        <f>eDNA!D1077</f>
        <v>Tridentiger obscurus</v>
      </c>
      <c r="H1077" t="str">
        <f>_xlfn.XLOOKUP(G1077,'Common name (master file)'!$B:$B,'Common name (master file)'!$A:$A,"-------------")</f>
        <v>검정망둑</v>
      </c>
      <c r="I1077">
        <f>eDNA!E1077</f>
        <v>695</v>
      </c>
      <c r="J1077" t="str">
        <f>_xlfn.XLOOKUP(G1077,'Common name (master file)'!$B:$B,'Common name (master file)'!$C:$C,"")</f>
        <v>어류</v>
      </c>
      <c r="K1077">
        <f>eDNA!B1077</f>
        <v>126.89556140000001</v>
      </c>
      <c r="L1077">
        <f>eDNA!C1077</f>
        <v>37.418411599999999</v>
      </c>
      <c r="M1077" s="10" t="str" cm="1">
        <f t="array" ref="M1077">IFERROR(_xlfn.XLOOKUP(1,('env Parameter'!$A:$A=$A1077)*('env Parameter'!$B:$B=$K1077)*('env Parameter'!$C:$C=$L1077),'env Parameter'!D:D,""),"")</f>
        <v>안양천-7</v>
      </c>
      <c r="N1077" s="10" t="str" cm="1">
        <f t="array" ref="N1077">IFERROR(_xlfn.XLOOKUP(1,('env Parameter'!$A:$A=$A1077)*('env Parameter'!$B:$B=$K1077)*('env Parameter'!$C:$C=$L1077),'env Parameter'!I:I,""),"")</f>
        <v>YR</v>
      </c>
    </row>
    <row r="1078" spans="1:14">
      <c r="A1078">
        <f>eDNA!A1078</f>
        <v>20201024</v>
      </c>
      <c r="B1078" s="10" t="str" cm="1">
        <f t="array" ref="B1078">IFERROR(_xlfn.XLOOKUP(1,('env Parameter'!$A:$A=$A1078)*('env Parameter'!$B:$B=$K1078)*('env Parameter'!$C:$C=$L1078),'env Parameter'!H:H,""),"")</f>
        <v>생물상 조사</v>
      </c>
      <c r="C1078" s="10" cm="1">
        <f t="array" ref="C1078">IFERROR(_xlfn.XLOOKUP(1,('env Parameter'!$A:$A=$A1078)*('env Parameter'!$B:$B=$K1078)*('env Parameter'!$C:$C=$L1078),'env Parameter'!E:E,""),"")</f>
        <v>2.14</v>
      </c>
      <c r="D1078" s="10" cm="1">
        <f t="array" ref="D1078">IFERROR(_xlfn.XLOOKUP(1,('env Parameter'!$A:$A=$A1078)*('env Parameter'!$B:$B=$K1078)*('env Parameter'!$C:$C=$L1078),'env Parameter'!F:F,""),"")</f>
        <v>478</v>
      </c>
      <c r="E1078" s="10" cm="1">
        <f t="array" ref="E1078">IFERROR(_xlfn.XLOOKUP(1,('env Parameter'!$A:$A=$A1078)*('env Parameter'!$B:$B=$K1078)*('env Parameter'!$C:$C=$L1078),'env Parameter'!G:G,""),"")</f>
        <v>7.6</v>
      </c>
      <c r="F1078" t="str">
        <f>eDNA!F1078</f>
        <v>MiFish</v>
      </c>
      <c r="G1078" t="str">
        <f>eDNA!D1078</f>
        <v>Carassius sp.</v>
      </c>
      <c r="H1078" t="str">
        <f>_xlfn.XLOOKUP(G1078,'Common name (master file)'!$B:$B,'Common name (master file)'!$A:$A,"-------------")</f>
        <v>붕어 속</v>
      </c>
      <c r="I1078">
        <f>eDNA!E1078</f>
        <v>769</v>
      </c>
      <c r="J1078" t="str">
        <f>_xlfn.XLOOKUP(G1078,'Common name (master file)'!$B:$B,'Common name (master file)'!$C:$C,"")</f>
        <v>어류</v>
      </c>
      <c r="K1078">
        <f>eDNA!B1078</f>
        <v>126.89556140000001</v>
      </c>
      <c r="L1078">
        <f>eDNA!C1078</f>
        <v>37.418411599999999</v>
      </c>
      <c r="M1078" s="10" t="str" cm="1">
        <f t="array" ref="M1078">IFERROR(_xlfn.XLOOKUP(1,('env Parameter'!$A:$A=$A1078)*('env Parameter'!$B:$B=$K1078)*('env Parameter'!$C:$C=$L1078),'env Parameter'!D:D,""),"")</f>
        <v>안양천-7</v>
      </c>
      <c r="N1078" s="10" t="str" cm="1">
        <f t="array" ref="N1078">IFERROR(_xlfn.XLOOKUP(1,('env Parameter'!$A:$A=$A1078)*('env Parameter'!$B:$B=$K1078)*('env Parameter'!$C:$C=$L1078),'env Parameter'!I:I,""),"")</f>
        <v>YR</v>
      </c>
    </row>
    <row r="1079" spans="1:14">
      <c r="A1079">
        <f>eDNA!A1079</f>
        <v>20201024</v>
      </c>
      <c r="B1079" s="10" t="str" cm="1">
        <f t="array" ref="B1079">IFERROR(_xlfn.XLOOKUP(1,('env Parameter'!$A:$A=$A1079)*('env Parameter'!$B:$B=$K1079)*('env Parameter'!$C:$C=$L1079),'env Parameter'!H:H,""),"")</f>
        <v>생물상 조사</v>
      </c>
      <c r="C1079" s="10" cm="1">
        <f t="array" ref="C1079">IFERROR(_xlfn.XLOOKUP(1,('env Parameter'!$A:$A=$A1079)*('env Parameter'!$B:$B=$K1079)*('env Parameter'!$C:$C=$L1079),'env Parameter'!E:E,""),"")</f>
        <v>2.14</v>
      </c>
      <c r="D1079" s="10" cm="1">
        <f t="array" ref="D1079">IFERROR(_xlfn.XLOOKUP(1,('env Parameter'!$A:$A=$A1079)*('env Parameter'!$B:$B=$K1079)*('env Parameter'!$C:$C=$L1079),'env Parameter'!F:F,""),"")</f>
        <v>478</v>
      </c>
      <c r="E1079" s="10" cm="1">
        <f t="array" ref="E1079">IFERROR(_xlfn.XLOOKUP(1,('env Parameter'!$A:$A=$A1079)*('env Parameter'!$B:$B=$K1079)*('env Parameter'!$C:$C=$L1079),'env Parameter'!G:G,""),"")</f>
        <v>7.6</v>
      </c>
      <c r="F1079" t="str">
        <f>eDNA!F1079</f>
        <v>MiFish</v>
      </c>
      <c r="G1079" t="str">
        <f>eDNA!D1079</f>
        <v>Pseudogobio esocinus</v>
      </c>
      <c r="H1079" t="str">
        <f>_xlfn.XLOOKUP(G1079,'Common name (master file)'!$B:$B,'Common name (master file)'!$A:$A,"-------------")</f>
        <v>모래무지</v>
      </c>
      <c r="I1079">
        <f>eDNA!E1079</f>
        <v>1186</v>
      </c>
      <c r="J1079" t="str">
        <f>_xlfn.XLOOKUP(G1079,'Common name (master file)'!$B:$B,'Common name (master file)'!$C:$C,"")</f>
        <v>어류</v>
      </c>
      <c r="K1079">
        <f>eDNA!B1079</f>
        <v>126.89556140000001</v>
      </c>
      <c r="L1079">
        <f>eDNA!C1079</f>
        <v>37.418411599999999</v>
      </c>
      <c r="M1079" s="10" t="str" cm="1">
        <f t="array" ref="M1079">IFERROR(_xlfn.XLOOKUP(1,('env Parameter'!$A:$A=$A1079)*('env Parameter'!$B:$B=$K1079)*('env Parameter'!$C:$C=$L1079),'env Parameter'!D:D,""),"")</f>
        <v>안양천-7</v>
      </c>
      <c r="N1079" s="10" t="str" cm="1">
        <f t="array" ref="N1079">IFERROR(_xlfn.XLOOKUP(1,('env Parameter'!$A:$A=$A1079)*('env Parameter'!$B:$B=$K1079)*('env Parameter'!$C:$C=$L1079),'env Parameter'!I:I,""),"")</f>
        <v>YR</v>
      </c>
    </row>
    <row r="1080" spans="1:14">
      <c r="A1080">
        <f>eDNA!A1080</f>
        <v>20201024</v>
      </c>
      <c r="B1080" s="10" t="str" cm="1">
        <f t="array" ref="B1080">IFERROR(_xlfn.XLOOKUP(1,('env Parameter'!$A:$A=$A1080)*('env Parameter'!$B:$B=$K1080)*('env Parameter'!$C:$C=$L1080),'env Parameter'!H:H,""),"")</f>
        <v>생물상 조사</v>
      </c>
      <c r="C1080" s="10" cm="1">
        <f t="array" ref="C1080">IFERROR(_xlfn.XLOOKUP(1,('env Parameter'!$A:$A=$A1080)*('env Parameter'!$B:$B=$K1080)*('env Parameter'!$C:$C=$L1080),'env Parameter'!E:E,""),"")</f>
        <v>2.14</v>
      </c>
      <c r="D1080" s="10" cm="1">
        <f t="array" ref="D1080">IFERROR(_xlfn.XLOOKUP(1,('env Parameter'!$A:$A=$A1080)*('env Parameter'!$B:$B=$K1080)*('env Parameter'!$C:$C=$L1080),'env Parameter'!F:F,""),"")</f>
        <v>478</v>
      </c>
      <c r="E1080" s="10" cm="1">
        <f t="array" ref="E1080">IFERROR(_xlfn.XLOOKUP(1,('env Parameter'!$A:$A=$A1080)*('env Parameter'!$B:$B=$K1080)*('env Parameter'!$C:$C=$L1080),'env Parameter'!G:G,""),"")</f>
        <v>7.6</v>
      </c>
      <c r="F1080" t="str">
        <f>eDNA!F1080</f>
        <v>MiFish</v>
      </c>
      <c r="G1080" t="str">
        <f>eDNA!D1080</f>
        <v>Culter dabryi</v>
      </c>
      <c r="H1080" t="str">
        <f>_xlfn.XLOOKUP(G1080,'Common name (master file)'!$B:$B,'Common name (master file)'!$A:$A,"-------------")</f>
        <v>다브리날카로운입치</v>
      </c>
      <c r="I1080">
        <f>eDNA!E1080</f>
        <v>1682</v>
      </c>
      <c r="J1080" t="str">
        <f>_xlfn.XLOOKUP(G1080,'Common name (master file)'!$B:$B,'Common name (master file)'!$C:$C,"")</f>
        <v>어류</v>
      </c>
      <c r="K1080">
        <f>eDNA!B1080</f>
        <v>126.89556140000001</v>
      </c>
      <c r="L1080">
        <f>eDNA!C1080</f>
        <v>37.418411599999999</v>
      </c>
      <c r="M1080" s="10" t="str" cm="1">
        <f t="array" ref="M1080">IFERROR(_xlfn.XLOOKUP(1,('env Parameter'!$A:$A=$A1080)*('env Parameter'!$B:$B=$K1080)*('env Parameter'!$C:$C=$L1080),'env Parameter'!D:D,""),"")</f>
        <v>안양천-7</v>
      </c>
      <c r="N1080" s="10" t="str" cm="1">
        <f t="array" ref="N1080">IFERROR(_xlfn.XLOOKUP(1,('env Parameter'!$A:$A=$A1080)*('env Parameter'!$B:$B=$K1080)*('env Parameter'!$C:$C=$L1080),'env Parameter'!I:I,""),"")</f>
        <v>YR</v>
      </c>
    </row>
    <row r="1081" spans="1:14">
      <c r="A1081">
        <f>eDNA!A1081</f>
        <v>20201024</v>
      </c>
      <c r="B1081" s="10" t="str" cm="1">
        <f t="array" ref="B1081">IFERROR(_xlfn.XLOOKUP(1,('env Parameter'!$A:$A=$A1081)*('env Parameter'!$B:$B=$K1081)*('env Parameter'!$C:$C=$L1081),'env Parameter'!H:H,""),"")</f>
        <v>생물상 조사</v>
      </c>
      <c r="C1081" s="10" cm="1">
        <f t="array" ref="C1081">IFERROR(_xlfn.XLOOKUP(1,('env Parameter'!$A:$A=$A1081)*('env Parameter'!$B:$B=$K1081)*('env Parameter'!$C:$C=$L1081),'env Parameter'!E:E,""),"")</f>
        <v>2.14</v>
      </c>
      <c r="D1081" s="10" cm="1">
        <f t="array" ref="D1081">IFERROR(_xlfn.XLOOKUP(1,('env Parameter'!$A:$A=$A1081)*('env Parameter'!$B:$B=$K1081)*('env Parameter'!$C:$C=$L1081),'env Parameter'!F:F,""),"")</f>
        <v>478</v>
      </c>
      <c r="E1081" s="10" cm="1">
        <f t="array" ref="E1081">IFERROR(_xlfn.XLOOKUP(1,('env Parameter'!$A:$A=$A1081)*('env Parameter'!$B:$B=$K1081)*('env Parameter'!$C:$C=$L1081),'env Parameter'!G:G,""),"")</f>
        <v>7.6</v>
      </c>
      <c r="F1081" t="str">
        <f>eDNA!F1081</f>
        <v>MiFish</v>
      </c>
      <c r="G1081" t="str">
        <f>eDNA!D1081</f>
        <v>Micropterus salmoides</v>
      </c>
      <c r="H1081" t="str">
        <f>_xlfn.XLOOKUP(G1081,'Common name (master file)'!$B:$B,'Common name (master file)'!$A:$A,"-------------")</f>
        <v>큰입배스</v>
      </c>
      <c r="I1081">
        <f>eDNA!E1081</f>
        <v>1880</v>
      </c>
      <c r="J1081" t="str">
        <f>_xlfn.XLOOKUP(G1081,'Common name (master file)'!$B:$B,'Common name (master file)'!$C:$C,"")</f>
        <v>어류</v>
      </c>
      <c r="K1081">
        <f>eDNA!B1081</f>
        <v>126.89556140000001</v>
      </c>
      <c r="L1081">
        <f>eDNA!C1081</f>
        <v>37.418411599999999</v>
      </c>
      <c r="M1081" s="10" t="str" cm="1">
        <f t="array" ref="M1081">IFERROR(_xlfn.XLOOKUP(1,('env Parameter'!$A:$A=$A1081)*('env Parameter'!$B:$B=$K1081)*('env Parameter'!$C:$C=$L1081),'env Parameter'!D:D,""),"")</f>
        <v>안양천-7</v>
      </c>
      <c r="N1081" s="10" t="str" cm="1">
        <f t="array" ref="N1081">IFERROR(_xlfn.XLOOKUP(1,('env Parameter'!$A:$A=$A1081)*('env Parameter'!$B:$B=$K1081)*('env Parameter'!$C:$C=$L1081),'env Parameter'!I:I,""),"")</f>
        <v>YR</v>
      </c>
    </row>
    <row r="1082" spans="1:14">
      <c r="A1082">
        <f>eDNA!A1082</f>
        <v>20201024</v>
      </c>
      <c r="B1082" s="10" t="str" cm="1">
        <f t="array" ref="B1082">IFERROR(_xlfn.XLOOKUP(1,('env Parameter'!$A:$A=$A1082)*('env Parameter'!$B:$B=$K1082)*('env Parameter'!$C:$C=$L1082),'env Parameter'!H:H,""),"")</f>
        <v>생물상 조사</v>
      </c>
      <c r="C1082" s="10" cm="1">
        <f t="array" ref="C1082">IFERROR(_xlfn.XLOOKUP(1,('env Parameter'!$A:$A=$A1082)*('env Parameter'!$B:$B=$K1082)*('env Parameter'!$C:$C=$L1082),'env Parameter'!E:E,""),"")</f>
        <v>2.14</v>
      </c>
      <c r="D1082" s="10" cm="1">
        <f t="array" ref="D1082">IFERROR(_xlfn.XLOOKUP(1,('env Parameter'!$A:$A=$A1082)*('env Parameter'!$B:$B=$K1082)*('env Parameter'!$C:$C=$L1082),'env Parameter'!F:F,""),"")</f>
        <v>478</v>
      </c>
      <c r="E1082" s="10" cm="1">
        <f t="array" ref="E1082">IFERROR(_xlfn.XLOOKUP(1,('env Parameter'!$A:$A=$A1082)*('env Parameter'!$B:$B=$K1082)*('env Parameter'!$C:$C=$L1082),'env Parameter'!G:G,""),"")</f>
        <v>7.6</v>
      </c>
      <c r="F1082" t="str">
        <f>eDNA!F1082</f>
        <v>MiFish</v>
      </c>
      <c r="G1082" t="str">
        <f>eDNA!D1082</f>
        <v>Acheilognathus macropterus</v>
      </c>
      <c r="H1082" t="str">
        <f>_xlfn.XLOOKUP(G1082,'Common name (master file)'!$B:$B,'Common name (master file)'!$A:$A,"-------------")</f>
        <v>큰납지리</v>
      </c>
      <c r="I1082">
        <f>eDNA!E1082</f>
        <v>2367</v>
      </c>
      <c r="J1082" t="str">
        <f>_xlfn.XLOOKUP(G1082,'Common name (master file)'!$B:$B,'Common name (master file)'!$C:$C,"")</f>
        <v>어류</v>
      </c>
      <c r="K1082">
        <f>eDNA!B1082</f>
        <v>126.89556140000001</v>
      </c>
      <c r="L1082">
        <f>eDNA!C1082</f>
        <v>37.418411599999999</v>
      </c>
      <c r="M1082" s="10" t="str" cm="1">
        <f t="array" ref="M1082">IFERROR(_xlfn.XLOOKUP(1,('env Parameter'!$A:$A=$A1082)*('env Parameter'!$B:$B=$K1082)*('env Parameter'!$C:$C=$L1082),'env Parameter'!D:D,""),"")</f>
        <v>안양천-7</v>
      </c>
      <c r="N1082" s="10" t="str" cm="1">
        <f t="array" ref="N1082">IFERROR(_xlfn.XLOOKUP(1,('env Parameter'!$A:$A=$A1082)*('env Parameter'!$B:$B=$K1082)*('env Parameter'!$C:$C=$L1082),'env Parameter'!I:I,""),"")</f>
        <v>YR</v>
      </c>
    </row>
    <row r="1083" spans="1:14">
      <c r="A1083">
        <f>eDNA!A1083</f>
        <v>20201024</v>
      </c>
      <c r="B1083" s="10" t="str" cm="1">
        <f t="array" ref="B1083">IFERROR(_xlfn.XLOOKUP(1,('env Parameter'!$A:$A=$A1083)*('env Parameter'!$B:$B=$K1083)*('env Parameter'!$C:$C=$L1083),'env Parameter'!H:H,""),"")</f>
        <v>생물상 조사</v>
      </c>
      <c r="C1083" s="10" cm="1">
        <f t="array" ref="C1083">IFERROR(_xlfn.XLOOKUP(1,('env Parameter'!$A:$A=$A1083)*('env Parameter'!$B:$B=$K1083)*('env Parameter'!$C:$C=$L1083),'env Parameter'!E:E,""),"")</f>
        <v>2.14</v>
      </c>
      <c r="D1083" s="10" cm="1">
        <f t="array" ref="D1083">IFERROR(_xlfn.XLOOKUP(1,('env Parameter'!$A:$A=$A1083)*('env Parameter'!$B:$B=$K1083)*('env Parameter'!$C:$C=$L1083),'env Parameter'!F:F,""),"")</f>
        <v>478</v>
      </c>
      <c r="E1083" s="10" cm="1">
        <f t="array" ref="E1083">IFERROR(_xlfn.XLOOKUP(1,('env Parameter'!$A:$A=$A1083)*('env Parameter'!$B:$B=$K1083)*('env Parameter'!$C:$C=$L1083),'env Parameter'!G:G,""),"")</f>
        <v>7.6</v>
      </c>
      <c r="F1083" t="str">
        <f>eDNA!F1083</f>
        <v>MiFish</v>
      </c>
      <c r="G1083" t="str">
        <f>eDNA!D1083</f>
        <v>Odontobutis interrupta</v>
      </c>
      <c r="H1083" t="str">
        <f>_xlfn.XLOOKUP(G1083,'Common name (master file)'!$B:$B,'Common name (master file)'!$A:$A,"-------------")</f>
        <v>얼록동사리</v>
      </c>
      <c r="I1083">
        <f>eDNA!E1083</f>
        <v>8295</v>
      </c>
      <c r="J1083" t="str">
        <f>_xlfn.XLOOKUP(G1083,'Common name (master file)'!$B:$B,'Common name (master file)'!$C:$C,"")</f>
        <v>어류</v>
      </c>
      <c r="K1083">
        <f>eDNA!B1083</f>
        <v>126.89556140000001</v>
      </c>
      <c r="L1083">
        <f>eDNA!C1083</f>
        <v>37.418411599999999</v>
      </c>
      <c r="M1083" s="10" t="str" cm="1">
        <f t="array" ref="M1083">IFERROR(_xlfn.XLOOKUP(1,('env Parameter'!$A:$A=$A1083)*('env Parameter'!$B:$B=$K1083)*('env Parameter'!$C:$C=$L1083),'env Parameter'!D:D,""),"")</f>
        <v>안양천-7</v>
      </c>
      <c r="N1083" s="10" t="str" cm="1">
        <f t="array" ref="N1083">IFERROR(_xlfn.XLOOKUP(1,('env Parameter'!$A:$A=$A1083)*('env Parameter'!$B:$B=$K1083)*('env Parameter'!$C:$C=$L1083),'env Parameter'!I:I,""),"")</f>
        <v>YR</v>
      </c>
    </row>
    <row r="1084" spans="1:14">
      <c r="A1084">
        <f>eDNA!A1084</f>
        <v>20201024</v>
      </c>
      <c r="B1084" s="10" t="str" cm="1">
        <f t="array" ref="B1084">IFERROR(_xlfn.XLOOKUP(1,('env Parameter'!$A:$A=$A1084)*('env Parameter'!$B:$B=$K1084)*('env Parameter'!$C:$C=$L1084),'env Parameter'!H:H,""),"")</f>
        <v>생물상 조사</v>
      </c>
      <c r="C1084" s="10" cm="1">
        <f t="array" ref="C1084">IFERROR(_xlfn.XLOOKUP(1,('env Parameter'!$A:$A=$A1084)*('env Parameter'!$B:$B=$K1084)*('env Parameter'!$C:$C=$L1084),'env Parameter'!E:E,""),"")</f>
        <v>2.14</v>
      </c>
      <c r="D1084" s="10" cm="1">
        <f t="array" ref="D1084">IFERROR(_xlfn.XLOOKUP(1,('env Parameter'!$A:$A=$A1084)*('env Parameter'!$B:$B=$K1084)*('env Parameter'!$C:$C=$L1084),'env Parameter'!F:F,""),"")</f>
        <v>478</v>
      </c>
      <c r="E1084" s="10" cm="1">
        <f t="array" ref="E1084">IFERROR(_xlfn.XLOOKUP(1,('env Parameter'!$A:$A=$A1084)*('env Parameter'!$B:$B=$K1084)*('env Parameter'!$C:$C=$L1084),'env Parameter'!G:G,""),"")</f>
        <v>7.6</v>
      </c>
      <c r="F1084" t="str">
        <f>eDNA!F1084</f>
        <v>MiFish</v>
      </c>
      <c r="G1084" t="str">
        <f>eDNA!D1084</f>
        <v>Channa argus</v>
      </c>
      <c r="H1084" t="str">
        <f>_xlfn.XLOOKUP(G1084,'Common name (master file)'!$B:$B,'Common name (master file)'!$A:$A,"-------------")</f>
        <v>가물치</v>
      </c>
      <c r="I1084">
        <f>eDNA!E1084</f>
        <v>19930</v>
      </c>
      <c r="J1084" t="str">
        <f>_xlfn.XLOOKUP(G1084,'Common name (master file)'!$B:$B,'Common name (master file)'!$C:$C,"")</f>
        <v>어류</v>
      </c>
      <c r="K1084">
        <f>eDNA!B1084</f>
        <v>126.89556140000001</v>
      </c>
      <c r="L1084">
        <f>eDNA!C1084</f>
        <v>37.418411599999999</v>
      </c>
      <c r="M1084" s="10" t="str" cm="1">
        <f t="array" ref="M1084">IFERROR(_xlfn.XLOOKUP(1,('env Parameter'!$A:$A=$A1084)*('env Parameter'!$B:$B=$K1084)*('env Parameter'!$C:$C=$L1084),'env Parameter'!D:D,""),"")</f>
        <v>안양천-7</v>
      </c>
      <c r="N1084" s="10" t="str" cm="1">
        <f t="array" ref="N1084">IFERROR(_xlfn.XLOOKUP(1,('env Parameter'!$A:$A=$A1084)*('env Parameter'!$B:$B=$K1084)*('env Parameter'!$C:$C=$L1084),'env Parameter'!I:I,""),"")</f>
        <v>YR</v>
      </c>
    </row>
    <row r="1085" spans="1:14">
      <c r="A1085">
        <f>eDNA!A1085</f>
        <v>20201024</v>
      </c>
      <c r="B1085" s="10" t="str" cm="1">
        <f t="array" ref="B1085">IFERROR(_xlfn.XLOOKUP(1,('env Parameter'!$A:$A=$A1085)*('env Parameter'!$B:$B=$K1085)*('env Parameter'!$C:$C=$L1085),'env Parameter'!H:H,""),"")</f>
        <v>생물상 조사</v>
      </c>
      <c r="C1085" s="10" cm="1">
        <f t="array" ref="C1085">IFERROR(_xlfn.XLOOKUP(1,('env Parameter'!$A:$A=$A1085)*('env Parameter'!$B:$B=$K1085)*('env Parameter'!$C:$C=$L1085),'env Parameter'!E:E,""),"")</f>
        <v>2.14</v>
      </c>
      <c r="D1085" s="10" cm="1">
        <f t="array" ref="D1085">IFERROR(_xlfn.XLOOKUP(1,('env Parameter'!$A:$A=$A1085)*('env Parameter'!$B:$B=$K1085)*('env Parameter'!$C:$C=$L1085),'env Parameter'!F:F,""),"")</f>
        <v>478</v>
      </c>
      <c r="E1085" s="10" cm="1">
        <f t="array" ref="E1085">IFERROR(_xlfn.XLOOKUP(1,('env Parameter'!$A:$A=$A1085)*('env Parameter'!$B:$B=$K1085)*('env Parameter'!$C:$C=$L1085),'env Parameter'!G:G,""),"")</f>
        <v>7.6</v>
      </c>
      <c r="F1085" t="str">
        <f>eDNA!F1085</f>
        <v>MiFish</v>
      </c>
      <c r="G1085" t="str">
        <f>eDNA!D1085</f>
        <v>Carassius gibelio</v>
      </c>
      <c r="H1085" t="str">
        <f>_xlfn.XLOOKUP(G1085,'Common name (master file)'!$B:$B,'Common name (master file)'!$A:$A,"-------------")</f>
        <v>기벨리오 붕어</v>
      </c>
      <c r="I1085">
        <f>eDNA!E1085</f>
        <v>24251</v>
      </c>
      <c r="J1085" t="str">
        <f>_xlfn.XLOOKUP(G1085,'Common name (master file)'!$B:$B,'Common name (master file)'!$C:$C,"")</f>
        <v>어류</v>
      </c>
      <c r="K1085">
        <f>eDNA!B1085</f>
        <v>126.89556140000001</v>
      </c>
      <c r="L1085">
        <f>eDNA!C1085</f>
        <v>37.418411599999999</v>
      </c>
      <c r="M1085" s="10" t="str" cm="1">
        <f t="array" ref="M1085">IFERROR(_xlfn.XLOOKUP(1,('env Parameter'!$A:$A=$A1085)*('env Parameter'!$B:$B=$K1085)*('env Parameter'!$C:$C=$L1085),'env Parameter'!D:D,""),"")</f>
        <v>안양천-7</v>
      </c>
      <c r="N1085" s="10" t="str" cm="1">
        <f t="array" ref="N1085">IFERROR(_xlfn.XLOOKUP(1,('env Parameter'!$A:$A=$A1085)*('env Parameter'!$B:$B=$K1085)*('env Parameter'!$C:$C=$L1085),'env Parameter'!I:I,""),"")</f>
        <v>YR</v>
      </c>
    </row>
    <row r="1086" spans="1:14">
      <c r="A1086">
        <f>eDNA!A1086</f>
        <v>20201024</v>
      </c>
      <c r="B1086" s="10" t="str" cm="1">
        <f t="array" ref="B1086">IFERROR(_xlfn.XLOOKUP(1,('env Parameter'!$A:$A=$A1086)*('env Parameter'!$B:$B=$K1086)*('env Parameter'!$C:$C=$L1086),'env Parameter'!H:H,""),"")</f>
        <v>생물상 조사</v>
      </c>
      <c r="C1086" s="10" cm="1">
        <f t="array" ref="C1086">IFERROR(_xlfn.XLOOKUP(1,('env Parameter'!$A:$A=$A1086)*('env Parameter'!$B:$B=$K1086)*('env Parameter'!$C:$C=$L1086),'env Parameter'!E:E,""),"")</f>
        <v>2.14</v>
      </c>
      <c r="D1086" s="10" cm="1">
        <f t="array" ref="D1086">IFERROR(_xlfn.XLOOKUP(1,('env Parameter'!$A:$A=$A1086)*('env Parameter'!$B:$B=$K1086)*('env Parameter'!$C:$C=$L1086),'env Parameter'!F:F,""),"")</f>
        <v>478</v>
      </c>
      <c r="E1086" s="10" cm="1">
        <f t="array" ref="E1086">IFERROR(_xlfn.XLOOKUP(1,('env Parameter'!$A:$A=$A1086)*('env Parameter'!$B:$B=$K1086)*('env Parameter'!$C:$C=$L1086),'env Parameter'!G:G,""),"")</f>
        <v>7.6</v>
      </c>
      <c r="F1086" t="str">
        <f>eDNA!F1086</f>
        <v>MiFish</v>
      </c>
      <c r="G1086" t="str">
        <f>eDNA!D1086</f>
        <v>Zacco platypus</v>
      </c>
      <c r="H1086" t="str">
        <f>_xlfn.XLOOKUP(G1086,'Common name (master file)'!$B:$B,'Common name (master file)'!$A:$A,"-------------")</f>
        <v>피라미</v>
      </c>
      <c r="I1086">
        <f>eDNA!E1086</f>
        <v>32657</v>
      </c>
      <c r="J1086" t="str">
        <f>_xlfn.XLOOKUP(G1086,'Common name (master file)'!$B:$B,'Common name (master file)'!$C:$C,"")</f>
        <v>어류</v>
      </c>
      <c r="K1086">
        <f>eDNA!B1086</f>
        <v>126.89556140000001</v>
      </c>
      <c r="L1086">
        <f>eDNA!C1086</f>
        <v>37.418411599999999</v>
      </c>
      <c r="M1086" s="10" t="str" cm="1">
        <f t="array" ref="M1086">IFERROR(_xlfn.XLOOKUP(1,('env Parameter'!$A:$A=$A1086)*('env Parameter'!$B:$B=$K1086)*('env Parameter'!$C:$C=$L1086),'env Parameter'!D:D,""),"")</f>
        <v>안양천-7</v>
      </c>
      <c r="N1086" s="10" t="str" cm="1">
        <f t="array" ref="N1086">IFERROR(_xlfn.XLOOKUP(1,('env Parameter'!$A:$A=$A1086)*('env Parameter'!$B:$B=$K1086)*('env Parameter'!$C:$C=$L1086),'env Parameter'!I:I,""),"")</f>
        <v>YR</v>
      </c>
    </row>
    <row r="1087" spans="1:14">
      <c r="A1087">
        <f>eDNA!A1087</f>
        <v>20201024</v>
      </c>
      <c r="B1087" s="10" t="str" cm="1">
        <f t="array" ref="B1087">IFERROR(_xlfn.XLOOKUP(1,('env Parameter'!$A:$A=$A1087)*('env Parameter'!$B:$B=$K1087)*('env Parameter'!$C:$C=$L1087),'env Parameter'!H:H,""),"")</f>
        <v>생물상 조사</v>
      </c>
      <c r="C1087" s="10" cm="1">
        <f t="array" ref="C1087">IFERROR(_xlfn.XLOOKUP(1,('env Parameter'!$A:$A=$A1087)*('env Parameter'!$B:$B=$K1087)*('env Parameter'!$C:$C=$L1087),'env Parameter'!E:E,""),"")</f>
        <v>2.14</v>
      </c>
      <c r="D1087" s="10" cm="1">
        <f t="array" ref="D1087">IFERROR(_xlfn.XLOOKUP(1,('env Parameter'!$A:$A=$A1087)*('env Parameter'!$B:$B=$K1087)*('env Parameter'!$C:$C=$L1087),'env Parameter'!F:F,""),"")</f>
        <v>478</v>
      </c>
      <c r="E1087" s="10" cm="1">
        <f t="array" ref="E1087">IFERROR(_xlfn.XLOOKUP(1,('env Parameter'!$A:$A=$A1087)*('env Parameter'!$B:$B=$K1087)*('env Parameter'!$C:$C=$L1087),'env Parameter'!G:G,""),"")</f>
        <v>7.6</v>
      </c>
      <c r="F1087" t="str">
        <f>eDNA!F1087</f>
        <v>MiFish</v>
      </c>
      <c r="G1087" t="str">
        <f>eDNA!D1087</f>
        <v>Pseudorasbora parva</v>
      </c>
      <c r="H1087" t="str">
        <f>_xlfn.XLOOKUP(G1087,'Common name (master file)'!$B:$B,'Common name (master file)'!$A:$A,"-------------")</f>
        <v>참붕어</v>
      </c>
      <c r="I1087">
        <f>eDNA!E1087</f>
        <v>44467</v>
      </c>
      <c r="J1087" t="str">
        <f>_xlfn.XLOOKUP(G1087,'Common name (master file)'!$B:$B,'Common name (master file)'!$C:$C,"")</f>
        <v>어류</v>
      </c>
      <c r="K1087">
        <f>eDNA!B1087</f>
        <v>126.89556140000001</v>
      </c>
      <c r="L1087">
        <f>eDNA!C1087</f>
        <v>37.418411599999999</v>
      </c>
      <c r="M1087" s="10" t="str" cm="1">
        <f t="array" ref="M1087">IFERROR(_xlfn.XLOOKUP(1,('env Parameter'!$A:$A=$A1087)*('env Parameter'!$B:$B=$K1087)*('env Parameter'!$C:$C=$L1087),'env Parameter'!D:D,""),"")</f>
        <v>안양천-7</v>
      </c>
      <c r="N1087" s="10" t="str" cm="1">
        <f t="array" ref="N1087">IFERROR(_xlfn.XLOOKUP(1,('env Parameter'!$A:$A=$A1087)*('env Parameter'!$B:$B=$K1087)*('env Parameter'!$C:$C=$L1087),'env Parameter'!I:I,""),"")</f>
        <v>YR</v>
      </c>
    </row>
    <row r="1088" spans="1:14">
      <c r="A1088">
        <f>eDNA!A1088</f>
        <v>20201024</v>
      </c>
      <c r="B1088" s="10" t="str" cm="1">
        <f t="array" ref="B1088">IFERROR(_xlfn.XLOOKUP(1,('env Parameter'!$A:$A=$A1088)*('env Parameter'!$B:$B=$K1088)*('env Parameter'!$C:$C=$L1088),'env Parameter'!H:H,""),"")</f>
        <v>생물상 조사</v>
      </c>
      <c r="C1088" s="10" cm="1">
        <f t="array" ref="C1088">IFERROR(_xlfn.XLOOKUP(1,('env Parameter'!$A:$A=$A1088)*('env Parameter'!$B:$B=$K1088)*('env Parameter'!$C:$C=$L1088),'env Parameter'!E:E,""),"")</f>
        <v>2.14</v>
      </c>
      <c r="D1088" s="10" cm="1">
        <f t="array" ref="D1088">IFERROR(_xlfn.XLOOKUP(1,('env Parameter'!$A:$A=$A1088)*('env Parameter'!$B:$B=$K1088)*('env Parameter'!$C:$C=$L1088),'env Parameter'!F:F,""),"")</f>
        <v>478</v>
      </c>
      <c r="E1088" s="10" cm="1">
        <f t="array" ref="E1088">IFERROR(_xlfn.XLOOKUP(1,('env Parameter'!$A:$A=$A1088)*('env Parameter'!$B:$B=$K1088)*('env Parameter'!$C:$C=$L1088),'env Parameter'!G:G,""),"")</f>
        <v>7.6</v>
      </c>
      <c r="F1088" t="str">
        <f>eDNA!F1088</f>
        <v>MiFish</v>
      </c>
      <c r="G1088" t="str">
        <f>eDNA!D1088</f>
        <v>Rhinogobius sp.</v>
      </c>
      <c r="H1088" t="str">
        <f>_xlfn.XLOOKUP(G1088,'Common name (master file)'!$B:$B,'Common name (master file)'!$A:$A,"-------------")</f>
        <v>밀어</v>
      </c>
      <c r="I1088">
        <f>eDNA!E1088</f>
        <v>12</v>
      </c>
      <c r="J1088" t="str">
        <f>_xlfn.XLOOKUP(G1088,'Common name (master file)'!$B:$B,'Common name (master file)'!$C:$C,"")</f>
        <v>어류</v>
      </c>
      <c r="K1088">
        <f>eDNA!B1088</f>
        <v>126.9007862</v>
      </c>
      <c r="L1088">
        <f>eDNA!C1088</f>
        <v>37.438687899999998</v>
      </c>
      <c r="M1088" s="10" t="str" cm="1">
        <f t="array" ref="M1088">IFERROR(_xlfn.XLOOKUP(1,('env Parameter'!$A:$A=$A1088)*('env Parameter'!$B:$B=$K1088)*('env Parameter'!$C:$C=$L1088),'env Parameter'!D:D,""),"")</f>
        <v>안양천-8</v>
      </c>
      <c r="N1088" s="10" t="str" cm="1">
        <f t="array" ref="N1088">IFERROR(_xlfn.XLOOKUP(1,('env Parameter'!$A:$A=$A1088)*('env Parameter'!$B:$B=$K1088)*('env Parameter'!$C:$C=$L1088),'env Parameter'!I:I,""),"")</f>
        <v>YR</v>
      </c>
    </row>
    <row r="1089" spans="1:14">
      <c r="A1089">
        <f>eDNA!A1089</f>
        <v>20201024</v>
      </c>
      <c r="B1089" s="10" t="str" cm="1">
        <f t="array" ref="B1089">IFERROR(_xlfn.XLOOKUP(1,('env Parameter'!$A:$A=$A1089)*('env Parameter'!$B:$B=$K1089)*('env Parameter'!$C:$C=$L1089),'env Parameter'!H:H,""),"")</f>
        <v>생물상 조사</v>
      </c>
      <c r="C1089" s="10" cm="1">
        <f t="array" ref="C1089">IFERROR(_xlfn.XLOOKUP(1,('env Parameter'!$A:$A=$A1089)*('env Parameter'!$B:$B=$K1089)*('env Parameter'!$C:$C=$L1089),'env Parameter'!E:E,""),"")</f>
        <v>2.14</v>
      </c>
      <c r="D1089" s="10" cm="1">
        <f t="array" ref="D1089">IFERROR(_xlfn.XLOOKUP(1,('env Parameter'!$A:$A=$A1089)*('env Parameter'!$B:$B=$K1089)*('env Parameter'!$C:$C=$L1089),'env Parameter'!F:F,""),"")</f>
        <v>478</v>
      </c>
      <c r="E1089" s="10" cm="1">
        <f t="array" ref="E1089">IFERROR(_xlfn.XLOOKUP(1,('env Parameter'!$A:$A=$A1089)*('env Parameter'!$B:$B=$K1089)*('env Parameter'!$C:$C=$L1089),'env Parameter'!G:G,""),"")</f>
        <v>7.6</v>
      </c>
      <c r="F1089" t="str">
        <f>eDNA!F1089</f>
        <v>MiFish</v>
      </c>
      <c r="G1089" t="str">
        <f>eDNA!D1089</f>
        <v>Gnathopogon polytaenia</v>
      </c>
      <c r="H1089" t="str">
        <f>_xlfn.XLOOKUP(G1089,'Common name (master file)'!$B:$B,'Common name (master file)'!$A:$A,"-------------")</f>
        <v>폴리테니아 줄몰개</v>
      </c>
      <c r="I1089">
        <f>eDNA!E1089</f>
        <v>18</v>
      </c>
      <c r="J1089" t="str">
        <f>_xlfn.XLOOKUP(G1089,'Common name (master file)'!$B:$B,'Common name (master file)'!$C:$C,"")</f>
        <v>어류</v>
      </c>
      <c r="K1089">
        <f>eDNA!B1089</f>
        <v>126.9007862</v>
      </c>
      <c r="L1089">
        <f>eDNA!C1089</f>
        <v>37.438687899999998</v>
      </c>
      <c r="M1089" s="10" t="str" cm="1">
        <f t="array" ref="M1089">IFERROR(_xlfn.XLOOKUP(1,('env Parameter'!$A:$A=$A1089)*('env Parameter'!$B:$B=$K1089)*('env Parameter'!$C:$C=$L1089),'env Parameter'!D:D,""),"")</f>
        <v>안양천-8</v>
      </c>
      <c r="N1089" s="10" t="str" cm="1">
        <f t="array" ref="N1089">IFERROR(_xlfn.XLOOKUP(1,('env Parameter'!$A:$A=$A1089)*('env Parameter'!$B:$B=$K1089)*('env Parameter'!$C:$C=$L1089),'env Parameter'!I:I,""),"")</f>
        <v>YR</v>
      </c>
    </row>
    <row r="1090" spans="1:14">
      <c r="A1090">
        <f>eDNA!A1090</f>
        <v>20201024</v>
      </c>
      <c r="B1090" s="10" t="str" cm="1">
        <f t="array" ref="B1090">IFERROR(_xlfn.XLOOKUP(1,('env Parameter'!$A:$A=$A1090)*('env Parameter'!$B:$B=$K1090)*('env Parameter'!$C:$C=$L1090),'env Parameter'!H:H,""),"")</f>
        <v>생물상 조사</v>
      </c>
      <c r="C1090" s="10" cm="1">
        <f t="array" ref="C1090">IFERROR(_xlfn.XLOOKUP(1,('env Parameter'!$A:$A=$A1090)*('env Parameter'!$B:$B=$K1090)*('env Parameter'!$C:$C=$L1090),'env Parameter'!E:E,""),"")</f>
        <v>2.14</v>
      </c>
      <c r="D1090" s="10" cm="1">
        <f t="array" ref="D1090">IFERROR(_xlfn.XLOOKUP(1,('env Parameter'!$A:$A=$A1090)*('env Parameter'!$B:$B=$K1090)*('env Parameter'!$C:$C=$L1090),'env Parameter'!F:F,""),"")</f>
        <v>478</v>
      </c>
      <c r="E1090" s="10" cm="1">
        <f t="array" ref="E1090">IFERROR(_xlfn.XLOOKUP(1,('env Parameter'!$A:$A=$A1090)*('env Parameter'!$B:$B=$K1090)*('env Parameter'!$C:$C=$L1090),'env Parameter'!G:G,""),"")</f>
        <v>7.6</v>
      </c>
      <c r="F1090" t="str">
        <f>eDNA!F1090</f>
        <v>MiFish</v>
      </c>
      <c r="G1090" t="str">
        <f>eDNA!D1090</f>
        <v>Carassius cuvieri</v>
      </c>
      <c r="H1090" t="str">
        <f>_xlfn.XLOOKUP(G1090,'Common name (master file)'!$B:$B,'Common name (master file)'!$A:$A,"-------------")</f>
        <v>떡붕어</v>
      </c>
      <c r="I1090">
        <f>eDNA!E1090</f>
        <v>39</v>
      </c>
      <c r="J1090" t="str">
        <f>_xlfn.XLOOKUP(G1090,'Common name (master file)'!$B:$B,'Common name (master file)'!$C:$C,"")</f>
        <v>어류</v>
      </c>
      <c r="K1090">
        <f>eDNA!B1090</f>
        <v>126.9007862</v>
      </c>
      <c r="L1090">
        <f>eDNA!C1090</f>
        <v>37.438687899999998</v>
      </c>
      <c r="M1090" s="10" t="str" cm="1">
        <f t="array" ref="M1090">IFERROR(_xlfn.XLOOKUP(1,('env Parameter'!$A:$A=$A1090)*('env Parameter'!$B:$B=$K1090)*('env Parameter'!$C:$C=$L1090),'env Parameter'!D:D,""),"")</f>
        <v>안양천-8</v>
      </c>
      <c r="N1090" s="10" t="str" cm="1">
        <f t="array" ref="N1090">IFERROR(_xlfn.XLOOKUP(1,('env Parameter'!$A:$A=$A1090)*('env Parameter'!$B:$B=$K1090)*('env Parameter'!$C:$C=$L1090),'env Parameter'!I:I,""),"")</f>
        <v>YR</v>
      </c>
    </row>
    <row r="1091" spans="1:14">
      <c r="A1091">
        <f>eDNA!A1091</f>
        <v>20201024</v>
      </c>
      <c r="B1091" s="10" t="str" cm="1">
        <f t="array" ref="B1091">IFERROR(_xlfn.XLOOKUP(1,('env Parameter'!$A:$A=$A1091)*('env Parameter'!$B:$B=$K1091)*('env Parameter'!$C:$C=$L1091),'env Parameter'!H:H,""),"")</f>
        <v>생물상 조사</v>
      </c>
      <c r="C1091" s="10" cm="1">
        <f t="array" ref="C1091">IFERROR(_xlfn.XLOOKUP(1,('env Parameter'!$A:$A=$A1091)*('env Parameter'!$B:$B=$K1091)*('env Parameter'!$C:$C=$L1091),'env Parameter'!E:E,""),"")</f>
        <v>2.14</v>
      </c>
      <c r="D1091" s="10" cm="1">
        <f t="array" ref="D1091">IFERROR(_xlfn.XLOOKUP(1,('env Parameter'!$A:$A=$A1091)*('env Parameter'!$B:$B=$K1091)*('env Parameter'!$C:$C=$L1091),'env Parameter'!F:F,""),"")</f>
        <v>478</v>
      </c>
      <c r="E1091" s="10" cm="1">
        <f t="array" ref="E1091">IFERROR(_xlfn.XLOOKUP(1,('env Parameter'!$A:$A=$A1091)*('env Parameter'!$B:$B=$K1091)*('env Parameter'!$C:$C=$L1091),'env Parameter'!G:G,""),"")</f>
        <v>7.6</v>
      </c>
      <c r="F1091" t="str">
        <f>eDNA!F1091</f>
        <v>MiFish</v>
      </c>
      <c r="G1091" t="str">
        <f>eDNA!D1091</f>
        <v>Carassius auratus</v>
      </c>
      <c r="H1091" t="str">
        <f>_xlfn.XLOOKUP(G1091,'Common name (master file)'!$B:$B,'Common name (master file)'!$A:$A,"-------------")</f>
        <v>붕어</v>
      </c>
      <c r="I1091">
        <f>eDNA!E1091</f>
        <v>28</v>
      </c>
      <c r="J1091" t="str">
        <f>_xlfn.XLOOKUP(G1091,'Common name (master file)'!$B:$B,'Common name (master file)'!$C:$C,"")</f>
        <v>어류</v>
      </c>
      <c r="K1091">
        <f>eDNA!B1091</f>
        <v>126.9007862</v>
      </c>
      <c r="L1091">
        <f>eDNA!C1091</f>
        <v>37.438687899999998</v>
      </c>
      <c r="M1091" s="10" t="str" cm="1">
        <f t="array" ref="M1091">IFERROR(_xlfn.XLOOKUP(1,('env Parameter'!$A:$A=$A1091)*('env Parameter'!$B:$B=$K1091)*('env Parameter'!$C:$C=$L1091),'env Parameter'!D:D,""),"")</f>
        <v>안양천-8</v>
      </c>
      <c r="N1091" s="10" t="str" cm="1">
        <f t="array" ref="N1091">IFERROR(_xlfn.XLOOKUP(1,('env Parameter'!$A:$A=$A1091)*('env Parameter'!$B:$B=$K1091)*('env Parameter'!$C:$C=$L1091),'env Parameter'!I:I,""),"")</f>
        <v>YR</v>
      </c>
    </row>
    <row r="1092" spans="1:14">
      <c r="A1092">
        <f>eDNA!A1092</f>
        <v>20201024</v>
      </c>
      <c r="B1092" s="10" t="str" cm="1">
        <f t="array" ref="B1092">IFERROR(_xlfn.XLOOKUP(1,('env Parameter'!$A:$A=$A1092)*('env Parameter'!$B:$B=$K1092)*('env Parameter'!$C:$C=$L1092),'env Parameter'!H:H,""),"")</f>
        <v>생물상 조사</v>
      </c>
      <c r="C1092" s="10" cm="1">
        <f t="array" ref="C1092">IFERROR(_xlfn.XLOOKUP(1,('env Parameter'!$A:$A=$A1092)*('env Parameter'!$B:$B=$K1092)*('env Parameter'!$C:$C=$L1092),'env Parameter'!E:E,""),"")</f>
        <v>2.14</v>
      </c>
      <c r="D1092" s="10" cm="1">
        <f t="array" ref="D1092">IFERROR(_xlfn.XLOOKUP(1,('env Parameter'!$A:$A=$A1092)*('env Parameter'!$B:$B=$K1092)*('env Parameter'!$C:$C=$L1092),'env Parameter'!F:F,""),"")</f>
        <v>478</v>
      </c>
      <c r="E1092" s="10" cm="1">
        <f t="array" ref="E1092">IFERROR(_xlfn.XLOOKUP(1,('env Parameter'!$A:$A=$A1092)*('env Parameter'!$B:$B=$K1092)*('env Parameter'!$C:$C=$L1092),'env Parameter'!G:G,""),"")</f>
        <v>7.6</v>
      </c>
      <c r="F1092" t="str">
        <f>eDNA!F1092</f>
        <v>MiFish</v>
      </c>
      <c r="G1092" t="str">
        <f>eDNA!D1092</f>
        <v>Tadorna tadorna</v>
      </c>
      <c r="H1092" t="str">
        <f>_xlfn.XLOOKUP(G1092,'Common name (master file)'!$B:$B,'Common name (master file)'!$A:$A,"-------------")</f>
        <v>혹부리오리</v>
      </c>
      <c r="I1092">
        <f>eDNA!E1092</f>
        <v>89</v>
      </c>
      <c r="J1092" t="str">
        <f>_xlfn.XLOOKUP(G1092,'Common name (master file)'!$B:$B,'Common name (master file)'!$C:$C,"")</f>
        <v>조류</v>
      </c>
      <c r="K1092">
        <f>eDNA!B1092</f>
        <v>126.9007862</v>
      </c>
      <c r="L1092">
        <f>eDNA!C1092</f>
        <v>37.438687899999998</v>
      </c>
      <c r="M1092" s="10" t="str" cm="1">
        <f t="array" ref="M1092">IFERROR(_xlfn.XLOOKUP(1,('env Parameter'!$A:$A=$A1092)*('env Parameter'!$B:$B=$K1092)*('env Parameter'!$C:$C=$L1092),'env Parameter'!D:D,""),"")</f>
        <v>안양천-8</v>
      </c>
      <c r="N1092" s="10" t="str" cm="1">
        <f t="array" ref="N1092">IFERROR(_xlfn.XLOOKUP(1,('env Parameter'!$A:$A=$A1092)*('env Parameter'!$B:$B=$K1092)*('env Parameter'!$C:$C=$L1092),'env Parameter'!I:I,""),"")</f>
        <v>YR</v>
      </c>
    </row>
    <row r="1093" spans="1:14">
      <c r="A1093">
        <f>eDNA!A1093</f>
        <v>20201024</v>
      </c>
      <c r="B1093" s="10" t="str" cm="1">
        <f t="array" ref="B1093">IFERROR(_xlfn.XLOOKUP(1,('env Parameter'!$A:$A=$A1093)*('env Parameter'!$B:$B=$K1093)*('env Parameter'!$C:$C=$L1093),'env Parameter'!H:H,""),"")</f>
        <v>생물상 조사</v>
      </c>
      <c r="C1093" s="10" cm="1">
        <f t="array" ref="C1093">IFERROR(_xlfn.XLOOKUP(1,('env Parameter'!$A:$A=$A1093)*('env Parameter'!$B:$B=$K1093)*('env Parameter'!$C:$C=$L1093),'env Parameter'!E:E,""),"")</f>
        <v>2.14</v>
      </c>
      <c r="D1093" s="10" cm="1">
        <f t="array" ref="D1093">IFERROR(_xlfn.XLOOKUP(1,('env Parameter'!$A:$A=$A1093)*('env Parameter'!$B:$B=$K1093)*('env Parameter'!$C:$C=$L1093),'env Parameter'!F:F,""),"")</f>
        <v>478</v>
      </c>
      <c r="E1093" s="10" cm="1">
        <f t="array" ref="E1093">IFERROR(_xlfn.XLOOKUP(1,('env Parameter'!$A:$A=$A1093)*('env Parameter'!$B:$B=$K1093)*('env Parameter'!$C:$C=$L1093),'env Parameter'!G:G,""),"")</f>
        <v>7.6</v>
      </c>
      <c r="F1093" t="str">
        <f>eDNA!F1093</f>
        <v>MiFish</v>
      </c>
      <c r="G1093" t="str">
        <f>eDNA!D1093</f>
        <v>Mus musculus</v>
      </c>
      <c r="H1093" t="str">
        <f>_xlfn.XLOOKUP(G1093,'Common name (master file)'!$B:$B,'Common name (master file)'!$A:$A,"-------------")</f>
        <v>생쥐</v>
      </c>
      <c r="I1093">
        <f>eDNA!E1093</f>
        <v>107</v>
      </c>
      <c r="J1093" t="str">
        <f>_xlfn.XLOOKUP(G1093,'Common name (master file)'!$B:$B,'Common name (master file)'!$C:$C,"")</f>
        <v>포유류</v>
      </c>
      <c r="K1093">
        <f>eDNA!B1093</f>
        <v>126.9007862</v>
      </c>
      <c r="L1093">
        <f>eDNA!C1093</f>
        <v>37.438687899999998</v>
      </c>
      <c r="M1093" s="10" t="str" cm="1">
        <f t="array" ref="M1093">IFERROR(_xlfn.XLOOKUP(1,('env Parameter'!$A:$A=$A1093)*('env Parameter'!$B:$B=$K1093)*('env Parameter'!$C:$C=$L1093),'env Parameter'!D:D,""),"")</f>
        <v>안양천-8</v>
      </c>
      <c r="N1093" s="10" t="str" cm="1">
        <f t="array" ref="N1093">IFERROR(_xlfn.XLOOKUP(1,('env Parameter'!$A:$A=$A1093)*('env Parameter'!$B:$B=$K1093)*('env Parameter'!$C:$C=$L1093),'env Parameter'!I:I,""),"")</f>
        <v>YR</v>
      </c>
    </row>
    <row r="1094" spans="1:14">
      <c r="A1094">
        <f>eDNA!A1094</f>
        <v>20201024</v>
      </c>
      <c r="B1094" s="10" t="str" cm="1">
        <f t="array" ref="B1094">IFERROR(_xlfn.XLOOKUP(1,('env Parameter'!$A:$A=$A1094)*('env Parameter'!$B:$B=$K1094)*('env Parameter'!$C:$C=$L1094),'env Parameter'!H:H,""),"")</f>
        <v>생물상 조사</v>
      </c>
      <c r="C1094" s="10" cm="1">
        <f t="array" ref="C1094">IFERROR(_xlfn.XLOOKUP(1,('env Parameter'!$A:$A=$A1094)*('env Parameter'!$B:$B=$K1094)*('env Parameter'!$C:$C=$L1094),'env Parameter'!E:E,""),"")</f>
        <v>2.14</v>
      </c>
      <c r="D1094" s="10" cm="1">
        <f t="array" ref="D1094">IFERROR(_xlfn.XLOOKUP(1,('env Parameter'!$A:$A=$A1094)*('env Parameter'!$B:$B=$K1094)*('env Parameter'!$C:$C=$L1094),'env Parameter'!F:F,""),"")</f>
        <v>478</v>
      </c>
      <c r="E1094" s="10" cm="1">
        <f t="array" ref="E1094">IFERROR(_xlfn.XLOOKUP(1,('env Parameter'!$A:$A=$A1094)*('env Parameter'!$B:$B=$K1094)*('env Parameter'!$C:$C=$L1094),'env Parameter'!G:G,""),"")</f>
        <v>7.6</v>
      </c>
      <c r="F1094" t="str">
        <f>eDNA!F1094</f>
        <v>MiFish</v>
      </c>
      <c r="G1094" t="str">
        <f>eDNA!D1094</f>
        <v>Hemibarbus maculatus</v>
      </c>
      <c r="H1094" t="str">
        <f>_xlfn.XLOOKUP(G1094,'Common name (master file)'!$B:$B,'Common name (master file)'!$A:$A,"-------------")</f>
        <v>알락누치</v>
      </c>
      <c r="I1094">
        <f>eDNA!E1094</f>
        <v>161</v>
      </c>
      <c r="J1094" t="str">
        <f>_xlfn.XLOOKUP(G1094,'Common name (master file)'!$B:$B,'Common name (master file)'!$C:$C,"")</f>
        <v>어류</v>
      </c>
      <c r="K1094">
        <f>eDNA!B1094</f>
        <v>126.9007862</v>
      </c>
      <c r="L1094">
        <f>eDNA!C1094</f>
        <v>37.438687899999998</v>
      </c>
      <c r="M1094" s="10" t="str" cm="1">
        <f t="array" ref="M1094">IFERROR(_xlfn.XLOOKUP(1,('env Parameter'!$A:$A=$A1094)*('env Parameter'!$B:$B=$K1094)*('env Parameter'!$C:$C=$L1094),'env Parameter'!D:D,""),"")</f>
        <v>안양천-8</v>
      </c>
      <c r="N1094" s="10" t="str" cm="1">
        <f t="array" ref="N1094">IFERROR(_xlfn.XLOOKUP(1,('env Parameter'!$A:$A=$A1094)*('env Parameter'!$B:$B=$K1094)*('env Parameter'!$C:$C=$L1094),'env Parameter'!I:I,""),"")</f>
        <v>YR</v>
      </c>
    </row>
    <row r="1095" spans="1:14">
      <c r="A1095">
        <f>eDNA!A1095</f>
        <v>20201024</v>
      </c>
      <c r="B1095" s="10" t="str" cm="1">
        <f t="array" ref="B1095">IFERROR(_xlfn.XLOOKUP(1,('env Parameter'!$A:$A=$A1095)*('env Parameter'!$B:$B=$K1095)*('env Parameter'!$C:$C=$L1095),'env Parameter'!H:H,""),"")</f>
        <v>생물상 조사</v>
      </c>
      <c r="C1095" s="10" cm="1">
        <f t="array" ref="C1095">IFERROR(_xlfn.XLOOKUP(1,('env Parameter'!$A:$A=$A1095)*('env Parameter'!$B:$B=$K1095)*('env Parameter'!$C:$C=$L1095),'env Parameter'!E:E,""),"")</f>
        <v>2.14</v>
      </c>
      <c r="D1095" s="10" cm="1">
        <f t="array" ref="D1095">IFERROR(_xlfn.XLOOKUP(1,('env Parameter'!$A:$A=$A1095)*('env Parameter'!$B:$B=$K1095)*('env Parameter'!$C:$C=$L1095),'env Parameter'!F:F,""),"")</f>
        <v>478</v>
      </c>
      <c r="E1095" s="10" cm="1">
        <f t="array" ref="E1095">IFERROR(_xlfn.XLOOKUP(1,('env Parameter'!$A:$A=$A1095)*('env Parameter'!$B:$B=$K1095)*('env Parameter'!$C:$C=$L1095),'env Parameter'!G:G,""),"")</f>
        <v>7.6</v>
      </c>
      <c r="F1095" t="str">
        <f>eDNA!F1095</f>
        <v>MiFish</v>
      </c>
      <c r="G1095" t="str">
        <f>eDNA!D1095</f>
        <v>Sus scrofa</v>
      </c>
      <c r="H1095" t="str">
        <f>_xlfn.XLOOKUP(G1095,'Common name (master file)'!$B:$B,'Common name (master file)'!$A:$A,"-------------")</f>
        <v>멧돼지</v>
      </c>
      <c r="I1095">
        <f>eDNA!E1095</f>
        <v>227</v>
      </c>
      <c r="J1095" t="str">
        <f>_xlfn.XLOOKUP(G1095,'Common name (master file)'!$B:$B,'Common name (master file)'!$C:$C,"")</f>
        <v>포유류</v>
      </c>
      <c r="K1095">
        <f>eDNA!B1095</f>
        <v>126.9007862</v>
      </c>
      <c r="L1095">
        <f>eDNA!C1095</f>
        <v>37.438687899999998</v>
      </c>
      <c r="M1095" s="10" t="str" cm="1">
        <f t="array" ref="M1095">IFERROR(_xlfn.XLOOKUP(1,('env Parameter'!$A:$A=$A1095)*('env Parameter'!$B:$B=$K1095)*('env Parameter'!$C:$C=$L1095),'env Parameter'!D:D,""),"")</f>
        <v>안양천-8</v>
      </c>
      <c r="N1095" s="10" t="str" cm="1">
        <f t="array" ref="N1095">IFERROR(_xlfn.XLOOKUP(1,('env Parameter'!$A:$A=$A1095)*('env Parameter'!$B:$B=$K1095)*('env Parameter'!$C:$C=$L1095),'env Parameter'!I:I,""),"")</f>
        <v>YR</v>
      </c>
    </row>
    <row r="1096" spans="1:14">
      <c r="A1096">
        <f>eDNA!A1096</f>
        <v>20201024</v>
      </c>
      <c r="B1096" s="10" t="str" cm="1">
        <f t="array" ref="B1096">IFERROR(_xlfn.XLOOKUP(1,('env Parameter'!$A:$A=$A1096)*('env Parameter'!$B:$B=$K1096)*('env Parameter'!$C:$C=$L1096),'env Parameter'!H:H,""),"")</f>
        <v>생물상 조사</v>
      </c>
      <c r="C1096" s="10" cm="1">
        <f t="array" ref="C1096">IFERROR(_xlfn.XLOOKUP(1,('env Parameter'!$A:$A=$A1096)*('env Parameter'!$B:$B=$K1096)*('env Parameter'!$C:$C=$L1096),'env Parameter'!E:E,""),"")</f>
        <v>2.14</v>
      </c>
      <c r="D1096" s="10" cm="1">
        <f t="array" ref="D1096">IFERROR(_xlfn.XLOOKUP(1,('env Parameter'!$A:$A=$A1096)*('env Parameter'!$B:$B=$K1096)*('env Parameter'!$C:$C=$L1096),'env Parameter'!F:F,""),"")</f>
        <v>478</v>
      </c>
      <c r="E1096" s="10" cm="1">
        <f t="array" ref="E1096">IFERROR(_xlfn.XLOOKUP(1,('env Parameter'!$A:$A=$A1096)*('env Parameter'!$B:$B=$K1096)*('env Parameter'!$C:$C=$L1096),'env Parameter'!G:G,""),"")</f>
        <v>7.6</v>
      </c>
      <c r="F1096" t="str">
        <f>eDNA!F1096</f>
        <v>MiFish</v>
      </c>
      <c r="G1096" t="str">
        <f>eDNA!D1096</f>
        <v>Silurus microdorsalis</v>
      </c>
      <c r="H1096" t="str">
        <f>_xlfn.XLOOKUP(G1096,'Common name (master file)'!$B:$B,'Common name (master file)'!$A:$A,"-------------")</f>
        <v>미유기</v>
      </c>
      <c r="I1096">
        <f>eDNA!E1096</f>
        <v>322</v>
      </c>
      <c r="J1096" t="str">
        <f>_xlfn.XLOOKUP(G1096,'Common name (master file)'!$B:$B,'Common name (master file)'!$C:$C,"")</f>
        <v>어류</v>
      </c>
      <c r="K1096">
        <f>eDNA!B1096</f>
        <v>126.9070155</v>
      </c>
      <c r="L1096">
        <f>eDNA!C1096</f>
        <v>37.385953200000003</v>
      </c>
      <c r="M1096" s="10" t="str" cm="1">
        <f t="array" ref="M1096">IFERROR(_xlfn.XLOOKUP(1,('env Parameter'!$A:$A=$A1096)*('env Parameter'!$B:$B=$K1096)*('env Parameter'!$C:$C=$L1096),'env Parameter'!D:D,""),"")</f>
        <v>수암천</v>
      </c>
      <c r="N1096" s="10" t="str" cm="1">
        <f t="array" ref="N1096">IFERROR(_xlfn.XLOOKUP(1,('env Parameter'!$A:$A=$A1096)*('env Parameter'!$B:$B=$K1096)*('env Parameter'!$C:$C=$L1096),'env Parameter'!I:I,""),"")</f>
        <v>YR</v>
      </c>
    </row>
    <row r="1097" spans="1:14">
      <c r="A1097">
        <f>eDNA!A1097</f>
        <v>20201024</v>
      </c>
      <c r="B1097" s="10" t="str" cm="1">
        <f t="array" ref="B1097">IFERROR(_xlfn.XLOOKUP(1,('env Parameter'!$A:$A=$A1097)*('env Parameter'!$B:$B=$K1097)*('env Parameter'!$C:$C=$L1097),'env Parameter'!H:H,""),"")</f>
        <v>생물상 조사</v>
      </c>
      <c r="C1097" s="10" cm="1">
        <f t="array" ref="C1097">IFERROR(_xlfn.XLOOKUP(1,('env Parameter'!$A:$A=$A1097)*('env Parameter'!$B:$B=$K1097)*('env Parameter'!$C:$C=$L1097),'env Parameter'!E:E,""),"")</f>
        <v>2.14</v>
      </c>
      <c r="D1097" s="10" cm="1">
        <f t="array" ref="D1097">IFERROR(_xlfn.XLOOKUP(1,('env Parameter'!$A:$A=$A1097)*('env Parameter'!$B:$B=$K1097)*('env Parameter'!$C:$C=$L1097),'env Parameter'!F:F,""),"")</f>
        <v>478</v>
      </c>
      <c r="E1097" s="10" cm="1">
        <f t="array" ref="E1097">IFERROR(_xlfn.XLOOKUP(1,('env Parameter'!$A:$A=$A1097)*('env Parameter'!$B:$B=$K1097)*('env Parameter'!$C:$C=$L1097),'env Parameter'!G:G,""),"")</f>
        <v>7.6</v>
      </c>
      <c r="F1097" t="str">
        <f>eDNA!F1097</f>
        <v>MiFish</v>
      </c>
      <c r="G1097" t="str">
        <f>eDNA!D1097</f>
        <v>Carassius sp.</v>
      </c>
      <c r="H1097" t="str">
        <f>_xlfn.XLOOKUP(G1097,'Common name (master file)'!$B:$B,'Common name (master file)'!$A:$A,"-------------")</f>
        <v>붕어 속</v>
      </c>
      <c r="I1097">
        <f>eDNA!E1097</f>
        <v>669</v>
      </c>
      <c r="J1097" t="str">
        <f>_xlfn.XLOOKUP(G1097,'Common name (master file)'!$B:$B,'Common name (master file)'!$C:$C,"")</f>
        <v>어류</v>
      </c>
      <c r="K1097">
        <f>eDNA!B1097</f>
        <v>126.9007862</v>
      </c>
      <c r="L1097">
        <f>eDNA!C1097</f>
        <v>37.438687899999998</v>
      </c>
      <c r="M1097" s="10" t="str" cm="1">
        <f t="array" ref="M1097">IFERROR(_xlfn.XLOOKUP(1,('env Parameter'!$A:$A=$A1097)*('env Parameter'!$B:$B=$K1097)*('env Parameter'!$C:$C=$L1097),'env Parameter'!D:D,""),"")</f>
        <v>안양천-8</v>
      </c>
      <c r="N1097" s="10" t="str" cm="1">
        <f t="array" ref="N1097">IFERROR(_xlfn.XLOOKUP(1,('env Parameter'!$A:$A=$A1097)*('env Parameter'!$B:$B=$K1097)*('env Parameter'!$C:$C=$L1097),'env Parameter'!I:I,""),"")</f>
        <v>YR</v>
      </c>
    </row>
    <row r="1098" spans="1:14">
      <c r="A1098">
        <f>eDNA!A1098</f>
        <v>20201024</v>
      </c>
      <c r="B1098" s="10" t="str" cm="1">
        <f t="array" ref="B1098">IFERROR(_xlfn.XLOOKUP(1,('env Parameter'!$A:$A=$A1098)*('env Parameter'!$B:$B=$K1098)*('env Parameter'!$C:$C=$L1098),'env Parameter'!H:H,""),"")</f>
        <v>생물상 조사</v>
      </c>
      <c r="C1098" s="10" cm="1">
        <f t="array" ref="C1098">IFERROR(_xlfn.XLOOKUP(1,('env Parameter'!$A:$A=$A1098)*('env Parameter'!$B:$B=$K1098)*('env Parameter'!$C:$C=$L1098),'env Parameter'!E:E,""),"")</f>
        <v>2.14</v>
      </c>
      <c r="D1098" s="10" cm="1">
        <f t="array" ref="D1098">IFERROR(_xlfn.XLOOKUP(1,('env Parameter'!$A:$A=$A1098)*('env Parameter'!$B:$B=$K1098)*('env Parameter'!$C:$C=$L1098),'env Parameter'!F:F,""),"")</f>
        <v>478</v>
      </c>
      <c r="E1098" s="10" cm="1">
        <f t="array" ref="E1098">IFERROR(_xlfn.XLOOKUP(1,('env Parameter'!$A:$A=$A1098)*('env Parameter'!$B:$B=$K1098)*('env Parameter'!$C:$C=$L1098),'env Parameter'!G:G,""),"")</f>
        <v>7.6</v>
      </c>
      <c r="F1098" t="str">
        <f>eDNA!F1098</f>
        <v>MiFish</v>
      </c>
      <c r="G1098" t="str">
        <f>eDNA!D1098</f>
        <v>Misgurnus mizolepis</v>
      </c>
      <c r="H1098" t="str">
        <f>_xlfn.XLOOKUP(G1098,'Common name (master file)'!$B:$B,'Common name (master file)'!$A:$A,"-------------")</f>
        <v>미꾸라지</v>
      </c>
      <c r="I1098">
        <f>eDNA!E1098</f>
        <v>757</v>
      </c>
      <c r="J1098" t="str">
        <f>_xlfn.XLOOKUP(G1098,'Common name (master file)'!$B:$B,'Common name (master file)'!$C:$C,"")</f>
        <v>어류</v>
      </c>
      <c r="K1098">
        <f>eDNA!B1098</f>
        <v>126.9007862</v>
      </c>
      <c r="L1098">
        <f>eDNA!C1098</f>
        <v>37.438687899999998</v>
      </c>
      <c r="M1098" s="10" t="str" cm="1">
        <f t="array" ref="M1098">IFERROR(_xlfn.XLOOKUP(1,('env Parameter'!$A:$A=$A1098)*('env Parameter'!$B:$B=$K1098)*('env Parameter'!$C:$C=$L1098),'env Parameter'!D:D,""),"")</f>
        <v>안양천-8</v>
      </c>
      <c r="N1098" s="10" t="str" cm="1">
        <f t="array" ref="N1098">IFERROR(_xlfn.XLOOKUP(1,('env Parameter'!$A:$A=$A1098)*('env Parameter'!$B:$B=$K1098)*('env Parameter'!$C:$C=$L1098),'env Parameter'!I:I,""),"")</f>
        <v>YR</v>
      </c>
    </row>
    <row r="1099" spans="1:14">
      <c r="A1099">
        <f>eDNA!A1099</f>
        <v>20201024</v>
      </c>
      <c r="B1099" s="10" t="str" cm="1">
        <f t="array" ref="B1099">IFERROR(_xlfn.XLOOKUP(1,('env Parameter'!$A:$A=$A1099)*('env Parameter'!$B:$B=$K1099)*('env Parameter'!$C:$C=$L1099),'env Parameter'!H:H,""),"")</f>
        <v>생물상 조사</v>
      </c>
      <c r="C1099" s="10" cm="1">
        <f t="array" ref="C1099">IFERROR(_xlfn.XLOOKUP(1,('env Parameter'!$A:$A=$A1099)*('env Parameter'!$B:$B=$K1099)*('env Parameter'!$C:$C=$L1099),'env Parameter'!E:E,""),"")</f>
        <v>2.14</v>
      </c>
      <c r="D1099" s="10" cm="1">
        <f t="array" ref="D1099">IFERROR(_xlfn.XLOOKUP(1,('env Parameter'!$A:$A=$A1099)*('env Parameter'!$B:$B=$K1099)*('env Parameter'!$C:$C=$L1099),'env Parameter'!F:F,""),"")</f>
        <v>478</v>
      </c>
      <c r="E1099" s="10" cm="1">
        <f t="array" ref="E1099">IFERROR(_xlfn.XLOOKUP(1,('env Parameter'!$A:$A=$A1099)*('env Parameter'!$B:$B=$K1099)*('env Parameter'!$C:$C=$L1099),'env Parameter'!G:G,""),"")</f>
        <v>7.6</v>
      </c>
      <c r="F1099" t="str">
        <f>eDNA!F1099</f>
        <v>MiFish</v>
      </c>
      <c r="G1099" t="str">
        <f>eDNA!D1099</f>
        <v>Bos taurus</v>
      </c>
      <c r="H1099" t="str">
        <f>_xlfn.XLOOKUP(G1099,'Common name (master file)'!$B:$B,'Common name (master file)'!$A:$A,"-------------")</f>
        <v>소</v>
      </c>
      <c r="I1099">
        <f>eDNA!E1099</f>
        <v>824</v>
      </c>
      <c r="J1099" t="str">
        <f>_xlfn.XLOOKUP(G1099,'Common name (master file)'!$B:$B,'Common name (master file)'!$C:$C,"")</f>
        <v>포유류</v>
      </c>
      <c r="K1099">
        <f>eDNA!B1099</f>
        <v>126.9007862</v>
      </c>
      <c r="L1099">
        <f>eDNA!C1099</f>
        <v>37.438687899999998</v>
      </c>
      <c r="M1099" s="10" t="str" cm="1">
        <f t="array" ref="M1099">IFERROR(_xlfn.XLOOKUP(1,('env Parameter'!$A:$A=$A1099)*('env Parameter'!$B:$B=$K1099)*('env Parameter'!$C:$C=$L1099),'env Parameter'!D:D,""),"")</f>
        <v>안양천-8</v>
      </c>
      <c r="N1099" s="10" t="str" cm="1">
        <f t="array" ref="N1099">IFERROR(_xlfn.XLOOKUP(1,('env Parameter'!$A:$A=$A1099)*('env Parameter'!$B:$B=$K1099)*('env Parameter'!$C:$C=$L1099),'env Parameter'!I:I,""),"")</f>
        <v>YR</v>
      </c>
    </row>
    <row r="1100" spans="1:14">
      <c r="A1100">
        <f>eDNA!A1100</f>
        <v>20201024</v>
      </c>
      <c r="B1100" s="10" t="str" cm="1">
        <f t="array" ref="B1100">IFERROR(_xlfn.XLOOKUP(1,('env Parameter'!$A:$A=$A1100)*('env Parameter'!$B:$B=$K1100)*('env Parameter'!$C:$C=$L1100),'env Parameter'!H:H,""),"")</f>
        <v>생물상 조사</v>
      </c>
      <c r="C1100" s="10" cm="1">
        <f t="array" ref="C1100">IFERROR(_xlfn.XLOOKUP(1,('env Parameter'!$A:$A=$A1100)*('env Parameter'!$B:$B=$K1100)*('env Parameter'!$C:$C=$L1100),'env Parameter'!E:E,""),"")</f>
        <v>2.14</v>
      </c>
      <c r="D1100" s="10" cm="1">
        <f t="array" ref="D1100">IFERROR(_xlfn.XLOOKUP(1,('env Parameter'!$A:$A=$A1100)*('env Parameter'!$B:$B=$K1100)*('env Parameter'!$C:$C=$L1100),'env Parameter'!F:F,""),"")</f>
        <v>478</v>
      </c>
      <c r="E1100" s="10" cm="1">
        <f t="array" ref="E1100">IFERROR(_xlfn.XLOOKUP(1,('env Parameter'!$A:$A=$A1100)*('env Parameter'!$B:$B=$K1100)*('env Parameter'!$C:$C=$L1100),'env Parameter'!G:G,""),"")</f>
        <v>7.6</v>
      </c>
      <c r="F1100" t="str">
        <f>eDNA!F1100</f>
        <v>MiFish</v>
      </c>
      <c r="G1100" t="str">
        <f>eDNA!D1100</f>
        <v>Homo sapiens</v>
      </c>
      <c r="H1100" t="str">
        <f>_xlfn.XLOOKUP(G1100,'Common name (master file)'!$B:$B,'Common name (master file)'!$A:$A,"-------------")</f>
        <v>사람</v>
      </c>
      <c r="I1100">
        <f>eDNA!E1100</f>
        <v>871</v>
      </c>
      <c r="J1100" t="str">
        <f>_xlfn.XLOOKUP(G1100,'Common name (master file)'!$B:$B,'Common name (master file)'!$C:$C,"")</f>
        <v>포유류</v>
      </c>
      <c r="K1100">
        <f>eDNA!B1100</f>
        <v>126.9007862</v>
      </c>
      <c r="L1100">
        <f>eDNA!C1100</f>
        <v>37.438687899999998</v>
      </c>
      <c r="M1100" s="10" t="str" cm="1">
        <f t="array" ref="M1100">IFERROR(_xlfn.XLOOKUP(1,('env Parameter'!$A:$A=$A1100)*('env Parameter'!$B:$B=$K1100)*('env Parameter'!$C:$C=$L1100),'env Parameter'!D:D,""),"")</f>
        <v>안양천-8</v>
      </c>
      <c r="N1100" s="10" t="str" cm="1">
        <f t="array" ref="N1100">IFERROR(_xlfn.XLOOKUP(1,('env Parameter'!$A:$A=$A1100)*('env Parameter'!$B:$B=$K1100)*('env Parameter'!$C:$C=$L1100),'env Parameter'!I:I,""),"")</f>
        <v>YR</v>
      </c>
    </row>
    <row r="1101" spans="1:14">
      <c r="A1101">
        <f>eDNA!A1101</f>
        <v>20201024</v>
      </c>
      <c r="B1101" s="10" t="str" cm="1">
        <f t="array" ref="B1101">IFERROR(_xlfn.XLOOKUP(1,('env Parameter'!$A:$A=$A1101)*('env Parameter'!$B:$B=$K1101)*('env Parameter'!$C:$C=$L1101),'env Parameter'!H:H,""),"")</f>
        <v>생물상 조사</v>
      </c>
      <c r="C1101" s="10" cm="1">
        <f t="array" ref="C1101">IFERROR(_xlfn.XLOOKUP(1,('env Parameter'!$A:$A=$A1101)*('env Parameter'!$B:$B=$K1101)*('env Parameter'!$C:$C=$L1101),'env Parameter'!E:E,""),"")</f>
        <v>2.14</v>
      </c>
      <c r="D1101" s="10" cm="1">
        <f t="array" ref="D1101">IFERROR(_xlfn.XLOOKUP(1,('env Parameter'!$A:$A=$A1101)*('env Parameter'!$B:$B=$K1101)*('env Parameter'!$C:$C=$L1101),'env Parameter'!F:F,""),"")</f>
        <v>478</v>
      </c>
      <c r="E1101" s="10" cm="1">
        <f t="array" ref="E1101">IFERROR(_xlfn.XLOOKUP(1,('env Parameter'!$A:$A=$A1101)*('env Parameter'!$B:$B=$K1101)*('env Parameter'!$C:$C=$L1101),'env Parameter'!G:G,""),"")</f>
        <v>7.6</v>
      </c>
      <c r="F1101" t="str">
        <f>eDNA!F1101</f>
        <v>MiFish</v>
      </c>
      <c r="G1101" t="str">
        <f>eDNA!D1101</f>
        <v>Gnathopogon strigatus</v>
      </c>
      <c r="H1101" t="str">
        <f>_xlfn.XLOOKUP(G1101,'Common name (master file)'!$B:$B,'Common name (master file)'!$A:$A,"-------------")</f>
        <v>줄몰개</v>
      </c>
      <c r="I1101">
        <f>eDNA!E1101</f>
        <v>1503</v>
      </c>
      <c r="J1101" t="str">
        <f>_xlfn.XLOOKUP(G1101,'Common name (master file)'!$B:$B,'Common name (master file)'!$C:$C,"")</f>
        <v>어류</v>
      </c>
      <c r="K1101">
        <f>eDNA!B1101</f>
        <v>126.9007862</v>
      </c>
      <c r="L1101">
        <f>eDNA!C1101</f>
        <v>37.438687899999998</v>
      </c>
      <c r="M1101" s="10" t="str" cm="1">
        <f t="array" ref="M1101">IFERROR(_xlfn.XLOOKUP(1,('env Parameter'!$A:$A=$A1101)*('env Parameter'!$B:$B=$K1101)*('env Parameter'!$C:$C=$L1101),'env Parameter'!D:D,""),"")</f>
        <v>안양천-8</v>
      </c>
      <c r="N1101" s="10" t="str" cm="1">
        <f t="array" ref="N1101">IFERROR(_xlfn.XLOOKUP(1,('env Parameter'!$A:$A=$A1101)*('env Parameter'!$B:$B=$K1101)*('env Parameter'!$C:$C=$L1101),'env Parameter'!I:I,""),"")</f>
        <v>YR</v>
      </c>
    </row>
    <row r="1102" spans="1:14">
      <c r="A1102">
        <f>eDNA!A1102</f>
        <v>20201024</v>
      </c>
      <c r="B1102" s="10" t="str" cm="1">
        <f t="array" ref="B1102">IFERROR(_xlfn.XLOOKUP(1,('env Parameter'!$A:$A=$A1102)*('env Parameter'!$B:$B=$K1102)*('env Parameter'!$C:$C=$L1102),'env Parameter'!H:H,""),"")</f>
        <v>생물상 조사</v>
      </c>
      <c r="C1102" s="10" cm="1">
        <f t="array" ref="C1102">IFERROR(_xlfn.XLOOKUP(1,('env Parameter'!$A:$A=$A1102)*('env Parameter'!$B:$B=$K1102)*('env Parameter'!$C:$C=$L1102),'env Parameter'!E:E,""),"")</f>
        <v>2.14</v>
      </c>
      <c r="D1102" s="10" cm="1">
        <f t="array" ref="D1102">IFERROR(_xlfn.XLOOKUP(1,('env Parameter'!$A:$A=$A1102)*('env Parameter'!$B:$B=$K1102)*('env Parameter'!$C:$C=$L1102),'env Parameter'!F:F,""),"")</f>
        <v>478</v>
      </c>
      <c r="E1102" s="10" cm="1">
        <f t="array" ref="E1102">IFERROR(_xlfn.XLOOKUP(1,('env Parameter'!$A:$A=$A1102)*('env Parameter'!$B:$B=$K1102)*('env Parameter'!$C:$C=$L1102),'env Parameter'!G:G,""),"")</f>
        <v>7.6</v>
      </c>
      <c r="F1102" t="str">
        <f>eDNA!F1102</f>
        <v>MiFish</v>
      </c>
      <c r="G1102" t="str">
        <f>eDNA!D1102</f>
        <v>Gymnogobius opperiens</v>
      </c>
      <c r="H1102" t="str">
        <f>_xlfn.XLOOKUP(G1102,'Common name (master file)'!$B:$B,'Common name (master file)'!$A:$A,"-------------")</f>
        <v>무늬꾹저구</v>
      </c>
      <c r="I1102">
        <f>eDNA!E1102</f>
        <v>1301</v>
      </c>
      <c r="J1102" t="str">
        <f>_xlfn.XLOOKUP(G1102,'Common name (master file)'!$B:$B,'Common name (master file)'!$C:$C,"")</f>
        <v>어류</v>
      </c>
      <c r="K1102">
        <f>eDNA!B1102</f>
        <v>126.9007862</v>
      </c>
      <c r="L1102">
        <f>eDNA!C1102</f>
        <v>37.438687899999998</v>
      </c>
      <c r="M1102" s="10" t="str" cm="1">
        <f t="array" ref="M1102">IFERROR(_xlfn.XLOOKUP(1,('env Parameter'!$A:$A=$A1102)*('env Parameter'!$B:$B=$K1102)*('env Parameter'!$C:$C=$L1102),'env Parameter'!D:D,""),"")</f>
        <v>안양천-8</v>
      </c>
      <c r="N1102" s="10" t="str" cm="1">
        <f t="array" ref="N1102">IFERROR(_xlfn.XLOOKUP(1,('env Parameter'!$A:$A=$A1102)*('env Parameter'!$B:$B=$K1102)*('env Parameter'!$C:$C=$L1102),'env Parameter'!I:I,""),"")</f>
        <v>YR</v>
      </c>
    </row>
    <row r="1103" spans="1:14">
      <c r="A1103">
        <f>eDNA!A1103</f>
        <v>20201024</v>
      </c>
      <c r="B1103" s="10" t="str" cm="1">
        <f t="array" ref="B1103">IFERROR(_xlfn.XLOOKUP(1,('env Parameter'!$A:$A=$A1103)*('env Parameter'!$B:$B=$K1103)*('env Parameter'!$C:$C=$L1103),'env Parameter'!H:H,""),"")</f>
        <v>생물상 조사</v>
      </c>
      <c r="C1103" s="10" cm="1">
        <f t="array" ref="C1103">IFERROR(_xlfn.XLOOKUP(1,('env Parameter'!$A:$A=$A1103)*('env Parameter'!$B:$B=$K1103)*('env Parameter'!$C:$C=$L1103),'env Parameter'!E:E,""),"")</f>
        <v>2.14</v>
      </c>
      <c r="D1103" s="10" cm="1">
        <f t="array" ref="D1103">IFERROR(_xlfn.XLOOKUP(1,('env Parameter'!$A:$A=$A1103)*('env Parameter'!$B:$B=$K1103)*('env Parameter'!$C:$C=$L1103),'env Parameter'!F:F,""),"")</f>
        <v>478</v>
      </c>
      <c r="E1103" s="10" cm="1">
        <f t="array" ref="E1103">IFERROR(_xlfn.XLOOKUP(1,('env Parameter'!$A:$A=$A1103)*('env Parameter'!$B:$B=$K1103)*('env Parameter'!$C:$C=$L1103),'env Parameter'!G:G,""),"")</f>
        <v>7.6</v>
      </c>
      <c r="F1103" t="str">
        <f>eDNA!F1103</f>
        <v>MiFish</v>
      </c>
      <c r="G1103" t="str">
        <f>eDNA!D1103</f>
        <v>Channa argus</v>
      </c>
      <c r="H1103" t="str">
        <f>_xlfn.XLOOKUP(G1103,'Common name (master file)'!$B:$B,'Common name (master file)'!$A:$A,"-------------")</f>
        <v>가물치</v>
      </c>
      <c r="I1103">
        <f>eDNA!E1103</f>
        <v>3034</v>
      </c>
      <c r="J1103" t="str">
        <f>_xlfn.XLOOKUP(G1103,'Common name (master file)'!$B:$B,'Common name (master file)'!$C:$C,"")</f>
        <v>어류</v>
      </c>
      <c r="K1103">
        <f>eDNA!B1103</f>
        <v>126.9007862</v>
      </c>
      <c r="L1103">
        <f>eDNA!C1103</f>
        <v>37.438687899999998</v>
      </c>
      <c r="M1103" s="10" t="str" cm="1">
        <f t="array" ref="M1103">IFERROR(_xlfn.XLOOKUP(1,('env Parameter'!$A:$A=$A1103)*('env Parameter'!$B:$B=$K1103)*('env Parameter'!$C:$C=$L1103),'env Parameter'!D:D,""),"")</f>
        <v>안양천-8</v>
      </c>
      <c r="N1103" s="10" t="str" cm="1">
        <f t="array" ref="N1103">IFERROR(_xlfn.XLOOKUP(1,('env Parameter'!$A:$A=$A1103)*('env Parameter'!$B:$B=$K1103)*('env Parameter'!$C:$C=$L1103),'env Parameter'!I:I,""),"")</f>
        <v>YR</v>
      </c>
    </row>
    <row r="1104" spans="1:14">
      <c r="A1104">
        <f>eDNA!A1104</f>
        <v>20201024</v>
      </c>
      <c r="B1104" s="10" t="str" cm="1">
        <f t="array" ref="B1104">IFERROR(_xlfn.XLOOKUP(1,('env Parameter'!$A:$A=$A1104)*('env Parameter'!$B:$B=$K1104)*('env Parameter'!$C:$C=$L1104),'env Parameter'!H:H,""),"")</f>
        <v>생물상 조사</v>
      </c>
      <c r="C1104" s="10" cm="1">
        <f t="array" ref="C1104">IFERROR(_xlfn.XLOOKUP(1,('env Parameter'!$A:$A=$A1104)*('env Parameter'!$B:$B=$K1104)*('env Parameter'!$C:$C=$L1104),'env Parameter'!E:E,""),"")</f>
        <v>2.14</v>
      </c>
      <c r="D1104" s="10" cm="1">
        <f t="array" ref="D1104">IFERROR(_xlfn.XLOOKUP(1,('env Parameter'!$A:$A=$A1104)*('env Parameter'!$B:$B=$K1104)*('env Parameter'!$C:$C=$L1104),'env Parameter'!F:F,""),"")</f>
        <v>478</v>
      </c>
      <c r="E1104" s="10" cm="1">
        <f t="array" ref="E1104">IFERROR(_xlfn.XLOOKUP(1,('env Parameter'!$A:$A=$A1104)*('env Parameter'!$B:$B=$K1104)*('env Parameter'!$C:$C=$L1104),'env Parameter'!G:G,""),"")</f>
        <v>7.6</v>
      </c>
      <c r="F1104" t="str">
        <f>eDNA!F1104</f>
        <v>MiFish</v>
      </c>
      <c r="G1104" t="str">
        <f>eDNA!D1104</f>
        <v>Cyprinus carpio</v>
      </c>
      <c r="H1104" t="str">
        <f>_xlfn.XLOOKUP(G1104,'Common name (master file)'!$B:$B,'Common name (master file)'!$A:$A,"-------------")</f>
        <v>잉어</v>
      </c>
      <c r="I1104">
        <f>eDNA!E1104</f>
        <v>2939</v>
      </c>
      <c r="J1104" t="str">
        <f>_xlfn.XLOOKUP(G1104,'Common name (master file)'!$B:$B,'Common name (master file)'!$C:$C,"")</f>
        <v>어류</v>
      </c>
      <c r="K1104">
        <f>eDNA!B1104</f>
        <v>126.9007862</v>
      </c>
      <c r="L1104">
        <f>eDNA!C1104</f>
        <v>37.438687899999998</v>
      </c>
      <c r="M1104" s="10" t="str" cm="1">
        <f t="array" ref="M1104">IFERROR(_xlfn.XLOOKUP(1,('env Parameter'!$A:$A=$A1104)*('env Parameter'!$B:$B=$K1104)*('env Parameter'!$C:$C=$L1104),'env Parameter'!D:D,""),"")</f>
        <v>안양천-8</v>
      </c>
      <c r="N1104" s="10" t="str" cm="1">
        <f t="array" ref="N1104">IFERROR(_xlfn.XLOOKUP(1,('env Parameter'!$A:$A=$A1104)*('env Parameter'!$B:$B=$K1104)*('env Parameter'!$C:$C=$L1104),'env Parameter'!I:I,""),"")</f>
        <v>YR</v>
      </c>
    </row>
    <row r="1105" spans="1:14">
      <c r="A1105">
        <f>eDNA!A1105</f>
        <v>20201024</v>
      </c>
      <c r="B1105" s="10" t="str" cm="1">
        <f t="array" ref="B1105">IFERROR(_xlfn.XLOOKUP(1,('env Parameter'!$A:$A=$A1105)*('env Parameter'!$B:$B=$K1105)*('env Parameter'!$C:$C=$L1105),'env Parameter'!H:H,""),"")</f>
        <v>생물상 조사</v>
      </c>
      <c r="C1105" s="10" cm="1">
        <f t="array" ref="C1105">IFERROR(_xlfn.XLOOKUP(1,('env Parameter'!$A:$A=$A1105)*('env Parameter'!$B:$B=$K1105)*('env Parameter'!$C:$C=$L1105),'env Parameter'!E:E,""),"")</f>
        <v>2.14</v>
      </c>
      <c r="D1105" s="10" cm="1">
        <f t="array" ref="D1105">IFERROR(_xlfn.XLOOKUP(1,('env Parameter'!$A:$A=$A1105)*('env Parameter'!$B:$B=$K1105)*('env Parameter'!$C:$C=$L1105),'env Parameter'!F:F,""),"")</f>
        <v>478</v>
      </c>
      <c r="E1105" s="10" cm="1">
        <f t="array" ref="E1105">IFERROR(_xlfn.XLOOKUP(1,('env Parameter'!$A:$A=$A1105)*('env Parameter'!$B:$B=$K1105)*('env Parameter'!$C:$C=$L1105),'env Parameter'!G:G,""),"")</f>
        <v>7.6</v>
      </c>
      <c r="F1105" t="str">
        <f>eDNA!F1105</f>
        <v>MiFish</v>
      </c>
      <c r="G1105" t="str">
        <f>eDNA!D1105</f>
        <v>Hemibarbus sp.</v>
      </c>
      <c r="H1105" t="str">
        <f>_xlfn.XLOOKUP(G1105,'Common name (master file)'!$B:$B,'Common name (master file)'!$A:$A,"-------------")</f>
        <v>누치 속</v>
      </c>
      <c r="I1105">
        <f>eDNA!E1105</f>
        <v>6450</v>
      </c>
      <c r="J1105" t="str">
        <f>_xlfn.XLOOKUP(G1105,'Common name (master file)'!$B:$B,'Common name (master file)'!$C:$C,"")</f>
        <v>어류</v>
      </c>
      <c r="K1105">
        <f>eDNA!B1105</f>
        <v>126.9007862</v>
      </c>
      <c r="L1105">
        <f>eDNA!C1105</f>
        <v>37.438687899999998</v>
      </c>
      <c r="M1105" s="10" t="str" cm="1">
        <f t="array" ref="M1105">IFERROR(_xlfn.XLOOKUP(1,('env Parameter'!$A:$A=$A1105)*('env Parameter'!$B:$B=$K1105)*('env Parameter'!$C:$C=$L1105),'env Parameter'!D:D,""),"")</f>
        <v>안양천-8</v>
      </c>
      <c r="N1105" s="10" t="str" cm="1">
        <f t="array" ref="N1105">IFERROR(_xlfn.XLOOKUP(1,('env Parameter'!$A:$A=$A1105)*('env Parameter'!$B:$B=$K1105)*('env Parameter'!$C:$C=$L1105),'env Parameter'!I:I,""),"")</f>
        <v>YR</v>
      </c>
    </row>
    <row r="1106" spans="1:14">
      <c r="A1106">
        <f>eDNA!A1106</f>
        <v>20201024</v>
      </c>
      <c r="B1106" s="10" t="str" cm="1">
        <f t="array" ref="B1106">IFERROR(_xlfn.XLOOKUP(1,('env Parameter'!$A:$A=$A1106)*('env Parameter'!$B:$B=$K1106)*('env Parameter'!$C:$C=$L1106),'env Parameter'!H:H,""),"")</f>
        <v>생물상 조사</v>
      </c>
      <c r="C1106" s="10" cm="1">
        <f t="array" ref="C1106">IFERROR(_xlfn.XLOOKUP(1,('env Parameter'!$A:$A=$A1106)*('env Parameter'!$B:$B=$K1106)*('env Parameter'!$C:$C=$L1106),'env Parameter'!E:E,""),"")</f>
        <v>2.14</v>
      </c>
      <c r="D1106" s="10" cm="1">
        <f t="array" ref="D1106">IFERROR(_xlfn.XLOOKUP(1,('env Parameter'!$A:$A=$A1106)*('env Parameter'!$B:$B=$K1106)*('env Parameter'!$C:$C=$L1106),'env Parameter'!F:F,""),"")</f>
        <v>478</v>
      </c>
      <c r="E1106" s="10" cm="1">
        <f t="array" ref="E1106">IFERROR(_xlfn.XLOOKUP(1,('env Parameter'!$A:$A=$A1106)*('env Parameter'!$B:$B=$K1106)*('env Parameter'!$C:$C=$L1106),'env Parameter'!G:G,""),"")</f>
        <v>7.6</v>
      </c>
      <c r="F1106" t="str">
        <f>eDNA!F1106</f>
        <v>MiFish</v>
      </c>
      <c r="G1106" t="str">
        <f>eDNA!D1106</f>
        <v>Tridentiger obscurus</v>
      </c>
      <c r="H1106" t="str">
        <f>_xlfn.XLOOKUP(G1106,'Common name (master file)'!$B:$B,'Common name (master file)'!$A:$A,"-------------")</f>
        <v>검정망둑</v>
      </c>
      <c r="I1106">
        <f>eDNA!E1106</f>
        <v>6922</v>
      </c>
      <c r="J1106" t="str">
        <f>_xlfn.XLOOKUP(G1106,'Common name (master file)'!$B:$B,'Common name (master file)'!$C:$C,"")</f>
        <v>어류</v>
      </c>
      <c r="K1106">
        <f>eDNA!B1106</f>
        <v>126.9007862</v>
      </c>
      <c r="L1106">
        <f>eDNA!C1106</f>
        <v>37.438687899999998</v>
      </c>
      <c r="M1106" s="10" t="str" cm="1">
        <f t="array" ref="M1106">IFERROR(_xlfn.XLOOKUP(1,('env Parameter'!$A:$A=$A1106)*('env Parameter'!$B:$B=$K1106)*('env Parameter'!$C:$C=$L1106),'env Parameter'!D:D,""),"")</f>
        <v>안양천-8</v>
      </c>
      <c r="N1106" s="10" t="str" cm="1">
        <f t="array" ref="N1106">IFERROR(_xlfn.XLOOKUP(1,('env Parameter'!$A:$A=$A1106)*('env Parameter'!$B:$B=$K1106)*('env Parameter'!$C:$C=$L1106),'env Parameter'!I:I,""),"")</f>
        <v>YR</v>
      </c>
    </row>
    <row r="1107" spans="1:14">
      <c r="A1107">
        <f>eDNA!A1107</f>
        <v>20201024</v>
      </c>
      <c r="B1107" s="10" t="str" cm="1">
        <f t="array" ref="B1107">IFERROR(_xlfn.XLOOKUP(1,('env Parameter'!$A:$A=$A1107)*('env Parameter'!$B:$B=$K1107)*('env Parameter'!$C:$C=$L1107),'env Parameter'!H:H,""),"")</f>
        <v>생물상 조사</v>
      </c>
      <c r="C1107" s="10" cm="1">
        <f t="array" ref="C1107">IFERROR(_xlfn.XLOOKUP(1,('env Parameter'!$A:$A=$A1107)*('env Parameter'!$B:$B=$K1107)*('env Parameter'!$C:$C=$L1107),'env Parameter'!E:E,""),"")</f>
        <v>2.14</v>
      </c>
      <c r="D1107" s="10" cm="1">
        <f t="array" ref="D1107">IFERROR(_xlfn.XLOOKUP(1,('env Parameter'!$A:$A=$A1107)*('env Parameter'!$B:$B=$K1107)*('env Parameter'!$C:$C=$L1107),'env Parameter'!F:F,""),"")</f>
        <v>478</v>
      </c>
      <c r="E1107" s="10" cm="1">
        <f t="array" ref="E1107">IFERROR(_xlfn.XLOOKUP(1,('env Parameter'!$A:$A=$A1107)*('env Parameter'!$B:$B=$K1107)*('env Parameter'!$C:$C=$L1107),'env Parameter'!G:G,""),"")</f>
        <v>7.6</v>
      </c>
      <c r="F1107" t="str">
        <f>eDNA!F1107</f>
        <v>MiFish</v>
      </c>
      <c r="G1107" t="str">
        <f>eDNA!D1107</f>
        <v>Silurus soldatovi</v>
      </c>
      <c r="H1107" t="str">
        <f>_xlfn.XLOOKUP(G1107,'Common name (master file)'!$B:$B,'Common name (master file)'!$A:$A,"-------------")</f>
        <v>솔다토비 메기</v>
      </c>
      <c r="I1107">
        <f>eDNA!E1107</f>
        <v>7425</v>
      </c>
      <c r="J1107" t="str">
        <f>_xlfn.XLOOKUP(G1107,'Common name (master file)'!$B:$B,'Common name (master file)'!$C:$C,"")</f>
        <v>어류</v>
      </c>
      <c r="K1107">
        <f>eDNA!B1107</f>
        <v>126.9007862</v>
      </c>
      <c r="L1107">
        <f>eDNA!C1107</f>
        <v>37.438687899999998</v>
      </c>
      <c r="M1107" s="10" t="str" cm="1">
        <f t="array" ref="M1107">IFERROR(_xlfn.XLOOKUP(1,('env Parameter'!$A:$A=$A1107)*('env Parameter'!$B:$B=$K1107)*('env Parameter'!$C:$C=$L1107),'env Parameter'!D:D,""),"")</f>
        <v>안양천-8</v>
      </c>
      <c r="N1107" s="10" t="str" cm="1">
        <f t="array" ref="N1107">IFERROR(_xlfn.XLOOKUP(1,('env Parameter'!$A:$A=$A1107)*('env Parameter'!$B:$B=$K1107)*('env Parameter'!$C:$C=$L1107),'env Parameter'!I:I,""),"")</f>
        <v>YR</v>
      </c>
    </row>
    <row r="1108" spans="1:14">
      <c r="A1108">
        <f>eDNA!A1108</f>
        <v>20201024</v>
      </c>
      <c r="B1108" s="10" t="str" cm="1">
        <f t="array" ref="B1108">IFERROR(_xlfn.XLOOKUP(1,('env Parameter'!$A:$A=$A1108)*('env Parameter'!$B:$B=$K1108)*('env Parameter'!$C:$C=$L1108),'env Parameter'!H:H,""),"")</f>
        <v>생물상 조사</v>
      </c>
      <c r="C1108" s="10" cm="1">
        <f t="array" ref="C1108">IFERROR(_xlfn.XLOOKUP(1,('env Parameter'!$A:$A=$A1108)*('env Parameter'!$B:$B=$K1108)*('env Parameter'!$C:$C=$L1108),'env Parameter'!E:E,""),"")</f>
        <v>2.14</v>
      </c>
      <c r="D1108" s="10" cm="1">
        <f t="array" ref="D1108">IFERROR(_xlfn.XLOOKUP(1,('env Parameter'!$A:$A=$A1108)*('env Parameter'!$B:$B=$K1108)*('env Parameter'!$C:$C=$L1108),'env Parameter'!F:F,""),"")</f>
        <v>478</v>
      </c>
      <c r="E1108" s="10" cm="1">
        <f t="array" ref="E1108">IFERROR(_xlfn.XLOOKUP(1,('env Parameter'!$A:$A=$A1108)*('env Parameter'!$B:$B=$K1108)*('env Parameter'!$C:$C=$L1108),'env Parameter'!G:G,""),"")</f>
        <v>7.6</v>
      </c>
      <c r="F1108" t="str">
        <f>eDNA!F1108</f>
        <v>MiFish</v>
      </c>
      <c r="G1108" t="str">
        <f>eDNA!D1108</f>
        <v>Carassius gibelio</v>
      </c>
      <c r="H1108" t="str">
        <f>_xlfn.XLOOKUP(G1108,'Common name (master file)'!$B:$B,'Common name (master file)'!$A:$A,"-------------")</f>
        <v>기벨리오 붕어</v>
      </c>
      <c r="I1108">
        <f>eDNA!E1108</f>
        <v>18215</v>
      </c>
      <c r="J1108" t="str">
        <f>_xlfn.XLOOKUP(G1108,'Common name (master file)'!$B:$B,'Common name (master file)'!$C:$C,"")</f>
        <v>어류</v>
      </c>
      <c r="K1108">
        <f>eDNA!B1108</f>
        <v>126.9007862</v>
      </c>
      <c r="L1108">
        <f>eDNA!C1108</f>
        <v>37.438687899999998</v>
      </c>
      <c r="M1108" s="10" t="str" cm="1">
        <f t="array" ref="M1108">IFERROR(_xlfn.XLOOKUP(1,('env Parameter'!$A:$A=$A1108)*('env Parameter'!$B:$B=$K1108)*('env Parameter'!$C:$C=$L1108),'env Parameter'!D:D,""),"")</f>
        <v>안양천-8</v>
      </c>
      <c r="N1108" s="10" t="str" cm="1">
        <f t="array" ref="N1108">IFERROR(_xlfn.XLOOKUP(1,('env Parameter'!$A:$A=$A1108)*('env Parameter'!$B:$B=$K1108)*('env Parameter'!$C:$C=$L1108),'env Parameter'!I:I,""),"")</f>
        <v>YR</v>
      </c>
    </row>
    <row r="1109" spans="1:14">
      <c r="A1109">
        <f>eDNA!A1109</f>
        <v>20201024</v>
      </c>
      <c r="B1109" s="10" t="str" cm="1">
        <f t="array" ref="B1109">IFERROR(_xlfn.XLOOKUP(1,('env Parameter'!$A:$A=$A1109)*('env Parameter'!$B:$B=$K1109)*('env Parameter'!$C:$C=$L1109),'env Parameter'!H:H,""),"")</f>
        <v>생물상 조사</v>
      </c>
      <c r="C1109" s="10" cm="1">
        <f t="array" ref="C1109">IFERROR(_xlfn.XLOOKUP(1,('env Parameter'!$A:$A=$A1109)*('env Parameter'!$B:$B=$K1109)*('env Parameter'!$C:$C=$L1109),'env Parameter'!E:E,""),"")</f>
        <v>2.14</v>
      </c>
      <c r="D1109" s="10" cm="1">
        <f t="array" ref="D1109">IFERROR(_xlfn.XLOOKUP(1,('env Parameter'!$A:$A=$A1109)*('env Parameter'!$B:$B=$K1109)*('env Parameter'!$C:$C=$L1109),'env Parameter'!F:F,""),"")</f>
        <v>478</v>
      </c>
      <c r="E1109" s="10" cm="1">
        <f t="array" ref="E1109">IFERROR(_xlfn.XLOOKUP(1,('env Parameter'!$A:$A=$A1109)*('env Parameter'!$B:$B=$K1109)*('env Parameter'!$C:$C=$L1109),'env Parameter'!G:G,""),"")</f>
        <v>7.6</v>
      </c>
      <c r="F1109" t="str">
        <f>eDNA!F1109</f>
        <v>MiFish</v>
      </c>
      <c r="G1109" t="str">
        <f>eDNA!D1109</f>
        <v>Zacco platypus</v>
      </c>
      <c r="H1109" t="str">
        <f>_xlfn.XLOOKUP(G1109,'Common name (master file)'!$B:$B,'Common name (master file)'!$A:$A,"-------------")</f>
        <v>피라미</v>
      </c>
      <c r="I1109">
        <f>eDNA!E1109</f>
        <v>28372</v>
      </c>
      <c r="J1109" t="str">
        <f>_xlfn.XLOOKUP(G1109,'Common name (master file)'!$B:$B,'Common name (master file)'!$C:$C,"")</f>
        <v>어류</v>
      </c>
      <c r="K1109">
        <f>eDNA!B1109</f>
        <v>126.9007862</v>
      </c>
      <c r="L1109">
        <f>eDNA!C1109</f>
        <v>37.438687899999998</v>
      </c>
      <c r="M1109" s="10" t="str" cm="1">
        <f t="array" ref="M1109">IFERROR(_xlfn.XLOOKUP(1,('env Parameter'!$A:$A=$A1109)*('env Parameter'!$B:$B=$K1109)*('env Parameter'!$C:$C=$L1109),'env Parameter'!D:D,""),"")</f>
        <v>안양천-8</v>
      </c>
      <c r="N1109" s="10" t="str" cm="1">
        <f t="array" ref="N1109">IFERROR(_xlfn.XLOOKUP(1,('env Parameter'!$A:$A=$A1109)*('env Parameter'!$B:$B=$K1109)*('env Parameter'!$C:$C=$L1109),'env Parameter'!I:I,""),"")</f>
        <v>YR</v>
      </c>
    </row>
    <row r="1110" spans="1:14">
      <c r="A1110">
        <f>eDNA!A1110</f>
        <v>20201024</v>
      </c>
      <c r="B1110" s="10" t="str" cm="1">
        <f t="array" ref="B1110">IFERROR(_xlfn.XLOOKUP(1,('env Parameter'!$A:$A=$A1110)*('env Parameter'!$B:$B=$K1110)*('env Parameter'!$C:$C=$L1110),'env Parameter'!H:H,""),"")</f>
        <v>생물상 조사</v>
      </c>
      <c r="C1110" s="10" cm="1">
        <f t="array" ref="C1110">IFERROR(_xlfn.XLOOKUP(1,('env Parameter'!$A:$A=$A1110)*('env Parameter'!$B:$B=$K1110)*('env Parameter'!$C:$C=$L1110),'env Parameter'!E:E,""),"")</f>
        <v>2.14</v>
      </c>
      <c r="D1110" s="10" cm="1">
        <f t="array" ref="D1110">IFERROR(_xlfn.XLOOKUP(1,('env Parameter'!$A:$A=$A1110)*('env Parameter'!$B:$B=$K1110)*('env Parameter'!$C:$C=$L1110),'env Parameter'!F:F,""),"")</f>
        <v>478</v>
      </c>
      <c r="E1110" s="10" cm="1">
        <f t="array" ref="E1110">IFERROR(_xlfn.XLOOKUP(1,('env Parameter'!$A:$A=$A1110)*('env Parameter'!$B:$B=$K1110)*('env Parameter'!$C:$C=$L1110),'env Parameter'!G:G,""),"")</f>
        <v>7.6</v>
      </c>
      <c r="F1110" t="str">
        <f>eDNA!F1110</f>
        <v>MiFish</v>
      </c>
      <c r="G1110" t="str">
        <f>eDNA!D1110</f>
        <v>Odontobutis interrupta</v>
      </c>
      <c r="H1110" t="str">
        <f>_xlfn.XLOOKUP(G1110,'Common name (master file)'!$B:$B,'Common name (master file)'!$A:$A,"-------------")</f>
        <v>얼록동사리</v>
      </c>
      <c r="I1110">
        <f>eDNA!E1110</f>
        <v>30120</v>
      </c>
      <c r="J1110" t="str">
        <f>_xlfn.XLOOKUP(G1110,'Common name (master file)'!$B:$B,'Common name (master file)'!$C:$C,"")</f>
        <v>어류</v>
      </c>
      <c r="K1110">
        <f>eDNA!B1110</f>
        <v>126.9007862</v>
      </c>
      <c r="L1110">
        <f>eDNA!C1110</f>
        <v>37.438687899999998</v>
      </c>
      <c r="M1110" s="10" t="str" cm="1">
        <f t="array" ref="M1110">IFERROR(_xlfn.XLOOKUP(1,('env Parameter'!$A:$A=$A1110)*('env Parameter'!$B:$B=$K1110)*('env Parameter'!$C:$C=$L1110),'env Parameter'!D:D,""),"")</f>
        <v>안양천-8</v>
      </c>
      <c r="N1110" s="10" t="str" cm="1">
        <f t="array" ref="N1110">IFERROR(_xlfn.XLOOKUP(1,('env Parameter'!$A:$A=$A1110)*('env Parameter'!$B:$B=$K1110)*('env Parameter'!$C:$C=$L1110),'env Parameter'!I:I,""),"")</f>
        <v>YR</v>
      </c>
    </row>
    <row r="1111" spans="1:14">
      <c r="A1111">
        <f>eDNA!A1111</f>
        <v>20201024</v>
      </c>
      <c r="B1111" s="10" t="str" cm="1">
        <f t="array" ref="B1111">IFERROR(_xlfn.XLOOKUP(1,('env Parameter'!$A:$A=$A1111)*('env Parameter'!$B:$B=$K1111)*('env Parameter'!$C:$C=$L1111),'env Parameter'!H:H,""),"")</f>
        <v>생물상 조사</v>
      </c>
      <c r="C1111" s="10" cm="1">
        <f t="array" ref="C1111">IFERROR(_xlfn.XLOOKUP(1,('env Parameter'!$A:$A=$A1111)*('env Parameter'!$B:$B=$K1111)*('env Parameter'!$C:$C=$L1111),'env Parameter'!E:E,""),"")</f>
        <v>2.14</v>
      </c>
      <c r="D1111" s="10" cm="1">
        <f t="array" ref="D1111">IFERROR(_xlfn.XLOOKUP(1,('env Parameter'!$A:$A=$A1111)*('env Parameter'!$B:$B=$K1111)*('env Parameter'!$C:$C=$L1111),'env Parameter'!F:F,""),"")</f>
        <v>478</v>
      </c>
      <c r="E1111" s="10" cm="1">
        <f t="array" ref="E1111">IFERROR(_xlfn.XLOOKUP(1,('env Parameter'!$A:$A=$A1111)*('env Parameter'!$B:$B=$K1111)*('env Parameter'!$C:$C=$L1111),'env Parameter'!G:G,""),"")</f>
        <v>7.6</v>
      </c>
      <c r="F1111" t="str">
        <f>eDNA!F1111</f>
        <v>MiFish</v>
      </c>
      <c r="G1111" t="str">
        <f>eDNA!D1111</f>
        <v>Pseudorasbora parva</v>
      </c>
      <c r="H1111" t="str">
        <f>_xlfn.XLOOKUP(G1111,'Common name (master file)'!$B:$B,'Common name (master file)'!$A:$A,"-------------")</f>
        <v>참붕어</v>
      </c>
      <c r="I1111">
        <f>eDNA!E1111</f>
        <v>91976</v>
      </c>
      <c r="J1111" t="str">
        <f>_xlfn.XLOOKUP(G1111,'Common name (master file)'!$B:$B,'Common name (master file)'!$C:$C,"")</f>
        <v>어류</v>
      </c>
      <c r="K1111">
        <f>eDNA!B1111</f>
        <v>126.9007862</v>
      </c>
      <c r="L1111">
        <f>eDNA!C1111</f>
        <v>37.438687899999998</v>
      </c>
      <c r="M1111" s="10" t="str" cm="1">
        <f t="array" ref="M1111">IFERROR(_xlfn.XLOOKUP(1,('env Parameter'!$A:$A=$A1111)*('env Parameter'!$B:$B=$K1111)*('env Parameter'!$C:$C=$L1111),'env Parameter'!D:D,""),"")</f>
        <v>안양천-8</v>
      </c>
      <c r="N1111" s="10" t="str" cm="1">
        <f t="array" ref="N1111">IFERROR(_xlfn.XLOOKUP(1,('env Parameter'!$A:$A=$A1111)*('env Parameter'!$B:$B=$K1111)*('env Parameter'!$C:$C=$L1111),'env Parameter'!I:I,""),"")</f>
        <v>YR</v>
      </c>
    </row>
    <row r="1112" spans="1:14">
      <c r="A1112">
        <f>eDNA!A1112</f>
        <v>20201024</v>
      </c>
      <c r="B1112" s="10" t="str" cm="1">
        <f t="array" ref="B1112">IFERROR(_xlfn.XLOOKUP(1,('env Parameter'!$A:$A=$A1112)*('env Parameter'!$B:$B=$K1112)*('env Parameter'!$C:$C=$L1112),'env Parameter'!H:H,""),"")</f>
        <v>생물상 조사</v>
      </c>
      <c r="C1112" s="10" cm="1">
        <f t="array" ref="C1112">IFERROR(_xlfn.XLOOKUP(1,('env Parameter'!$A:$A=$A1112)*('env Parameter'!$B:$B=$K1112)*('env Parameter'!$C:$C=$L1112),'env Parameter'!E:E,""),"")</f>
        <v>2.14</v>
      </c>
      <c r="D1112" s="10" cm="1">
        <f t="array" ref="D1112">IFERROR(_xlfn.XLOOKUP(1,('env Parameter'!$A:$A=$A1112)*('env Parameter'!$B:$B=$K1112)*('env Parameter'!$C:$C=$L1112),'env Parameter'!F:F,""),"")</f>
        <v>478</v>
      </c>
      <c r="E1112" s="10" cm="1">
        <f t="array" ref="E1112">IFERROR(_xlfn.XLOOKUP(1,('env Parameter'!$A:$A=$A1112)*('env Parameter'!$B:$B=$K1112)*('env Parameter'!$C:$C=$L1112),'env Parameter'!G:G,""),"")</f>
        <v>7.6</v>
      </c>
      <c r="F1112" t="str">
        <f>eDNA!F1112</f>
        <v>MiFish</v>
      </c>
      <c r="G1112" t="str">
        <f>eDNA!D1112</f>
        <v>Rhynchocypris oxycephalus</v>
      </c>
      <c r="H1112" t="str">
        <f>_xlfn.XLOOKUP(G1112,'Common name (master file)'!$B:$B,'Common name (master file)'!$A:$A,"-------------")</f>
        <v>버들치</v>
      </c>
      <c r="I1112">
        <f>eDNA!E1112</f>
        <v>12</v>
      </c>
      <c r="J1112" t="str">
        <f>_xlfn.XLOOKUP(G1112,'Common name (master file)'!$B:$B,'Common name (master file)'!$C:$C,"")</f>
        <v>어류</v>
      </c>
      <c r="K1112">
        <f>eDNA!B1112</f>
        <v>126.8910417</v>
      </c>
      <c r="L1112">
        <f>eDNA!C1112</f>
        <v>37.458163800000001</v>
      </c>
      <c r="M1112" s="10" t="str" cm="1">
        <f t="array" ref="M1112">IFERROR(_xlfn.XLOOKUP(1,('env Parameter'!$A:$A=$A1112)*('env Parameter'!$B:$B=$K1112)*('env Parameter'!$C:$C=$L1112),'env Parameter'!D:D,""),"")</f>
        <v>안양천-9</v>
      </c>
      <c r="N1112" s="10" t="str" cm="1">
        <f t="array" ref="N1112">IFERROR(_xlfn.XLOOKUP(1,('env Parameter'!$A:$A=$A1112)*('env Parameter'!$B:$B=$K1112)*('env Parameter'!$C:$C=$L1112),'env Parameter'!I:I,""),"")</f>
        <v>YR</v>
      </c>
    </row>
    <row r="1113" spans="1:14">
      <c r="A1113">
        <f>eDNA!A1113</f>
        <v>20200916</v>
      </c>
      <c r="B1113" s="10" t="str" cm="1">
        <f t="array" ref="B1113">IFERROR(_xlfn.XLOOKUP(1,('env Parameter'!$A:$A=$A1113)*('env Parameter'!$B:$B=$K1113)*('env Parameter'!$C:$C=$L1113),'env Parameter'!H:H,""),"")</f>
        <v>생물상 조사</v>
      </c>
      <c r="C1113" s="10" cm="1">
        <f t="array" ref="C1113">IFERROR(_xlfn.XLOOKUP(1,('env Parameter'!$A:$A=$A1113)*('env Parameter'!$B:$B=$K1113)*('env Parameter'!$C:$C=$L1113),'env Parameter'!E:E,""),"")</f>
        <v>2.14</v>
      </c>
      <c r="D1113" s="10" cm="1">
        <f t="array" ref="D1113">IFERROR(_xlfn.XLOOKUP(1,('env Parameter'!$A:$A=$A1113)*('env Parameter'!$B:$B=$K1113)*('env Parameter'!$C:$C=$L1113),'env Parameter'!F:F,""),"")</f>
        <v>478</v>
      </c>
      <c r="E1113" s="10" cm="1">
        <f t="array" ref="E1113">IFERROR(_xlfn.XLOOKUP(1,('env Parameter'!$A:$A=$A1113)*('env Parameter'!$B:$B=$K1113)*('env Parameter'!$C:$C=$L1113),'env Parameter'!G:G,""),"")</f>
        <v>7.6</v>
      </c>
      <c r="F1113" t="str">
        <f>eDNA!F1113</f>
        <v>MiFish</v>
      </c>
      <c r="G1113" t="str">
        <f>eDNA!D1113</f>
        <v>Silurus microdorsalis</v>
      </c>
      <c r="H1113" t="str">
        <f>_xlfn.XLOOKUP(G1113,'Common name (master file)'!$B:$B,'Common name (master file)'!$A:$A,"-------------")</f>
        <v>미유기</v>
      </c>
      <c r="I1113">
        <f>eDNA!E1113</f>
        <v>1328</v>
      </c>
      <c r="J1113" t="str">
        <f>_xlfn.XLOOKUP(G1113,'Common name (master file)'!$B:$B,'Common name (master file)'!$C:$C,"")</f>
        <v>어류</v>
      </c>
      <c r="K1113">
        <f>eDNA!B1113</f>
        <v>126.92050639999999</v>
      </c>
      <c r="L1113">
        <f>eDNA!C1113</f>
        <v>37.418606500000003</v>
      </c>
      <c r="M1113" s="10" t="str" cm="1">
        <f t="array" ref="M1113">IFERROR(_xlfn.XLOOKUP(1,('env Parameter'!$A:$A=$A1113)*('env Parameter'!$B:$B=$K1113)*('env Parameter'!$C:$C=$L1113),'env Parameter'!D:D,""),"")</f>
        <v>삼성천-1</v>
      </c>
      <c r="N1113" s="10" t="str" cm="1">
        <f t="array" ref="N1113">IFERROR(_xlfn.XLOOKUP(1,('env Parameter'!$A:$A=$A1113)*('env Parameter'!$B:$B=$K1113)*('env Parameter'!$C:$C=$L1113),'env Parameter'!I:I,""),"")</f>
        <v>YR</v>
      </c>
    </row>
    <row r="1114" spans="1:14">
      <c r="A1114">
        <f>eDNA!A1114</f>
        <v>20201024</v>
      </c>
      <c r="B1114" s="10" t="str" cm="1">
        <f t="array" ref="B1114">IFERROR(_xlfn.XLOOKUP(1,('env Parameter'!$A:$A=$A1114)*('env Parameter'!$B:$B=$K1114)*('env Parameter'!$C:$C=$L1114),'env Parameter'!H:H,""),"")</f>
        <v>생물상 조사</v>
      </c>
      <c r="C1114" s="10" cm="1">
        <f t="array" ref="C1114">IFERROR(_xlfn.XLOOKUP(1,('env Parameter'!$A:$A=$A1114)*('env Parameter'!$B:$B=$K1114)*('env Parameter'!$C:$C=$L1114),'env Parameter'!E:E,""),"")</f>
        <v>2.14</v>
      </c>
      <c r="D1114" s="10" cm="1">
        <f t="array" ref="D1114">IFERROR(_xlfn.XLOOKUP(1,('env Parameter'!$A:$A=$A1114)*('env Parameter'!$B:$B=$K1114)*('env Parameter'!$C:$C=$L1114),'env Parameter'!F:F,""),"")</f>
        <v>478</v>
      </c>
      <c r="E1114" s="10" cm="1">
        <f t="array" ref="E1114">IFERROR(_xlfn.XLOOKUP(1,('env Parameter'!$A:$A=$A1114)*('env Parameter'!$B:$B=$K1114)*('env Parameter'!$C:$C=$L1114),'env Parameter'!G:G,""),"")</f>
        <v>7.6</v>
      </c>
      <c r="F1114" t="str">
        <f>eDNA!F1114</f>
        <v>MiFish</v>
      </c>
      <c r="G1114" t="str">
        <f>eDNA!D1114</f>
        <v>Silurus microdorsalis</v>
      </c>
      <c r="H1114" t="str">
        <f>_xlfn.XLOOKUP(G1114,'Common name (master file)'!$B:$B,'Common name (master file)'!$A:$A,"-------------")</f>
        <v>미유기</v>
      </c>
      <c r="I1114">
        <f>eDNA!E1114</f>
        <v>2799</v>
      </c>
      <c r="J1114" t="str">
        <f>_xlfn.XLOOKUP(G1114,'Common name (master file)'!$B:$B,'Common name (master file)'!$C:$C,"")</f>
        <v>어류</v>
      </c>
      <c r="K1114">
        <f>eDNA!B1114</f>
        <v>126.92050639999999</v>
      </c>
      <c r="L1114">
        <f>eDNA!C1114</f>
        <v>37.418606500000003</v>
      </c>
      <c r="M1114" s="10" t="str" cm="1">
        <f t="array" ref="M1114">IFERROR(_xlfn.XLOOKUP(1,('env Parameter'!$A:$A=$A1114)*('env Parameter'!$B:$B=$K1114)*('env Parameter'!$C:$C=$L1114),'env Parameter'!D:D,""),"")</f>
        <v>삼성천-1</v>
      </c>
      <c r="N1114" s="10" t="str" cm="1">
        <f t="array" ref="N1114">IFERROR(_xlfn.XLOOKUP(1,('env Parameter'!$A:$A=$A1114)*('env Parameter'!$B:$B=$K1114)*('env Parameter'!$C:$C=$L1114),'env Parameter'!I:I,""),"")</f>
        <v>YR</v>
      </c>
    </row>
    <row r="1115" spans="1:14">
      <c r="A1115">
        <f>eDNA!A1115</f>
        <v>20201024</v>
      </c>
      <c r="B1115" s="10" t="str" cm="1">
        <f t="array" ref="B1115">IFERROR(_xlfn.XLOOKUP(1,('env Parameter'!$A:$A=$A1115)*('env Parameter'!$B:$B=$K1115)*('env Parameter'!$C:$C=$L1115),'env Parameter'!H:H,""),"")</f>
        <v>생물상 조사</v>
      </c>
      <c r="C1115" s="10" cm="1">
        <f t="array" ref="C1115">IFERROR(_xlfn.XLOOKUP(1,('env Parameter'!$A:$A=$A1115)*('env Parameter'!$B:$B=$K1115)*('env Parameter'!$C:$C=$L1115),'env Parameter'!E:E,""),"")</f>
        <v>2.14</v>
      </c>
      <c r="D1115" s="10" cm="1">
        <f t="array" ref="D1115">IFERROR(_xlfn.XLOOKUP(1,('env Parameter'!$A:$A=$A1115)*('env Parameter'!$B:$B=$K1115)*('env Parameter'!$C:$C=$L1115),'env Parameter'!F:F,""),"")</f>
        <v>478</v>
      </c>
      <c r="E1115" s="10" cm="1">
        <f t="array" ref="E1115">IFERROR(_xlfn.XLOOKUP(1,('env Parameter'!$A:$A=$A1115)*('env Parameter'!$B:$B=$K1115)*('env Parameter'!$C:$C=$L1115),'env Parameter'!G:G,""),"")</f>
        <v>7.6</v>
      </c>
      <c r="F1115" t="str">
        <f>eDNA!F1115</f>
        <v>MiFish</v>
      </c>
      <c r="G1115" t="str">
        <f>eDNA!D1115</f>
        <v>Carassius auratus</v>
      </c>
      <c r="H1115" t="str">
        <f>_xlfn.XLOOKUP(G1115,'Common name (master file)'!$B:$B,'Common name (master file)'!$A:$A,"-------------")</f>
        <v>붕어</v>
      </c>
      <c r="I1115">
        <f>eDNA!E1115</f>
        <v>21</v>
      </c>
      <c r="J1115" t="str">
        <f>_xlfn.XLOOKUP(G1115,'Common name (master file)'!$B:$B,'Common name (master file)'!$C:$C,"")</f>
        <v>어류</v>
      </c>
      <c r="K1115">
        <f>eDNA!B1115</f>
        <v>126.8910417</v>
      </c>
      <c r="L1115">
        <f>eDNA!C1115</f>
        <v>37.458163800000001</v>
      </c>
      <c r="M1115" s="10" t="str" cm="1">
        <f t="array" ref="M1115">IFERROR(_xlfn.XLOOKUP(1,('env Parameter'!$A:$A=$A1115)*('env Parameter'!$B:$B=$K1115)*('env Parameter'!$C:$C=$L1115),'env Parameter'!D:D,""),"")</f>
        <v>안양천-9</v>
      </c>
      <c r="N1115" s="10" t="str" cm="1">
        <f t="array" ref="N1115">IFERROR(_xlfn.XLOOKUP(1,('env Parameter'!$A:$A=$A1115)*('env Parameter'!$B:$B=$K1115)*('env Parameter'!$C:$C=$L1115),'env Parameter'!I:I,""),"")</f>
        <v>YR</v>
      </c>
    </row>
    <row r="1116" spans="1:14">
      <c r="A1116">
        <f>eDNA!A1116</f>
        <v>20201024</v>
      </c>
      <c r="B1116" s="10" t="str" cm="1">
        <f t="array" ref="B1116">IFERROR(_xlfn.XLOOKUP(1,('env Parameter'!$A:$A=$A1116)*('env Parameter'!$B:$B=$K1116)*('env Parameter'!$C:$C=$L1116),'env Parameter'!H:H,""),"")</f>
        <v>생물상 조사</v>
      </c>
      <c r="C1116" s="10" cm="1">
        <f t="array" ref="C1116">IFERROR(_xlfn.XLOOKUP(1,('env Parameter'!$A:$A=$A1116)*('env Parameter'!$B:$B=$K1116)*('env Parameter'!$C:$C=$L1116),'env Parameter'!E:E,""),"")</f>
        <v>2.14</v>
      </c>
      <c r="D1116" s="10" cm="1">
        <f t="array" ref="D1116">IFERROR(_xlfn.XLOOKUP(1,('env Parameter'!$A:$A=$A1116)*('env Parameter'!$B:$B=$K1116)*('env Parameter'!$C:$C=$L1116),'env Parameter'!F:F,""),"")</f>
        <v>478</v>
      </c>
      <c r="E1116" s="10" cm="1">
        <f t="array" ref="E1116">IFERROR(_xlfn.XLOOKUP(1,('env Parameter'!$A:$A=$A1116)*('env Parameter'!$B:$B=$K1116)*('env Parameter'!$C:$C=$L1116),'env Parameter'!G:G,""),"")</f>
        <v>7.6</v>
      </c>
      <c r="F1116" t="str">
        <f>eDNA!F1116</f>
        <v>MiFish</v>
      </c>
      <c r="G1116" t="str">
        <f>eDNA!D1116</f>
        <v>Hemibarbus maculatus</v>
      </c>
      <c r="H1116" t="str">
        <f>_xlfn.XLOOKUP(G1116,'Common name (master file)'!$B:$B,'Common name (master file)'!$A:$A,"-------------")</f>
        <v>알락누치</v>
      </c>
      <c r="I1116">
        <f>eDNA!E1116</f>
        <v>55</v>
      </c>
      <c r="J1116" t="str">
        <f>_xlfn.XLOOKUP(G1116,'Common name (master file)'!$B:$B,'Common name (master file)'!$C:$C,"")</f>
        <v>어류</v>
      </c>
      <c r="K1116">
        <f>eDNA!B1116</f>
        <v>126.8910417</v>
      </c>
      <c r="L1116">
        <f>eDNA!C1116</f>
        <v>37.458163800000001</v>
      </c>
      <c r="M1116" s="10" t="str" cm="1">
        <f t="array" ref="M1116">IFERROR(_xlfn.XLOOKUP(1,('env Parameter'!$A:$A=$A1116)*('env Parameter'!$B:$B=$K1116)*('env Parameter'!$C:$C=$L1116),'env Parameter'!D:D,""),"")</f>
        <v>안양천-9</v>
      </c>
      <c r="N1116" s="10" t="str" cm="1">
        <f t="array" ref="N1116">IFERROR(_xlfn.XLOOKUP(1,('env Parameter'!$A:$A=$A1116)*('env Parameter'!$B:$B=$K1116)*('env Parameter'!$C:$C=$L1116),'env Parameter'!I:I,""),"")</f>
        <v>YR</v>
      </c>
    </row>
    <row r="1117" spans="1:14">
      <c r="A1117">
        <f>eDNA!A1117</f>
        <v>20201024</v>
      </c>
      <c r="B1117" s="10" t="str" cm="1">
        <f t="array" ref="B1117">IFERROR(_xlfn.XLOOKUP(1,('env Parameter'!$A:$A=$A1117)*('env Parameter'!$B:$B=$K1117)*('env Parameter'!$C:$C=$L1117),'env Parameter'!H:H,""),"")</f>
        <v>생물상 조사</v>
      </c>
      <c r="C1117" s="10" cm="1">
        <f t="array" ref="C1117">IFERROR(_xlfn.XLOOKUP(1,('env Parameter'!$A:$A=$A1117)*('env Parameter'!$B:$B=$K1117)*('env Parameter'!$C:$C=$L1117),'env Parameter'!E:E,""),"")</f>
        <v>2.14</v>
      </c>
      <c r="D1117" s="10" cm="1">
        <f t="array" ref="D1117">IFERROR(_xlfn.XLOOKUP(1,('env Parameter'!$A:$A=$A1117)*('env Parameter'!$B:$B=$K1117)*('env Parameter'!$C:$C=$L1117),'env Parameter'!F:F,""),"")</f>
        <v>478</v>
      </c>
      <c r="E1117" s="10" cm="1">
        <f t="array" ref="E1117">IFERROR(_xlfn.XLOOKUP(1,('env Parameter'!$A:$A=$A1117)*('env Parameter'!$B:$B=$K1117)*('env Parameter'!$C:$C=$L1117),'env Parameter'!G:G,""),"")</f>
        <v>7.6</v>
      </c>
      <c r="F1117" t="str">
        <f>eDNA!F1117</f>
        <v>MiFish</v>
      </c>
      <c r="G1117" t="str">
        <f>eDNA!D1117</f>
        <v>Tadorna tadorna</v>
      </c>
      <c r="H1117" t="str">
        <f>_xlfn.XLOOKUP(G1117,'Common name (master file)'!$B:$B,'Common name (master file)'!$A:$A,"-------------")</f>
        <v>혹부리오리</v>
      </c>
      <c r="I1117">
        <f>eDNA!E1117</f>
        <v>346</v>
      </c>
      <c r="J1117" t="str">
        <f>_xlfn.XLOOKUP(G1117,'Common name (master file)'!$B:$B,'Common name (master file)'!$C:$C,"")</f>
        <v>조류</v>
      </c>
      <c r="K1117">
        <f>eDNA!B1117</f>
        <v>126.8910417</v>
      </c>
      <c r="L1117">
        <f>eDNA!C1117</f>
        <v>37.458163800000001</v>
      </c>
      <c r="M1117" s="10" t="str" cm="1">
        <f t="array" ref="M1117">IFERROR(_xlfn.XLOOKUP(1,('env Parameter'!$A:$A=$A1117)*('env Parameter'!$B:$B=$K1117)*('env Parameter'!$C:$C=$L1117),'env Parameter'!D:D,""),"")</f>
        <v>안양천-9</v>
      </c>
      <c r="N1117" s="10" t="str" cm="1">
        <f t="array" ref="N1117">IFERROR(_xlfn.XLOOKUP(1,('env Parameter'!$A:$A=$A1117)*('env Parameter'!$B:$B=$K1117)*('env Parameter'!$C:$C=$L1117),'env Parameter'!I:I,""),"")</f>
        <v>YR</v>
      </c>
    </row>
    <row r="1118" spans="1:14">
      <c r="A1118">
        <f>eDNA!A1118</f>
        <v>20201024</v>
      </c>
      <c r="B1118" s="10" t="str" cm="1">
        <f t="array" ref="B1118">IFERROR(_xlfn.XLOOKUP(1,('env Parameter'!$A:$A=$A1118)*('env Parameter'!$B:$B=$K1118)*('env Parameter'!$C:$C=$L1118),'env Parameter'!H:H,""),"")</f>
        <v>생물상 조사</v>
      </c>
      <c r="C1118" s="10" cm="1">
        <f t="array" ref="C1118">IFERROR(_xlfn.XLOOKUP(1,('env Parameter'!$A:$A=$A1118)*('env Parameter'!$B:$B=$K1118)*('env Parameter'!$C:$C=$L1118),'env Parameter'!E:E,""),"")</f>
        <v>2.14</v>
      </c>
      <c r="D1118" s="10" cm="1">
        <f t="array" ref="D1118">IFERROR(_xlfn.XLOOKUP(1,('env Parameter'!$A:$A=$A1118)*('env Parameter'!$B:$B=$K1118)*('env Parameter'!$C:$C=$L1118),'env Parameter'!F:F,""),"")</f>
        <v>478</v>
      </c>
      <c r="E1118" s="10" cm="1">
        <f t="array" ref="E1118">IFERROR(_xlfn.XLOOKUP(1,('env Parameter'!$A:$A=$A1118)*('env Parameter'!$B:$B=$K1118)*('env Parameter'!$C:$C=$L1118),'env Parameter'!G:G,""),"")</f>
        <v>7.6</v>
      </c>
      <c r="F1118" t="str">
        <f>eDNA!F1118</f>
        <v>MiFish</v>
      </c>
      <c r="G1118" t="str">
        <f>eDNA!D1118</f>
        <v>Homo sapiens</v>
      </c>
      <c r="H1118" t="str">
        <f>_xlfn.XLOOKUP(G1118,'Common name (master file)'!$B:$B,'Common name (master file)'!$A:$A,"-------------")</f>
        <v>사람</v>
      </c>
      <c r="I1118">
        <f>eDNA!E1118</f>
        <v>411</v>
      </c>
      <c r="J1118" t="str">
        <f>_xlfn.XLOOKUP(G1118,'Common name (master file)'!$B:$B,'Common name (master file)'!$C:$C,"")</f>
        <v>포유류</v>
      </c>
      <c r="K1118">
        <f>eDNA!B1118</f>
        <v>126.8910417</v>
      </c>
      <c r="L1118">
        <f>eDNA!C1118</f>
        <v>37.458163800000001</v>
      </c>
      <c r="M1118" s="10" t="str" cm="1">
        <f t="array" ref="M1118">IFERROR(_xlfn.XLOOKUP(1,('env Parameter'!$A:$A=$A1118)*('env Parameter'!$B:$B=$K1118)*('env Parameter'!$C:$C=$L1118),'env Parameter'!D:D,""),"")</f>
        <v>안양천-9</v>
      </c>
      <c r="N1118" s="10" t="str" cm="1">
        <f t="array" ref="N1118">IFERROR(_xlfn.XLOOKUP(1,('env Parameter'!$A:$A=$A1118)*('env Parameter'!$B:$B=$K1118)*('env Parameter'!$C:$C=$L1118),'env Parameter'!I:I,""),"")</f>
        <v>YR</v>
      </c>
    </row>
    <row r="1119" spans="1:14">
      <c r="A1119">
        <f>eDNA!A1119</f>
        <v>20201024</v>
      </c>
      <c r="B1119" s="10" t="str" cm="1">
        <f t="array" ref="B1119">IFERROR(_xlfn.XLOOKUP(1,('env Parameter'!$A:$A=$A1119)*('env Parameter'!$B:$B=$K1119)*('env Parameter'!$C:$C=$L1119),'env Parameter'!H:H,""),"")</f>
        <v>생물상 조사</v>
      </c>
      <c r="C1119" s="10" cm="1">
        <f t="array" ref="C1119">IFERROR(_xlfn.XLOOKUP(1,('env Parameter'!$A:$A=$A1119)*('env Parameter'!$B:$B=$K1119)*('env Parameter'!$C:$C=$L1119),'env Parameter'!E:E,""),"")</f>
        <v>2.14</v>
      </c>
      <c r="D1119" s="10" cm="1">
        <f t="array" ref="D1119">IFERROR(_xlfn.XLOOKUP(1,('env Parameter'!$A:$A=$A1119)*('env Parameter'!$B:$B=$K1119)*('env Parameter'!$C:$C=$L1119),'env Parameter'!F:F,""),"")</f>
        <v>478</v>
      </c>
      <c r="E1119" s="10" cm="1">
        <f t="array" ref="E1119">IFERROR(_xlfn.XLOOKUP(1,('env Parameter'!$A:$A=$A1119)*('env Parameter'!$B:$B=$K1119)*('env Parameter'!$C:$C=$L1119),'env Parameter'!G:G,""),"")</f>
        <v>7.6</v>
      </c>
      <c r="F1119" t="str">
        <f>eDNA!F1119</f>
        <v>MiFish</v>
      </c>
      <c r="G1119" t="str">
        <f>eDNA!D1119</f>
        <v>Gnathopogon strigatus</v>
      </c>
      <c r="H1119" t="str">
        <f>_xlfn.XLOOKUP(G1119,'Common name (master file)'!$B:$B,'Common name (master file)'!$A:$A,"-------------")</f>
        <v>줄몰개</v>
      </c>
      <c r="I1119">
        <f>eDNA!E1119</f>
        <v>492</v>
      </c>
      <c r="J1119" t="str">
        <f>_xlfn.XLOOKUP(G1119,'Common name (master file)'!$B:$B,'Common name (master file)'!$C:$C,"")</f>
        <v>어류</v>
      </c>
      <c r="K1119">
        <f>eDNA!B1119</f>
        <v>126.8910417</v>
      </c>
      <c r="L1119">
        <f>eDNA!C1119</f>
        <v>37.458163800000001</v>
      </c>
      <c r="M1119" s="10" t="str" cm="1">
        <f t="array" ref="M1119">IFERROR(_xlfn.XLOOKUP(1,('env Parameter'!$A:$A=$A1119)*('env Parameter'!$B:$B=$K1119)*('env Parameter'!$C:$C=$L1119),'env Parameter'!D:D,""),"")</f>
        <v>안양천-9</v>
      </c>
      <c r="N1119" s="10" t="str" cm="1">
        <f t="array" ref="N1119">IFERROR(_xlfn.XLOOKUP(1,('env Parameter'!$A:$A=$A1119)*('env Parameter'!$B:$B=$K1119)*('env Parameter'!$C:$C=$L1119),'env Parameter'!I:I,""),"")</f>
        <v>YR</v>
      </c>
    </row>
    <row r="1120" spans="1:14">
      <c r="A1120">
        <f>eDNA!A1120</f>
        <v>20201024</v>
      </c>
      <c r="B1120" s="10" t="str" cm="1">
        <f t="array" ref="B1120">IFERROR(_xlfn.XLOOKUP(1,('env Parameter'!$A:$A=$A1120)*('env Parameter'!$B:$B=$K1120)*('env Parameter'!$C:$C=$L1120),'env Parameter'!H:H,""),"")</f>
        <v>생물상 조사</v>
      </c>
      <c r="C1120" s="10" cm="1">
        <f t="array" ref="C1120">IFERROR(_xlfn.XLOOKUP(1,('env Parameter'!$A:$A=$A1120)*('env Parameter'!$B:$B=$K1120)*('env Parameter'!$C:$C=$L1120),'env Parameter'!E:E,""),"")</f>
        <v>2.14</v>
      </c>
      <c r="D1120" s="10" cm="1">
        <f t="array" ref="D1120">IFERROR(_xlfn.XLOOKUP(1,('env Parameter'!$A:$A=$A1120)*('env Parameter'!$B:$B=$K1120)*('env Parameter'!$C:$C=$L1120),'env Parameter'!F:F,""),"")</f>
        <v>478</v>
      </c>
      <c r="E1120" s="10" cm="1">
        <f t="array" ref="E1120">IFERROR(_xlfn.XLOOKUP(1,('env Parameter'!$A:$A=$A1120)*('env Parameter'!$B:$B=$K1120)*('env Parameter'!$C:$C=$L1120),'env Parameter'!G:G,""),"")</f>
        <v>7.6</v>
      </c>
      <c r="F1120" t="str">
        <f>eDNA!F1120</f>
        <v>MiFish</v>
      </c>
      <c r="G1120" t="str">
        <f>eDNA!D1120</f>
        <v>Carassius sp.</v>
      </c>
      <c r="H1120" t="str">
        <f>_xlfn.XLOOKUP(G1120,'Common name (master file)'!$B:$B,'Common name (master file)'!$A:$A,"-------------")</f>
        <v>붕어 속</v>
      </c>
      <c r="I1120">
        <f>eDNA!E1120</f>
        <v>538</v>
      </c>
      <c r="J1120" t="str">
        <f>_xlfn.XLOOKUP(G1120,'Common name (master file)'!$B:$B,'Common name (master file)'!$C:$C,"")</f>
        <v>어류</v>
      </c>
      <c r="K1120">
        <f>eDNA!B1120</f>
        <v>126.8910417</v>
      </c>
      <c r="L1120">
        <f>eDNA!C1120</f>
        <v>37.458163800000001</v>
      </c>
      <c r="M1120" s="10" t="str" cm="1">
        <f t="array" ref="M1120">IFERROR(_xlfn.XLOOKUP(1,('env Parameter'!$A:$A=$A1120)*('env Parameter'!$B:$B=$K1120)*('env Parameter'!$C:$C=$L1120),'env Parameter'!D:D,""),"")</f>
        <v>안양천-9</v>
      </c>
      <c r="N1120" s="10" t="str" cm="1">
        <f t="array" ref="N1120">IFERROR(_xlfn.XLOOKUP(1,('env Parameter'!$A:$A=$A1120)*('env Parameter'!$B:$B=$K1120)*('env Parameter'!$C:$C=$L1120),'env Parameter'!I:I,""),"")</f>
        <v>YR</v>
      </c>
    </row>
    <row r="1121" spans="1:14">
      <c r="A1121">
        <f>eDNA!A1121</f>
        <v>20201024</v>
      </c>
      <c r="B1121" s="10" t="str" cm="1">
        <f t="array" ref="B1121">IFERROR(_xlfn.XLOOKUP(1,('env Parameter'!$A:$A=$A1121)*('env Parameter'!$B:$B=$K1121)*('env Parameter'!$C:$C=$L1121),'env Parameter'!H:H,""),"")</f>
        <v>생물상 조사</v>
      </c>
      <c r="C1121" s="10" cm="1">
        <f t="array" ref="C1121">IFERROR(_xlfn.XLOOKUP(1,('env Parameter'!$A:$A=$A1121)*('env Parameter'!$B:$B=$K1121)*('env Parameter'!$C:$C=$L1121),'env Parameter'!E:E,""),"")</f>
        <v>2.14</v>
      </c>
      <c r="D1121" s="10" cm="1">
        <f t="array" ref="D1121">IFERROR(_xlfn.XLOOKUP(1,('env Parameter'!$A:$A=$A1121)*('env Parameter'!$B:$B=$K1121)*('env Parameter'!$C:$C=$L1121),'env Parameter'!F:F,""),"")</f>
        <v>478</v>
      </c>
      <c r="E1121" s="10" cm="1">
        <f t="array" ref="E1121">IFERROR(_xlfn.XLOOKUP(1,('env Parameter'!$A:$A=$A1121)*('env Parameter'!$B:$B=$K1121)*('env Parameter'!$C:$C=$L1121),'env Parameter'!G:G,""),"")</f>
        <v>7.6</v>
      </c>
      <c r="F1121" t="str">
        <f>eDNA!F1121</f>
        <v>MiFish</v>
      </c>
      <c r="G1121" t="str">
        <f>eDNA!D1121</f>
        <v>Acheilognathus macropterus</v>
      </c>
      <c r="H1121" t="str">
        <f>_xlfn.XLOOKUP(G1121,'Common name (master file)'!$B:$B,'Common name (master file)'!$A:$A,"-------------")</f>
        <v>큰납지리</v>
      </c>
      <c r="I1121">
        <f>eDNA!E1121</f>
        <v>573</v>
      </c>
      <c r="J1121" t="str">
        <f>_xlfn.XLOOKUP(G1121,'Common name (master file)'!$B:$B,'Common name (master file)'!$C:$C,"")</f>
        <v>어류</v>
      </c>
      <c r="K1121">
        <f>eDNA!B1121</f>
        <v>126.8910417</v>
      </c>
      <c r="L1121">
        <f>eDNA!C1121</f>
        <v>37.458163800000001</v>
      </c>
      <c r="M1121" s="10" t="str" cm="1">
        <f t="array" ref="M1121">IFERROR(_xlfn.XLOOKUP(1,('env Parameter'!$A:$A=$A1121)*('env Parameter'!$B:$B=$K1121)*('env Parameter'!$C:$C=$L1121),'env Parameter'!D:D,""),"")</f>
        <v>안양천-9</v>
      </c>
      <c r="N1121" s="10" t="str" cm="1">
        <f t="array" ref="N1121">IFERROR(_xlfn.XLOOKUP(1,('env Parameter'!$A:$A=$A1121)*('env Parameter'!$B:$B=$K1121)*('env Parameter'!$C:$C=$L1121),'env Parameter'!I:I,""),"")</f>
        <v>YR</v>
      </c>
    </row>
    <row r="1122" spans="1:14">
      <c r="A1122">
        <f>eDNA!A1122</f>
        <v>20201024</v>
      </c>
      <c r="B1122" s="10" t="str" cm="1">
        <f t="array" ref="B1122">IFERROR(_xlfn.XLOOKUP(1,('env Parameter'!$A:$A=$A1122)*('env Parameter'!$B:$B=$K1122)*('env Parameter'!$C:$C=$L1122),'env Parameter'!H:H,""),"")</f>
        <v>생물상 조사</v>
      </c>
      <c r="C1122" s="10" cm="1">
        <f t="array" ref="C1122">IFERROR(_xlfn.XLOOKUP(1,('env Parameter'!$A:$A=$A1122)*('env Parameter'!$B:$B=$K1122)*('env Parameter'!$C:$C=$L1122),'env Parameter'!E:E,""),"")</f>
        <v>2.14</v>
      </c>
      <c r="D1122" s="10" cm="1">
        <f t="array" ref="D1122">IFERROR(_xlfn.XLOOKUP(1,('env Parameter'!$A:$A=$A1122)*('env Parameter'!$B:$B=$K1122)*('env Parameter'!$C:$C=$L1122),'env Parameter'!F:F,""),"")</f>
        <v>478</v>
      </c>
      <c r="E1122" s="10" cm="1">
        <f t="array" ref="E1122">IFERROR(_xlfn.XLOOKUP(1,('env Parameter'!$A:$A=$A1122)*('env Parameter'!$B:$B=$K1122)*('env Parameter'!$C:$C=$L1122),'env Parameter'!G:G,""),"")</f>
        <v>7.6</v>
      </c>
      <c r="F1122" t="str">
        <f>eDNA!F1122</f>
        <v>MiFish</v>
      </c>
      <c r="G1122" t="str">
        <f>eDNA!D1122</f>
        <v>Misgurnus mizolepis</v>
      </c>
      <c r="H1122" t="str">
        <f>_xlfn.XLOOKUP(G1122,'Common name (master file)'!$B:$B,'Common name (master file)'!$A:$A,"-------------")</f>
        <v>미꾸라지</v>
      </c>
      <c r="I1122">
        <f>eDNA!E1122</f>
        <v>673</v>
      </c>
      <c r="J1122" t="str">
        <f>_xlfn.XLOOKUP(G1122,'Common name (master file)'!$B:$B,'Common name (master file)'!$C:$C,"")</f>
        <v>어류</v>
      </c>
      <c r="K1122">
        <f>eDNA!B1122</f>
        <v>126.8910417</v>
      </c>
      <c r="L1122">
        <f>eDNA!C1122</f>
        <v>37.458163800000001</v>
      </c>
      <c r="M1122" s="10" t="str" cm="1">
        <f t="array" ref="M1122">IFERROR(_xlfn.XLOOKUP(1,('env Parameter'!$A:$A=$A1122)*('env Parameter'!$B:$B=$K1122)*('env Parameter'!$C:$C=$L1122),'env Parameter'!D:D,""),"")</f>
        <v>안양천-9</v>
      </c>
      <c r="N1122" s="10" t="str" cm="1">
        <f t="array" ref="N1122">IFERROR(_xlfn.XLOOKUP(1,('env Parameter'!$A:$A=$A1122)*('env Parameter'!$B:$B=$K1122)*('env Parameter'!$C:$C=$L1122),'env Parameter'!I:I,""),"")</f>
        <v>YR</v>
      </c>
    </row>
    <row r="1123" spans="1:14">
      <c r="A1123">
        <f>eDNA!A1123</f>
        <v>20201024</v>
      </c>
      <c r="B1123" s="10" t="str" cm="1">
        <f t="array" ref="B1123">IFERROR(_xlfn.XLOOKUP(1,('env Parameter'!$A:$A=$A1123)*('env Parameter'!$B:$B=$K1123)*('env Parameter'!$C:$C=$L1123),'env Parameter'!H:H,""),"")</f>
        <v>생물상 조사</v>
      </c>
      <c r="C1123" s="10" cm="1">
        <f t="array" ref="C1123">IFERROR(_xlfn.XLOOKUP(1,('env Parameter'!$A:$A=$A1123)*('env Parameter'!$B:$B=$K1123)*('env Parameter'!$C:$C=$L1123),'env Parameter'!E:E,""),"")</f>
        <v>2.14</v>
      </c>
      <c r="D1123" s="10" cm="1">
        <f t="array" ref="D1123">IFERROR(_xlfn.XLOOKUP(1,('env Parameter'!$A:$A=$A1123)*('env Parameter'!$B:$B=$K1123)*('env Parameter'!$C:$C=$L1123),'env Parameter'!F:F,""),"")</f>
        <v>478</v>
      </c>
      <c r="E1123" s="10" cm="1">
        <f t="array" ref="E1123">IFERROR(_xlfn.XLOOKUP(1,('env Parameter'!$A:$A=$A1123)*('env Parameter'!$B:$B=$K1123)*('env Parameter'!$C:$C=$L1123),'env Parameter'!G:G,""),"")</f>
        <v>7.6</v>
      </c>
      <c r="F1123" t="str">
        <f>eDNA!F1123</f>
        <v>MiFish</v>
      </c>
      <c r="G1123" t="str">
        <f>eDNA!D1123</f>
        <v>Cyprinus carpio</v>
      </c>
      <c r="H1123" t="str">
        <f>_xlfn.XLOOKUP(G1123,'Common name (master file)'!$B:$B,'Common name (master file)'!$A:$A,"-------------")</f>
        <v>잉어</v>
      </c>
      <c r="I1123">
        <f>eDNA!E1123</f>
        <v>809</v>
      </c>
      <c r="J1123" t="str">
        <f>_xlfn.XLOOKUP(G1123,'Common name (master file)'!$B:$B,'Common name (master file)'!$C:$C,"")</f>
        <v>어류</v>
      </c>
      <c r="K1123">
        <f>eDNA!B1123</f>
        <v>126.8910417</v>
      </c>
      <c r="L1123">
        <f>eDNA!C1123</f>
        <v>37.458163800000001</v>
      </c>
      <c r="M1123" s="10" t="str" cm="1">
        <f t="array" ref="M1123">IFERROR(_xlfn.XLOOKUP(1,('env Parameter'!$A:$A=$A1123)*('env Parameter'!$B:$B=$K1123)*('env Parameter'!$C:$C=$L1123),'env Parameter'!D:D,""),"")</f>
        <v>안양천-9</v>
      </c>
      <c r="N1123" s="10" t="str" cm="1">
        <f t="array" ref="N1123">IFERROR(_xlfn.XLOOKUP(1,('env Parameter'!$A:$A=$A1123)*('env Parameter'!$B:$B=$K1123)*('env Parameter'!$C:$C=$L1123),'env Parameter'!I:I,""),"")</f>
        <v>YR</v>
      </c>
    </row>
    <row r="1124" spans="1:14">
      <c r="A1124">
        <f>eDNA!A1124</f>
        <v>20201024</v>
      </c>
      <c r="B1124" s="10" t="str" cm="1">
        <f t="array" ref="B1124">IFERROR(_xlfn.XLOOKUP(1,('env Parameter'!$A:$A=$A1124)*('env Parameter'!$B:$B=$K1124)*('env Parameter'!$C:$C=$L1124),'env Parameter'!H:H,""),"")</f>
        <v>생물상 조사</v>
      </c>
      <c r="C1124" s="10" cm="1">
        <f t="array" ref="C1124">IFERROR(_xlfn.XLOOKUP(1,('env Parameter'!$A:$A=$A1124)*('env Parameter'!$B:$B=$K1124)*('env Parameter'!$C:$C=$L1124),'env Parameter'!E:E,""),"")</f>
        <v>2.14</v>
      </c>
      <c r="D1124" s="10" cm="1">
        <f t="array" ref="D1124">IFERROR(_xlfn.XLOOKUP(1,('env Parameter'!$A:$A=$A1124)*('env Parameter'!$B:$B=$K1124)*('env Parameter'!$C:$C=$L1124),'env Parameter'!F:F,""),"")</f>
        <v>478</v>
      </c>
      <c r="E1124" s="10" cm="1">
        <f t="array" ref="E1124">IFERROR(_xlfn.XLOOKUP(1,('env Parameter'!$A:$A=$A1124)*('env Parameter'!$B:$B=$K1124)*('env Parameter'!$C:$C=$L1124),'env Parameter'!G:G,""),"")</f>
        <v>7.6</v>
      </c>
      <c r="F1124" t="str">
        <f>eDNA!F1124</f>
        <v>MiFish</v>
      </c>
      <c r="G1124" t="str">
        <f>eDNA!D1124</f>
        <v>Channa argus</v>
      </c>
      <c r="H1124" t="str">
        <f>_xlfn.XLOOKUP(G1124,'Common name (master file)'!$B:$B,'Common name (master file)'!$A:$A,"-------------")</f>
        <v>가물치</v>
      </c>
      <c r="I1124">
        <f>eDNA!E1124</f>
        <v>860</v>
      </c>
      <c r="J1124" t="str">
        <f>_xlfn.XLOOKUP(G1124,'Common name (master file)'!$B:$B,'Common name (master file)'!$C:$C,"")</f>
        <v>어류</v>
      </c>
      <c r="K1124">
        <f>eDNA!B1124</f>
        <v>126.8910417</v>
      </c>
      <c r="L1124">
        <f>eDNA!C1124</f>
        <v>37.458163800000001</v>
      </c>
      <c r="M1124" s="10" t="str" cm="1">
        <f t="array" ref="M1124">IFERROR(_xlfn.XLOOKUP(1,('env Parameter'!$A:$A=$A1124)*('env Parameter'!$B:$B=$K1124)*('env Parameter'!$C:$C=$L1124),'env Parameter'!D:D,""),"")</f>
        <v>안양천-9</v>
      </c>
      <c r="N1124" s="10" t="str" cm="1">
        <f t="array" ref="N1124">IFERROR(_xlfn.XLOOKUP(1,('env Parameter'!$A:$A=$A1124)*('env Parameter'!$B:$B=$K1124)*('env Parameter'!$C:$C=$L1124),'env Parameter'!I:I,""),"")</f>
        <v>YR</v>
      </c>
    </row>
    <row r="1125" spans="1:14">
      <c r="A1125">
        <f>eDNA!A1125</f>
        <v>20201024</v>
      </c>
      <c r="B1125" s="10" t="str" cm="1">
        <f t="array" ref="B1125">IFERROR(_xlfn.XLOOKUP(1,('env Parameter'!$A:$A=$A1125)*('env Parameter'!$B:$B=$K1125)*('env Parameter'!$C:$C=$L1125),'env Parameter'!H:H,""),"")</f>
        <v>생물상 조사</v>
      </c>
      <c r="C1125" s="10" cm="1">
        <f t="array" ref="C1125">IFERROR(_xlfn.XLOOKUP(1,('env Parameter'!$A:$A=$A1125)*('env Parameter'!$B:$B=$K1125)*('env Parameter'!$C:$C=$L1125),'env Parameter'!E:E,""),"")</f>
        <v>2.14</v>
      </c>
      <c r="D1125" s="10" cm="1">
        <f t="array" ref="D1125">IFERROR(_xlfn.XLOOKUP(1,('env Parameter'!$A:$A=$A1125)*('env Parameter'!$B:$B=$K1125)*('env Parameter'!$C:$C=$L1125),'env Parameter'!F:F,""),"")</f>
        <v>478</v>
      </c>
      <c r="E1125" s="10" cm="1">
        <f t="array" ref="E1125">IFERROR(_xlfn.XLOOKUP(1,('env Parameter'!$A:$A=$A1125)*('env Parameter'!$B:$B=$K1125)*('env Parameter'!$C:$C=$L1125),'env Parameter'!G:G,""),"")</f>
        <v>7.6</v>
      </c>
      <c r="F1125" t="str">
        <f>eDNA!F1125</f>
        <v>MiFish</v>
      </c>
      <c r="G1125" t="str">
        <f>eDNA!D1125</f>
        <v>Oryzias sinensis</v>
      </c>
      <c r="H1125" t="str">
        <f>_xlfn.XLOOKUP(G1125,'Common name (master file)'!$B:$B,'Common name (master file)'!$A:$A,"-------------")</f>
        <v>대륙송사리</v>
      </c>
      <c r="I1125">
        <f>eDNA!E1125</f>
        <v>951</v>
      </c>
      <c r="J1125" t="str">
        <f>_xlfn.XLOOKUP(G1125,'Common name (master file)'!$B:$B,'Common name (master file)'!$C:$C,"")</f>
        <v>어류</v>
      </c>
      <c r="K1125">
        <f>eDNA!B1125</f>
        <v>126.8910417</v>
      </c>
      <c r="L1125">
        <f>eDNA!C1125</f>
        <v>37.458163800000001</v>
      </c>
      <c r="M1125" s="10" t="str" cm="1">
        <f t="array" ref="M1125">IFERROR(_xlfn.XLOOKUP(1,('env Parameter'!$A:$A=$A1125)*('env Parameter'!$B:$B=$K1125)*('env Parameter'!$C:$C=$L1125),'env Parameter'!D:D,""),"")</f>
        <v>안양천-9</v>
      </c>
      <c r="N1125" s="10" t="str" cm="1">
        <f t="array" ref="N1125">IFERROR(_xlfn.XLOOKUP(1,('env Parameter'!$A:$A=$A1125)*('env Parameter'!$B:$B=$K1125)*('env Parameter'!$C:$C=$L1125),'env Parameter'!I:I,""),"")</f>
        <v>YR</v>
      </c>
    </row>
    <row r="1126" spans="1:14">
      <c r="A1126">
        <f>eDNA!A1126</f>
        <v>20201024</v>
      </c>
      <c r="B1126" s="10" t="str" cm="1">
        <f t="array" ref="B1126">IFERROR(_xlfn.XLOOKUP(1,('env Parameter'!$A:$A=$A1126)*('env Parameter'!$B:$B=$K1126)*('env Parameter'!$C:$C=$L1126),'env Parameter'!H:H,""),"")</f>
        <v>생물상 조사</v>
      </c>
      <c r="C1126" s="10" cm="1">
        <f t="array" ref="C1126">IFERROR(_xlfn.XLOOKUP(1,('env Parameter'!$A:$A=$A1126)*('env Parameter'!$B:$B=$K1126)*('env Parameter'!$C:$C=$L1126),'env Parameter'!E:E,""),"")</f>
        <v>2.14</v>
      </c>
      <c r="D1126" s="10" cm="1">
        <f t="array" ref="D1126">IFERROR(_xlfn.XLOOKUP(1,('env Parameter'!$A:$A=$A1126)*('env Parameter'!$B:$B=$K1126)*('env Parameter'!$C:$C=$L1126),'env Parameter'!F:F,""),"")</f>
        <v>478</v>
      </c>
      <c r="E1126" s="10" cm="1">
        <f t="array" ref="E1126">IFERROR(_xlfn.XLOOKUP(1,('env Parameter'!$A:$A=$A1126)*('env Parameter'!$B:$B=$K1126)*('env Parameter'!$C:$C=$L1126),'env Parameter'!G:G,""),"")</f>
        <v>7.6</v>
      </c>
      <c r="F1126" t="str">
        <f>eDNA!F1126</f>
        <v>MiFish</v>
      </c>
      <c r="G1126" t="str">
        <f>eDNA!D1126</f>
        <v>Pseudogobio esocinus</v>
      </c>
      <c r="H1126" t="str">
        <f>_xlfn.XLOOKUP(G1126,'Common name (master file)'!$B:$B,'Common name (master file)'!$A:$A,"-------------")</f>
        <v>모래무지</v>
      </c>
      <c r="I1126">
        <f>eDNA!E1126</f>
        <v>1589</v>
      </c>
      <c r="J1126" t="str">
        <f>_xlfn.XLOOKUP(G1126,'Common name (master file)'!$B:$B,'Common name (master file)'!$C:$C,"")</f>
        <v>어류</v>
      </c>
      <c r="K1126">
        <f>eDNA!B1126</f>
        <v>126.8910417</v>
      </c>
      <c r="L1126">
        <f>eDNA!C1126</f>
        <v>37.458163800000001</v>
      </c>
      <c r="M1126" s="10" t="str" cm="1">
        <f t="array" ref="M1126">IFERROR(_xlfn.XLOOKUP(1,('env Parameter'!$A:$A=$A1126)*('env Parameter'!$B:$B=$K1126)*('env Parameter'!$C:$C=$L1126),'env Parameter'!D:D,""),"")</f>
        <v>안양천-9</v>
      </c>
      <c r="N1126" s="10" t="str" cm="1">
        <f t="array" ref="N1126">IFERROR(_xlfn.XLOOKUP(1,('env Parameter'!$A:$A=$A1126)*('env Parameter'!$B:$B=$K1126)*('env Parameter'!$C:$C=$L1126),'env Parameter'!I:I,""),"")</f>
        <v>YR</v>
      </c>
    </row>
    <row r="1127" spans="1:14">
      <c r="A1127">
        <f>eDNA!A1127</f>
        <v>20201024</v>
      </c>
      <c r="B1127" s="10" t="str" cm="1">
        <f t="array" ref="B1127">IFERROR(_xlfn.XLOOKUP(1,('env Parameter'!$A:$A=$A1127)*('env Parameter'!$B:$B=$K1127)*('env Parameter'!$C:$C=$L1127),'env Parameter'!H:H,""),"")</f>
        <v>생물상 조사</v>
      </c>
      <c r="C1127" s="10" cm="1">
        <f t="array" ref="C1127">IFERROR(_xlfn.XLOOKUP(1,('env Parameter'!$A:$A=$A1127)*('env Parameter'!$B:$B=$K1127)*('env Parameter'!$C:$C=$L1127),'env Parameter'!E:E,""),"")</f>
        <v>2.14</v>
      </c>
      <c r="D1127" s="10" cm="1">
        <f t="array" ref="D1127">IFERROR(_xlfn.XLOOKUP(1,('env Parameter'!$A:$A=$A1127)*('env Parameter'!$B:$B=$K1127)*('env Parameter'!$C:$C=$L1127),'env Parameter'!F:F,""),"")</f>
        <v>478</v>
      </c>
      <c r="E1127" s="10" cm="1">
        <f t="array" ref="E1127">IFERROR(_xlfn.XLOOKUP(1,('env Parameter'!$A:$A=$A1127)*('env Parameter'!$B:$B=$K1127)*('env Parameter'!$C:$C=$L1127),'env Parameter'!G:G,""),"")</f>
        <v>7.6</v>
      </c>
      <c r="F1127" t="str">
        <f>eDNA!F1127</f>
        <v>MiFish</v>
      </c>
      <c r="G1127" t="str">
        <f>eDNA!D1127</f>
        <v>Silurus soldatovi</v>
      </c>
      <c r="H1127" t="str">
        <f>_xlfn.XLOOKUP(G1127,'Common name (master file)'!$B:$B,'Common name (master file)'!$A:$A,"-------------")</f>
        <v>솔다토비 메기</v>
      </c>
      <c r="I1127">
        <f>eDNA!E1127</f>
        <v>2032</v>
      </c>
      <c r="J1127" t="str">
        <f>_xlfn.XLOOKUP(G1127,'Common name (master file)'!$B:$B,'Common name (master file)'!$C:$C,"")</f>
        <v>어류</v>
      </c>
      <c r="K1127">
        <f>eDNA!B1127</f>
        <v>126.8910417</v>
      </c>
      <c r="L1127">
        <f>eDNA!C1127</f>
        <v>37.458163800000001</v>
      </c>
      <c r="M1127" s="10" t="str" cm="1">
        <f t="array" ref="M1127">IFERROR(_xlfn.XLOOKUP(1,('env Parameter'!$A:$A=$A1127)*('env Parameter'!$B:$B=$K1127)*('env Parameter'!$C:$C=$L1127),'env Parameter'!D:D,""),"")</f>
        <v>안양천-9</v>
      </c>
      <c r="N1127" s="10" t="str" cm="1">
        <f t="array" ref="N1127">IFERROR(_xlfn.XLOOKUP(1,('env Parameter'!$A:$A=$A1127)*('env Parameter'!$B:$B=$K1127)*('env Parameter'!$C:$C=$L1127),'env Parameter'!I:I,""),"")</f>
        <v>YR</v>
      </c>
    </row>
    <row r="1128" spans="1:14">
      <c r="A1128">
        <f>eDNA!A1128</f>
        <v>20201024</v>
      </c>
      <c r="B1128" s="10" t="str" cm="1">
        <f t="array" ref="B1128">IFERROR(_xlfn.XLOOKUP(1,('env Parameter'!$A:$A=$A1128)*('env Parameter'!$B:$B=$K1128)*('env Parameter'!$C:$C=$L1128),'env Parameter'!H:H,""),"")</f>
        <v>생물상 조사</v>
      </c>
      <c r="C1128" s="10" cm="1">
        <f t="array" ref="C1128">IFERROR(_xlfn.XLOOKUP(1,('env Parameter'!$A:$A=$A1128)*('env Parameter'!$B:$B=$K1128)*('env Parameter'!$C:$C=$L1128),'env Parameter'!E:E,""),"")</f>
        <v>2.14</v>
      </c>
      <c r="D1128" s="10" cm="1">
        <f t="array" ref="D1128">IFERROR(_xlfn.XLOOKUP(1,('env Parameter'!$A:$A=$A1128)*('env Parameter'!$B:$B=$K1128)*('env Parameter'!$C:$C=$L1128),'env Parameter'!F:F,""),"")</f>
        <v>478</v>
      </c>
      <c r="E1128" s="10" cm="1">
        <f t="array" ref="E1128">IFERROR(_xlfn.XLOOKUP(1,('env Parameter'!$A:$A=$A1128)*('env Parameter'!$B:$B=$K1128)*('env Parameter'!$C:$C=$L1128),'env Parameter'!G:G,""),"")</f>
        <v>7.6</v>
      </c>
      <c r="F1128" t="str">
        <f>eDNA!F1128</f>
        <v>MiFish</v>
      </c>
      <c r="G1128" t="str">
        <f>eDNA!D1128</f>
        <v>Hemibarbus sp.</v>
      </c>
      <c r="H1128" t="str">
        <f>_xlfn.XLOOKUP(G1128,'Common name (master file)'!$B:$B,'Common name (master file)'!$A:$A,"-------------")</f>
        <v>누치 속</v>
      </c>
      <c r="I1128">
        <f>eDNA!E1128</f>
        <v>2307</v>
      </c>
      <c r="J1128" t="str">
        <f>_xlfn.XLOOKUP(G1128,'Common name (master file)'!$B:$B,'Common name (master file)'!$C:$C,"")</f>
        <v>어류</v>
      </c>
      <c r="K1128">
        <f>eDNA!B1128</f>
        <v>126.8910417</v>
      </c>
      <c r="L1128">
        <f>eDNA!C1128</f>
        <v>37.458163800000001</v>
      </c>
      <c r="M1128" s="10" t="str" cm="1">
        <f t="array" ref="M1128">IFERROR(_xlfn.XLOOKUP(1,('env Parameter'!$A:$A=$A1128)*('env Parameter'!$B:$B=$K1128)*('env Parameter'!$C:$C=$L1128),'env Parameter'!D:D,""),"")</f>
        <v>안양천-9</v>
      </c>
      <c r="N1128" s="10" t="str" cm="1">
        <f t="array" ref="N1128">IFERROR(_xlfn.XLOOKUP(1,('env Parameter'!$A:$A=$A1128)*('env Parameter'!$B:$B=$K1128)*('env Parameter'!$C:$C=$L1128),'env Parameter'!I:I,""),"")</f>
        <v>YR</v>
      </c>
    </row>
    <row r="1129" spans="1:14">
      <c r="A1129">
        <f>eDNA!A1129</f>
        <v>20201024</v>
      </c>
      <c r="B1129" s="10" t="str" cm="1">
        <f t="array" ref="B1129">IFERROR(_xlfn.XLOOKUP(1,('env Parameter'!$A:$A=$A1129)*('env Parameter'!$B:$B=$K1129)*('env Parameter'!$C:$C=$L1129),'env Parameter'!H:H,""),"")</f>
        <v>생물상 조사</v>
      </c>
      <c r="C1129" s="10" cm="1">
        <f t="array" ref="C1129">IFERROR(_xlfn.XLOOKUP(1,('env Parameter'!$A:$A=$A1129)*('env Parameter'!$B:$B=$K1129)*('env Parameter'!$C:$C=$L1129),'env Parameter'!E:E,""),"")</f>
        <v>2.14</v>
      </c>
      <c r="D1129" s="10" cm="1">
        <f t="array" ref="D1129">IFERROR(_xlfn.XLOOKUP(1,('env Parameter'!$A:$A=$A1129)*('env Parameter'!$B:$B=$K1129)*('env Parameter'!$C:$C=$L1129),'env Parameter'!F:F,""),"")</f>
        <v>478</v>
      </c>
      <c r="E1129" s="10" cm="1">
        <f t="array" ref="E1129">IFERROR(_xlfn.XLOOKUP(1,('env Parameter'!$A:$A=$A1129)*('env Parameter'!$B:$B=$K1129)*('env Parameter'!$C:$C=$L1129),'env Parameter'!G:G,""),"")</f>
        <v>7.6</v>
      </c>
      <c r="F1129" t="str">
        <f>eDNA!F1129</f>
        <v>MiFish</v>
      </c>
      <c r="G1129" t="str">
        <f>eDNA!D1129</f>
        <v>Odontobutis interrupta</v>
      </c>
      <c r="H1129" t="str">
        <f>_xlfn.XLOOKUP(G1129,'Common name (master file)'!$B:$B,'Common name (master file)'!$A:$A,"-------------")</f>
        <v>얼록동사리</v>
      </c>
      <c r="I1129">
        <f>eDNA!E1129</f>
        <v>3803</v>
      </c>
      <c r="J1129" t="str">
        <f>_xlfn.XLOOKUP(G1129,'Common name (master file)'!$B:$B,'Common name (master file)'!$C:$C,"")</f>
        <v>어류</v>
      </c>
      <c r="K1129">
        <f>eDNA!B1129</f>
        <v>126.8910417</v>
      </c>
      <c r="L1129">
        <f>eDNA!C1129</f>
        <v>37.458163800000001</v>
      </c>
      <c r="M1129" s="10" t="str" cm="1">
        <f t="array" ref="M1129">IFERROR(_xlfn.XLOOKUP(1,('env Parameter'!$A:$A=$A1129)*('env Parameter'!$B:$B=$K1129)*('env Parameter'!$C:$C=$L1129),'env Parameter'!D:D,""),"")</f>
        <v>안양천-9</v>
      </c>
      <c r="N1129" s="10" t="str" cm="1">
        <f t="array" ref="N1129">IFERROR(_xlfn.XLOOKUP(1,('env Parameter'!$A:$A=$A1129)*('env Parameter'!$B:$B=$K1129)*('env Parameter'!$C:$C=$L1129),'env Parameter'!I:I,""),"")</f>
        <v>YR</v>
      </c>
    </row>
    <row r="1130" spans="1:14">
      <c r="A1130">
        <f>eDNA!A1130</f>
        <v>20201024</v>
      </c>
      <c r="B1130" s="10" t="str" cm="1">
        <f t="array" ref="B1130">IFERROR(_xlfn.XLOOKUP(1,('env Parameter'!$A:$A=$A1130)*('env Parameter'!$B:$B=$K1130)*('env Parameter'!$C:$C=$L1130),'env Parameter'!H:H,""),"")</f>
        <v>생물상 조사</v>
      </c>
      <c r="C1130" s="10" cm="1">
        <f t="array" ref="C1130">IFERROR(_xlfn.XLOOKUP(1,('env Parameter'!$A:$A=$A1130)*('env Parameter'!$B:$B=$K1130)*('env Parameter'!$C:$C=$L1130),'env Parameter'!E:E,""),"")</f>
        <v>2.14</v>
      </c>
      <c r="D1130" s="10" cm="1">
        <f t="array" ref="D1130">IFERROR(_xlfn.XLOOKUP(1,('env Parameter'!$A:$A=$A1130)*('env Parameter'!$B:$B=$K1130)*('env Parameter'!$C:$C=$L1130),'env Parameter'!F:F,""),"")</f>
        <v>478</v>
      </c>
      <c r="E1130" s="10" cm="1">
        <f t="array" ref="E1130">IFERROR(_xlfn.XLOOKUP(1,('env Parameter'!$A:$A=$A1130)*('env Parameter'!$B:$B=$K1130)*('env Parameter'!$C:$C=$L1130),'env Parameter'!G:G,""),"")</f>
        <v>7.6</v>
      </c>
      <c r="F1130" t="str">
        <f>eDNA!F1130</f>
        <v>MiFish</v>
      </c>
      <c r="G1130" t="str">
        <f>eDNA!D1130</f>
        <v>Carassius gibelio</v>
      </c>
      <c r="H1130" t="str">
        <f>_xlfn.XLOOKUP(G1130,'Common name (master file)'!$B:$B,'Common name (master file)'!$A:$A,"-------------")</f>
        <v>기벨리오 붕어</v>
      </c>
      <c r="I1130">
        <f>eDNA!E1130</f>
        <v>15937</v>
      </c>
      <c r="J1130" t="str">
        <f>_xlfn.XLOOKUP(G1130,'Common name (master file)'!$B:$B,'Common name (master file)'!$C:$C,"")</f>
        <v>어류</v>
      </c>
      <c r="K1130">
        <f>eDNA!B1130</f>
        <v>126.8910417</v>
      </c>
      <c r="L1130">
        <f>eDNA!C1130</f>
        <v>37.458163800000001</v>
      </c>
      <c r="M1130" s="10" t="str" cm="1">
        <f t="array" ref="M1130">IFERROR(_xlfn.XLOOKUP(1,('env Parameter'!$A:$A=$A1130)*('env Parameter'!$B:$B=$K1130)*('env Parameter'!$C:$C=$L1130),'env Parameter'!D:D,""),"")</f>
        <v>안양천-9</v>
      </c>
      <c r="N1130" s="10" t="str" cm="1">
        <f t="array" ref="N1130">IFERROR(_xlfn.XLOOKUP(1,('env Parameter'!$A:$A=$A1130)*('env Parameter'!$B:$B=$K1130)*('env Parameter'!$C:$C=$L1130),'env Parameter'!I:I,""),"")</f>
        <v>YR</v>
      </c>
    </row>
    <row r="1131" spans="1:14">
      <c r="A1131">
        <f>eDNA!A1131</f>
        <v>20201024</v>
      </c>
      <c r="B1131" s="10" t="str" cm="1">
        <f t="array" ref="B1131">IFERROR(_xlfn.XLOOKUP(1,('env Parameter'!$A:$A=$A1131)*('env Parameter'!$B:$B=$K1131)*('env Parameter'!$C:$C=$L1131),'env Parameter'!H:H,""),"")</f>
        <v>생물상 조사</v>
      </c>
      <c r="C1131" s="10" cm="1">
        <f t="array" ref="C1131">IFERROR(_xlfn.XLOOKUP(1,('env Parameter'!$A:$A=$A1131)*('env Parameter'!$B:$B=$K1131)*('env Parameter'!$C:$C=$L1131),'env Parameter'!E:E,""),"")</f>
        <v>2.14</v>
      </c>
      <c r="D1131" s="10" cm="1">
        <f t="array" ref="D1131">IFERROR(_xlfn.XLOOKUP(1,('env Parameter'!$A:$A=$A1131)*('env Parameter'!$B:$B=$K1131)*('env Parameter'!$C:$C=$L1131),'env Parameter'!F:F,""),"")</f>
        <v>478</v>
      </c>
      <c r="E1131" s="10" cm="1">
        <f t="array" ref="E1131">IFERROR(_xlfn.XLOOKUP(1,('env Parameter'!$A:$A=$A1131)*('env Parameter'!$B:$B=$K1131)*('env Parameter'!$C:$C=$L1131),'env Parameter'!G:G,""),"")</f>
        <v>7.6</v>
      </c>
      <c r="F1131" t="str">
        <f>eDNA!F1131</f>
        <v>MiFish</v>
      </c>
      <c r="G1131" t="str">
        <f>eDNA!D1131</f>
        <v>Micropterus salmoides</v>
      </c>
      <c r="H1131" t="str">
        <f>_xlfn.XLOOKUP(G1131,'Common name (master file)'!$B:$B,'Common name (master file)'!$A:$A,"-------------")</f>
        <v>큰입배스</v>
      </c>
      <c r="I1131">
        <f>eDNA!E1131</f>
        <v>15589</v>
      </c>
      <c r="J1131" t="str">
        <f>_xlfn.XLOOKUP(G1131,'Common name (master file)'!$B:$B,'Common name (master file)'!$C:$C,"")</f>
        <v>어류</v>
      </c>
      <c r="K1131">
        <f>eDNA!B1131</f>
        <v>126.8910417</v>
      </c>
      <c r="L1131">
        <f>eDNA!C1131</f>
        <v>37.458163800000001</v>
      </c>
      <c r="M1131" s="10" t="str" cm="1">
        <f t="array" ref="M1131">IFERROR(_xlfn.XLOOKUP(1,('env Parameter'!$A:$A=$A1131)*('env Parameter'!$B:$B=$K1131)*('env Parameter'!$C:$C=$L1131),'env Parameter'!D:D,""),"")</f>
        <v>안양천-9</v>
      </c>
      <c r="N1131" s="10" t="str" cm="1">
        <f t="array" ref="N1131">IFERROR(_xlfn.XLOOKUP(1,('env Parameter'!$A:$A=$A1131)*('env Parameter'!$B:$B=$K1131)*('env Parameter'!$C:$C=$L1131),'env Parameter'!I:I,""),"")</f>
        <v>YR</v>
      </c>
    </row>
    <row r="1132" spans="1:14">
      <c r="A1132">
        <f>eDNA!A1132</f>
        <v>20201024</v>
      </c>
      <c r="B1132" s="10" t="str" cm="1">
        <f t="array" ref="B1132">IFERROR(_xlfn.XLOOKUP(1,('env Parameter'!$A:$A=$A1132)*('env Parameter'!$B:$B=$K1132)*('env Parameter'!$C:$C=$L1132),'env Parameter'!H:H,""),"")</f>
        <v>생물상 조사</v>
      </c>
      <c r="C1132" s="10" cm="1">
        <f t="array" ref="C1132">IFERROR(_xlfn.XLOOKUP(1,('env Parameter'!$A:$A=$A1132)*('env Parameter'!$B:$B=$K1132)*('env Parameter'!$C:$C=$L1132),'env Parameter'!E:E,""),"")</f>
        <v>2.14</v>
      </c>
      <c r="D1132" s="10" cm="1">
        <f t="array" ref="D1132">IFERROR(_xlfn.XLOOKUP(1,('env Parameter'!$A:$A=$A1132)*('env Parameter'!$B:$B=$K1132)*('env Parameter'!$C:$C=$L1132),'env Parameter'!F:F,""),"")</f>
        <v>478</v>
      </c>
      <c r="E1132" s="10" cm="1">
        <f t="array" ref="E1132">IFERROR(_xlfn.XLOOKUP(1,('env Parameter'!$A:$A=$A1132)*('env Parameter'!$B:$B=$K1132)*('env Parameter'!$C:$C=$L1132),'env Parameter'!G:G,""),"")</f>
        <v>7.6</v>
      </c>
      <c r="F1132" t="str">
        <f>eDNA!F1132</f>
        <v>MiFish</v>
      </c>
      <c r="G1132" t="str">
        <f>eDNA!D1132</f>
        <v>Zacco platypus</v>
      </c>
      <c r="H1132" t="str">
        <f>_xlfn.XLOOKUP(G1132,'Common name (master file)'!$B:$B,'Common name (master file)'!$A:$A,"-------------")</f>
        <v>피라미</v>
      </c>
      <c r="I1132">
        <f>eDNA!E1132</f>
        <v>25338</v>
      </c>
      <c r="J1132" t="str">
        <f>_xlfn.XLOOKUP(G1132,'Common name (master file)'!$B:$B,'Common name (master file)'!$C:$C,"")</f>
        <v>어류</v>
      </c>
      <c r="K1132">
        <f>eDNA!B1132</f>
        <v>126.8910417</v>
      </c>
      <c r="L1132">
        <f>eDNA!C1132</f>
        <v>37.458163800000001</v>
      </c>
      <c r="M1132" s="10" t="str" cm="1">
        <f t="array" ref="M1132">IFERROR(_xlfn.XLOOKUP(1,('env Parameter'!$A:$A=$A1132)*('env Parameter'!$B:$B=$K1132)*('env Parameter'!$C:$C=$L1132),'env Parameter'!D:D,""),"")</f>
        <v>안양천-9</v>
      </c>
      <c r="N1132" s="10" t="str" cm="1">
        <f t="array" ref="N1132">IFERROR(_xlfn.XLOOKUP(1,('env Parameter'!$A:$A=$A1132)*('env Parameter'!$B:$B=$K1132)*('env Parameter'!$C:$C=$L1132),'env Parameter'!I:I,""),"")</f>
        <v>YR</v>
      </c>
    </row>
    <row r="1133" spans="1:14">
      <c r="A1133">
        <f>eDNA!A1133</f>
        <v>20201024</v>
      </c>
      <c r="B1133" s="10" t="str" cm="1">
        <f t="array" ref="B1133">IFERROR(_xlfn.XLOOKUP(1,('env Parameter'!$A:$A=$A1133)*('env Parameter'!$B:$B=$K1133)*('env Parameter'!$C:$C=$L1133),'env Parameter'!H:H,""),"")</f>
        <v>생물상 조사</v>
      </c>
      <c r="C1133" s="10" cm="1">
        <f t="array" ref="C1133">IFERROR(_xlfn.XLOOKUP(1,('env Parameter'!$A:$A=$A1133)*('env Parameter'!$B:$B=$K1133)*('env Parameter'!$C:$C=$L1133),'env Parameter'!E:E,""),"")</f>
        <v>2.14</v>
      </c>
      <c r="D1133" s="10" cm="1">
        <f t="array" ref="D1133">IFERROR(_xlfn.XLOOKUP(1,('env Parameter'!$A:$A=$A1133)*('env Parameter'!$B:$B=$K1133)*('env Parameter'!$C:$C=$L1133),'env Parameter'!F:F,""),"")</f>
        <v>478</v>
      </c>
      <c r="E1133" s="10" cm="1">
        <f t="array" ref="E1133">IFERROR(_xlfn.XLOOKUP(1,('env Parameter'!$A:$A=$A1133)*('env Parameter'!$B:$B=$K1133)*('env Parameter'!$C:$C=$L1133),'env Parameter'!G:G,""),"")</f>
        <v>7.6</v>
      </c>
      <c r="F1133" t="str">
        <f>eDNA!F1133</f>
        <v>MiFish</v>
      </c>
      <c r="G1133" t="str">
        <f>eDNA!D1133</f>
        <v>Pseudorasbora parva</v>
      </c>
      <c r="H1133" t="str">
        <f>_xlfn.XLOOKUP(G1133,'Common name (master file)'!$B:$B,'Common name (master file)'!$A:$A,"-------------")</f>
        <v>참붕어</v>
      </c>
      <c r="I1133">
        <f>eDNA!E1133</f>
        <v>59343</v>
      </c>
      <c r="J1133" t="str">
        <f>_xlfn.XLOOKUP(G1133,'Common name (master file)'!$B:$B,'Common name (master file)'!$C:$C,"")</f>
        <v>어류</v>
      </c>
      <c r="K1133">
        <f>eDNA!B1133</f>
        <v>126.8910417</v>
      </c>
      <c r="L1133">
        <f>eDNA!C1133</f>
        <v>37.458163800000001</v>
      </c>
      <c r="M1133" s="10" t="str" cm="1">
        <f t="array" ref="M1133">IFERROR(_xlfn.XLOOKUP(1,('env Parameter'!$A:$A=$A1133)*('env Parameter'!$B:$B=$K1133)*('env Parameter'!$C:$C=$L1133),'env Parameter'!D:D,""),"")</f>
        <v>안양천-9</v>
      </c>
      <c r="N1133" s="10" t="str" cm="1">
        <f t="array" ref="N1133">IFERROR(_xlfn.XLOOKUP(1,('env Parameter'!$A:$A=$A1133)*('env Parameter'!$B:$B=$K1133)*('env Parameter'!$C:$C=$L1133),'env Parameter'!I:I,""),"")</f>
        <v>YR</v>
      </c>
    </row>
    <row r="1134" spans="1:14">
      <c r="A1134">
        <f>eDNA!A1134</f>
        <v>20201024</v>
      </c>
      <c r="B1134" s="10" t="str" cm="1">
        <f t="array" ref="B1134">IFERROR(_xlfn.XLOOKUP(1,('env Parameter'!$A:$A=$A1134)*('env Parameter'!$B:$B=$K1134)*('env Parameter'!$C:$C=$L1134),'env Parameter'!H:H,""),"")</f>
        <v>생물상 조사</v>
      </c>
      <c r="C1134" s="10" cm="1">
        <f t="array" ref="C1134">IFERROR(_xlfn.XLOOKUP(1,('env Parameter'!$A:$A=$A1134)*('env Parameter'!$B:$B=$K1134)*('env Parameter'!$C:$C=$L1134),'env Parameter'!E:E,""),"")</f>
        <v>2.14</v>
      </c>
      <c r="D1134" s="10" cm="1">
        <f t="array" ref="D1134">IFERROR(_xlfn.XLOOKUP(1,('env Parameter'!$A:$A=$A1134)*('env Parameter'!$B:$B=$K1134)*('env Parameter'!$C:$C=$L1134),'env Parameter'!F:F,""),"")</f>
        <v>478</v>
      </c>
      <c r="E1134" s="10" cm="1">
        <f t="array" ref="E1134">IFERROR(_xlfn.XLOOKUP(1,('env Parameter'!$A:$A=$A1134)*('env Parameter'!$B:$B=$K1134)*('env Parameter'!$C:$C=$L1134),'env Parameter'!G:G,""),"")</f>
        <v>7.6</v>
      </c>
      <c r="F1134" t="str">
        <f>eDNA!F1134</f>
        <v>MiFish</v>
      </c>
      <c r="G1134" t="str">
        <f>eDNA!D1134</f>
        <v>Thunnus tonggol</v>
      </c>
      <c r="H1134" t="str">
        <f>_xlfn.XLOOKUP(G1134,'Common name (master file)'!$B:$B,'Common name (master file)'!$A:$A,"-------------")</f>
        <v>백다랑어</v>
      </c>
      <c r="I1134">
        <f>eDNA!E1134</f>
        <v>160</v>
      </c>
      <c r="J1134" t="str">
        <f>_xlfn.XLOOKUP(G1134,'Common name (master file)'!$B:$B,'Common name (master file)'!$C:$C,"")</f>
        <v>어류</v>
      </c>
      <c r="K1134">
        <f>eDNA!B1134</f>
        <v>126.82462289999999</v>
      </c>
      <c r="L1134">
        <f>eDNA!C1134</f>
        <v>37.470256399999997</v>
      </c>
      <c r="M1134" s="10" t="str" cm="1">
        <f t="array" ref="M1134">IFERROR(_xlfn.XLOOKUP(1,('env Parameter'!$A:$A=$A1134)*('env Parameter'!$B:$B=$K1134)*('env Parameter'!$C:$C=$L1134),'env Parameter'!D:D,""),"")</f>
        <v>옥길천</v>
      </c>
      <c r="N1134" s="10" t="str" cm="1">
        <f t="array" ref="N1134">IFERROR(_xlfn.XLOOKUP(1,('env Parameter'!$A:$A=$A1134)*('env Parameter'!$B:$B=$K1134)*('env Parameter'!$C:$C=$L1134),'env Parameter'!I:I,""),"")</f>
        <v>YR</v>
      </c>
    </row>
    <row r="1135" spans="1:14">
      <c r="A1135">
        <f>eDNA!A1135</f>
        <v>20201024</v>
      </c>
      <c r="B1135" s="10" t="str" cm="1">
        <f t="array" ref="B1135">IFERROR(_xlfn.XLOOKUP(1,('env Parameter'!$A:$A=$A1135)*('env Parameter'!$B:$B=$K1135)*('env Parameter'!$C:$C=$L1135),'env Parameter'!H:H,""),"")</f>
        <v>생물상 조사</v>
      </c>
      <c r="C1135" s="10" cm="1">
        <f t="array" ref="C1135">IFERROR(_xlfn.XLOOKUP(1,('env Parameter'!$A:$A=$A1135)*('env Parameter'!$B:$B=$K1135)*('env Parameter'!$C:$C=$L1135),'env Parameter'!E:E,""),"")</f>
        <v>2.14</v>
      </c>
      <c r="D1135" s="10" cm="1">
        <f t="array" ref="D1135">IFERROR(_xlfn.XLOOKUP(1,('env Parameter'!$A:$A=$A1135)*('env Parameter'!$B:$B=$K1135)*('env Parameter'!$C:$C=$L1135),'env Parameter'!F:F,""),"")</f>
        <v>478</v>
      </c>
      <c r="E1135" s="10" cm="1">
        <f t="array" ref="E1135">IFERROR(_xlfn.XLOOKUP(1,('env Parameter'!$A:$A=$A1135)*('env Parameter'!$B:$B=$K1135)*('env Parameter'!$C:$C=$L1135),'env Parameter'!G:G,""),"")</f>
        <v>7.6</v>
      </c>
      <c r="F1135" t="str">
        <f>eDNA!F1135</f>
        <v>MiFish</v>
      </c>
      <c r="G1135" t="str">
        <f>eDNA!D1135</f>
        <v>Rhynchocypris oxycephalus</v>
      </c>
      <c r="H1135" t="str">
        <f>_xlfn.XLOOKUP(G1135,'Common name (master file)'!$B:$B,'Common name (master file)'!$A:$A,"-------------")</f>
        <v>버들치</v>
      </c>
      <c r="I1135">
        <f>eDNA!E1135</f>
        <v>117</v>
      </c>
      <c r="J1135" t="str">
        <f>_xlfn.XLOOKUP(G1135,'Common name (master file)'!$B:$B,'Common name (master file)'!$C:$C,"")</f>
        <v>어류</v>
      </c>
      <c r="K1135">
        <f>eDNA!B1135</f>
        <v>126.9506027</v>
      </c>
      <c r="L1135">
        <f>eDNA!C1135</f>
        <v>37.400644700000001</v>
      </c>
      <c r="M1135" s="10" t="str" cm="1">
        <f t="array" ref="M1135">IFERROR(_xlfn.XLOOKUP(1,('env Parameter'!$A:$A=$A1135)*('env Parameter'!$B:$B=$K1135)*('env Parameter'!$C:$C=$L1135),'env Parameter'!D:D,""),"")</f>
        <v>안양천-31</v>
      </c>
      <c r="N1135" s="10" t="str" cm="1">
        <f t="array" ref="N1135">IFERROR(_xlfn.XLOOKUP(1,('env Parameter'!$A:$A=$A1135)*('env Parameter'!$B:$B=$K1135)*('env Parameter'!$C:$C=$L1135),'env Parameter'!I:I,""),"")</f>
        <v>YR</v>
      </c>
    </row>
    <row r="1136" spans="1:14">
      <c r="A1136">
        <f>eDNA!A1136</f>
        <v>20201024</v>
      </c>
      <c r="B1136" s="10" t="str" cm="1">
        <f t="array" ref="B1136">IFERROR(_xlfn.XLOOKUP(1,('env Parameter'!$A:$A=$A1136)*('env Parameter'!$B:$B=$K1136)*('env Parameter'!$C:$C=$L1136),'env Parameter'!H:H,""),"")</f>
        <v>생물상 조사</v>
      </c>
      <c r="C1136" s="10" cm="1">
        <f t="array" ref="C1136">IFERROR(_xlfn.XLOOKUP(1,('env Parameter'!$A:$A=$A1136)*('env Parameter'!$B:$B=$K1136)*('env Parameter'!$C:$C=$L1136),'env Parameter'!E:E,""),"")</f>
        <v>2.14</v>
      </c>
      <c r="D1136" s="10" cm="1">
        <f t="array" ref="D1136">IFERROR(_xlfn.XLOOKUP(1,('env Parameter'!$A:$A=$A1136)*('env Parameter'!$B:$B=$K1136)*('env Parameter'!$C:$C=$L1136),'env Parameter'!F:F,""),"")</f>
        <v>478</v>
      </c>
      <c r="E1136" s="10" cm="1">
        <f t="array" ref="E1136">IFERROR(_xlfn.XLOOKUP(1,('env Parameter'!$A:$A=$A1136)*('env Parameter'!$B:$B=$K1136)*('env Parameter'!$C:$C=$L1136),'env Parameter'!G:G,""),"")</f>
        <v>7.6</v>
      </c>
      <c r="F1136" t="str">
        <f>eDNA!F1136</f>
        <v>MiFish</v>
      </c>
      <c r="G1136" t="str">
        <f>eDNA!D1136</f>
        <v>Plagiognathops microlepis</v>
      </c>
      <c r="H1136" t="str">
        <f>_xlfn.XLOOKUP(G1136,'Common name (master file)'!$B:$B,'Common name (master file)'!$A:$A,"-------------")</f>
        <v>왜몰개</v>
      </c>
      <c r="I1136">
        <f>eDNA!E1136</f>
        <v>14</v>
      </c>
      <c r="J1136" t="str">
        <f>_xlfn.XLOOKUP(G1136,'Common name (master file)'!$B:$B,'Common name (master file)'!$C:$C,"")</f>
        <v>어류</v>
      </c>
      <c r="K1136">
        <f>eDNA!B1136</f>
        <v>126.8772417</v>
      </c>
      <c r="L1136">
        <f>eDNA!C1136</f>
        <v>37.474826299999997</v>
      </c>
      <c r="M1136" s="10" t="str" cm="1">
        <f t="array" ref="M1136">IFERROR(_xlfn.XLOOKUP(1,('env Parameter'!$A:$A=$A1136)*('env Parameter'!$B:$B=$K1136)*('env Parameter'!$C:$C=$L1136),'env Parameter'!D:D,""),"")</f>
        <v>안양천-10</v>
      </c>
      <c r="N1136" s="10" t="str" cm="1">
        <f t="array" ref="N1136">IFERROR(_xlfn.XLOOKUP(1,('env Parameter'!$A:$A=$A1136)*('env Parameter'!$B:$B=$K1136)*('env Parameter'!$C:$C=$L1136),'env Parameter'!I:I,""),"")</f>
        <v>YR</v>
      </c>
    </row>
    <row r="1137" spans="1:14">
      <c r="A1137">
        <f>eDNA!A1137</f>
        <v>20201024</v>
      </c>
      <c r="B1137" s="10" t="str" cm="1">
        <f t="array" ref="B1137">IFERROR(_xlfn.XLOOKUP(1,('env Parameter'!$A:$A=$A1137)*('env Parameter'!$B:$B=$K1137)*('env Parameter'!$C:$C=$L1137),'env Parameter'!H:H,""),"")</f>
        <v>생물상 조사</v>
      </c>
      <c r="C1137" s="10" cm="1">
        <f t="array" ref="C1137">IFERROR(_xlfn.XLOOKUP(1,('env Parameter'!$A:$A=$A1137)*('env Parameter'!$B:$B=$K1137)*('env Parameter'!$C:$C=$L1137),'env Parameter'!E:E,""),"")</f>
        <v>2.14</v>
      </c>
      <c r="D1137" s="10" cm="1">
        <f t="array" ref="D1137">IFERROR(_xlfn.XLOOKUP(1,('env Parameter'!$A:$A=$A1137)*('env Parameter'!$B:$B=$K1137)*('env Parameter'!$C:$C=$L1137),'env Parameter'!F:F,""),"")</f>
        <v>478</v>
      </c>
      <c r="E1137" s="10" cm="1">
        <f t="array" ref="E1137">IFERROR(_xlfn.XLOOKUP(1,('env Parameter'!$A:$A=$A1137)*('env Parameter'!$B:$B=$K1137)*('env Parameter'!$C:$C=$L1137),'env Parameter'!G:G,""),"")</f>
        <v>7.6</v>
      </c>
      <c r="F1137" t="str">
        <f>eDNA!F1137</f>
        <v>MiFish</v>
      </c>
      <c r="G1137" t="str">
        <f>eDNA!D1137</f>
        <v>Theragra chalcogramma</v>
      </c>
      <c r="H1137" t="str">
        <f>_xlfn.XLOOKUP(G1137,'Common name (master file)'!$B:$B,'Common name (master file)'!$A:$A,"-------------")</f>
        <v>명태</v>
      </c>
      <c r="I1137">
        <f>eDNA!E1137</f>
        <v>15</v>
      </c>
      <c r="J1137" t="str">
        <f>_xlfn.XLOOKUP(G1137,'Common name (master file)'!$B:$B,'Common name (master file)'!$C:$C,"")</f>
        <v>어류</v>
      </c>
      <c r="K1137">
        <f>eDNA!B1137</f>
        <v>126.8772417</v>
      </c>
      <c r="L1137">
        <f>eDNA!C1137</f>
        <v>37.474826299999997</v>
      </c>
      <c r="M1137" s="10" t="str" cm="1">
        <f t="array" ref="M1137">IFERROR(_xlfn.XLOOKUP(1,('env Parameter'!$A:$A=$A1137)*('env Parameter'!$B:$B=$K1137)*('env Parameter'!$C:$C=$L1137),'env Parameter'!D:D,""),"")</f>
        <v>안양천-10</v>
      </c>
      <c r="N1137" s="10" t="str" cm="1">
        <f t="array" ref="N1137">IFERROR(_xlfn.XLOOKUP(1,('env Parameter'!$A:$A=$A1137)*('env Parameter'!$B:$B=$K1137)*('env Parameter'!$C:$C=$L1137),'env Parameter'!I:I,""),"")</f>
        <v>YR</v>
      </c>
    </row>
    <row r="1138" spans="1:14">
      <c r="A1138">
        <f>eDNA!A1138</f>
        <v>20201024</v>
      </c>
      <c r="B1138" s="10" t="str" cm="1">
        <f t="array" ref="B1138">IFERROR(_xlfn.XLOOKUP(1,('env Parameter'!$A:$A=$A1138)*('env Parameter'!$B:$B=$K1138)*('env Parameter'!$C:$C=$L1138),'env Parameter'!H:H,""),"")</f>
        <v>생물상 조사</v>
      </c>
      <c r="C1138" s="10" cm="1">
        <f t="array" ref="C1138">IFERROR(_xlfn.XLOOKUP(1,('env Parameter'!$A:$A=$A1138)*('env Parameter'!$B:$B=$K1138)*('env Parameter'!$C:$C=$L1138),'env Parameter'!E:E,""),"")</f>
        <v>2.14</v>
      </c>
      <c r="D1138" s="10" cm="1">
        <f t="array" ref="D1138">IFERROR(_xlfn.XLOOKUP(1,('env Parameter'!$A:$A=$A1138)*('env Parameter'!$B:$B=$K1138)*('env Parameter'!$C:$C=$L1138),'env Parameter'!F:F,""),"")</f>
        <v>478</v>
      </c>
      <c r="E1138" s="10" cm="1">
        <f t="array" ref="E1138">IFERROR(_xlfn.XLOOKUP(1,('env Parameter'!$A:$A=$A1138)*('env Parameter'!$B:$B=$K1138)*('env Parameter'!$C:$C=$L1138),'env Parameter'!G:G,""),"")</f>
        <v>7.6</v>
      </c>
      <c r="F1138" t="str">
        <f>eDNA!F1138</f>
        <v>MiFish</v>
      </c>
      <c r="G1138" t="str">
        <f>eDNA!D1138</f>
        <v>Misgurnus bipartitus</v>
      </c>
      <c r="H1138" t="str">
        <f>_xlfn.XLOOKUP(G1138,'Common name (master file)'!$B:$B,'Common name (master file)'!$A:$A,"-------------")</f>
        <v>쌍무늬미꾸리</v>
      </c>
      <c r="I1138">
        <f>eDNA!E1138</f>
        <v>15</v>
      </c>
      <c r="J1138" t="str">
        <f>_xlfn.XLOOKUP(G1138,'Common name (master file)'!$B:$B,'Common name (master file)'!$C:$C,"")</f>
        <v>어류</v>
      </c>
      <c r="K1138">
        <f>eDNA!B1138</f>
        <v>126.8772417</v>
      </c>
      <c r="L1138">
        <f>eDNA!C1138</f>
        <v>37.474826299999997</v>
      </c>
      <c r="M1138" s="10" t="str" cm="1">
        <f t="array" ref="M1138">IFERROR(_xlfn.XLOOKUP(1,('env Parameter'!$A:$A=$A1138)*('env Parameter'!$B:$B=$K1138)*('env Parameter'!$C:$C=$L1138),'env Parameter'!D:D,""),"")</f>
        <v>안양천-10</v>
      </c>
      <c r="N1138" s="10" t="str" cm="1">
        <f t="array" ref="N1138">IFERROR(_xlfn.XLOOKUP(1,('env Parameter'!$A:$A=$A1138)*('env Parameter'!$B:$B=$K1138)*('env Parameter'!$C:$C=$L1138),'env Parameter'!I:I,""),"")</f>
        <v>YR</v>
      </c>
    </row>
    <row r="1139" spans="1:14">
      <c r="A1139">
        <f>eDNA!A1139</f>
        <v>20201024</v>
      </c>
      <c r="B1139" s="10" t="str" cm="1">
        <f t="array" ref="B1139">IFERROR(_xlfn.XLOOKUP(1,('env Parameter'!$A:$A=$A1139)*('env Parameter'!$B:$B=$K1139)*('env Parameter'!$C:$C=$L1139),'env Parameter'!H:H,""),"")</f>
        <v>생물상 조사</v>
      </c>
      <c r="C1139" s="10" cm="1">
        <f t="array" ref="C1139">IFERROR(_xlfn.XLOOKUP(1,('env Parameter'!$A:$A=$A1139)*('env Parameter'!$B:$B=$K1139)*('env Parameter'!$C:$C=$L1139),'env Parameter'!E:E,""),"")</f>
        <v>2.14</v>
      </c>
      <c r="D1139" s="10" cm="1">
        <f t="array" ref="D1139">IFERROR(_xlfn.XLOOKUP(1,('env Parameter'!$A:$A=$A1139)*('env Parameter'!$B:$B=$K1139)*('env Parameter'!$C:$C=$L1139),'env Parameter'!F:F,""),"")</f>
        <v>478</v>
      </c>
      <c r="E1139" s="10" cm="1">
        <f t="array" ref="E1139">IFERROR(_xlfn.XLOOKUP(1,('env Parameter'!$A:$A=$A1139)*('env Parameter'!$B:$B=$K1139)*('env Parameter'!$C:$C=$L1139),'env Parameter'!G:G,""),"")</f>
        <v>7.6</v>
      </c>
      <c r="F1139" t="str">
        <f>eDNA!F1139</f>
        <v>MiFish</v>
      </c>
      <c r="G1139" t="str">
        <f>eDNA!D1139</f>
        <v>Lophius litulon</v>
      </c>
      <c r="H1139" t="str">
        <f>_xlfn.XLOOKUP(G1139,'Common name (master file)'!$B:$B,'Common name (master file)'!$A:$A,"-------------")</f>
        <v>황아귀</v>
      </c>
      <c r="I1139">
        <f>eDNA!E1139</f>
        <v>35</v>
      </c>
      <c r="J1139" t="str">
        <f>_xlfn.XLOOKUP(G1139,'Common name (master file)'!$B:$B,'Common name (master file)'!$C:$C,"")</f>
        <v>어류</v>
      </c>
      <c r="K1139">
        <f>eDNA!B1139</f>
        <v>126.8772417</v>
      </c>
      <c r="L1139">
        <f>eDNA!C1139</f>
        <v>37.474826299999997</v>
      </c>
      <c r="M1139" s="10" t="str" cm="1">
        <f t="array" ref="M1139">IFERROR(_xlfn.XLOOKUP(1,('env Parameter'!$A:$A=$A1139)*('env Parameter'!$B:$B=$K1139)*('env Parameter'!$C:$C=$L1139),'env Parameter'!D:D,""),"")</f>
        <v>안양천-10</v>
      </c>
      <c r="N1139" s="10" t="str" cm="1">
        <f t="array" ref="N1139">IFERROR(_xlfn.XLOOKUP(1,('env Parameter'!$A:$A=$A1139)*('env Parameter'!$B:$B=$K1139)*('env Parameter'!$C:$C=$L1139),'env Parameter'!I:I,""),"")</f>
        <v>YR</v>
      </c>
    </row>
    <row r="1140" spans="1:14">
      <c r="A1140">
        <f>eDNA!A1140</f>
        <v>20201024</v>
      </c>
      <c r="B1140" s="10" t="str" cm="1">
        <f t="array" ref="B1140">IFERROR(_xlfn.XLOOKUP(1,('env Parameter'!$A:$A=$A1140)*('env Parameter'!$B:$B=$K1140)*('env Parameter'!$C:$C=$L1140),'env Parameter'!H:H,""),"")</f>
        <v>생물상 조사</v>
      </c>
      <c r="C1140" s="10" cm="1">
        <f t="array" ref="C1140">IFERROR(_xlfn.XLOOKUP(1,('env Parameter'!$A:$A=$A1140)*('env Parameter'!$B:$B=$K1140)*('env Parameter'!$C:$C=$L1140),'env Parameter'!E:E,""),"")</f>
        <v>2.14</v>
      </c>
      <c r="D1140" s="10" cm="1">
        <f t="array" ref="D1140">IFERROR(_xlfn.XLOOKUP(1,('env Parameter'!$A:$A=$A1140)*('env Parameter'!$B:$B=$K1140)*('env Parameter'!$C:$C=$L1140),'env Parameter'!F:F,""),"")</f>
        <v>478</v>
      </c>
      <c r="E1140" s="10" cm="1">
        <f t="array" ref="E1140">IFERROR(_xlfn.XLOOKUP(1,('env Parameter'!$A:$A=$A1140)*('env Parameter'!$B:$B=$K1140)*('env Parameter'!$C:$C=$L1140),'env Parameter'!G:G,""),"")</f>
        <v>7.6</v>
      </c>
      <c r="F1140" t="str">
        <f>eDNA!F1140</f>
        <v>MiFish</v>
      </c>
      <c r="G1140" t="str">
        <f>eDNA!D1140</f>
        <v>Hemibarbus umbrifer</v>
      </c>
      <c r="H1140" t="str">
        <f>_xlfn.XLOOKUP(G1140,'Common name (master file)'!$B:$B,'Common name (master file)'!$A:$A,"-------------")</f>
        <v>누치</v>
      </c>
      <c r="I1140">
        <f>eDNA!E1140</f>
        <v>23</v>
      </c>
      <c r="J1140" t="str">
        <f>_xlfn.XLOOKUP(G1140,'Common name (master file)'!$B:$B,'Common name (master file)'!$C:$C,"")</f>
        <v>어류</v>
      </c>
      <c r="K1140">
        <f>eDNA!B1140</f>
        <v>126.8772417</v>
      </c>
      <c r="L1140">
        <f>eDNA!C1140</f>
        <v>37.474826299999997</v>
      </c>
      <c r="M1140" s="10" t="str" cm="1">
        <f t="array" ref="M1140">IFERROR(_xlfn.XLOOKUP(1,('env Parameter'!$A:$A=$A1140)*('env Parameter'!$B:$B=$K1140)*('env Parameter'!$C:$C=$L1140),'env Parameter'!D:D,""),"")</f>
        <v>안양천-10</v>
      </c>
      <c r="N1140" s="10" t="str" cm="1">
        <f t="array" ref="N1140">IFERROR(_xlfn.XLOOKUP(1,('env Parameter'!$A:$A=$A1140)*('env Parameter'!$B:$B=$K1140)*('env Parameter'!$C:$C=$L1140),'env Parameter'!I:I,""),"")</f>
        <v>YR</v>
      </c>
    </row>
    <row r="1141" spans="1:14">
      <c r="A1141">
        <f>eDNA!A1141</f>
        <v>20201024</v>
      </c>
      <c r="B1141" s="10" t="str" cm="1">
        <f t="array" ref="B1141">IFERROR(_xlfn.XLOOKUP(1,('env Parameter'!$A:$A=$A1141)*('env Parameter'!$B:$B=$K1141)*('env Parameter'!$C:$C=$L1141),'env Parameter'!H:H,""),"")</f>
        <v>생물상 조사</v>
      </c>
      <c r="C1141" s="10" cm="1">
        <f t="array" ref="C1141">IFERROR(_xlfn.XLOOKUP(1,('env Parameter'!$A:$A=$A1141)*('env Parameter'!$B:$B=$K1141)*('env Parameter'!$C:$C=$L1141),'env Parameter'!E:E,""),"")</f>
        <v>2.14</v>
      </c>
      <c r="D1141" s="10" cm="1">
        <f t="array" ref="D1141">IFERROR(_xlfn.XLOOKUP(1,('env Parameter'!$A:$A=$A1141)*('env Parameter'!$B:$B=$K1141)*('env Parameter'!$C:$C=$L1141),'env Parameter'!F:F,""),"")</f>
        <v>478</v>
      </c>
      <c r="E1141" s="10" cm="1">
        <f t="array" ref="E1141">IFERROR(_xlfn.XLOOKUP(1,('env Parameter'!$A:$A=$A1141)*('env Parameter'!$B:$B=$K1141)*('env Parameter'!$C:$C=$L1141),'env Parameter'!G:G,""),"")</f>
        <v>7.6</v>
      </c>
      <c r="F1141" t="str">
        <f>eDNA!F1141</f>
        <v>MiFish</v>
      </c>
      <c r="G1141" t="str">
        <f>eDNA!D1141</f>
        <v>Sebastes zacentrus</v>
      </c>
      <c r="H1141" t="str">
        <f>_xlfn.XLOOKUP(G1141,'Common name (master file)'!$B:$B,'Common name (master file)'!$A:$A,"-------------")</f>
        <v>쏨뱅이</v>
      </c>
      <c r="I1141">
        <f>eDNA!E1141</f>
        <v>26</v>
      </c>
      <c r="J1141" t="str">
        <f>_xlfn.XLOOKUP(G1141,'Common name (master file)'!$B:$B,'Common name (master file)'!$C:$C,"")</f>
        <v>어류</v>
      </c>
      <c r="K1141">
        <f>eDNA!B1141</f>
        <v>126.8772417</v>
      </c>
      <c r="L1141">
        <f>eDNA!C1141</f>
        <v>37.474826299999997</v>
      </c>
      <c r="M1141" s="10" t="str" cm="1">
        <f t="array" ref="M1141">IFERROR(_xlfn.XLOOKUP(1,('env Parameter'!$A:$A=$A1141)*('env Parameter'!$B:$B=$K1141)*('env Parameter'!$C:$C=$L1141),'env Parameter'!D:D,""),"")</f>
        <v>안양천-10</v>
      </c>
      <c r="N1141" s="10" t="str" cm="1">
        <f t="array" ref="N1141">IFERROR(_xlfn.XLOOKUP(1,('env Parameter'!$A:$A=$A1141)*('env Parameter'!$B:$B=$K1141)*('env Parameter'!$C:$C=$L1141),'env Parameter'!I:I,""),"")</f>
        <v>YR</v>
      </c>
    </row>
    <row r="1142" spans="1:14">
      <c r="A1142">
        <f>eDNA!A1142</f>
        <v>20201024</v>
      </c>
      <c r="B1142" s="10" t="str" cm="1">
        <f t="array" ref="B1142">IFERROR(_xlfn.XLOOKUP(1,('env Parameter'!$A:$A=$A1142)*('env Parameter'!$B:$B=$K1142)*('env Parameter'!$C:$C=$L1142),'env Parameter'!H:H,""),"")</f>
        <v>생물상 조사</v>
      </c>
      <c r="C1142" s="10" cm="1">
        <f t="array" ref="C1142">IFERROR(_xlfn.XLOOKUP(1,('env Parameter'!$A:$A=$A1142)*('env Parameter'!$B:$B=$K1142)*('env Parameter'!$C:$C=$L1142),'env Parameter'!E:E,""),"")</f>
        <v>2.14</v>
      </c>
      <c r="D1142" s="10" cm="1">
        <f t="array" ref="D1142">IFERROR(_xlfn.XLOOKUP(1,('env Parameter'!$A:$A=$A1142)*('env Parameter'!$B:$B=$K1142)*('env Parameter'!$C:$C=$L1142),'env Parameter'!F:F,""),"")</f>
        <v>478</v>
      </c>
      <c r="E1142" s="10" cm="1">
        <f t="array" ref="E1142">IFERROR(_xlfn.XLOOKUP(1,('env Parameter'!$A:$A=$A1142)*('env Parameter'!$B:$B=$K1142)*('env Parameter'!$C:$C=$L1142),'env Parameter'!G:G,""),"")</f>
        <v>7.6</v>
      </c>
      <c r="F1142" t="str">
        <f>eDNA!F1142</f>
        <v>MiFish</v>
      </c>
      <c r="G1142" t="str">
        <f>eDNA!D1142</f>
        <v>Perciformes sp.</v>
      </c>
      <c r="H1142" t="str">
        <f>_xlfn.XLOOKUP(G1142,'Common name (master file)'!$B:$B,'Common name (master file)'!$A:$A,"-------------")</f>
        <v>농어목 바닷물고기</v>
      </c>
      <c r="I1142">
        <f>eDNA!E1142</f>
        <v>26</v>
      </c>
      <c r="J1142" t="str">
        <f>_xlfn.XLOOKUP(G1142,'Common name (master file)'!$B:$B,'Common name (master file)'!$C:$C,"")</f>
        <v>어류</v>
      </c>
      <c r="K1142">
        <f>eDNA!B1142</f>
        <v>126.8772417</v>
      </c>
      <c r="L1142">
        <f>eDNA!C1142</f>
        <v>37.474826299999997</v>
      </c>
      <c r="M1142" s="10" t="str" cm="1">
        <f t="array" ref="M1142">IFERROR(_xlfn.XLOOKUP(1,('env Parameter'!$A:$A=$A1142)*('env Parameter'!$B:$B=$K1142)*('env Parameter'!$C:$C=$L1142),'env Parameter'!D:D,""),"")</f>
        <v>안양천-10</v>
      </c>
      <c r="N1142" s="10" t="str" cm="1">
        <f t="array" ref="N1142">IFERROR(_xlfn.XLOOKUP(1,('env Parameter'!$A:$A=$A1142)*('env Parameter'!$B:$B=$K1142)*('env Parameter'!$C:$C=$L1142),'env Parameter'!I:I,""),"")</f>
        <v>YR</v>
      </c>
    </row>
    <row r="1143" spans="1:14">
      <c r="A1143">
        <f>eDNA!A1143</f>
        <v>20201024</v>
      </c>
      <c r="B1143" s="10" t="str" cm="1">
        <f t="array" ref="B1143">IFERROR(_xlfn.XLOOKUP(1,('env Parameter'!$A:$A=$A1143)*('env Parameter'!$B:$B=$K1143)*('env Parameter'!$C:$C=$L1143),'env Parameter'!H:H,""),"")</f>
        <v>생물상 조사</v>
      </c>
      <c r="C1143" s="10" cm="1">
        <f t="array" ref="C1143">IFERROR(_xlfn.XLOOKUP(1,('env Parameter'!$A:$A=$A1143)*('env Parameter'!$B:$B=$K1143)*('env Parameter'!$C:$C=$L1143),'env Parameter'!E:E,""),"")</f>
        <v>2.14</v>
      </c>
      <c r="D1143" s="10" cm="1">
        <f t="array" ref="D1143">IFERROR(_xlfn.XLOOKUP(1,('env Parameter'!$A:$A=$A1143)*('env Parameter'!$B:$B=$K1143)*('env Parameter'!$C:$C=$L1143),'env Parameter'!F:F,""),"")</f>
        <v>478</v>
      </c>
      <c r="E1143" s="10" cm="1">
        <f t="array" ref="E1143">IFERROR(_xlfn.XLOOKUP(1,('env Parameter'!$A:$A=$A1143)*('env Parameter'!$B:$B=$K1143)*('env Parameter'!$C:$C=$L1143),'env Parameter'!G:G,""),"")</f>
        <v>7.6</v>
      </c>
      <c r="F1143" t="str">
        <f>eDNA!F1143</f>
        <v>MiFish</v>
      </c>
      <c r="G1143" t="str">
        <f>eDNA!D1143</f>
        <v>Carassius auratus</v>
      </c>
      <c r="H1143" t="str">
        <f>_xlfn.XLOOKUP(G1143,'Common name (master file)'!$B:$B,'Common name (master file)'!$A:$A,"-------------")</f>
        <v>붕어</v>
      </c>
      <c r="I1143">
        <f>eDNA!E1143</f>
        <v>27</v>
      </c>
      <c r="J1143" t="str">
        <f>_xlfn.XLOOKUP(G1143,'Common name (master file)'!$B:$B,'Common name (master file)'!$C:$C,"")</f>
        <v>어류</v>
      </c>
      <c r="K1143">
        <f>eDNA!B1143</f>
        <v>126.8772417</v>
      </c>
      <c r="L1143">
        <f>eDNA!C1143</f>
        <v>37.474826299999997</v>
      </c>
      <c r="M1143" s="10" t="str" cm="1">
        <f t="array" ref="M1143">IFERROR(_xlfn.XLOOKUP(1,('env Parameter'!$A:$A=$A1143)*('env Parameter'!$B:$B=$K1143)*('env Parameter'!$C:$C=$L1143),'env Parameter'!D:D,""),"")</f>
        <v>안양천-10</v>
      </c>
      <c r="N1143" s="10" t="str" cm="1">
        <f t="array" ref="N1143">IFERROR(_xlfn.XLOOKUP(1,('env Parameter'!$A:$A=$A1143)*('env Parameter'!$B:$B=$K1143)*('env Parameter'!$C:$C=$L1143),'env Parameter'!I:I,""),"")</f>
        <v>YR</v>
      </c>
    </row>
    <row r="1144" spans="1:14">
      <c r="A1144">
        <f>eDNA!A1144</f>
        <v>20200916</v>
      </c>
      <c r="B1144" s="10" t="str" cm="1">
        <f t="array" ref="B1144">IFERROR(_xlfn.XLOOKUP(1,('env Parameter'!$A:$A=$A1144)*('env Parameter'!$B:$B=$K1144)*('env Parameter'!$C:$C=$L1144),'env Parameter'!H:H,""),"")</f>
        <v>생물상 조사</v>
      </c>
      <c r="C1144" s="10" cm="1">
        <f t="array" ref="C1144">IFERROR(_xlfn.XLOOKUP(1,('env Parameter'!$A:$A=$A1144)*('env Parameter'!$B:$B=$K1144)*('env Parameter'!$C:$C=$L1144),'env Parameter'!E:E,""),"")</f>
        <v>2.14</v>
      </c>
      <c r="D1144" s="10" cm="1">
        <f t="array" ref="D1144">IFERROR(_xlfn.XLOOKUP(1,('env Parameter'!$A:$A=$A1144)*('env Parameter'!$B:$B=$K1144)*('env Parameter'!$C:$C=$L1144),'env Parameter'!F:F,""),"")</f>
        <v>478</v>
      </c>
      <c r="E1144" s="10" cm="1">
        <f t="array" ref="E1144">IFERROR(_xlfn.XLOOKUP(1,('env Parameter'!$A:$A=$A1144)*('env Parameter'!$B:$B=$K1144)*('env Parameter'!$C:$C=$L1144),'env Parameter'!G:G,""),"")</f>
        <v>7.6</v>
      </c>
      <c r="F1144" t="str">
        <f>eDNA!F1144</f>
        <v>MiFish</v>
      </c>
      <c r="G1144" t="str">
        <f>eDNA!D1144</f>
        <v>Rhynchocypris oxycephalus</v>
      </c>
      <c r="H1144" t="str">
        <f>_xlfn.XLOOKUP(G1144,'Common name (master file)'!$B:$B,'Common name (master file)'!$A:$A,"-------------")</f>
        <v>버들치</v>
      </c>
      <c r="I1144">
        <f>eDNA!E1144</f>
        <v>20</v>
      </c>
      <c r="J1144" t="str">
        <f>_xlfn.XLOOKUP(G1144,'Common name (master file)'!$B:$B,'Common name (master file)'!$C:$C,"")</f>
        <v>어류</v>
      </c>
      <c r="K1144">
        <f>eDNA!B1144</f>
        <v>126.99657019999999</v>
      </c>
      <c r="L1144">
        <f>eDNA!C1144</f>
        <v>37.389118600000003</v>
      </c>
      <c r="M1144" s="10" t="str" cm="1">
        <f t="array" ref="M1144">IFERROR(_xlfn.XLOOKUP(1,('env Parameter'!$A:$A=$A1144)*('env Parameter'!$B:$B=$K1144)*('env Parameter'!$C:$C=$L1144),'env Parameter'!D:D,""),"")</f>
        <v>안양천-19</v>
      </c>
      <c r="N1144" s="10" t="str" cm="1">
        <f t="array" ref="N1144">IFERROR(_xlfn.XLOOKUP(1,('env Parameter'!$A:$A=$A1144)*('env Parameter'!$B:$B=$K1144)*('env Parameter'!$C:$C=$L1144),'env Parameter'!I:I,""),"")</f>
        <v>YR</v>
      </c>
    </row>
    <row r="1145" spans="1:14">
      <c r="A1145">
        <f>eDNA!A1145</f>
        <v>20201024</v>
      </c>
      <c r="B1145" s="10" t="str" cm="1">
        <f t="array" ref="B1145">IFERROR(_xlfn.XLOOKUP(1,('env Parameter'!$A:$A=$A1145)*('env Parameter'!$B:$B=$K1145)*('env Parameter'!$C:$C=$L1145),'env Parameter'!H:H,""),"")</f>
        <v>생물상 조사</v>
      </c>
      <c r="C1145" s="10" cm="1">
        <f t="array" ref="C1145">IFERROR(_xlfn.XLOOKUP(1,('env Parameter'!$A:$A=$A1145)*('env Parameter'!$B:$B=$K1145)*('env Parameter'!$C:$C=$L1145),'env Parameter'!E:E,""),"")</f>
        <v>2.14</v>
      </c>
      <c r="D1145" s="10" cm="1">
        <f t="array" ref="D1145">IFERROR(_xlfn.XLOOKUP(1,('env Parameter'!$A:$A=$A1145)*('env Parameter'!$B:$B=$K1145)*('env Parameter'!$C:$C=$L1145),'env Parameter'!F:F,""),"")</f>
        <v>478</v>
      </c>
      <c r="E1145" s="10" cm="1">
        <f t="array" ref="E1145">IFERROR(_xlfn.XLOOKUP(1,('env Parameter'!$A:$A=$A1145)*('env Parameter'!$B:$B=$K1145)*('env Parameter'!$C:$C=$L1145),'env Parameter'!G:G,""),"")</f>
        <v>7.6</v>
      </c>
      <c r="F1145" t="str">
        <f>eDNA!F1145</f>
        <v>MiFish</v>
      </c>
      <c r="G1145" t="str">
        <f>eDNA!D1145</f>
        <v>Nipponocypris temminckii</v>
      </c>
      <c r="H1145" t="str">
        <f>_xlfn.XLOOKUP(G1145,'Common name (master file)'!$B:$B,'Common name (master file)'!$A:$A,"-------------")</f>
        <v>갈겨니</v>
      </c>
      <c r="I1145">
        <f>eDNA!E1145</f>
        <v>45</v>
      </c>
      <c r="J1145" t="str">
        <f>_xlfn.XLOOKUP(G1145,'Common name (master file)'!$B:$B,'Common name (master file)'!$C:$C,"")</f>
        <v>어류</v>
      </c>
      <c r="K1145">
        <f>eDNA!B1145</f>
        <v>126.8772417</v>
      </c>
      <c r="L1145">
        <f>eDNA!C1145</f>
        <v>37.474826299999997</v>
      </c>
      <c r="M1145" s="10" t="str" cm="1">
        <f t="array" ref="M1145">IFERROR(_xlfn.XLOOKUP(1,('env Parameter'!$A:$A=$A1145)*('env Parameter'!$B:$B=$K1145)*('env Parameter'!$C:$C=$L1145),'env Parameter'!D:D,""),"")</f>
        <v>안양천-10</v>
      </c>
      <c r="N1145" s="10" t="str" cm="1">
        <f t="array" ref="N1145">IFERROR(_xlfn.XLOOKUP(1,('env Parameter'!$A:$A=$A1145)*('env Parameter'!$B:$B=$K1145)*('env Parameter'!$C:$C=$L1145),'env Parameter'!I:I,""),"")</f>
        <v>YR</v>
      </c>
    </row>
    <row r="1146" spans="1:14">
      <c r="A1146">
        <f>eDNA!A1146</f>
        <v>20201024</v>
      </c>
      <c r="B1146" s="10" t="str" cm="1">
        <f t="array" ref="B1146">IFERROR(_xlfn.XLOOKUP(1,('env Parameter'!$A:$A=$A1146)*('env Parameter'!$B:$B=$K1146)*('env Parameter'!$C:$C=$L1146),'env Parameter'!H:H,""),"")</f>
        <v>생물상 조사</v>
      </c>
      <c r="C1146" s="10" cm="1">
        <f t="array" ref="C1146">IFERROR(_xlfn.XLOOKUP(1,('env Parameter'!$A:$A=$A1146)*('env Parameter'!$B:$B=$K1146)*('env Parameter'!$C:$C=$L1146),'env Parameter'!E:E,""),"")</f>
        <v>2.14</v>
      </c>
      <c r="D1146" s="10" cm="1">
        <f t="array" ref="D1146">IFERROR(_xlfn.XLOOKUP(1,('env Parameter'!$A:$A=$A1146)*('env Parameter'!$B:$B=$K1146)*('env Parameter'!$C:$C=$L1146),'env Parameter'!F:F,""),"")</f>
        <v>478</v>
      </c>
      <c r="E1146" s="10" cm="1">
        <f t="array" ref="E1146">IFERROR(_xlfn.XLOOKUP(1,('env Parameter'!$A:$A=$A1146)*('env Parameter'!$B:$B=$K1146)*('env Parameter'!$C:$C=$L1146),'env Parameter'!G:G,""),"")</f>
        <v>7.6</v>
      </c>
      <c r="F1146" t="str">
        <f>eDNA!F1146</f>
        <v>MiFish</v>
      </c>
      <c r="G1146" t="str">
        <f>eDNA!D1146</f>
        <v>Anguilla japonica</v>
      </c>
      <c r="H1146" t="str">
        <f>_xlfn.XLOOKUP(G1146,'Common name (master file)'!$B:$B,'Common name (master file)'!$A:$A,"-------------")</f>
        <v>뱀장어</v>
      </c>
      <c r="I1146">
        <f>eDNA!E1146</f>
        <v>29</v>
      </c>
      <c r="J1146" t="str">
        <f>_xlfn.XLOOKUP(G1146,'Common name (master file)'!$B:$B,'Common name (master file)'!$C:$C,"")</f>
        <v>어류</v>
      </c>
      <c r="K1146">
        <f>eDNA!B1146</f>
        <v>126.8772417</v>
      </c>
      <c r="L1146">
        <f>eDNA!C1146</f>
        <v>37.474826299999997</v>
      </c>
      <c r="M1146" s="10" t="str" cm="1">
        <f t="array" ref="M1146">IFERROR(_xlfn.XLOOKUP(1,('env Parameter'!$A:$A=$A1146)*('env Parameter'!$B:$B=$K1146)*('env Parameter'!$C:$C=$L1146),'env Parameter'!D:D,""),"")</f>
        <v>안양천-10</v>
      </c>
      <c r="N1146" s="10" t="str" cm="1">
        <f t="array" ref="N1146">IFERROR(_xlfn.XLOOKUP(1,('env Parameter'!$A:$A=$A1146)*('env Parameter'!$B:$B=$K1146)*('env Parameter'!$C:$C=$L1146),'env Parameter'!I:I,""),"")</f>
        <v>YR</v>
      </c>
    </row>
    <row r="1147" spans="1:14">
      <c r="A1147">
        <f>eDNA!A1147</f>
        <v>20201024</v>
      </c>
      <c r="B1147" s="10" t="str" cm="1">
        <f t="array" ref="B1147">IFERROR(_xlfn.XLOOKUP(1,('env Parameter'!$A:$A=$A1147)*('env Parameter'!$B:$B=$K1147)*('env Parameter'!$C:$C=$L1147),'env Parameter'!H:H,""),"")</f>
        <v>생물상 조사</v>
      </c>
      <c r="C1147" s="10" cm="1">
        <f t="array" ref="C1147">IFERROR(_xlfn.XLOOKUP(1,('env Parameter'!$A:$A=$A1147)*('env Parameter'!$B:$B=$K1147)*('env Parameter'!$C:$C=$L1147),'env Parameter'!E:E,""),"")</f>
        <v>2.14</v>
      </c>
      <c r="D1147" s="10" cm="1">
        <f t="array" ref="D1147">IFERROR(_xlfn.XLOOKUP(1,('env Parameter'!$A:$A=$A1147)*('env Parameter'!$B:$B=$K1147)*('env Parameter'!$C:$C=$L1147),'env Parameter'!F:F,""),"")</f>
        <v>478</v>
      </c>
      <c r="E1147" s="10" cm="1">
        <f t="array" ref="E1147">IFERROR(_xlfn.XLOOKUP(1,('env Parameter'!$A:$A=$A1147)*('env Parameter'!$B:$B=$K1147)*('env Parameter'!$C:$C=$L1147),'env Parameter'!G:G,""),"")</f>
        <v>7.6</v>
      </c>
      <c r="F1147" t="str">
        <f>eDNA!F1147</f>
        <v>MiFish</v>
      </c>
      <c r="G1147" t="str">
        <f>eDNA!D1147</f>
        <v>Rhynchocypris oxycephalus</v>
      </c>
      <c r="H1147" t="str">
        <f>_xlfn.XLOOKUP(G1147,'Common name (master file)'!$B:$B,'Common name (master file)'!$A:$A,"-------------")</f>
        <v>버들치</v>
      </c>
      <c r="I1147">
        <f>eDNA!E1147</f>
        <v>26</v>
      </c>
      <c r="J1147" t="str">
        <f>_xlfn.XLOOKUP(G1147,'Common name (master file)'!$B:$B,'Common name (master file)'!$C:$C,"")</f>
        <v>어류</v>
      </c>
      <c r="K1147">
        <f>eDNA!B1147</f>
        <v>126.9070155</v>
      </c>
      <c r="L1147">
        <f>eDNA!C1147</f>
        <v>37.385953200000003</v>
      </c>
      <c r="M1147" s="10" t="str" cm="1">
        <f t="array" ref="M1147">IFERROR(_xlfn.XLOOKUP(1,('env Parameter'!$A:$A=$A1147)*('env Parameter'!$B:$B=$K1147)*('env Parameter'!$C:$C=$L1147),'env Parameter'!D:D,""),"")</f>
        <v>수암천</v>
      </c>
      <c r="N1147" s="10" t="str" cm="1">
        <f t="array" ref="N1147">IFERROR(_xlfn.XLOOKUP(1,('env Parameter'!$A:$A=$A1147)*('env Parameter'!$B:$B=$K1147)*('env Parameter'!$C:$C=$L1147),'env Parameter'!I:I,""),"")</f>
        <v>YR</v>
      </c>
    </row>
    <row r="1148" spans="1:14">
      <c r="A1148">
        <f>eDNA!A1148</f>
        <v>20201024</v>
      </c>
      <c r="B1148" s="10" t="str" cm="1">
        <f t="array" ref="B1148">IFERROR(_xlfn.XLOOKUP(1,('env Parameter'!$A:$A=$A1148)*('env Parameter'!$B:$B=$K1148)*('env Parameter'!$C:$C=$L1148),'env Parameter'!H:H,""),"")</f>
        <v>생물상 조사</v>
      </c>
      <c r="C1148" s="10" cm="1">
        <f t="array" ref="C1148">IFERROR(_xlfn.XLOOKUP(1,('env Parameter'!$A:$A=$A1148)*('env Parameter'!$B:$B=$K1148)*('env Parameter'!$C:$C=$L1148),'env Parameter'!E:E,""),"")</f>
        <v>2.14</v>
      </c>
      <c r="D1148" s="10" cm="1">
        <f t="array" ref="D1148">IFERROR(_xlfn.XLOOKUP(1,('env Parameter'!$A:$A=$A1148)*('env Parameter'!$B:$B=$K1148)*('env Parameter'!$C:$C=$L1148),'env Parameter'!F:F,""),"")</f>
        <v>478</v>
      </c>
      <c r="E1148" s="10" cm="1">
        <f t="array" ref="E1148">IFERROR(_xlfn.XLOOKUP(1,('env Parameter'!$A:$A=$A1148)*('env Parameter'!$B:$B=$K1148)*('env Parameter'!$C:$C=$L1148),'env Parameter'!G:G,""),"")</f>
        <v>7.6</v>
      </c>
      <c r="F1148" t="str">
        <f>eDNA!F1148</f>
        <v>MiFish</v>
      </c>
      <c r="G1148" t="str">
        <f>eDNA!D1148</f>
        <v>Tadorna tadorna</v>
      </c>
      <c r="H1148" t="str">
        <f>_xlfn.XLOOKUP(G1148,'Common name (master file)'!$B:$B,'Common name (master file)'!$A:$A,"-------------")</f>
        <v>혹부리오리</v>
      </c>
      <c r="I1148">
        <f>eDNA!E1148</f>
        <v>31</v>
      </c>
      <c r="J1148" t="str">
        <f>_xlfn.XLOOKUP(G1148,'Common name (master file)'!$B:$B,'Common name (master file)'!$C:$C,"")</f>
        <v>조류</v>
      </c>
      <c r="K1148">
        <f>eDNA!B1148</f>
        <v>126.8772417</v>
      </c>
      <c r="L1148">
        <f>eDNA!C1148</f>
        <v>37.474826299999997</v>
      </c>
      <c r="M1148" s="10" t="str" cm="1">
        <f t="array" ref="M1148">IFERROR(_xlfn.XLOOKUP(1,('env Parameter'!$A:$A=$A1148)*('env Parameter'!$B:$B=$K1148)*('env Parameter'!$C:$C=$L1148),'env Parameter'!D:D,""),"")</f>
        <v>안양천-10</v>
      </c>
      <c r="N1148" s="10" t="str" cm="1">
        <f t="array" ref="N1148">IFERROR(_xlfn.XLOOKUP(1,('env Parameter'!$A:$A=$A1148)*('env Parameter'!$B:$B=$K1148)*('env Parameter'!$C:$C=$L1148),'env Parameter'!I:I,""),"")</f>
        <v>YR</v>
      </c>
    </row>
    <row r="1149" spans="1:14">
      <c r="A1149">
        <f>eDNA!A1149</f>
        <v>20201024</v>
      </c>
      <c r="B1149" s="10" t="str" cm="1">
        <f t="array" ref="B1149">IFERROR(_xlfn.XLOOKUP(1,('env Parameter'!$A:$A=$A1149)*('env Parameter'!$B:$B=$K1149)*('env Parameter'!$C:$C=$L1149),'env Parameter'!H:H,""),"")</f>
        <v>생물상 조사</v>
      </c>
      <c r="C1149" s="10" cm="1">
        <f t="array" ref="C1149">IFERROR(_xlfn.XLOOKUP(1,('env Parameter'!$A:$A=$A1149)*('env Parameter'!$B:$B=$K1149)*('env Parameter'!$C:$C=$L1149),'env Parameter'!E:E,""),"")</f>
        <v>2.14</v>
      </c>
      <c r="D1149" s="10" cm="1">
        <f t="array" ref="D1149">IFERROR(_xlfn.XLOOKUP(1,('env Parameter'!$A:$A=$A1149)*('env Parameter'!$B:$B=$K1149)*('env Parameter'!$C:$C=$L1149),'env Parameter'!F:F,""),"")</f>
        <v>478</v>
      </c>
      <c r="E1149" s="10" cm="1">
        <f t="array" ref="E1149">IFERROR(_xlfn.XLOOKUP(1,('env Parameter'!$A:$A=$A1149)*('env Parameter'!$B:$B=$K1149)*('env Parameter'!$C:$C=$L1149),'env Parameter'!G:G,""),"")</f>
        <v>7.6</v>
      </c>
      <c r="F1149" t="str">
        <f>eDNA!F1149</f>
        <v>MiFish</v>
      </c>
      <c r="G1149" t="str">
        <f>eDNA!D1149</f>
        <v>Bos taurus</v>
      </c>
      <c r="H1149" t="str">
        <f>_xlfn.XLOOKUP(G1149,'Common name (master file)'!$B:$B,'Common name (master file)'!$A:$A,"-------------")</f>
        <v>소</v>
      </c>
      <c r="I1149">
        <f>eDNA!E1149</f>
        <v>32</v>
      </c>
      <c r="J1149" t="str">
        <f>_xlfn.XLOOKUP(G1149,'Common name (master file)'!$B:$B,'Common name (master file)'!$C:$C,"")</f>
        <v>포유류</v>
      </c>
      <c r="K1149">
        <f>eDNA!B1149</f>
        <v>126.8772417</v>
      </c>
      <c r="L1149">
        <f>eDNA!C1149</f>
        <v>37.474826299999997</v>
      </c>
      <c r="M1149" s="10" t="str" cm="1">
        <f t="array" ref="M1149">IFERROR(_xlfn.XLOOKUP(1,('env Parameter'!$A:$A=$A1149)*('env Parameter'!$B:$B=$K1149)*('env Parameter'!$C:$C=$L1149),'env Parameter'!D:D,""),"")</f>
        <v>안양천-10</v>
      </c>
      <c r="N1149" s="10" t="str" cm="1">
        <f t="array" ref="N1149">IFERROR(_xlfn.XLOOKUP(1,('env Parameter'!$A:$A=$A1149)*('env Parameter'!$B:$B=$K1149)*('env Parameter'!$C:$C=$L1149),'env Parameter'!I:I,""),"")</f>
        <v>YR</v>
      </c>
    </row>
    <row r="1150" spans="1:14">
      <c r="A1150">
        <f>eDNA!A1150</f>
        <v>20201024</v>
      </c>
      <c r="B1150" s="10" t="str" cm="1">
        <f t="array" ref="B1150">IFERROR(_xlfn.XLOOKUP(1,('env Parameter'!$A:$A=$A1150)*('env Parameter'!$B:$B=$K1150)*('env Parameter'!$C:$C=$L1150),'env Parameter'!H:H,""),"")</f>
        <v>생물상 조사</v>
      </c>
      <c r="C1150" s="10" cm="1">
        <f t="array" ref="C1150">IFERROR(_xlfn.XLOOKUP(1,('env Parameter'!$A:$A=$A1150)*('env Parameter'!$B:$B=$K1150)*('env Parameter'!$C:$C=$L1150),'env Parameter'!E:E,""),"")</f>
        <v>2.14</v>
      </c>
      <c r="D1150" s="10" cm="1">
        <f t="array" ref="D1150">IFERROR(_xlfn.XLOOKUP(1,('env Parameter'!$A:$A=$A1150)*('env Parameter'!$B:$B=$K1150)*('env Parameter'!$C:$C=$L1150),'env Parameter'!F:F,""),"")</f>
        <v>478</v>
      </c>
      <c r="E1150" s="10" cm="1">
        <f t="array" ref="E1150">IFERROR(_xlfn.XLOOKUP(1,('env Parameter'!$A:$A=$A1150)*('env Parameter'!$B:$B=$K1150)*('env Parameter'!$C:$C=$L1150),'env Parameter'!G:G,""),"")</f>
        <v>7.6</v>
      </c>
      <c r="F1150" t="str">
        <f>eDNA!F1150</f>
        <v>MiFish</v>
      </c>
      <c r="G1150" t="str">
        <f>eDNA!D1150</f>
        <v>Rhynchocypris oxycephalus</v>
      </c>
      <c r="H1150" t="str">
        <f>_xlfn.XLOOKUP(G1150,'Common name (master file)'!$B:$B,'Common name (master file)'!$A:$A,"-------------")</f>
        <v>버들치</v>
      </c>
      <c r="I1150">
        <f>eDNA!E1150</f>
        <v>1113</v>
      </c>
      <c r="J1150" t="str">
        <f>_xlfn.XLOOKUP(G1150,'Common name (master file)'!$B:$B,'Common name (master file)'!$C:$C,"")</f>
        <v>어류</v>
      </c>
      <c r="K1150">
        <f>eDNA!B1150</f>
        <v>126.9506027</v>
      </c>
      <c r="L1150">
        <f>eDNA!C1150</f>
        <v>37.400644700000001</v>
      </c>
      <c r="M1150" s="10" t="str" cm="1">
        <f t="array" ref="M1150">IFERROR(_xlfn.XLOOKUP(1,('env Parameter'!$A:$A=$A1150)*('env Parameter'!$B:$B=$K1150)*('env Parameter'!$C:$C=$L1150),'env Parameter'!D:D,""),"")</f>
        <v>안양천-31</v>
      </c>
      <c r="N1150" s="10" t="str" cm="1">
        <f t="array" ref="N1150">IFERROR(_xlfn.XLOOKUP(1,('env Parameter'!$A:$A=$A1150)*('env Parameter'!$B:$B=$K1150)*('env Parameter'!$C:$C=$L1150),'env Parameter'!I:I,""),"")</f>
        <v>YR</v>
      </c>
    </row>
    <row r="1151" spans="1:14">
      <c r="A1151">
        <f>eDNA!A1151</f>
        <v>20201024</v>
      </c>
      <c r="B1151" s="10" t="str" cm="1">
        <f t="array" ref="B1151">IFERROR(_xlfn.XLOOKUP(1,('env Parameter'!$A:$A=$A1151)*('env Parameter'!$B:$B=$K1151)*('env Parameter'!$C:$C=$L1151),'env Parameter'!H:H,""),"")</f>
        <v>생물상 조사</v>
      </c>
      <c r="C1151" s="10" cm="1">
        <f t="array" ref="C1151">IFERROR(_xlfn.XLOOKUP(1,('env Parameter'!$A:$A=$A1151)*('env Parameter'!$B:$B=$K1151)*('env Parameter'!$C:$C=$L1151),'env Parameter'!E:E,""),"")</f>
        <v>2.14</v>
      </c>
      <c r="D1151" s="10" cm="1">
        <f t="array" ref="D1151">IFERROR(_xlfn.XLOOKUP(1,('env Parameter'!$A:$A=$A1151)*('env Parameter'!$B:$B=$K1151)*('env Parameter'!$C:$C=$L1151),'env Parameter'!F:F,""),"")</f>
        <v>478</v>
      </c>
      <c r="E1151" s="10" cm="1">
        <f t="array" ref="E1151">IFERROR(_xlfn.XLOOKUP(1,('env Parameter'!$A:$A=$A1151)*('env Parameter'!$B:$B=$K1151)*('env Parameter'!$C:$C=$L1151),'env Parameter'!G:G,""),"")</f>
        <v>7.6</v>
      </c>
      <c r="F1151" t="str">
        <f>eDNA!F1151</f>
        <v>MiFish</v>
      </c>
      <c r="G1151" t="str">
        <f>eDNA!D1151</f>
        <v>Oryzias sinensis</v>
      </c>
      <c r="H1151" t="str">
        <f>_xlfn.XLOOKUP(G1151,'Common name (master file)'!$B:$B,'Common name (master file)'!$A:$A,"-------------")</f>
        <v>대륙송사리</v>
      </c>
      <c r="I1151">
        <f>eDNA!E1151</f>
        <v>33</v>
      </c>
      <c r="J1151" t="str">
        <f>_xlfn.XLOOKUP(G1151,'Common name (master file)'!$B:$B,'Common name (master file)'!$C:$C,"")</f>
        <v>어류</v>
      </c>
      <c r="K1151">
        <f>eDNA!B1151</f>
        <v>126.8772417</v>
      </c>
      <c r="L1151">
        <f>eDNA!C1151</f>
        <v>37.474826299999997</v>
      </c>
      <c r="M1151" s="10" t="str" cm="1">
        <f t="array" ref="M1151">IFERROR(_xlfn.XLOOKUP(1,('env Parameter'!$A:$A=$A1151)*('env Parameter'!$B:$B=$K1151)*('env Parameter'!$C:$C=$L1151),'env Parameter'!D:D,""),"")</f>
        <v>안양천-10</v>
      </c>
      <c r="N1151" s="10" t="str" cm="1">
        <f t="array" ref="N1151">IFERROR(_xlfn.XLOOKUP(1,('env Parameter'!$A:$A=$A1151)*('env Parameter'!$B:$B=$K1151)*('env Parameter'!$C:$C=$L1151),'env Parameter'!I:I,""),"")</f>
        <v>YR</v>
      </c>
    </row>
    <row r="1152" spans="1:14">
      <c r="A1152">
        <f>eDNA!A1152</f>
        <v>20201024</v>
      </c>
      <c r="B1152" s="10" t="str" cm="1">
        <f t="array" ref="B1152">IFERROR(_xlfn.XLOOKUP(1,('env Parameter'!$A:$A=$A1152)*('env Parameter'!$B:$B=$K1152)*('env Parameter'!$C:$C=$L1152),'env Parameter'!H:H,""),"")</f>
        <v>생물상 조사</v>
      </c>
      <c r="C1152" s="10" cm="1">
        <f t="array" ref="C1152">IFERROR(_xlfn.XLOOKUP(1,('env Parameter'!$A:$A=$A1152)*('env Parameter'!$B:$B=$K1152)*('env Parameter'!$C:$C=$L1152),'env Parameter'!E:E,""),"")</f>
        <v>2.14</v>
      </c>
      <c r="D1152" s="10" cm="1">
        <f t="array" ref="D1152">IFERROR(_xlfn.XLOOKUP(1,('env Parameter'!$A:$A=$A1152)*('env Parameter'!$B:$B=$K1152)*('env Parameter'!$C:$C=$L1152),'env Parameter'!F:F,""),"")</f>
        <v>478</v>
      </c>
      <c r="E1152" s="10" cm="1">
        <f t="array" ref="E1152">IFERROR(_xlfn.XLOOKUP(1,('env Parameter'!$A:$A=$A1152)*('env Parameter'!$B:$B=$K1152)*('env Parameter'!$C:$C=$L1152),'env Parameter'!G:G,""),"")</f>
        <v>7.6</v>
      </c>
      <c r="F1152" t="str">
        <f>eDNA!F1152</f>
        <v>MiFish</v>
      </c>
      <c r="G1152" t="str">
        <f>eDNA!D1152</f>
        <v>Konosirus punctatus</v>
      </c>
      <c r="H1152" t="str">
        <f>_xlfn.XLOOKUP(G1152,'Common name (master file)'!$B:$B,'Common name (master file)'!$A:$A,"-------------")</f>
        <v>전어</v>
      </c>
      <c r="I1152">
        <f>eDNA!E1152</f>
        <v>37</v>
      </c>
      <c r="J1152" t="str">
        <f>_xlfn.XLOOKUP(G1152,'Common name (master file)'!$B:$B,'Common name (master file)'!$C:$C,"")</f>
        <v>어류</v>
      </c>
      <c r="K1152">
        <f>eDNA!B1152</f>
        <v>126.8772417</v>
      </c>
      <c r="L1152">
        <f>eDNA!C1152</f>
        <v>37.474826299999997</v>
      </c>
      <c r="M1152" s="10" t="str" cm="1">
        <f t="array" ref="M1152">IFERROR(_xlfn.XLOOKUP(1,('env Parameter'!$A:$A=$A1152)*('env Parameter'!$B:$B=$K1152)*('env Parameter'!$C:$C=$L1152),'env Parameter'!D:D,""),"")</f>
        <v>안양천-10</v>
      </c>
      <c r="N1152" s="10" t="str" cm="1">
        <f t="array" ref="N1152">IFERROR(_xlfn.XLOOKUP(1,('env Parameter'!$A:$A=$A1152)*('env Parameter'!$B:$B=$K1152)*('env Parameter'!$C:$C=$L1152),'env Parameter'!I:I,""),"")</f>
        <v>YR</v>
      </c>
    </row>
    <row r="1153" spans="1:14">
      <c r="A1153">
        <f>eDNA!A1153</f>
        <v>20201024</v>
      </c>
      <c r="B1153" s="10" t="str" cm="1">
        <f t="array" ref="B1153">IFERROR(_xlfn.XLOOKUP(1,('env Parameter'!$A:$A=$A1153)*('env Parameter'!$B:$B=$K1153)*('env Parameter'!$C:$C=$L1153),'env Parameter'!H:H,""),"")</f>
        <v>생물상 조사</v>
      </c>
      <c r="C1153" s="10" cm="1">
        <f t="array" ref="C1153">IFERROR(_xlfn.XLOOKUP(1,('env Parameter'!$A:$A=$A1153)*('env Parameter'!$B:$B=$K1153)*('env Parameter'!$C:$C=$L1153),'env Parameter'!E:E,""),"")</f>
        <v>2.14</v>
      </c>
      <c r="D1153" s="10" cm="1">
        <f t="array" ref="D1153">IFERROR(_xlfn.XLOOKUP(1,('env Parameter'!$A:$A=$A1153)*('env Parameter'!$B:$B=$K1153)*('env Parameter'!$C:$C=$L1153),'env Parameter'!F:F,""),"")</f>
        <v>478</v>
      </c>
      <c r="E1153" s="10" cm="1">
        <f t="array" ref="E1153">IFERROR(_xlfn.XLOOKUP(1,('env Parameter'!$A:$A=$A1153)*('env Parameter'!$B:$B=$K1153)*('env Parameter'!$C:$C=$L1153),'env Parameter'!G:G,""),"")</f>
        <v>7.6</v>
      </c>
      <c r="F1153" t="str">
        <f>eDNA!F1153</f>
        <v>MiFish</v>
      </c>
      <c r="G1153" t="str">
        <f>eDNA!D1153</f>
        <v>Hemibarbus maculatus</v>
      </c>
      <c r="H1153" t="str">
        <f>_xlfn.XLOOKUP(G1153,'Common name (master file)'!$B:$B,'Common name (master file)'!$A:$A,"-------------")</f>
        <v>알락누치</v>
      </c>
      <c r="I1153">
        <f>eDNA!E1153</f>
        <v>41</v>
      </c>
      <c r="J1153" t="str">
        <f>_xlfn.XLOOKUP(G1153,'Common name (master file)'!$B:$B,'Common name (master file)'!$C:$C,"")</f>
        <v>어류</v>
      </c>
      <c r="K1153">
        <f>eDNA!B1153</f>
        <v>126.8772417</v>
      </c>
      <c r="L1153">
        <f>eDNA!C1153</f>
        <v>37.474826299999997</v>
      </c>
      <c r="M1153" s="10" t="str" cm="1">
        <f t="array" ref="M1153">IFERROR(_xlfn.XLOOKUP(1,('env Parameter'!$A:$A=$A1153)*('env Parameter'!$B:$B=$K1153)*('env Parameter'!$C:$C=$L1153),'env Parameter'!D:D,""),"")</f>
        <v>안양천-10</v>
      </c>
      <c r="N1153" s="10" t="str" cm="1">
        <f t="array" ref="N1153">IFERROR(_xlfn.XLOOKUP(1,('env Parameter'!$A:$A=$A1153)*('env Parameter'!$B:$B=$K1153)*('env Parameter'!$C:$C=$L1153),'env Parameter'!I:I,""),"")</f>
        <v>YR</v>
      </c>
    </row>
    <row r="1154" spans="1:14">
      <c r="A1154">
        <f>eDNA!A1154</f>
        <v>20201024</v>
      </c>
      <c r="B1154" s="10" t="str" cm="1">
        <f t="array" ref="B1154">IFERROR(_xlfn.XLOOKUP(1,('env Parameter'!$A:$A=$A1154)*('env Parameter'!$B:$B=$K1154)*('env Parameter'!$C:$C=$L1154),'env Parameter'!H:H,""),"")</f>
        <v>생물상 조사</v>
      </c>
      <c r="C1154" s="10" cm="1">
        <f t="array" ref="C1154">IFERROR(_xlfn.XLOOKUP(1,('env Parameter'!$A:$A=$A1154)*('env Parameter'!$B:$B=$K1154)*('env Parameter'!$C:$C=$L1154),'env Parameter'!E:E,""),"")</f>
        <v>2.14</v>
      </c>
      <c r="D1154" s="10" cm="1">
        <f t="array" ref="D1154">IFERROR(_xlfn.XLOOKUP(1,('env Parameter'!$A:$A=$A1154)*('env Parameter'!$B:$B=$K1154)*('env Parameter'!$C:$C=$L1154),'env Parameter'!F:F,""),"")</f>
        <v>478</v>
      </c>
      <c r="E1154" s="10" cm="1">
        <f t="array" ref="E1154">IFERROR(_xlfn.XLOOKUP(1,('env Parameter'!$A:$A=$A1154)*('env Parameter'!$B:$B=$K1154)*('env Parameter'!$C:$C=$L1154),'env Parameter'!G:G,""),"")</f>
        <v>7.6</v>
      </c>
      <c r="F1154" t="str">
        <f>eDNA!F1154</f>
        <v>MiFish</v>
      </c>
      <c r="G1154" t="str">
        <f>eDNA!D1154</f>
        <v>Cyprinus megalophthalmus</v>
      </c>
      <c r="H1154" t="str">
        <f>_xlfn.XLOOKUP(G1154,'Common name (master file)'!$B:$B,'Common name (master file)'!$A:$A,"-------------")</f>
        <v>큰눈잉어</v>
      </c>
      <c r="I1154">
        <f>eDNA!E1154</f>
        <v>44</v>
      </c>
      <c r="J1154" t="str">
        <f>_xlfn.XLOOKUP(G1154,'Common name (master file)'!$B:$B,'Common name (master file)'!$C:$C,"")</f>
        <v>어류</v>
      </c>
      <c r="K1154">
        <f>eDNA!B1154</f>
        <v>126.8772417</v>
      </c>
      <c r="L1154">
        <f>eDNA!C1154</f>
        <v>37.474826299999997</v>
      </c>
      <c r="M1154" s="10" t="str" cm="1">
        <f t="array" ref="M1154">IFERROR(_xlfn.XLOOKUP(1,('env Parameter'!$A:$A=$A1154)*('env Parameter'!$B:$B=$K1154)*('env Parameter'!$C:$C=$L1154),'env Parameter'!D:D,""),"")</f>
        <v>안양천-10</v>
      </c>
      <c r="N1154" s="10" t="str" cm="1">
        <f t="array" ref="N1154">IFERROR(_xlfn.XLOOKUP(1,('env Parameter'!$A:$A=$A1154)*('env Parameter'!$B:$B=$K1154)*('env Parameter'!$C:$C=$L1154),'env Parameter'!I:I,""),"")</f>
        <v>YR</v>
      </c>
    </row>
    <row r="1155" spans="1:14">
      <c r="A1155">
        <f>eDNA!A1155</f>
        <v>20201024</v>
      </c>
      <c r="B1155" s="10" t="str" cm="1">
        <f t="array" ref="B1155">IFERROR(_xlfn.XLOOKUP(1,('env Parameter'!$A:$A=$A1155)*('env Parameter'!$B:$B=$K1155)*('env Parameter'!$C:$C=$L1155),'env Parameter'!H:H,""),"")</f>
        <v>생물상 조사</v>
      </c>
      <c r="C1155" s="10" cm="1">
        <f t="array" ref="C1155">IFERROR(_xlfn.XLOOKUP(1,('env Parameter'!$A:$A=$A1155)*('env Parameter'!$B:$B=$K1155)*('env Parameter'!$C:$C=$L1155),'env Parameter'!E:E,""),"")</f>
        <v>2.14</v>
      </c>
      <c r="D1155" s="10" cm="1">
        <f t="array" ref="D1155">IFERROR(_xlfn.XLOOKUP(1,('env Parameter'!$A:$A=$A1155)*('env Parameter'!$B:$B=$K1155)*('env Parameter'!$C:$C=$L1155),'env Parameter'!F:F,""),"")</f>
        <v>478</v>
      </c>
      <c r="E1155" s="10" cm="1">
        <f t="array" ref="E1155">IFERROR(_xlfn.XLOOKUP(1,('env Parameter'!$A:$A=$A1155)*('env Parameter'!$B:$B=$K1155)*('env Parameter'!$C:$C=$L1155),'env Parameter'!G:G,""),"")</f>
        <v>7.6</v>
      </c>
      <c r="F1155" t="str">
        <f>eDNA!F1155</f>
        <v>MiFish</v>
      </c>
      <c r="G1155" t="str">
        <f>eDNA!D1155</f>
        <v>Acheilognathus macropterus</v>
      </c>
      <c r="H1155" t="str">
        <f>_xlfn.XLOOKUP(G1155,'Common name (master file)'!$B:$B,'Common name (master file)'!$A:$A,"-------------")</f>
        <v>큰납지리</v>
      </c>
      <c r="I1155">
        <f>eDNA!E1155</f>
        <v>48</v>
      </c>
      <c r="J1155" t="str">
        <f>_xlfn.XLOOKUP(G1155,'Common name (master file)'!$B:$B,'Common name (master file)'!$C:$C,"")</f>
        <v>어류</v>
      </c>
      <c r="K1155">
        <f>eDNA!B1155</f>
        <v>126.8772417</v>
      </c>
      <c r="L1155">
        <f>eDNA!C1155</f>
        <v>37.474826299999997</v>
      </c>
      <c r="M1155" s="10" t="str" cm="1">
        <f t="array" ref="M1155">IFERROR(_xlfn.XLOOKUP(1,('env Parameter'!$A:$A=$A1155)*('env Parameter'!$B:$B=$K1155)*('env Parameter'!$C:$C=$L1155),'env Parameter'!D:D,""),"")</f>
        <v>안양천-10</v>
      </c>
      <c r="N1155" s="10" t="str" cm="1">
        <f t="array" ref="N1155">IFERROR(_xlfn.XLOOKUP(1,('env Parameter'!$A:$A=$A1155)*('env Parameter'!$B:$B=$K1155)*('env Parameter'!$C:$C=$L1155),'env Parameter'!I:I,""),"")</f>
        <v>YR</v>
      </c>
    </row>
    <row r="1156" spans="1:14">
      <c r="A1156">
        <f>eDNA!A1156</f>
        <v>20201024</v>
      </c>
      <c r="B1156" s="10" t="str" cm="1">
        <f t="array" ref="B1156">IFERROR(_xlfn.XLOOKUP(1,('env Parameter'!$A:$A=$A1156)*('env Parameter'!$B:$B=$K1156)*('env Parameter'!$C:$C=$L1156),'env Parameter'!H:H,""),"")</f>
        <v>생물상 조사</v>
      </c>
      <c r="C1156" s="10" cm="1">
        <f t="array" ref="C1156">IFERROR(_xlfn.XLOOKUP(1,('env Parameter'!$A:$A=$A1156)*('env Parameter'!$B:$B=$K1156)*('env Parameter'!$C:$C=$L1156),'env Parameter'!E:E,""),"")</f>
        <v>2.14</v>
      </c>
      <c r="D1156" s="10" cm="1">
        <f t="array" ref="D1156">IFERROR(_xlfn.XLOOKUP(1,('env Parameter'!$A:$A=$A1156)*('env Parameter'!$B:$B=$K1156)*('env Parameter'!$C:$C=$L1156),'env Parameter'!F:F,""),"")</f>
        <v>478</v>
      </c>
      <c r="E1156" s="10" cm="1">
        <f t="array" ref="E1156">IFERROR(_xlfn.XLOOKUP(1,('env Parameter'!$A:$A=$A1156)*('env Parameter'!$B:$B=$K1156)*('env Parameter'!$C:$C=$L1156),'env Parameter'!G:G,""),"")</f>
        <v>7.6</v>
      </c>
      <c r="F1156" t="str">
        <f>eDNA!F1156</f>
        <v>MiFish</v>
      </c>
      <c r="G1156" t="str">
        <f>eDNA!D1156</f>
        <v>Argyrosomus argentatus</v>
      </c>
      <c r="H1156" t="str">
        <f>_xlfn.XLOOKUP(G1156,'Common name (master file)'!$B:$B,'Common name (master file)'!$A:$A,"-------------")</f>
        <v>보구치(남부)</v>
      </c>
      <c r="I1156">
        <f>eDNA!E1156</f>
        <v>210</v>
      </c>
      <c r="J1156" t="str">
        <f>_xlfn.XLOOKUP(G1156,'Common name (master file)'!$B:$B,'Common name (master file)'!$C:$C,"")</f>
        <v>어류</v>
      </c>
      <c r="K1156">
        <f>eDNA!B1156</f>
        <v>126.82462289999999</v>
      </c>
      <c r="L1156">
        <f>eDNA!C1156</f>
        <v>37.470256399999997</v>
      </c>
      <c r="M1156" s="10" t="str" cm="1">
        <f t="array" ref="M1156">IFERROR(_xlfn.XLOOKUP(1,('env Parameter'!$A:$A=$A1156)*('env Parameter'!$B:$B=$K1156)*('env Parameter'!$C:$C=$L1156),'env Parameter'!D:D,""),"")</f>
        <v>옥길천</v>
      </c>
      <c r="N1156" s="10" t="str" cm="1">
        <f t="array" ref="N1156">IFERROR(_xlfn.XLOOKUP(1,('env Parameter'!$A:$A=$A1156)*('env Parameter'!$B:$B=$K1156)*('env Parameter'!$C:$C=$L1156),'env Parameter'!I:I,""),"")</f>
        <v>YR</v>
      </c>
    </row>
    <row r="1157" spans="1:14">
      <c r="A1157">
        <f>eDNA!A1157</f>
        <v>20201024</v>
      </c>
      <c r="B1157" s="10" t="str" cm="1">
        <f t="array" ref="B1157">IFERROR(_xlfn.XLOOKUP(1,('env Parameter'!$A:$A=$A1157)*('env Parameter'!$B:$B=$K1157)*('env Parameter'!$C:$C=$L1157),'env Parameter'!H:H,""),"")</f>
        <v>생물상 조사</v>
      </c>
      <c r="C1157" s="10" cm="1">
        <f t="array" ref="C1157">IFERROR(_xlfn.XLOOKUP(1,('env Parameter'!$A:$A=$A1157)*('env Parameter'!$B:$B=$K1157)*('env Parameter'!$C:$C=$L1157),'env Parameter'!E:E,""),"")</f>
        <v>2.14</v>
      </c>
      <c r="D1157" s="10" cm="1">
        <f t="array" ref="D1157">IFERROR(_xlfn.XLOOKUP(1,('env Parameter'!$A:$A=$A1157)*('env Parameter'!$B:$B=$K1157)*('env Parameter'!$C:$C=$L1157),'env Parameter'!F:F,""),"")</f>
        <v>478</v>
      </c>
      <c r="E1157" s="10" cm="1">
        <f t="array" ref="E1157">IFERROR(_xlfn.XLOOKUP(1,('env Parameter'!$A:$A=$A1157)*('env Parameter'!$B:$B=$K1157)*('env Parameter'!$C:$C=$L1157),'env Parameter'!G:G,""),"")</f>
        <v>7.6</v>
      </c>
      <c r="F1157" t="str">
        <f>eDNA!F1157</f>
        <v>MiFish</v>
      </c>
      <c r="G1157" t="str">
        <f>eDNA!D1157</f>
        <v>Paramisgurnus dabryanus</v>
      </c>
      <c r="H1157" t="str">
        <f>_xlfn.XLOOKUP(G1157,'Common name (master file)'!$B:$B,'Common name (master file)'!$A:$A,"-------------")</f>
        <v>중국미꾸라지</v>
      </c>
      <c r="I1157">
        <f>eDNA!E1157</f>
        <v>87</v>
      </c>
      <c r="J1157" t="str">
        <f>_xlfn.XLOOKUP(G1157,'Common name (master file)'!$B:$B,'Common name (master file)'!$C:$C,"")</f>
        <v>어류</v>
      </c>
      <c r="K1157">
        <f>eDNA!B1157</f>
        <v>126.8772417</v>
      </c>
      <c r="L1157">
        <f>eDNA!C1157</f>
        <v>37.474826299999997</v>
      </c>
      <c r="M1157" s="10" t="str" cm="1">
        <f t="array" ref="M1157">IFERROR(_xlfn.XLOOKUP(1,('env Parameter'!$A:$A=$A1157)*('env Parameter'!$B:$B=$K1157)*('env Parameter'!$C:$C=$L1157),'env Parameter'!D:D,""),"")</f>
        <v>안양천-10</v>
      </c>
      <c r="N1157" s="10" t="str" cm="1">
        <f t="array" ref="N1157">IFERROR(_xlfn.XLOOKUP(1,('env Parameter'!$A:$A=$A1157)*('env Parameter'!$B:$B=$K1157)*('env Parameter'!$C:$C=$L1157),'env Parameter'!I:I,""),"")</f>
        <v>YR</v>
      </c>
    </row>
    <row r="1158" spans="1:14">
      <c r="A1158">
        <f>eDNA!A1158</f>
        <v>20201024</v>
      </c>
      <c r="B1158" s="10" t="str" cm="1">
        <f t="array" ref="B1158">IFERROR(_xlfn.XLOOKUP(1,('env Parameter'!$A:$A=$A1158)*('env Parameter'!$B:$B=$K1158)*('env Parameter'!$C:$C=$L1158),'env Parameter'!H:H,""),"")</f>
        <v>생물상 조사</v>
      </c>
      <c r="C1158" s="10" cm="1">
        <f t="array" ref="C1158">IFERROR(_xlfn.XLOOKUP(1,('env Parameter'!$A:$A=$A1158)*('env Parameter'!$B:$B=$K1158)*('env Parameter'!$C:$C=$L1158),'env Parameter'!E:E,""),"")</f>
        <v>2.14</v>
      </c>
      <c r="D1158" s="10" cm="1">
        <f t="array" ref="D1158">IFERROR(_xlfn.XLOOKUP(1,('env Parameter'!$A:$A=$A1158)*('env Parameter'!$B:$B=$K1158)*('env Parameter'!$C:$C=$L1158),'env Parameter'!F:F,""),"")</f>
        <v>478</v>
      </c>
      <c r="E1158" s="10" cm="1">
        <f t="array" ref="E1158">IFERROR(_xlfn.XLOOKUP(1,('env Parameter'!$A:$A=$A1158)*('env Parameter'!$B:$B=$K1158)*('env Parameter'!$C:$C=$L1158),'env Parameter'!G:G,""),"")</f>
        <v>7.6</v>
      </c>
      <c r="F1158" t="str">
        <f>eDNA!F1158</f>
        <v>MiFish</v>
      </c>
      <c r="G1158" t="str">
        <f>eDNA!D1158</f>
        <v>Columba livia</v>
      </c>
      <c r="H1158" t="str">
        <f>_xlfn.XLOOKUP(G1158,'Common name (master file)'!$B:$B,'Common name (master file)'!$A:$A,"-------------")</f>
        <v>비둘기</v>
      </c>
      <c r="I1158">
        <f>eDNA!E1158</f>
        <v>19</v>
      </c>
      <c r="J1158" t="str">
        <f>_xlfn.XLOOKUP(G1158,'Common name (master file)'!$B:$B,'Common name (master file)'!$C:$C,"")</f>
        <v>조류</v>
      </c>
      <c r="K1158">
        <f>eDNA!B1158</f>
        <v>126.8910417</v>
      </c>
      <c r="L1158">
        <f>eDNA!C1158</f>
        <v>37.458163800000001</v>
      </c>
      <c r="M1158" s="10" t="str" cm="1">
        <f t="array" ref="M1158">IFERROR(_xlfn.XLOOKUP(1,('env Parameter'!$A:$A=$A1158)*('env Parameter'!$B:$B=$K1158)*('env Parameter'!$C:$C=$L1158),'env Parameter'!D:D,""),"")</f>
        <v>안양천-9</v>
      </c>
      <c r="N1158" s="10" t="str" cm="1">
        <f t="array" ref="N1158">IFERROR(_xlfn.XLOOKUP(1,('env Parameter'!$A:$A=$A1158)*('env Parameter'!$B:$B=$K1158)*('env Parameter'!$C:$C=$L1158),'env Parameter'!I:I,""),"")</f>
        <v>YR</v>
      </c>
    </row>
    <row r="1159" spans="1:14">
      <c r="A1159">
        <f>eDNA!A1159</f>
        <v>20201024</v>
      </c>
      <c r="B1159" s="10" t="str" cm="1">
        <f t="array" ref="B1159">IFERROR(_xlfn.XLOOKUP(1,('env Parameter'!$A:$A=$A1159)*('env Parameter'!$B:$B=$K1159)*('env Parameter'!$C:$C=$L1159),'env Parameter'!H:H,""),"")</f>
        <v>생물상 조사</v>
      </c>
      <c r="C1159" s="10" cm="1">
        <f t="array" ref="C1159">IFERROR(_xlfn.XLOOKUP(1,('env Parameter'!$A:$A=$A1159)*('env Parameter'!$B:$B=$K1159)*('env Parameter'!$C:$C=$L1159),'env Parameter'!E:E,""),"")</f>
        <v>2.14</v>
      </c>
      <c r="D1159" s="10" cm="1">
        <f t="array" ref="D1159">IFERROR(_xlfn.XLOOKUP(1,('env Parameter'!$A:$A=$A1159)*('env Parameter'!$B:$B=$K1159)*('env Parameter'!$C:$C=$L1159),'env Parameter'!F:F,""),"")</f>
        <v>478</v>
      </c>
      <c r="E1159" s="10" cm="1">
        <f t="array" ref="E1159">IFERROR(_xlfn.XLOOKUP(1,('env Parameter'!$A:$A=$A1159)*('env Parameter'!$B:$B=$K1159)*('env Parameter'!$C:$C=$L1159),'env Parameter'!G:G,""),"")</f>
        <v>7.6</v>
      </c>
      <c r="F1159" t="str">
        <f>eDNA!F1159</f>
        <v>MiFish</v>
      </c>
      <c r="G1159" t="str">
        <f>eDNA!D1159</f>
        <v>Lepomis macrochirus</v>
      </c>
      <c r="H1159" t="str">
        <f>_xlfn.XLOOKUP(G1159,'Common name (master file)'!$B:$B,'Common name (master file)'!$A:$A,"-------------")</f>
        <v>블루길</v>
      </c>
      <c r="I1159">
        <f>eDNA!E1159</f>
        <v>76</v>
      </c>
      <c r="J1159" t="str">
        <f>_xlfn.XLOOKUP(G1159,'Common name (master file)'!$B:$B,'Common name (master file)'!$C:$C,"")</f>
        <v>어류</v>
      </c>
      <c r="K1159">
        <f>eDNA!B1159</f>
        <v>126.8772417</v>
      </c>
      <c r="L1159">
        <f>eDNA!C1159</f>
        <v>37.474826299999997</v>
      </c>
      <c r="M1159" s="10" t="str" cm="1">
        <f t="array" ref="M1159">IFERROR(_xlfn.XLOOKUP(1,('env Parameter'!$A:$A=$A1159)*('env Parameter'!$B:$B=$K1159)*('env Parameter'!$C:$C=$L1159),'env Parameter'!D:D,""),"")</f>
        <v>안양천-10</v>
      </c>
      <c r="N1159" s="10" t="str" cm="1">
        <f t="array" ref="N1159">IFERROR(_xlfn.XLOOKUP(1,('env Parameter'!$A:$A=$A1159)*('env Parameter'!$B:$B=$K1159)*('env Parameter'!$C:$C=$L1159),'env Parameter'!I:I,""),"")</f>
        <v>YR</v>
      </c>
    </row>
    <row r="1160" spans="1:14">
      <c r="A1160">
        <f>eDNA!A1160</f>
        <v>20201024</v>
      </c>
      <c r="B1160" s="10" t="str" cm="1">
        <f t="array" ref="B1160">IFERROR(_xlfn.XLOOKUP(1,('env Parameter'!$A:$A=$A1160)*('env Parameter'!$B:$B=$K1160)*('env Parameter'!$C:$C=$L1160),'env Parameter'!H:H,""),"")</f>
        <v>생물상 조사</v>
      </c>
      <c r="C1160" s="10" cm="1">
        <f t="array" ref="C1160">IFERROR(_xlfn.XLOOKUP(1,('env Parameter'!$A:$A=$A1160)*('env Parameter'!$B:$B=$K1160)*('env Parameter'!$C:$C=$L1160),'env Parameter'!E:E,""),"")</f>
        <v>2.14</v>
      </c>
      <c r="D1160" s="10" cm="1">
        <f t="array" ref="D1160">IFERROR(_xlfn.XLOOKUP(1,('env Parameter'!$A:$A=$A1160)*('env Parameter'!$B:$B=$K1160)*('env Parameter'!$C:$C=$L1160),'env Parameter'!F:F,""),"")</f>
        <v>478</v>
      </c>
      <c r="E1160" s="10" cm="1">
        <f t="array" ref="E1160">IFERROR(_xlfn.XLOOKUP(1,('env Parameter'!$A:$A=$A1160)*('env Parameter'!$B:$B=$K1160)*('env Parameter'!$C:$C=$L1160),'env Parameter'!G:G,""),"")</f>
        <v>7.6</v>
      </c>
      <c r="F1160" t="str">
        <f>eDNA!F1160</f>
        <v>MiFish</v>
      </c>
      <c r="G1160" t="str">
        <f>eDNA!D1160</f>
        <v>Columba livia</v>
      </c>
      <c r="H1160" t="str">
        <f>_xlfn.XLOOKUP(G1160,'Common name (master file)'!$B:$B,'Common name (master file)'!$A:$A,"-------------")</f>
        <v>비둘기</v>
      </c>
      <c r="I1160">
        <f>eDNA!E1160</f>
        <v>44</v>
      </c>
      <c r="J1160" t="str">
        <f>_xlfn.XLOOKUP(G1160,'Common name (master file)'!$B:$B,'Common name (master file)'!$C:$C,"")</f>
        <v>조류</v>
      </c>
      <c r="K1160">
        <f>eDNA!B1160</f>
        <v>126.87358690000001</v>
      </c>
      <c r="L1160">
        <f>eDNA!C1160</f>
        <v>37.508467699999997</v>
      </c>
      <c r="M1160" s="10" t="str" cm="1">
        <f t="array" ref="M1160">IFERROR(_xlfn.XLOOKUP(1,('env Parameter'!$A:$A=$A1160)*('env Parameter'!$B:$B=$K1160)*('env Parameter'!$C:$C=$L1160),'env Parameter'!D:D,""),"")</f>
        <v>안양천-13</v>
      </c>
      <c r="N1160" s="10" t="str" cm="1">
        <f t="array" ref="N1160">IFERROR(_xlfn.XLOOKUP(1,('env Parameter'!$A:$A=$A1160)*('env Parameter'!$B:$B=$K1160)*('env Parameter'!$C:$C=$L1160),'env Parameter'!I:I,""),"")</f>
        <v>YR</v>
      </c>
    </row>
    <row r="1161" spans="1:14">
      <c r="A1161">
        <f>eDNA!A1161</f>
        <v>20201024</v>
      </c>
      <c r="B1161" s="10" t="str" cm="1">
        <f t="array" ref="B1161">IFERROR(_xlfn.XLOOKUP(1,('env Parameter'!$A:$A=$A1161)*('env Parameter'!$B:$B=$K1161)*('env Parameter'!$C:$C=$L1161),'env Parameter'!H:H,""),"")</f>
        <v>생물상 조사</v>
      </c>
      <c r="C1161" s="10" cm="1">
        <f t="array" ref="C1161">IFERROR(_xlfn.XLOOKUP(1,('env Parameter'!$A:$A=$A1161)*('env Parameter'!$B:$B=$K1161)*('env Parameter'!$C:$C=$L1161),'env Parameter'!E:E,""),"")</f>
        <v>2.14</v>
      </c>
      <c r="D1161" s="10" cm="1">
        <f t="array" ref="D1161">IFERROR(_xlfn.XLOOKUP(1,('env Parameter'!$A:$A=$A1161)*('env Parameter'!$B:$B=$K1161)*('env Parameter'!$C:$C=$L1161),'env Parameter'!F:F,""),"")</f>
        <v>478</v>
      </c>
      <c r="E1161" s="10" cm="1">
        <f t="array" ref="E1161">IFERROR(_xlfn.XLOOKUP(1,('env Parameter'!$A:$A=$A1161)*('env Parameter'!$B:$B=$K1161)*('env Parameter'!$C:$C=$L1161),'env Parameter'!G:G,""),"")</f>
        <v>7.6</v>
      </c>
      <c r="F1161" t="str">
        <f>eDNA!F1161</f>
        <v>MiFish</v>
      </c>
      <c r="G1161" t="str">
        <f>eDNA!D1161</f>
        <v>Carassius cuvieri</v>
      </c>
      <c r="H1161" t="str">
        <f>_xlfn.XLOOKUP(G1161,'Common name (master file)'!$B:$B,'Common name (master file)'!$A:$A,"-------------")</f>
        <v>떡붕어</v>
      </c>
      <c r="I1161">
        <f>eDNA!E1161</f>
        <v>154</v>
      </c>
      <c r="J1161" t="str">
        <f>_xlfn.XLOOKUP(G1161,'Common name (master file)'!$B:$B,'Common name (master file)'!$C:$C,"")</f>
        <v>어류</v>
      </c>
      <c r="K1161">
        <f>eDNA!B1161</f>
        <v>126.8772417</v>
      </c>
      <c r="L1161">
        <f>eDNA!C1161</f>
        <v>37.474826299999997</v>
      </c>
      <c r="M1161" s="10" t="str" cm="1">
        <f t="array" ref="M1161">IFERROR(_xlfn.XLOOKUP(1,('env Parameter'!$A:$A=$A1161)*('env Parameter'!$B:$B=$K1161)*('env Parameter'!$C:$C=$L1161),'env Parameter'!D:D,""),"")</f>
        <v>안양천-10</v>
      </c>
      <c r="N1161" s="10" t="str" cm="1">
        <f t="array" ref="N1161">IFERROR(_xlfn.XLOOKUP(1,('env Parameter'!$A:$A=$A1161)*('env Parameter'!$B:$B=$K1161)*('env Parameter'!$C:$C=$L1161),'env Parameter'!I:I,""),"")</f>
        <v>YR</v>
      </c>
    </row>
    <row r="1162" spans="1:14">
      <c r="A1162">
        <f>eDNA!A1162</f>
        <v>20201024</v>
      </c>
      <c r="B1162" s="10" t="str" cm="1">
        <f t="array" ref="B1162">IFERROR(_xlfn.XLOOKUP(1,('env Parameter'!$A:$A=$A1162)*('env Parameter'!$B:$B=$K1162)*('env Parameter'!$C:$C=$L1162),'env Parameter'!H:H,""),"")</f>
        <v>생물상 조사</v>
      </c>
      <c r="C1162" s="10" cm="1">
        <f t="array" ref="C1162">IFERROR(_xlfn.XLOOKUP(1,('env Parameter'!$A:$A=$A1162)*('env Parameter'!$B:$B=$K1162)*('env Parameter'!$C:$C=$L1162),'env Parameter'!E:E,""),"")</f>
        <v>2.14</v>
      </c>
      <c r="D1162" s="10" cm="1">
        <f t="array" ref="D1162">IFERROR(_xlfn.XLOOKUP(1,('env Parameter'!$A:$A=$A1162)*('env Parameter'!$B:$B=$K1162)*('env Parameter'!$C:$C=$L1162),'env Parameter'!F:F,""),"")</f>
        <v>478</v>
      </c>
      <c r="E1162" s="10" cm="1">
        <f t="array" ref="E1162">IFERROR(_xlfn.XLOOKUP(1,('env Parameter'!$A:$A=$A1162)*('env Parameter'!$B:$B=$K1162)*('env Parameter'!$C:$C=$L1162),'env Parameter'!G:G,""),"")</f>
        <v>7.6</v>
      </c>
      <c r="F1162" t="str">
        <f>eDNA!F1162</f>
        <v>MiFish</v>
      </c>
      <c r="G1162" t="str">
        <f>eDNA!D1162</f>
        <v>Anas crecca</v>
      </c>
      <c r="H1162" t="str">
        <f>_xlfn.XLOOKUP(G1162,'Common name (master file)'!$B:$B,'Common name (master file)'!$A:$A,"-------------")</f>
        <v>쇠오리</v>
      </c>
      <c r="I1162">
        <f>eDNA!E1162</f>
        <v>20</v>
      </c>
      <c r="J1162" t="str">
        <f>_xlfn.XLOOKUP(G1162,'Common name (master file)'!$B:$B,'Common name (master file)'!$C:$C,"")</f>
        <v>조류</v>
      </c>
      <c r="K1162">
        <f>eDNA!B1162</f>
        <v>126.8910417</v>
      </c>
      <c r="L1162">
        <f>eDNA!C1162</f>
        <v>37.458163800000001</v>
      </c>
      <c r="M1162" s="10" t="str" cm="1">
        <f t="array" ref="M1162">IFERROR(_xlfn.XLOOKUP(1,('env Parameter'!$A:$A=$A1162)*('env Parameter'!$B:$B=$K1162)*('env Parameter'!$C:$C=$L1162),'env Parameter'!D:D,""),"")</f>
        <v>안양천-9</v>
      </c>
      <c r="N1162" s="10" t="str" cm="1">
        <f t="array" ref="N1162">IFERROR(_xlfn.XLOOKUP(1,('env Parameter'!$A:$A=$A1162)*('env Parameter'!$B:$B=$K1162)*('env Parameter'!$C:$C=$L1162),'env Parameter'!I:I,""),"")</f>
        <v>YR</v>
      </c>
    </row>
    <row r="1163" spans="1:14">
      <c r="A1163">
        <f>eDNA!A1163</f>
        <v>20201024</v>
      </c>
      <c r="B1163" s="10" t="str" cm="1">
        <f t="array" ref="B1163">IFERROR(_xlfn.XLOOKUP(1,('env Parameter'!$A:$A=$A1163)*('env Parameter'!$B:$B=$K1163)*('env Parameter'!$C:$C=$L1163),'env Parameter'!H:H,""),"")</f>
        <v>생물상 조사</v>
      </c>
      <c r="C1163" s="10" cm="1">
        <f t="array" ref="C1163">IFERROR(_xlfn.XLOOKUP(1,('env Parameter'!$A:$A=$A1163)*('env Parameter'!$B:$B=$K1163)*('env Parameter'!$C:$C=$L1163),'env Parameter'!E:E,""),"")</f>
        <v>2.14</v>
      </c>
      <c r="D1163" s="10" cm="1">
        <f t="array" ref="D1163">IFERROR(_xlfn.XLOOKUP(1,('env Parameter'!$A:$A=$A1163)*('env Parameter'!$B:$B=$K1163)*('env Parameter'!$C:$C=$L1163),'env Parameter'!F:F,""),"")</f>
        <v>478</v>
      </c>
      <c r="E1163" s="10" cm="1">
        <f t="array" ref="E1163">IFERROR(_xlfn.XLOOKUP(1,('env Parameter'!$A:$A=$A1163)*('env Parameter'!$B:$B=$K1163)*('env Parameter'!$C:$C=$L1163),'env Parameter'!G:G,""),"")</f>
        <v>7.6</v>
      </c>
      <c r="F1163" t="str">
        <f>eDNA!F1163</f>
        <v>MiFish</v>
      </c>
      <c r="G1163" t="str">
        <f>eDNA!D1163</f>
        <v>Lefua costata</v>
      </c>
      <c r="H1163" t="str">
        <f>_xlfn.XLOOKUP(G1163,'Common name (master file)'!$B:$B,'Common name (master file)'!$A:$A,"-------------")</f>
        <v>쌀미꾸리</v>
      </c>
      <c r="I1163">
        <f>eDNA!E1163</f>
        <v>367</v>
      </c>
      <c r="J1163" t="str">
        <f>_xlfn.XLOOKUP(G1163,'Common name (master file)'!$B:$B,'Common name (master file)'!$C:$C,"")</f>
        <v>어류</v>
      </c>
      <c r="K1163">
        <f>eDNA!B1163</f>
        <v>126.99657019999999</v>
      </c>
      <c r="L1163">
        <f>eDNA!C1163</f>
        <v>37.389118600000003</v>
      </c>
      <c r="M1163" s="10" t="str" cm="1">
        <f t="array" ref="M1163">IFERROR(_xlfn.XLOOKUP(1,('env Parameter'!$A:$A=$A1163)*('env Parameter'!$B:$B=$K1163)*('env Parameter'!$C:$C=$L1163),'env Parameter'!D:D,""),"")</f>
        <v>안양천-19</v>
      </c>
      <c r="N1163" s="10" t="str" cm="1">
        <f t="array" ref="N1163">IFERROR(_xlfn.XLOOKUP(1,('env Parameter'!$A:$A=$A1163)*('env Parameter'!$B:$B=$K1163)*('env Parameter'!$C:$C=$L1163),'env Parameter'!I:I,""),"")</f>
        <v>YR</v>
      </c>
    </row>
    <row r="1164" spans="1:14">
      <c r="A1164">
        <f>eDNA!A1164</f>
        <v>20200916</v>
      </c>
      <c r="B1164" s="10" t="str" cm="1">
        <f t="array" ref="B1164">IFERROR(_xlfn.XLOOKUP(1,('env Parameter'!$A:$A=$A1164)*('env Parameter'!$B:$B=$K1164)*('env Parameter'!$C:$C=$L1164),'env Parameter'!H:H,""),"")</f>
        <v>생물상 조사</v>
      </c>
      <c r="C1164" s="10" cm="1">
        <f t="array" ref="C1164">IFERROR(_xlfn.XLOOKUP(1,('env Parameter'!$A:$A=$A1164)*('env Parameter'!$B:$B=$K1164)*('env Parameter'!$C:$C=$L1164),'env Parameter'!E:E,""),"")</f>
        <v>2.14</v>
      </c>
      <c r="D1164" s="10" cm="1">
        <f t="array" ref="D1164">IFERROR(_xlfn.XLOOKUP(1,('env Parameter'!$A:$A=$A1164)*('env Parameter'!$B:$B=$K1164)*('env Parameter'!$C:$C=$L1164),'env Parameter'!F:F,""),"")</f>
        <v>478</v>
      </c>
      <c r="E1164" s="10" cm="1">
        <f t="array" ref="E1164">IFERROR(_xlfn.XLOOKUP(1,('env Parameter'!$A:$A=$A1164)*('env Parameter'!$B:$B=$K1164)*('env Parameter'!$C:$C=$L1164),'env Parameter'!G:G,""),"")</f>
        <v>7.6</v>
      </c>
      <c r="F1164" t="str">
        <f>eDNA!F1164</f>
        <v>MiFish</v>
      </c>
      <c r="G1164" t="str">
        <f>eDNA!D1164</f>
        <v>Lefua costata</v>
      </c>
      <c r="H1164" t="str">
        <f>_xlfn.XLOOKUP(G1164,'Common name (master file)'!$B:$B,'Common name (master file)'!$A:$A,"-------------")</f>
        <v>쌀미꾸리</v>
      </c>
      <c r="I1164">
        <f>eDNA!E1164</f>
        <v>1396</v>
      </c>
      <c r="J1164" t="str">
        <f>_xlfn.XLOOKUP(G1164,'Common name (master file)'!$B:$B,'Common name (master file)'!$C:$C,"")</f>
        <v>어류</v>
      </c>
      <c r="K1164">
        <f>eDNA!B1164</f>
        <v>126.9724018</v>
      </c>
      <c r="L1164">
        <f>eDNA!C1164</f>
        <v>37.348161500000003</v>
      </c>
      <c r="M1164" s="10" t="str" cm="1">
        <f t="array" ref="M1164">IFERROR(_xlfn.XLOOKUP(1,('env Parameter'!$A:$A=$A1164)*('env Parameter'!$B:$B=$K1164)*('env Parameter'!$C:$C=$L1164),'env Parameter'!D:D,""),"")</f>
        <v>안양천-1</v>
      </c>
      <c r="N1164" s="10" t="str" cm="1">
        <f t="array" ref="N1164">IFERROR(_xlfn.XLOOKUP(1,('env Parameter'!$A:$A=$A1164)*('env Parameter'!$B:$B=$K1164)*('env Parameter'!$C:$C=$L1164),'env Parameter'!I:I,""),"")</f>
        <v>YR</v>
      </c>
    </row>
    <row r="1165" spans="1:14">
      <c r="A1165">
        <f>eDNA!A1165</f>
        <v>20201024</v>
      </c>
      <c r="B1165" s="10" t="str" cm="1">
        <f t="array" ref="B1165">IFERROR(_xlfn.XLOOKUP(1,('env Parameter'!$A:$A=$A1165)*('env Parameter'!$B:$B=$K1165)*('env Parameter'!$C:$C=$L1165),'env Parameter'!H:H,""),"")</f>
        <v>생물상 조사</v>
      </c>
      <c r="C1165" s="10" cm="1">
        <f t="array" ref="C1165">IFERROR(_xlfn.XLOOKUP(1,('env Parameter'!$A:$A=$A1165)*('env Parameter'!$B:$B=$K1165)*('env Parameter'!$C:$C=$L1165),'env Parameter'!E:E,""),"")</f>
        <v>2.14</v>
      </c>
      <c r="D1165" s="10" cm="1">
        <f t="array" ref="D1165">IFERROR(_xlfn.XLOOKUP(1,('env Parameter'!$A:$A=$A1165)*('env Parameter'!$B:$B=$K1165)*('env Parameter'!$C:$C=$L1165),'env Parameter'!F:F,""),"")</f>
        <v>478</v>
      </c>
      <c r="E1165" s="10" cm="1">
        <f t="array" ref="E1165">IFERROR(_xlfn.XLOOKUP(1,('env Parameter'!$A:$A=$A1165)*('env Parameter'!$B:$B=$K1165)*('env Parameter'!$C:$C=$L1165),'env Parameter'!G:G,""),"")</f>
        <v>7.6</v>
      </c>
      <c r="F1165" t="str">
        <f>eDNA!F1165</f>
        <v>MiFish</v>
      </c>
      <c r="G1165" t="str">
        <f>eDNA!D1165</f>
        <v>Acheilognathus rhombeus</v>
      </c>
      <c r="H1165" t="str">
        <f>_xlfn.XLOOKUP(G1165,'Common name (master file)'!$B:$B,'Common name (master file)'!$A:$A,"-------------")</f>
        <v>납지리</v>
      </c>
      <c r="I1165">
        <f>eDNA!E1165</f>
        <v>106</v>
      </c>
      <c r="J1165" t="str">
        <f>_xlfn.XLOOKUP(G1165,'Common name (master file)'!$B:$B,'Common name (master file)'!$C:$C,"")</f>
        <v>어류</v>
      </c>
      <c r="K1165">
        <f>eDNA!B1165</f>
        <v>126.8772417</v>
      </c>
      <c r="L1165">
        <f>eDNA!C1165</f>
        <v>37.474826299999997</v>
      </c>
      <c r="M1165" s="10" t="str" cm="1">
        <f t="array" ref="M1165">IFERROR(_xlfn.XLOOKUP(1,('env Parameter'!$A:$A=$A1165)*('env Parameter'!$B:$B=$K1165)*('env Parameter'!$C:$C=$L1165),'env Parameter'!D:D,""),"")</f>
        <v>안양천-10</v>
      </c>
      <c r="N1165" s="10" t="str" cm="1">
        <f t="array" ref="N1165">IFERROR(_xlfn.XLOOKUP(1,('env Parameter'!$A:$A=$A1165)*('env Parameter'!$B:$B=$K1165)*('env Parameter'!$C:$C=$L1165),'env Parameter'!I:I,""),"")</f>
        <v>YR</v>
      </c>
    </row>
    <row r="1166" spans="1:14">
      <c r="A1166">
        <f>eDNA!A1166</f>
        <v>20201024</v>
      </c>
      <c r="B1166" s="10" t="str" cm="1">
        <f t="array" ref="B1166">IFERROR(_xlfn.XLOOKUP(1,('env Parameter'!$A:$A=$A1166)*('env Parameter'!$B:$B=$K1166)*('env Parameter'!$C:$C=$L1166),'env Parameter'!H:H,""),"")</f>
        <v>생물상 조사</v>
      </c>
      <c r="C1166" s="10" cm="1">
        <f t="array" ref="C1166">IFERROR(_xlfn.XLOOKUP(1,('env Parameter'!$A:$A=$A1166)*('env Parameter'!$B:$B=$K1166)*('env Parameter'!$C:$C=$L1166),'env Parameter'!E:E,""),"")</f>
        <v>2.14</v>
      </c>
      <c r="D1166" s="10" cm="1">
        <f t="array" ref="D1166">IFERROR(_xlfn.XLOOKUP(1,('env Parameter'!$A:$A=$A1166)*('env Parameter'!$B:$B=$K1166)*('env Parameter'!$C:$C=$L1166),'env Parameter'!F:F,""),"")</f>
        <v>478</v>
      </c>
      <c r="E1166" s="10" cm="1">
        <f t="array" ref="E1166">IFERROR(_xlfn.XLOOKUP(1,('env Parameter'!$A:$A=$A1166)*('env Parameter'!$B:$B=$K1166)*('env Parameter'!$C:$C=$L1166),'env Parameter'!G:G,""),"")</f>
        <v>7.6</v>
      </c>
      <c r="F1166" t="str">
        <f>eDNA!F1166</f>
        <v>MiFish</v>
      </c>
      <c r="G1166" t="str">
        <f>eDNA!D1166</f>
        <v>Acanthorhodeus chankaensis</v>
      </c>
      <c r="H1166" t="str">
        <f>_xlfn.XLOOKUP(G1166,'Common name (master file)'!$B:$B,'Common name (master file)'!$A:$A,"-------------")</f>
        <v>가시납지리</v>
      </c>
      <c r="I1166">
        <f>eDNA!E1166</f>
        <v>106</v>
      </c>
      <c r="J1166" t="str">
        <f>_xlfn.XLOOKUP(G1166,'Common name (master file)'!$B:$B,'Common name (master file)'!$C:$C,"")</f>
        <v>어류</v>
      </c>
      <c r="K1166">
        <f>eDNA!B1166</f>
        <v>126.8772417</v>
      </c>
      <c r="L1166">
        <f>eDNA!C1166</f>
        <v>37.474826299999997</v>
      </c>
      <c r="M1166" s="10" t="str" cm="1">
        <f t="array" ref="M1166">IFERROR(_xlfn.XLOOKUP(1,('env Parameter'!$A:$A=$A1166)*('env Parameter'!$B:$B=$K1166)*('env Parameter'!$C:$C=$L1166),'env Parameter'!D:D,""),"")</f>
        <v>안양천-10</v>
      </c>
      <c r="N1166" s="10" t="str" cm="1">
        <f t="array" ref="N1166">IFERROR(_xlfn.XLOOKUP(1,('env Parameter'!$A:$A=$A1166)*('env Parameter'!$B:$B=$K1166)*('env Parameter'!$C:$C=$L1166),'env Parameter'!I:I,""),"")</f>
        <v>YR</v>
      </c>
    </row>
    <row r="1167" spans="1:14">
      <c r="A1167">
        <f>eDNA!A1167</f>
        <v>20201024</v>
      </c>
      <c r="B1167" s="10" t="str" cm="1">
        <f t="array" ref="B1167">IFERROR(_xlfn.XLOOKUP(1,('env Parameter'!$A:$A=$A1167)*('env Parameter'!$B:$B=$K1167)*('env Parameter'!$C:$C=$L1167),'env Parameter'!H:H,""),"")</f>
        <v>생물상 조사</v>
      </c>
      <c r="C1167" s="10" cm="1">
        <f t="array" ref="C1167">IFERROR(_xlfn.XLOOKUP(1,('env Parameter'!$A:$A=$A1167)*('env Parameter'!$B:$B=$K1167)*('env Parameter'!$C:$C=$L1167),'env Parameter'!E:E,""),"")</f>
        <v>2.14</v>
      </c>
      <c r="D1167" s="10" cm="1">
        <f t="array" ref="D1167">IFERROR(_xlfn.XLOOKUP(1,('env Parameter'!$A:$A=$A1167)*('env Parameter'!$B:$B=$K1167)*('env Parameter'!$C:$C=$L1167),'env Parameter'!F:F,""),"")</f>
        <v>478</v>
      </c>
      <c r="E1167" s="10" cm="1">
        <f t="array" ref="E1167">IFERROR(_xlfn.XLOOKUP(1,('env Parameter'!$A:$A=$A1167)*('env Parameter'!$B:$B=$K1167)*('env Parameter'!$C:$C=$L1167),'env Parameter'!G:G,""),"")</f>
        <v>7.6</v>
      </c>
      <c r="F1167" t="str">
        <f>eDNA!F1167</f>
        <v>MiFish</v>
      </c>
      <c r="G1167" t="str">
        <f>eDNA!D1167</f>
        <v>Canis lupus familiaris</v>
      </c>
      <c r="H1167" t="str">
        <f>_xlfn.XLOOKUP(G1167,'Common name (master file)'!$B:$B,'Common name (master file)'!$A:$A,"-------------")</f>
        <v>개</v>
      </c>
      <c r="I1167">
        <f>eDNA!E1167</f>
        <v>333</v>
      </c>
      <c r="J1167" t="str">
        <f>_xlfn.XLOOKUP(G1167,'Common name (master file)'!$B:$B,'Common name (master file)'!$C:$C,"")</f>
        <v>포유류</v>
      </c>
      <c r="K1167">
        <f>eDNA!B1167</f>
        <v>126.8772417</v>
      </c>
      <c r="L1167">
        <f>eDNA!C1167</f>
        <v>37.474826299999997</v>
      </c>
      <c r="M1167" s="10" t="str" cm="1">
        <f t="array" ref="M1167">IFERROR(_xlfn.XLOOKUP(1,('env Parameter'!$A:$A=$A1167)*('env Parameter'!$B:$B=$K1167)*('env Parameter'!$C:$C=$L1167),'env Parameter'!D:D,""),"")</f>
        <v>안양천-10</v>
      </c>
      <c r="N1167" s="10" t="str" cm="1">
        <f t="array" ref="N1167">IFERROR(_xlfn.XLOOKUP(1,('env Parameter'!$A:$A=$A1167)*('env Parameter'!$B:$B=$K1167)*('env Parameter'!$C:$C=$L1167),'env Parameter'!I:I,""),"")</f>
        <v>YR</v>
      </c>
    </row>
    <row r="1168" spans="1:14">
      <c r="A1168">
        <f>eDNA!A1168</f>
        <v>20201024</v>
      </c>
      <c r="B1168" s="10" t="str" cm="1">
        <f t="array" ref="B1168">IFERROR(_xlfn.XLOOKUP(1,('env Parameter'!$A:$A=$A1168)*('env Parameter'!$B:$B=$K1168)*('env Parameter'!$C:$C=$L1168),'env Parameter'!H:H,""),"")</f>
        <v>생물상 조사</v>
      </c>
      <c r="C1168" s="10" cm="1">
        <f t="array" ref="C1168">IFERROR(_xlfn.XLOOKUP(1,('env Parameter'!$A:$A=$A1168)*('env Parameter'!$B:$B=$K1168)*('env Parameter'!$C:$C=$L1168),'env Parameter'!E:E,""),"")</f>
        <v>2.14</v>
      </c>
      <c r="D1168" s="10" cm="1">
        <f t="array" ref="D1168">IFERROR(_xlfn.XLOOKUP(1,('env Parameter'!$A:$A=$A1168)*('env Parameter'!$B:$B=$K1168)*('env Parameter'!$C:$C=$L1168),'env Parameter'!F:F,""),"")</f>
        <v>478</v>
      </c>
      <c r="E1168" s="10" cm="1">
        <f t="array" ref="E1168">IFERROR(_xlfn.XLOOKUP(1,('env Parameter'!$A:$A=$A1168)*('env Parameter'!$B:$B=$K1168)*('env Parameter'!$C:$C=$L1168),'env Parameter'!G:G,""),"")</f>
        <v>7.6</v>
      </c>
      <c r="F1168" t="str">
        <f>eDNA!F1168</f>
        <v>MiFish</v>
      </c>
      <c r="G1168" t="str">
        <f>eDNA!D1168</f>
        <v>Synechogobius hasta</v>
      </c>
      <c r="H1168" t="str">
        <f>_xlfn.XLOOKUP(G1168,'Common name (master file)'!$B:$B,'Common name (master file)'!$A:$A,"-------------")</f>
        <v>풀망둑</v>
      </c>
      <c r="I1168">
        <f>eDNA!E1168</f>
        <v>136</v>
      </c>
      <c r="J1168" t="str">
        <f>_xlfn.XLOOKUP(G1168,'Common name (master file)'!$B:$B,'Common name (master file)'!$C:$C,"")</f>
        <v>어류</v>
      </c>
      <c r="K1168">
        <f>eDNA!B1168</f>
        <v>126.8772417</v>
      </c>
      <c r="L1168">
        <f>eDNA!C1168</f>
        <v>37.474826299999997</v>
      </c>
      <c r="M1168" s="10" t="str" cm="1">
        <f t="array" ref="M1168">IFERROR(_xlfn.XLOOKUP(1,('env Parameter'!$A:$A=$A1168)*('env Parameter'!$B:$B=$K1168)*('env Parameter'!$C:$C=$L1168),'env Parameter'!D:D,""),"")</f>
        <v>안양천-10</v>
      </c>
      <c r="N1168" s="10" t="str" cm="1">
        <f t="array" ref="N1168">IFERROR(_xlfn.XLOOKUP(1,('env Parameter'!$A:$A=$A1168)*('env Parameter'!$B:$B=$K1168)*('env Parameter'!$C:$C=$L1168),'env Parameter'!I:I,""),"")</f>
        <v>YR</v>
      </c>
    </row>
    <row r="1169" spans="1:14">
      <c r="A1169">
        <f>eDNA!A1169</f>
        <v>20201024</v>
      </c>
      <c r="B1169" s="10" t="str" cm="1">
        <f t="array" ref="B1169">IFERROR(_xlfn.XLOOKUP(1,('env Parameter'!$A:$A=$A1169)*('env Parameter'!$B:$B=$K1169)*('env Parameter'!$C:$C=$L1169),'env Parameter'!H:H,""),"")</f>
        <v>생물상 조사</v>
      </c>
      <c r="C1169" s="10" cm="1">
        <f t="array" ref="C1169">IFERROR(_xlfn.XLOOKUP(1,('env Parameter'!$A:$A=$A1169)*('env Parameter'!$B:$B=$K1169)*('env Parameter'!$C:$C=$L1169),'env Parameter'!E:E,""),"")</f>
        <v>2.14</v>
      </c>
      <c r="D1169" s="10" cm="1">
        <f t="array" ref="D1169">IFERROR(_xlfn.XLOOKUP(1,('env Parameter'!$A:$A=$A1169)*('env Parameter'!$B:$B=$K1169)*('env Parameter'!$C:$C=$L1169),'env Parameter'!F:F,""),"")</f>
        <v>478</v>
      </c>
      <c r="E1169" s="10" cm="1">
        <f t="array" ref="E1169">IFERROR(_xlfn.XLOOKUP(1,('env Parameter'!$A:$A=$A1169)*('env Parameter'!$B:$B=$K1169)*('env Parameter'!$C:$C=$L1169),'env Parameter'!G:G,""),"")</f>
        <v>7.6</v>
      </c>
      <c r="F1169" t="str">
        <f>eDNA!F1169</f>
        <v>MiFish</v>
      </c>
      <c r="G1169" t="str">
        <f>eDNA!D1169</f>
        <v>Pseudogobio esocinus</v>
      </c>
      <c r="H1169" t="str">
        <f>_xlfn.XLOOKUP(G1169,'Common name (master file)'!$B:$B,'Common name (master file)'!$A:$A,"-------------")</f>
        <v>모래무지</v>
      </c>
      <c r="I1169">
        <f>eDNA!E1169</f>
        <v>205</v>
      </c>
      <c r="J1169" t="str">
        <f>_xlfn.XLOOKUP(G1169,'Common name (master file)'!$B:$B,'Common name (master file)'!$C:$C,"")</f>
        <v>어류</v>
      </c>
      <c r="K1169">
        <f>eDNA!B1169</f>
        <v>126.8772417</v>
      </c>
      <c r="L1169">
        <f>eDNA!C1169</f>
        <v>37.474826299999997</v>
      </c>
      <c r="M1169" s="10" t="str" cm="1">
        <f t="array" ref="M1169">IFERROR(_xlfn.XLOOKUP(1,('env Parameter'!$A:$A=$A1169)*('env Parameter'!$B:$B=$K1169)*('env Parameter'!$C:$C=$L1169),'env Parameter'!D:D,""),"")</f>
        <v>안양천-10</v>
      </c>
      <c r="N1169" s="10" t="str" cm="1">
        <f t="array" ref="N1169">IFERROR(_xlfn.XLOOKUP(1,('env Parameter'!$A:$A=$A1169)*('env Parameter'!$B:$B=$K1169)*('env Parameter'!$C:$C=$L1169),'env Parameter'!I:I,""),"")</f>
        <v>YR</v>
      </c>
    </row>
    <row r="1170" spans="1:14">
      <c r="A1170">
        <f>eDNA!A1170</f>
        <v>20201024</v>
      </c>
      <c r="B1170" s="10" t="str" cm="1">
        <f t="array" ref="B1170">IFERROR(_xlfn.XLOOKUP(1,('env Parameter'!$A:$A=$A1170)*('env Parameter'!$B:$B=$K1170)*('env Parameter'!$C:$C=$L1170),'env Parameter'!H:H,""),"")</f>
        <v>생물상 조사</v>
      </c>
      <c r="C1170" s="10" cm="1">
        <f t="array" ref="C1170">IFERROR(_xlfn.XLOOKUP(1,('env Parameter'!$A:$A=$A1170)*('env Parameter'!$B:$B=$K1170)*('env Parameter'!$C:$C=$L1170),'env Parameter'!E:E,""),"")</f>
        <v>2.14</v>
      </c>
      <c r="D1170" s="10" cm="1">
        <f t="array" ref="D1170">IFERROR(_xlfn.XLOOKUP(1,('env Parameter'!$A:$A=$A1170)*('env Parameter'!$B:$B=$K1170)*('env Parameter'!$C:$C=$L1170),'env Parameter'!F:F,""),"")</f>
        <v>478</v>
      </c>
      <c r="E1170" s="10" cm="1">
        <f t="array" ref="E1170">IFERROR(_xlfn.XLOOKUP(1,('env Parameter'!$A:$A=$A1170)*('env Parameter'!$B:$B=$K1170)*('env Parameter'!$C:$C=$L1170),'env Parameter'!G:G,""),"")</f>
        <v>7.6</v>
      </c>
      <c r="F1170" t="str">
        <f>eDNA!F1170</f>
        <v>MiFish</v>
      </c>
      <c r="G1170" t="str">
        <f>eDNA!D1170</f>
        <v>Rhinogobius giurinus</v>
      </c>
      <c r="H1170" t="str">
        <f>_xlfn.XLOOKUP(G1170,'Common name (master file)'!$B:$B,'Common name (master file)'!$A:$A,"-------------")</f>
        <v>갈문망둑</v>
      </c>
      <c r="I1170">
        <f>eDNA!E1170</f>
        <v>250</v>
      </c>
      <c r="J1170" t="str">
        <f>_xlfn.XLOOKUP(G1170,'Common name (master file)'!$B:$B,'Common name (master file)'!$C:$C,"")</f>
        <v>어류</v>
      </c>
      <c r="K1170">
        <f>eDNA!B1170</f>
        <v>126.8772417</v>
      </c>
      <c r="L1170">
        <f>eDNA!C1170</f>
        <v>37.474826299999997</v>
      </c>
      <c r="M1170" s="10" t="str" cm="1">
        <f t="array" ref="M1170">IFERROR(_xlfn.XLOOKUP(1,('env Parameter'!$A:$A=$A1170)*('env Parameter'!$B:$B=$K1170)*('env Parameter'!$C:$C=$L1170),'env Parameter'!D:D,""),"")</f>
        <v>안양천-10</v>
      </c>
      <c r="N1170" s="10" t="str" cm="1">
        <f t="array" ref="N1170">IFERROR(_xlfn.XLOOKUP(1,('env Parameter'!$A:$A=$A1170)*('env Parameter'!$B:$B=$K1170)*('env Parameter'!$C:$C=$L1170),'env Parameter'!I:I,""),"")</f>
        <v>YR</v>
      </c>
    </row>
    <row r="1171" spans="1:14">
      <c r="A1171">
        <f>eDNA!A1171</f>
        <v>20200916</v>
      </c>
      <c r="B1171" s="10" t="str" cm="1">
        <f t="array" ref="B1171">IFERROR(_xlfn.XLOOKUP(1,('env Parameter'!$A:$A=$A1171)*('env Parameter'!$B:$B=$K1171)*('env Parameter'!$C:$C=$L1171),'env Parameter'!H:H,""),"")</f>
        <v>생물상 조사</v>
      </c>
      <c r="C1171" s="10" cm="1">
        <f t="array" ref="C1171">IFERROR(_xlfn.XLOOKUP(1,('env Parameter'!$A:$A=$A1171)*('env Parameter'!$B:$B=$K1171)*('env Parameter'!$C:$C=$L1171),'env Parameter'!E:E,""),"")</f>
        <v>2.14</v>
      </c>
      <c r="D1171" s="10" cm="1">
        <f t="array" ref="D1171">IFERROR(_xlfn.XLOOKUP(1,('env Parameter'!$A:$A=$A1171)*('env Parameter'!$B:$B=$K1171)*('env Parameter'!$C:$C=$L1171),'env Parameter'!F:F,""),"")</f>
        <v>478</v>
      </c>
      <c r="E1171" s="10" cm="1">
        <f t="array" ref="E1171">IFERROR(_xlfn.XLOOKUP(1,('env Parameter'!$A:$A=$A1171)*('env Parameter'!$B:$B=$K1171)*('env Parameter'!$C:$C=$L1171),'env Parameter'!G:G,""),"")</f>
        <v>7.6</v>
      </c>
      <c r="F1171" t="str">
        <f>eDNA!F1171</f>
        <v>MiFish</v>
      </c>
      <c r="G1171" t="str">
        <f>eDNA!D1171</f>
        <v>Lefua costata</v>
      </c>
      <c r="H1171" t="str">
        <f>_xlfn.XLOOKUP(G1171,'Common name (master file)'!$B:$B,'Common name (master file)'!$A:$A,"-------------")</f>
        <v>쌀미꾸리</v>
      </c>
      <c r="I1171">
        <f>eDNA!E1171</f>
        <v>330</v>
      </c>
      <c r="J1171" t="str">
        <f>_xlfn.XLOOKUP(G1171,'Common name (master file)'!$B:$B,'Common name (master file)'!$C:$C,"")</f>
        <v>어류</v>
      </c>
      <c r="K1171">
        <f>eDNA!B1171</f>
        <v>126.85185540000001</v>
      </c>
      <c r="L1171">
        <f>eDNA!C1171</f>
        <v>37.406578799999998</v>
      </c>
      <c r="M1171" s="10" t="str" cm="1">
        <f t="array" ref="M1171">IFERROR(_xlfn.XLOOKUP(1,('env Parameter'!$A:$A=$A1171)*('env Parameter'!$B:$B=$K1171)*('env Parameter'!$C:$C=$L1171),'env Parameter'!D:D,""),"")</f>
        <v>목감천-4</v>
      </c>
      <c r="N1171" s="10" t="str" cm="1">
        <f t="array" ref="N1171">IFERROR(_xlfn.XLOOKUP(1,('env Parameter'!$A:$A=$A1171)*('env Parameter'!$B:$B=$K1171)*('env Parameter'!$C:$C=$L1171),'env Parameter'!I:I,""),"")</f>
        <v>YR</v>
      </c>
    </row>
    <row r="1172" spans="1:14">
      <c r="A1172">
        <f>eDNA!A1172</f>
        <v>20201024</v>
      </c>
      <c r="B1172" s="10" t="str" cm="1">
        <f t="array" ref="B1172">IFERROR(_xlfn.XLOOKUP(1,('env Parameter'!$A:$A=$A1172)*('env Parameter'!$B:$B=$K1172)*('env Parameter'!$C:$C=$L1172),'env Parameter'!H:H,""),"")</f>
        <v>생물상 조사</v>
      </c>
      <c r="C1172" s="10" cm="1">
        <f t="array" ref="C1172">IFERROR(_xlfn.XLOOKUP(1,('env Parameter'!$A:$A=$A1172)*('env Parameter'!$B:$B=$K1172)*('env Parameter'!$C:$C=$L1172),'env Parameter'!E:E,""),"")</f>
        <v>2.14</v>
      </c>
      <c r="D1172" s="10" cm="1">
        <f t="array" ref="D1172">IFERROR(_xlfn.XLOOKUP(1,('env Parameter'!$A:$A=$A1172)*('env Parameter'!$B:$B=$K1172)*('env Parameter'!$C:$C=$L1172),'env Parameter'!F:F,""),"")</f>
        <v>478</v>
      </c>
      <c r="E1172" s="10" cm="1">
        <f t="array" ref="E1172">IFERROR(_xlfn.XLOOKUP(1,('env Parameter'!$A:$A=$A1172)*('env Parameter'!$B:$B=$K1172)*('env Parameter'!$C:$C=$L1172),'env Parameter'!G:G,""),"")</f>
        <v>7.6</v>
      </c>
      <c r="F1172" t="str">
        <f>eDNA!F1172</f>
        <v>MiFish</v>
      </c>
      <c r="G1172" t="str">
        <f>eDNA!D1172</f>
        <v>Misgurnus mizolepis</v>
      </c>
      <c r="H1172" t="str">
        <f>_xlfn.XLOOKUP(G1172,'Common name (master file)'!$B:$B,'Common name (master file)'!$A:$A,"-------------")</f>
        <v>미꾸라지</v>
      </c>
      <c r="I1172">
        <f>eDNA!E1172</f>
        <v>396</v>
      </c>
      <c r="J1172" t="str">
        <f>_xlfn.XLOOKUP(G1172,'Common name (master file)'!$B:$B,'Common name (master file)'!$C:$C,"")</f>
        <v>어류</v>
      </c>
      <c r="K1172">
        <f>eDNA!B1172</f>
        <v>126.8772417</v>
      </c>
      <c r="L1172">
        <f>eDNA!C1172</f>
        <v>37.474826299999997</v>
      </c>
      <c r="M1172" s="10" t="str" cm="1">
        <f t="array" ref="M1172">IFERROR(_xlfn.XLOOKUP(1,('env Parameter'!$A:$A=$A1172)*('env Parameter'!$B:$B=$K1172)*('env Parameter'!$C:$C=$L1172),'env Parameter'!D:D,""),"")</f>
        <v>안양천-10</v>
      </c>
      <c r="N1172" s="10" t="str" cm="1">
        <f t="array" ref="N1172">IFERROR(_xlfn.XLOOKUP(1,('env Parameter'!$A:$A=$A1172)*('env Parameter'!$B:$B=$K1172)*('env Parameter'!$C:$C=$L1172),'env Parameter'!I:I,""),"")</f>
        <v>YR</v>
      </c>
    </row>
    <row r="1173" spans="1:14">
      <c r="A1173">
        <f>eDNA!A1173</f>
        <v>20200916</v>
      </c>
      <c r="B1173" s="10" t="str" cm="1">
        <f t="array" ref="B1173">IFERROR(_xlfn.XLOOKUP(1,('env Parameter'!$A:$A=$A1173)*('env Parameter'!$B:$B=$K1173)*('env Parameter'!$C:$C=$L1173),'env Parameter'!H:H,""),"")</f>
        <v>생물상 조사</v>
      </c>
      <c r="C1173" s="10" cm="1">
        <f t="array" ref="C1173">IFERROR(_xlfn.XLOOKUP(1,('env Parameter'!$A:$A=$A1173)*('env Parameter'!$B:$B=$K1173)*('env Parameter'!$C:$C=$L1173),'env Parameter'!E:E,""),"")</f>
        <v>2.14</v>
      </c>
      <c r="D1173" s="10" cm="1">
        <f t="array" ref="D1173">IFERROR(_xlfn.XLOOKUP(1,('env Parameter'!$A:$A=$A1173)*('env Parameter'!$B:$B=$K1173)*('env Parameter'!$C:$C=$L1173),'env Parameter'!F:F,""),"")</f>
        <v>478</v>
      </c>
      <c r="E1173" s="10" cm="1">
        <f t="array" ref="E1173">IFERROR(_xlfn.XLOOKUP(1,('env Parameter'!$A:$A=$A1173)*('env Parameter'!$B:$B=$K1173)*('env Parameter'!$C:$C=$L1173),'env Parameter'!G:G,""),"")</f>
        <v>7.6</v>
      </c>
      <c r="F1173" t="str">
        <f>eDNA!F1173</f>
        <v>MiFish</v>
      </c>
      <c r="G1173" t="str">
        <f>eDNA!D1173</f>
        <v>Lefua costata</v>
      </c>
      <c r="H1173" t="str">
        <f>_xlfn.XLOOKUP(G1173,'Common name (master file)'!$B:$B,'Common name (master file)'!$A:$A,"-------------")</f>
        <v>쌀미꾸리</v>
      </c>
      <c r="I1173">
        <f>eDNA!E1173</f>
        <v>133</v>
      </c>
      <c r="J1173" t="str">
        <f>_xlfn.XLOOKUP(G1173,'Common name (master file)'!$B:$B,'Common name (master file)'!$C:$C,"")</f>
        <v>어류</v>
      </c>
      <c r="K1173">
        <f>eDNA!B1173</f>
        <v>126.83793110000001</v>
      </c>
      <c r="L1173">
        <f>eDNA!C1173</f>
        <v>37.441797600000001</v>
      </c>
      <c r="M1173" s="10" t="str" cm="1">
        <f t="array" ref="M1173">IFERROR(_xlfn.XLOOKUP(1,('env Parameter'!$A:$A=$A1173)*('env Parameter'!$B:$B=$K1173)*('env Parameter'!$C:$C=$L1173),'env Parameter'!D:D,""),"")</f>
        <v>목감천-2</v>
      </c>
      <c r="N1173" s="10" t="str" cm="1">
        <f t="array" ref="N1173">IFERROR(_xlfn.XLOOKUP(1,('env Parameter'!$A:$A=$A1173)*('env Parameter'!$B:$B=$K1173)*('env Parameter'!$C:$C=$L1173),'env Parameter'!I:I,""),"")</f>
        <v>YR</v>
      </c>
    </row>
    <row r="1174" spans="1:14">
      <c r="A1174">
        <f>eDNA!A1174</f>
        <v>20201024</v>
      </c>
      <c r="B1174" s="10" t="str" cm="1">
        <f t="array" ref="B1174">IFERROR(_xlfn.XLOOKUP(1,('env Parameter'!$A:$A=$A1174)*('env Parameter'!$B:$B=$K1174)*('env Parameter'!$C:$C=$L1174),'env Parameter'!H:H,""),"")</f>
        <v>생물상 조사</v>
      </c>
      <c r="C1174" s="10" cm="1">
        <f t="array" ref="C1174">IFERROR(_xlfn.XLOOKUP(1,('env Parameter'!$A:$A=$A1174)*('env Parameter'!$B:$B=$K1174)*('env Parameter'!$C:$C=$L1174),'env Parameter'!E:E,""),"")</f>
        <v>2.14</v>
      </c>
      <c r="D1174" s="10" cm="1">
        <f t="array" ref="D1174">IFERROR(_xlfn.XLOOKUP(1,('env Parameter'!$A:$A=$A1174)*('env Parameter'!$B:$B=$K1174)*('env Parameter'!$C:$C=$L1174),'env Parameter'!F:F,""),"")</f>
        <v>478</v>
      </c>
      <c r="E1174" s="10" cm="1">
        <f t="array" ref="E1174">IFERROR(_xlfn.XLOOKUP(1,('env Parameter'!$A:$A=$A1174)*('env Parameter'!$B:$B=$K1174)*('env Parameter'!$C:$C=$L1174),'env Parameter'!G:G,""),"")</f>
        <v>7.6</v>
      </c>
      <c r="F1174" t="str">
        <f>eDNA!F1174</f>
        <v>MiFish</v>
      </c>
      <c r="G1174" t="str">
        <f>eDNA!D1174</f>
        <v>Homo sapiens</v>
      </c>
      <c r="H1174" t="str">
        <f>_xlfn.XLOOKUP(G1174,'Common name (master file)'!$B:$B,'Common name (master file)'!$A:$A,"-------------")</f>
        <v>사람</v>
      </c>
      <c r="I1174">
        <f>eDNA!E1174</f>
        <v>417</v>
      </c>
      <c r="J1174" t="str">
        <f>_xlfn.XLOOKUP(G1174,'Common name (master file)'!$B:$B,'Common name (master file)'!$C:$C,"")</f>
        <v>포유류</v>
      </c>
      <c r="K1174">
        <f>eDNA!B1174</f>
        <v>126.8772417</v>
      </c>
      <c r="L1174">
        <f>eDNA!C1174</f>
        <v>37.474826299999997</v>
      </c>
      <c r="M1174" s="10" t="str" cm="1">
        <f t="array" ref="M1174">IFERROR(_xlfn.XLOOKUP(1,('env Parameter'!$A:$A=$A1174)*('env Parameter'!$B:$B=$K1174)*('env Parameter'!$C:$C=$L1174),'env Parameter'!D:D,""),"")</f>
        <v>안양천-10</v>
      </c>
      <c r="N1174" s="10" t="str" cm="1">
        <f t="array" ref="N1174">IFERROR(_xlfn.XLOOKUP(1,('env Parameter'!$A:$A=$A1174)*('env Parameter'!$B:$B=$K1174)*('env Parameter'!$C:$C=$L1174),'env Parameter'!I:I,""),"")</f>
        <v>YR</v>
      </c>
    </row>
    <row r="1175" spans="1:14">
      <c r="A1175">
        <f>eDNA!A1175</f>
        <v>20201024</v>
      </c>
      <c r="B1175" s="10" t="str" cm="1">
        <f t="array" ref="B1175">IFERROR(_xlfn.XLOOKUP(1,('env Parameter'!$A:$A=$A1175)*('env Parameter'!$B:$B=$K1175)*('env Parameter'!$C:$C=$L1175),'env Parameter'!H:H,""),"")</f>
        <v>생물상 조사</v>
      </c>
      <c r="C1175" s="10" cm="1">
        <f t="array" ref="C1175">IFERROR(_xlfn.XLOOKUP(1,('env Parameter'!$A:$A=$A1175)*('env Parameter'!$B:$B=$K1175)*('env Parameter'!$C:$C=$L1175),'env Parameter'!E:E,""),"")</f>
        <v>2.14</v>
      </c>
      <c r="D1175" s="10" cm="1">
        <f t="array" ref="D1175">IFERROR(_xlfn.XLOOKUP(1,('env Parameter'!$A:$A=$A1175)*('env Parameter'!$B:$B=$K1175)*('env Parameter'!$C:$C=$L1175),'env Parameter'!F:F,""),"")</f>
        <v>478</v>
      </c>
      <c r="E1175" s="10" cm="1">
        <f t="array" ref="E1175">IFERROR(_xlfn.XLOOKUP(1,('env Parameter'!$A:$A=$A1175)*('env Parameter'!$B:$B=$K1175)*('env Parameter'!$C:$C=$L1175),'env Parameter'!G:G,""),"")</f>
        <v>7.6</v>
      </c>
      <c r="F1175" t="str">
        <f>eDNA!F1175</f>
        <v>MiFish</v>
      </c>
      <c r="G1175" t="str">
        <f>eDNA!D1175</f>
        <v>Tridentiger obscurus</v>
      </c>
      <c r="H1175" t="str">
        <f>_xlfn.XLOOKUP(G1175,'Common name (master file)'!$B:$B,'Common name (master file)'!$A:$A,"-------------")</f>
        <v>검정망둑</v>
      </c>
      <c r="I1175">
        <f>eDNA!E1175</f>
        <v>416</v>
      </c>
      <c r="J1175" t="str">
        <f>_xlfn.XLOOKUP(G1175,'Common name (master file)'!$B:$B,'Common name (master file)'!$C:$C,"")</f>
        <v>어류</v>
      </c>
      <c r="K1175">
        <f>eDNA!B1175</f>
        <v>126.8772417</v>
      </c>
      <c r="L1175">
        <f>eDNA!C1175</f>
        <v>37.474826299999997</v>
      </c>
      <c r="M1175" s="10" t="str" cm="1">
        <f t="array" ref="M1175">IFERROR(_xlfn.XLOOKUP(1,('env Parameter'!$A:$A=$A1175)*('env Parameter'!$B:$B=$K1175)*('env Parameter'!$C:$C=$L1175),'env Parameter'!D:D,""),"")</f>
        <v>안양천-10</v>
      </c>
      <c r="N1175" s="10" t="str" cm="1">
        <f t="array" ref="N1175">IFERROR(_xlfn.XLOOKUP(1,('env Parameter'!$A:$A=$A1175)*('env Parameter'!$B:$B=$K1175)*('env Parameter'!$C:$C=$L1175),'env Parameter'!I:I,""),"")</f>
        <v>YR</v>
      </c>
    </row>
    <row r="1176" spans="1:14">
      <c r="A1176">
        <f>eDNA!A1176</f>
        <v>20201024</v>
      </c>
      <c r="B1176" s="10" t="str" cm="1">
        <f t="array" ref="B1176">IFERROR(_xlfn.XLOOKUP(1,('env Parameter'!$A:$A=$A1176)*('env Parameter'!$B:$B=$K1176)*('env Parameter'!$C:$C=$L1176),'env Parameter'!H:H,""),"")</f>
        <v>생물상 조사</v>
      </c>
      <c r="C1176" s="10" cm="1">
        <f t="array" ref="C1176">IFERROR(_xlfn.XLOOKUP(1,('env Parameter'!$A:$A=$A1176)*('env Parameter'!$B:$B=$K1176)*('env Parameter'!$C:$C=$L1176),'env Parameter'!E:E,""),"")</f>
        <v>2.14</v>
      </c>
      <c r="D1176" s="10" cm="1">
        <f t="array" ref="D1176">IFERROR(_xlfn.XLOOKUP(1,('env Parameter'!$A:$A=$A1176)*('env Parameter'!$B:$B=$K1176)*('env Parameter'!$C:$C=$L1176),'env Parameter'!F:F,""),"")</f>
        <v>478</v>
      </c>
      <c r="E1176" s="10" cm="1">
        <f t="array" ref="E1176">IFERROR(_xlfn.XLOOKUP(1,('env Parameter'!$A:$A=$A1176)*('env Parameter'!$B:$B=$K1176)*('env Parameter'!$C:$C=$L1176),'env Parameter'!G:G,""),"")</f>
        <v>7.6</v>
      </c>
      <c r="F1176" t="str">
        <f>eDNA!F1176</f>
        <v>MiFish</v>
      </c>
      <c r="G1176" t="str">
        <f>eDNA!D1176</f>
        <v>Sus scrofa</v>
      </c>
      <c r="H1176" t="str">
        <f>_xlfn.XLOOKUP(G1176,'Common name (master file)'!$B:$B,'Common name (master file)'!$A:$A,"-------------")</f>
        <v>멧돼지</v>
      </c>
      <c r="I1176">
        <f>eDNA!E1176</f>
        <v>1242</v>
      </c>
      <c r="J1176" t="str">
        <f>_xlfn.XLOOKUP(G1176,'Common name (master file)'!$B:$B,'Common name (master file)'!$C:$C,"")</f>
        <v>포유류</v>
      </c>
      <c r="K1176">
        <f>eDNA!B1176</f>
        <v>126.8772417</v>
      </c>
      <c r="L1176">
        <f>eDNA!C1176</f>
        <v>37.474826299999997</v>
      </c>
      <c r="M1176" s="10" t="str" cm="1">
        <f t="array" ref="M1176">IFERROR(_xlfn.XLOOKUP(1,('env Parameter'!$A:$A=$A1176)*('env Parameter'!$B:$B=$K1176)*('env Parameter'!$C:$C=$L1176),'env Parameter'!D:D,""),"")</f>
        <v>안양천-10</v>
      </c>
      <c r="N1176" s="10" t="str" cm="1">
        <f t="array" ref="N1176">IFERROR(_xlfn.XLOOKUP(1,('env Parameter'!$A:$A=$A1176)*('env Parameter'!$B:$B=$K1176)*('env Parameter'!$C:$C=$L1176),'env Parameter'!I:I,""),"")</f>
        <v>YR</v>
      </c>
    </row>
    <row r="1177" spans="1:14">
      <c r="A1177">
        <f>eDNA!A1177</f>
        <v>20201024</v>
      </c>
      <c r="B1177" s="10" t="str" cm="1">
        <f t="array" ref="B1177">IFERROR(_xlfn.XLOOKUP(1,('env Parameter'!$A:$A=$A1177)*('env Parameter'!$B:$B=$K1177)*('env Parameter'!$C:$C=$L1177),'env Parameter'!H:H,""),"")</f>
        <v>생물상 조사</v>
      </c>
      <c r="C1177" s="10" cm="1">
        <f t="array" ref="C1177">IFERROR(_xlfn.XLOOKUP(1,('env Parameter'!$A:$A=$A1177)*('env Parameter'!$B:$B=$K1177)*('env Parameter'!$C:$C=$L1177),'env Parameter'!E:E,""),"")</f>
        <v>2.14</v>
      </c>
      <c r="D1177" s="10" cm="1">
        <f t="array" ref="D1177">IFERROR(_xlfn.XLOOKUP(1,('env Parameter'!$A:$A=$A1177)*('env Parameter'!$B:$B=$K1177)*('env Parameter'!$C:$C=$L1177),'env Parameter'!F:F,""),"")</f>
        <v>478</v>
      </c>
      <c r="E1177" s="10" cm="1">
        <f t="array" ref="E1177">IFERROR(_xlfn.XLOOKUP(1,('env Parameter'!$A:$A=$A1177)*('env Parameter'!$B:$B=$K1177)*('env Parameter'!$C:$C=$L1177),'env Parameter'!G:G,""),"")</f>
        <v>7.6</v>
      </c>
      <c r="F1177" t="str">
        <f>eDNA!F1177</f>
        <v>MiFish</v>
      </c>
      <c r="G1177" t="str">
        <f>eDNA!D1177</f>
        <v>Micropterus salmoides</v>
      </c>
      <c r="H1177" t="str">
        <f>_xlfn.XLOOKUP(G1177,'Common name (master file)'!$B:$B,'Common name (master file)'!$A:$A,"-------------")</f>
        <v>큰입배스</v>
      </c>
      <c r="I1177">
        <f>eDNA!E1177</f>
        <v>436</v>
      </c>
      <c r="J1177" t="str">
        <f>_xlfn.XLOOKUP(G1177,'Common name (master file)'!$B:$B,'Common name (master file)'!$C:$C,"")</f>
        <v>어류</v>
      </c>
      <c r="K1177">
        <f>eDNA!B1177</f>
        <v>126.8772417</v>
      </c>
      <c r="L1177">
        <f>eDNA!C1177</f>
        <v>37.474826299999997</v>
      </c>
      <c r="M1177" s="10" t="str" cm="1">
        <f t="array" ref="M1177">IFERROR(_xlfn.XLOOKUP(1,('env Parameter'!$A:$A=$A1177)*('env Parameter'!$B:$B=$K1177)*('env Parameter'!$C:$C=$L1177),'env Parameter'!D:D,""),"")</f>
        <v>안양천-10</v>
      </c>
      <c r="N1177" s="10" t="str" cm="1">
        <f t="array" ref="N1177">IFERROR(_xlfn.XLOOKUP(1,('env Parameter'!$A:$A=$A1177)*('env Parameter'!$B:$B=$K1177)*('env Parameter'!$C:$C=$L1177),'env Parameter'!I:I,""),"")</f>
        <v>YR</v>
      </c>
    </row>
    <row r="1178" spans="1:14">
      <c r="A1178">
        <f>eDNA!A1178</f>
        <v>20201024</v>
      </c>
      <c r="B1178" s="10" t="str" cm="1">
        <f t="array" ref="B1178">IFERROR(_xlfn.XLOOKUP(1,('env Parameter'!$A:$A=$A1178)*('env Parameter'!$B:$B=$K1178)*('env Parameter'!$C:$C=$L1178),'env Parameter'!H:H,""),"")</f>
        <v>생물상 조사</v>
      </c>
      <c r="C1178" s="10" cm="1">
        <f t="array" ref="C1178">IFERROR(_xlfn.XLOOKUP(1,('env Parameter'!$A:$A=$A1178)*('env Parameter'!$B:$B=$K1178)*('env Parameter'!$C:$C=$L1178),'env Parameter'!E:E,""),"")</f>
        <v>2.14</v>
      </c>
      <c r="D1178" s="10" cm="1">
        <f t="array" ref="D1178">IFERROR(_xlfn.XLOOKUP(1,('env Parameter'!$A:$A=$A1178)*('env Parameter'!$B:$B=$K1178)*('env Parameter'!$C:$C=$L1178),'env Parameter'!F:F,""),"")</f>
        <v>478</v>
      </c>
      <c r="E1178" s="10" cm="1">
        <f t="array" ref="E1178">IFERROR(_xlfn.XLOOKUP(1,('env Parameter'!$A:$A=$A1178)*('env Parameter'!$B:$B=$K1178)*('env Parameter'!$C:$C=$L1178),'env Parameter'!G:G,""),"")</f>
        <v>7.6</v>
      </c>
      <c r="F1178" t="str">
        <f>eDNA!F1178</f>
        <v>MiFish</v>
      </c>
      <c r="G1178" t="str">
        <f>eDNA!D1178</f>
        <v>Gymnogobius urotaenia</v>
      </c>
      <c r="H1178" t="str">
        <f>_xlfn.XLOOKUP(G1178,'Common name (master file)'!$B:$B,'Common name (master file)'!$A:$A,"-------------")</f>
        <v>꾹저구</v>
      </c>
      <c r="I1178">
        <f>eDNA!E1178</f>
        <v>467</v>
      </c>
      <c r="J1178" t="str">
        <f>_xlfn.XLOOKUP(G1178,'Common name (master file)'!$B:$B,'Common name (master file)'!$C:$C,"")</f>
        <v>어류</v>
      </c>
      <c r="K1178">
        <f>eDNA!B1178</f>
        <v>126.8772417</v>
      </c>
      <c r="L1178">
        <f>eDNA!C1178</f>
        <v>37.474826299999997</v>
      </c>
      <c r="M1178" s="10" t="str" cm="1">
        <f t="array" ref="M1178">IFERROR(_xlfn.XLOOKUP(1,('env Parameter'!$A:$A=$A1178)*('env Parameter'!$B:$B=$K1178)*('env Parameter'!$C:$C=$L1178),'env Parameter'!D:D,""),"")</f>
        <v>안양천-10</v>
      </c>
      <c r="N1178" s="10" t="str" cm="1">
        <f t="array" ref="N1178">IFERROR(_xlfn.XLOOKUP(1,('env Parameter'!$A:$A=$A1178)*('env Parameter'!$B:$B=$K1178)*('env Parameter'!$C:$C=$L1178),'env Parameter'!I:I,""),"")</f>
        <v>YR</v>
      </c>
    </row>
    <row r="1179" spans="1:14">
      <c r="A1179">
        <f>eDNA!A1179</f>
        <v>20201024</v>
      </c>
      <c r="B1179" s="10" t="str" cm="1">
        <f t="array" ref="B1179">IFERROR(_xlfn.XLOOKUP(1,('env Parameter'!$A:$A=$A1179)*('env Parameter'!$B:$B=$K1179)*('env Parameter'!$C:$C=$L1179),'env Parameter'!H:H,""),"")</f>
        <v>생물상 조사</v>
      </c>
      <c r="C1179" s="10" cm="1">
        <f t="array" ref="C1179">IFERROR(_xlfn.XLOOKUP(1,('env Parameter'!$A:$A=$A1179)*('env Parameter'!$B:$B=$K1179)*('env Parameter'!$C:$C=$L1179),'env Parameter'!E:E,""),"")</f>
        <v>2.14</v>
      </c>
      <c r="D1179" s="10" cm="1">
        <f t="array" ref="D1179">IFERROR(_xlfn.XLOOKUP(1,('env Parameter'!$A:$A=$A1179)*('env Parameter'!$B:$B=$K1179)*('env Parameter'!$C:$C=$L1179),'env Parameter'!F:F,""),"")</f>
        <v>478</v>
      </c>
      <c r="E1179" s="10" cm="1">
        <f t="array" ref="E1179">IFERROR(_xlfn.XLOOKUP(1,('env Parameter'!$A:$A=$A1179)*('env Parameter'!$B:$B=$K1179)*('env Parameter'!$C:$C=$L1179),'env Parameter'!G:G,""),"")</f>
        <v>7.6</v>
      </c>
      <c r="F1179" t="str">
        <f>eDNA!F1179</f>
        <v>MiFish</v>
      </c>
      <c r="G1179" t="str">
        <f>eDNA!D1179</f>
        <v>Squalidus gracilis majimae</v>
      </c>
      <c r="H1179" t="str">
        <f>_xlfn.XLOOKUP(G1179,'Common name (master file)'!$B:$B,'Common name (master file)'!$A:$A,"-------------")</f>
        <v>긴몰개</v>
      </c>
      <c r="I1179">
        <f>eDNA!E1179</f>
        <v>688</v>
      </c>
      <c r="J1179" t="str">
        <f>_xlfn.XLOOKUP(G1179,'Common name (master file)'!$B:$B,'Common name (master file)'!$C:$C,"")</f>
        <v>어류</v>
      </c>
      <c r="K1179">
        <f>eDNA!B1179</f>
        <v>126.8772417</v>
      </c>
      <c r="L1179">
        <f>eDNA!C1179</f>
        <v>37.474826299999997</v>
      </c>
      <c r="M1179" s="10" t="str" cm="1">
        <f t="array" ref="M1179">IFERROR(_xlfn.XLOOKUP(1,('env Parameter'!$A:$A=$A1179)*('env Parameter'!$B:$B=$K1179)*('env Parameter'!$C:$C=$L1179),'env Parameter'!D:D,""),"")</f>
        <v>안양천-10</v>
      </c>
      <c r="N1179" s="10" t="str" cm="1">
        <f t="array" ref="N1179">IFERROR(_xlfn.XLOOKUP(1,('env Parameter'!$A:$A=$A1179)*('env Parameter'!$B:$B=$K1179)*('env Parameter'!$C:$C=$L1179),'env Parameter'!I:I,""),"")</f>
        <v>YR</v>
      </c>
    </row>
    <row r="1180" spans="1:14">
      <c r="A1180">
        <f>eDNA!A1180</f>
        <v>20201024</v>
      </c>
      <c r="B1180" s="10" t="str" cm="1">
        <f t="array" ref="B1180">IFERROR(_xlfn.XLOOKUP(1,('env Parameter'!$A:$A=$A1180)*('env Parameter'!$B:$B=$K1180)*('env Parameter'!$C:$C=$L1180),'env Parameter'!H:H,""),"")</f>
        <v>생물상 조사</v>
      </c>
      <c r="C1180" s="10" cm="1">
        <f t="array" ref="C1180">IFERROR(_xlfn.XLOOKUP(1,('env Parameter'!$A:$A=$A1180)*('env Parameter'!$B:$B=$K1180)*('env Parameter'!$C:$C=$L1180),'env Parameter'!E:E,""),"")</f>
        <v>2.14</v>
      </c>
      <c r="D1180" s="10" cm="1">
        <f t="array" ref="D1180">IFERROR(_xlfn.XLOOKUP(1,('env Parameter'!$A:$A=$A1180)*('env Parameter'!$B:$B=$K1180)*('env Parameter'!$C:$C=$L1180),'env Parameter'!F:F,""),"")</f>
        <v>478</v>
      </c>
      <c r="E1180" s="10" cm="1">
        <f t="array" ref="E1180">IFERROR(_xlfn.XLOOKUP(1,('env Parameter'!$A:$A=$A1180)*('env Parameter'!$B:$B=$K1180)*('env Parameter'!$C:$C=$L1180),'env Parameter'!G:G,""),"")</f>
        <v>7.6</v>
      </c>
      <c r="F1180" t="str">
        <f>eDNA!F1180</f>
        <v>MiFish</v>
      </c>
      <c r="G1180" t="str">
        <f>eDNA!D1180</f>
        <v>Rhinogobius sp.</v>
      </c>
      <c r="H1180" t="str">
        <f>_xlfn.XLOOKUP(G1180,'Common name (master file)'!$B:$B,'Common name (master file)'!$A:$A,"-------------")</f>
        <v>밀어</v>
      </c>
      <c r="I1180">
        <f>eDNA!E1180</f>
        <v>570</v>
      </c>
      <c r="J1180" t="str">
        <f>_xlfn.XLOOKUP(G1180,'Common name (master file)'!$B:$B,'Common name (master file)'!$C:$C,"")</f>
        <v>어류</v>
      </c>
      <c r="K1180">
        <f>eDNA!B1180</f>
        <v>126.8772417</v>
      </c>
      <c r="L1180">
        <f>eDNA!C1180</f>
        <v>37.474826299999997</v>
      </c>
      <c r="M1180" s="10" t="str" cm="1">
        <f t="array" ref="M1180">IFERROR(_xlfn.XLOOKUP(1,('env Parameter'!$A:$A=$A1180)*('env Parameter'!$B:$B=$K1180)*('env Parameter'!$C:$C=$L1180),'env Parameter'!D:D,""),"")</f>
        <v>안양천-10</v>
      </c>
      <c r="N1180" s="10" t="str" cm="1">
        <f t="array" ref="N1180">IFERROR(_xlfn.XLOOKUP(1,('env Parameter'!$A:$A=$A1180)*('env Parameter'!$B:$B=$K1180)*('env Parameter'!$C:$C=$L1180),'env Parameter'!I:I,""),"")</f>
        <v>YR</v>
      </c>
    </row>
    <row r="1181" spans="1:14">
      <c r="A1181">
        <f>eDNA!A1181</f>
        <v>20201024</v>
      </c>
      <c r="B1181" s="10" t="str" cm="1">
        <f t="array" ref="B1181">IFERROR(_xlfn.XLOOKUP(1,('env Parameter'!$A:$A=$A1181)*('env Parameter'!$B:$B=$K1181)*('env Parameter'!$C:$C=$L1181),'env Parameter'!H:H,""),"")</f>
        <v>생물상 조사</v>
      </c>
      <c r="C1181" s="10" cm="1">
        <f t="array" ref="C1181">IFERROR(_xlfn.XLOOKUP(1,('env Parameter'!$A:$A=$A1181)*('env Parameter'!$B:$B=$K1181)*('env Parameter'!$C:$C=$L1181),'env Parameter'!E:E,""),"")</f>
        <v>2.14</v>
      </c>
      <c r="D1181" s="10" cm="1">
        <f t="array" ref="D1181">IFERROR(_xlfn.XLOOKUP(1,('env Parameter'!$A:$A=$A1181)*('env Parameter'!$B:$B=$K1181)*('env Parameter'!$C:$C=$L1181),'env Parameter'!F:F,""),"")</f>
        <v>478</v>
      </c>
      <c r="E1181" s="10" cm="1">
        <f t="array" ref="E1181">IFERROR(_xlfn.XLOOKUP(1,('env Parameter'!$A:$A=$A1181)*('env Parameter'!$B:$B=$K1181)*('env Parameter'!$C:$C=$L1181),'env Parameter'!G:G,""),"")</f>
        <v>7.6</v>
      </c>
      <c r="F1181" t="str">
        <f>eDNA!F1181</f>
        <v>MiFish</v>
      </c>
      <c r="G1181" t="str">
        <f>eDNA!D1181</f>
        <v>Gnathopogon strigatus</v>
      </c>
      <c r="H1181" t="str">
        <f>_xlfn.XLOOKUP(G1181,'Common name (master file)'!$B:$B,'Common name (master file)'!$A:$A,"-------------")</f>
        <v>줄몰개</v>
      </c>
      <c r="I1181">
        <f>eDNA!E1181</f>
        <v>697</v>
      </c>
      <c r="J1181" t="str">
        <f>_xlfn.XLOOKUP(G1181,'Common name (master file)'!$B:$B,'Common name (master file)'!$C:$C,"")</f>
        <v>어류</v>
      </c>
      <c r="K1181">
        <f>eDNA!B1181</f>
        <v>126.8772417</v>
      </c>
      <c r="L1181">
        <f>eDNA!C1181</f>
        <v>37.474826299999997</v>
      </c>
      <c r="M1181" s="10" t="str" cm="1">
        <f t="array" ref="M1181">IFERROR(_xlfn.XLOOKUP(1,('env Parameter'!$A:$A=$A1181)*('env Parameter'!$B:$B=$K1181)*('env Parameter'!$C:$C=$L1181),'env Parameter'!D:D,""),"")</f>
        <v>안양천-10</v>
      </c>
      <c r="N1181" s="10" t="str" cm="1">
        <f t="array" ref="N1181">IFERROR(_xlfn.XLOOKUP(1,('env Parameter'!$A:$A=$A1181)*('env Parameter'!$B:$B=$K1181)*('env Parameter'!$C:$C=$L1181),'env Parameter'!I:I,""),"")</f>
        <v>YR</v>
      </c>
    </row>
    <row r="1182" spans="1:14">
      <c r="A1182">
        <f>eDNA!A1182</f>
        <v>20201024</v>
      </c>
      <c r="B1182" s="10" t="str" cm="1">
        <f t="array" ref="B1182">IFERROR(_xlfn.XLOOKUP(1,('env Parameter'!$A:$A=$A1182)*('env Parameter'!$B:$B=$K1182)*('env Parameter'!$C:$C=$L1182),'env Parameter'!H:H,""),"")</f>
        <v>생물상 조사</v>
      </c>
      <c r="C1182" s="10" cm="1">
        <f t="array" ref="C1182">IFERROR(_xlfn.XLOOKUP(1,('env Parameter'!$A:$A=$A1182)*('env Parameter'!$B:$B=$K1182)*('env Parameter'!$C:$C=$L1182),'env Parameter'!E:E,""),"")</f>
        <v>2.14</v>
      </c>
      <c r="D1182" s="10" cm="1">
        <f t="array" ref="D1182">IFERROR(_xlfn.XLOOKUP(1,('env Parameter'!$A:$A=$A1182)*('env Parameter'!$B:$B=$K1182)*('env Parameter'!$C:$C=$L1182),'env Parameter'!F:F,""),"")</f>
        <v>478</v>
      </c>
      <c r="E1182" s="10" cm="1">
        <f t="array" ref="E1182">IFERROR(_xlfn.XLOOKUP(1,('env Parameter'!$A:$A=$A1182)*('env Parameter'!$B:$B=$K1182)*('env Parameter'!$C:$C=$L1182),'env Parameter'!G:G,""),"")</f>
        <v>7.6</v>
      </c>
      <c r="F1182" t="str">
        <f>eDNA!F1182</f>
        <v>MiFish</v>
      </c>
      <c r="G1182" t="str">
        <f>eDNA!D1182</f>
        <v>Cyprinus carpio</v>
      </c>
      <c r="H1182" t="str">
        <f>_xlfn.XLOOKUP(G1182,'Common name (master file)'!$B:$B,'Common name (master file)'!$A:$A,"-------------")</f>
        <v>잉어</v>
      </c>
      <c r="I1182">
        <f>eDNA!E1182</f>
        <v>816</v>
      </c>
      <c r="J1182" t="str">
        <f>_xlfn.XLOOKUP(G1182,'Common name (master file)'!$B:$B,'Common name (master file)'!$C:$C,"")</f>
        <v>어류</v>
      </c>
      <c r="K1182">
        <f>eDNA!B1182</f>
        <v>126.8772417</v>
      </c>
      <c r="L1182">
        <f>eDNA!C1182</f>
        <v>37.474826299999997</v>
      </c>
      <c r="M1182" s="10" t="str" cm="1">
        <f t="array" ref="M1182">IFERROR(_xlfn.XLOOKUP(1,('env Parameter'!$A:$A=$A1182)*('env Parameter'!$B:$B=$K1182)*('env Parameter'!$C:$C=$L1182),'env Parameter'!D:D,""),"")</f>
        <v>안양천-10</v>
      </c>
      <c r="N1182" s="10" t="str" cm="1">
        <f t="array" ref="N1182">IFERROR(_xlfn.XLOOKUP(1,('env Parameter'!$A:$A=$A1182)*('env Parameter'!$B:$B=$K1182)*('env Parameter'!$C:$C=$L1182),'env Parameter'!I:I,""),"")</f>
        <v>YR</v>
      </c>
    </row>
    <row r="1183" spans="1:14">
      <c r="A1183">
        <f>eDNA!A1183</f>
        <v>20201024</v>
      </c>
      <c r="B1183" s="10" t="str" cm="1">
        <f t="array" ref="B1183">IFERROR(_xlfn.XLOOKUP(1,('env Parameter'!$A:$A=$A1183)*('env Parameter'!$B:$B=$K1183)*('env Parameter'!$C:$C=$L1183),'env Parameter'!H:H,""),"")</f>
        <v>생물상 조사</v>
      </c>
      <c r="C1183" s="10" cm="1">
        <f t="array" ref="C1183">IFERROR(_xlfn.XLOOKUP(1,('env Parameter'!$A:$A=$A1183)*('env Parameter'!$B:$B=$K1183)*('env Parameter'!$C:$C=$L1183),'env Parameter'!E:E,""),"")</f>
        <v>2.14</v>
      </c>
      <c r="D1183" s="10" cm="1">
        <f t="array" ref="D1183">IFERROR(_xlfn.XLOOKUP(1,('env Parameter'!$A:$A=$A1183)*('env Parameter'!$B:$B=$K1183)*('env Parameter'!$C:$C=$L1183),'env Parameter'!F:F,""),"")</f>
        <v>478</v>
      </c>
      <c r="E1183" s="10" cm="1">
        <f t="array" ref="E1183">IFERROR(_xlfn.XLOOKUP(1,('env Parameter'!$A:$A=$A1183)*('env Parameter'!$B:$B=$K1183)*('env Parameter'!$C:$C=$L1183),'env Parameter'!G:G,""),"")</f>
        <v>7.6</v>
      </c>
      <c r="F1183" t="str">
        <f>eDNA!F1183</f>
        <v>MiFish</v>
      </c>
      <c r="G1183" t="str">
        <f>eDNA!D1183</f>
        <v>Rhynchocypris oxycephalus</v>
      </c>
      <c r="H1183" t="str">
        <f>_xlfn.XLOOKUP(G1183,'Common name (master file)'!$B:$B,'Common name (master file)'!$A:$A,"-------------")</f>
        <v>버들치</v>
      </c>
      <c r="I1183">
        <f>eDNA!E1183</f>
        <v>1376</v>
      </c>
      <c r="J1183" t="str">
        <f>_xlfn.XLOOKUP(G1183,'Common name (master file)'!$B:$B,'Common name (master file)'!$C:$C,"")</f>
        <v>어류</v>
      </c>
      <c r="K1183">
        <f>eDNA!B1183</f>
        <v>126.8772417</v>
      </c>
      <c r="L1183">
        <f>eDNA!C1183</f>
        <v>37.474826299999997</v>
      </c>
      <c r="M1183" s="10" t="str" cm="1">
        <f t="array" ref="M1183">IFERROR(_xlfn.XLOOKUP(1,('env Parameter'!$A:$A=$A1183)*('env Parameter'!$B:$B=$K1183)*('env Parameter'!$C:$C=$L1183),'env Parameter'!D:D,""),"")</f>
        <v>안양천-10</v>
      </c>
      <c r="N1183" s="10" t="str" cm="1">
        <f t="array" ref="N1183">IFERROR(_xlfn.XLOOKUP(1,('env Parameter'!$A:$A=$A1183)*('env Parameter'!$B:$B=$K1183)*('env Parameter'!$C:$C=$L1183),'env Parameter'!I:I,""),"")</f>
        <v>YR</v>
      </c>
    </row>
    <row r="1184" spans="1:14">
      <c r="A1184">
        <f>eDNA!A1184</f>
        <v>20201024</v>
      </c>
      <c r="B1184" s="10" t="str" cm="1">
        <f t="array" ref="B1184">IFERROR(_xlfn.XLOOKUP(1,('env Parameter'!$A:$A=$A1184)*('env Parameter'!$B:$B=$K1184)*('env Parameter'!$C:$C=$L1184),'env Parameter'!H:H,""),"")</f>
        <v>생물상 조사</v>
      </c>
      <c r="C1184" s="10" cm="1">
        <f t="array" ref="C1184">IFERROR(_xlfn.XLOOKUP(1,('env Parameter'!$A:$A=$A1184)*('env Parameter'!$B:$B=$K1184)*('env Parameter'!$C:$C=$L1184),'env Parameter'!E:E,""),"")</f>
        <v>2.14</v>
      </c>
      <c r="D1184" s="10" cm="1">
        <f t="array" ref="D1184">IFERROR(_xlfn.XLOOKUP(1,('env Parameter'!$A:$A=$A1184)*('env Parameter'!$B:$B=$K1184)*('env Parameter'!$C:$C=$L1184),'env Parameter'!F:F,""),"")</f>
        <v>478</v>
      </c>
      <c r="E1184" s="10" cm="1">
        <f t="array" ref="E1184">IFERROR(_xlfn.XLOOKUP(1,('env Parameter'!$A:$A=$A1184)*('env Parameter'!$B:$B=$K1184)*('env Parameter'!$C:$C=$L1184),'env Parameter'!G:G,""),"")</f>
        <v>7.6</v>
      </c>
      <c r="F1184" t="str">
        <f>eDNA!F1184</f>
        <v>MiFish</v>
      </c>
      <c r="G1184" t="str">
        <f>eDNA!D1184</f>
        <v>Carassius sp.</v>
      </c>
      <c r="H1184" t="str">
        <f>_xlfn.XLOOKUP(G1184,'Common name (master file)'!$B:$B,'Common name (master file)'!$A:$A,"-------------")</f>
        <v>붕어 속</v>
      </c>
      <c r="I1184">
        <f>eDNA!E1184</f>
        <v>890</v>
      </c>
      <c r="J1184" t="str">
        <f>_xlfn.XLOOKUP(G1184,'Common name (master file)'!$B:$B,'Common name (master file)'!$C:$C,"")</f>
        <v>어류</v>
      </c>
      <c r="K1184">
        <f>eDNA!B1184</f>
        <v>126.8772417</v>
      </c>
      <c r="L1184">
        <f>eDNA!C1184</f>
        <v>37.474826299999997</v>
      </c>
      <c r="M1184" s="10" t="str" cm="1">
        <f t="array" ref="M1184">IFERROR(_xlfn.XLOOKUP(1,('env Parameter'!$A:$A=$A1184)*('env Parameter'!$B:$B=$K1184)*('env Parameter'!$C:$C=$L1184),'env Parameter'!D:D,""),"")</f>
        <v>안양천-10</v>
      </c>
      <c r="N1184" s="10" t="str" cm="1">
        <f t="array" ref="N1184">IFERROR(_xlfn.XLOOKUP(1,('env Parameter'!$A:$A=$A1184)*('env Parameter'!$B:$B=$K1184)*('env Parameter'!$C:$C=$L1184),'env Parameter'!I:I,""),"")</f>
        <v>YR</v>
      </c>
    </row>
    <row r="1185" spans="1:14">
      <c r="A1185">
        <f>eDNA!A1185</f>
        <v>20201024</v>
      </c>
      <c r="B1185" s="10" t="str" cm="1">
        <f t="array" ref="B1185">IFERROR(_xlfn.XLOOKUP(1,('env Parameter'!$A:$A=$A1185)*('env Parameter'!$B:$B=$K1185)*('env Parameter'!$C:$C=$L1185),'env Parameter'!H:H,""),"")</f>
        <v>생물상 조사</v>
      </c>
      <c r="C1185" s="10" cm="1">
        <f t="array" ref="C1185">IFERROR(_xlfn.XLOOKUP(1,('env Parameter'!$A:$A=$A1185)*('env Parameter'!$B:$B=$K1185)*('env Parameter'!$C:$C=$L1185),'env Parameter'!E:E,""),"")</f>
        <v>2.14</v>
      </c>
      <c r="D1185" s="10" cm="1">
        <f t="array" ref="D1185">IFERROR(_xlfn.XLOOKUP(1,('env Parameter'!$A:$A=$A1185)*('env Parameter'!$B:$B=$K1185)*('env Parameter'!$C:$C=$L1185),'env Parameter'!F:F,""),"")</f>
        <v>478</v>
      </c>
      <c r="E1185" s="10" cm="1">
        <f t="array" ref="E1185">IFERROR(_xlfn.XLOOKUP(1,('env Parameter'!$A:$A=$A1185)*('env Parameter'!$B:$B=$K1185)*('env Parameter'!$C:$C=$L1185),'env Parameter'!G:G,""),"")</f>
        <v>7.6</v>
      </c>
      <c r="F1185" t="str">
        <f>eDNA!F1185</f>
        <v>MiFish</v>
      </c>
      <c r="G1185" t="str">
        <f>eDNA!D1185</f>
        <v>Planiliza haematocheila</v>
      </c>
      <c r="H1185" t="str">
        <f>_xlfn.XLOOKUP(G1185,'Common name (master file)'!$B:$B,'Common name (master file)'!$A:$A,"-------------")</f>
        <v>가숭어</v>
      </c>
      <c r="I1185">
        <f>eDNA!E1185</f>
        <v>1043</v>
      </c>
      <c r="J1185" t="str">
        <f>_xlfn.XLOOKUP(G1185,'Common name (master file)'!$B:$B,'Common name (master file)'!$C:$C,"")</f>
        <v>어류</v>
      </c>
      <c r="K1185">
        <f>eDNA!B1185</f>
        <v>126.8772417</v>
      </c>
      <c r="L1185">
        <f>eDNA!C1185</f>
        <v>37.474826299999997</v>
      </c>
      <c r="M1185" s="10" t="str" cm="1">
        <f t="array" ref="M1185">IFERROR(_xlfn.XLOOKUP(1,('env Parameter'!$A:$A=$A1185)*('env Parameter'!$B:$B=$K1185)*('env Parameter'!$C:$C=$L1185),'env Parameter'!D:D,""),"")</f>
        <v>안양천-10</v>
      </c>
      <c r="N1185" s="10" t="str" cm="1">
        <f t="array" ref="N1185">IFERROR(_xlfn.XLOOKUP(1,('env Parameter'!$A:$A=$A1185)*('env Parameter'!$B:$B=$K1185)*('env Parameter'!$C:$C=$L1185),'env Parameter'!I:I,""),"")</f>
        <v>YR</v>
      </c>
    </row>
    <row r="1186" spans="1:14">
      <c r="A1186">
        <f>eDNA!A1186</f>
        <v>20201024</v>
      </c>
      <c r="B1186" s="10" t="str" cm="1">
        <f t="array" ref="B1186">IFERROR(_xlfn.XLOOKUP(1,('env Parameter'!$A:$A=$A1186)*('env Parameter'!$B:$B=$K1186)*('env Parameter'!$C:$C=$L1186),'env Parameter'!H:H,""),"")</f>
        <v>생물상 조사</v>
      </c>
      <c r="C1186" s="10" cm="1">
        <f t="array" ref="C1186">IFERROR(_xlfn.XLOOKUP(1,('env Parameter'!$A:$A=$A1186)*('env Parameter'!$B:$B=$K1186)*('env Parameter'!$C:$C=$L1186),'env Parameter'!E:E,""),"")</f>
        <v>2.14</v>
      </c>
      <c r="D1186" s="10" cm="1">
        <f t="array" ref="D1186">IFERROR(_xlfn.XLOOKUP(1,('env Parameter'!$A:$A=$A1186)*('env Parameter'!$B:$B=$K1186)*('env Parameter'!$C:$C=$L1186),'env Parameter'!F:F,""),"")</f>
        <v>478</v>
      </c>
      <c r="E1186" s="10" cm="1">
        <f t="array" ref="E1186">IFERROR(_xlfn.XLOOKUP(1,('env Parameter'!$A:$A=$A1186)*('env Parameter'!$B:$B=$K1186)*('env Parameter'!$C:$C=$L1186),'env Parameter'!G:G,""),"")</f>
        <v>7.6</v>
      </c>
      <c r="F1186" t="str">
        <f>eDNA!F1186</f>
        <v>MiFish</v>
      </c>
      <c r="G1186" t="str">
        <f>eDNA!D1186</f>
        <v>Pagrus major</v>
      </c>
      <c r="H1186" t="str">
        <f>_xlfn.XLOOKUP(G1186,'Common name (master file)'!$B:$B,'Common name (master file)'!$A:$A,"-------------")</f>
        <v>참돔</v>
      </c>
      <c r="I1186">
        <f>eDNA!E1186</f>
        <v>1221</v>
      </c>
      <c r="J1186" t="str">
        <f>_xlfn.XLOOKUP(G1186,'Common name (master file)'!$B:$B,'Common name (master file)'!$C:$C,"")</f>
        <v>어류</v>
      </c>
      <c r="K1186">
        <f>eDNA!B1186</f>
        <v>126.8772417</v>
      </c>
      <c r="L1186">
        <f>eDNA!C1186</f>
        <v>37.474826299999997</v>
      </c>
      <c r="M1186" s="10" t="str" cm="1">
        <f t="array" ref="M1186">IFERROR(_xlfn.XLOOKUP(1,('env Parameter'!$A:$A=$A1186)*('env Parameter'!$B:$B=$K1186)*('env Parameter'!$C:$C=$L1186),'env Parameter'!D:D,""),"")</f>
        <v>안양천-10</v>
      </c>
      <c r="N1186" s="10" t="str" cm="1">
        <f t="array" ref="N1186">IFERROR(_xlfn.XLOOKUP(1,('env Parameter'!$A:$A=$A1186)*('env Parameter'!$B:$B=$K1186)*('env Parameter'!$C:$C=$L1186),'env Parameter'!I:I,""),"")</f>
        <v>YR</v>
      </c>
    </row>
    <row r="1187" spans="1:14">
      <c r="A1187">
        <f>eDNA!A1187</f>
        <v>20201024</v>
      </c>
      <c r="B1187" s="10" t="str" cm="1">
        <f t="array" ref="B1187">IFERROR(_xlfn.XLOOKUP(1,('env Parameter'!$A:$A=$A1187)*('env Parameter'!$B:$B=$K1187)*('env Parameter'!$C:$C=$L1187),'env Parameter'!H:H,""),"")</f>
        <v>생물상 조사</v>
      </c>
      <c r="C1187" s="10" cm="1">
        <f t="array" ref="C1187">IFERROR(_xlfn.XLOOKUP(1,('env Parameter'!$A:$A=$A1187)*('env Parameter'!$B:$B=$K1187)*('env Parameter'!$C:$C=$L1187),'env Parameter'!E:E,""),"")</f>
        <v>2.14</v>
      </c>
      <c r="D1187" s="10" cm="1">
        <f t="array" ref="D1187">IFERROR(_xlfn.XLOOKUP(1,('env Parameter'!$A:$A=$A1187)*('env Parameter'!$B:$B=$K1187)*('env Parameter'!$C:$C=$L1187),'env Parameter'!F:F,""),"")</f>
        <v>478</v>
      </c>
      <c r="E1187" s="10" cm="1">
        <f t="array" ref="E1187">IFERROR(_xlfn.XLOOKUP(1,('env Parameter'!$A:$A=$A1187)*('env Parameter'!$B:$B=$K1187)*('env Parameter'!$C:$C=$L1187),'env Parameter'!G:G,""),"")</f>
        <v>7.6</v>
      </c>
      <c r="F1187" t="str">
        <f>eDNA!F1187</f>
        <v>MiFish</v>
      </c>
      <c r="G1187" t="str">
        <f>eDNA!D1187</f>
        <v>Hemibarbus sp.</v>
      </c>
      <c r="H1187" t="str">
        <f>_xlfn.XLOOKUP(G1187,'Common name (master file)'!$B:$B,'Common name (master file)'!$A:$A,"-------------")</f>
        <v>누치 속</v>
      </c>
      <c r="I1187">
        <f>eDNA!E1187</f>
        <v>1858</v>
      </c>
      <c r="J1187" t="str">
        <f>_xlfn.XLOOKUP(G1187,'Common name (master file)'!$B:$B,'Common name (master file)'!$C:$C,"")</f>
        <v>어류</v>
      </c>
      <c r="K1187">
        <f>eDNA!B1187</f>
        <v>126.8772417</v>
      </c>
      <c r="L1187">
        <f>eDNA!C1187</f>
        <v>37.474826299999997</v>
      </c>
      <c r="M1187" s="10" t="str" cm="1">
        <f t="array" ref="M1187">IFERROR(_xlfn.XLOOKUP(1,('env Parameter'!$A:$A=$A1187)*('env Parameter'!$B:$B=$K1187)*('env Parameter'!$C:$C=$L1187),'env Parameter'!D:D,""),"")</f>
        <v>안양천-10</v>
      </c>
      <c r="N1187" s="10" t="str" cm="1">
        <f t="array" ref="N1187">IFERROR(_xlfn.XLOOKUP(1,('env Parameter'!$A:$A=$A1187)*('env Parameter'!$B:$B=$K1187)*('env Parameter'!$C:$C=$L1187),'env Parameter'!I:I,""),"")</f>
        <v>YR</v>
      </c>
    </row>
    <row r="1188" spans="1:14">
      <c r="A1188">
        <f>eDNA!A1188</f>
        <v>20201024</v>
      </c>
      <c r="B1188" s="10" t="str" cm="1">
        <f t="array" ref="B1188">IFERROR(_xlfn.XLOOKUP(1,('env Parameter'!$A:$A=$A1188)*('env Parameter'!$B:$B=$K1188)*('env Parameter'!$C:$C=$L1188),'env Parameter'!H:H,""),"")</f>
        <v>생물상 조사</v>
      </c>
      <c r="C1188" s="10" cm="1">
        <f t="array" ref="C1188">IFERROR(_xlfn.XLOOKUP(1,('env Parameter'!$A:$A=$A1188)*('env Parameter'!$B:$B=$K1188)*('env Parameter'!$C:$C=$L1188),'env Parameter'!E:E,""),"")</f>
        <v>2.14</v>
      </c>
      <c r="D1188" s="10" cm="1">
        <f t="array" ref="D1188">IFERROR(_xlfn.XLOOKUP(1,('env Parameter'!$A:$A=$A1188)*('env Parameter'!$B:$B=$K1188)*('env Parameter'!$C:$C=$L1188),'env Parameter'!F:F,""),"")</f>
        <v>478</v>
      </c>
      <c r="E1188" s="10" cm="1">
        <f t="array" ref="E1188">IFERROR(_xlfn.XLOOKUP(1,('env Parameter'!$A:$A=$A1188)*('env Parameter'!$B:$B=$K1188)*('env Parameter'!$C:$C=$L1188),'env Parameter'!G:G,""),"")</f>
        <v>7.6</v>
      </c>
      <c r="F1188" t="str">
        <f>eDNA!F1188</f>
        <v>MiFish</v>
      </c>
      <c r="G1188" t="str">
        <f>eDNA!D1188</f>
        <v>Channa argus</v>
      </c>
      <c r="H1188" t="str">
        <f>_xlfn.XLOOKUP(G1188,'Common name (master file)'!$B:$B,'Common name (master file)'!$A:$A,"-------------")</f>
        <v>가물치</v>
      </c>
      <c r="I1188">
        <f>eDNA!E1188</f>
        <v>3094</v>
      </c>
      <c r="J1188" t="str">
        <f>_xlfn.XLOOKUP(G1188,'Common name (master file)'!$B:$B,'Common name (master file)'!$C:$C,"")</f>
        <v>어류</v>
      </c>
      <c r="K1188">
        <f>eDNA!B1188</f>
        <v>126.8772417</v>
      </c>
      <c r="L1188">
        <f>eDNA!C1188</f>
        <v>37.474826299999997</v>
      </c>
      <c r="M1188" s="10" t="str" cm="1">
        <f t="array" ref="M1188">IFERROR(_xlfn.XLOOKUP(1,('env Parameter'!$A:$A=$A1188)*('env Parameter'!$B:$B=$K1188)*('env Parameter'!$C:$C=$L1188),'env Parameter'!D:D,""),"")</f>
        <v>안양천-10</v>
      </c>
      <c r="N1188" s="10" t="str" cm="1">
        <f t="array" ref="N1188">IFERROR(_xlfn.XLOOKUP(1,('env Parameter'!$A:$A=$A1188)*('env Parameter'!$B:$B=$K1188)*('env Parameter'!$C:$C=$L1188),'env Parameter'!I:I,""),"")</f>
        <v>YR</v>
      </c>
    </row>
    <row r="1189" spans="1:14">
      <c r="A1189">
        <f>eDNA!A1189</f>
        <v>20201024</v>
      </c>
      <c r="B1189" s="10" t="str" cm="1">
        <f t="array" ref="B1189">IFERROR(_xlfn.XLOOKUP(1,('env Parameter'!$A:$A=$A1189)*('env Parameter'!$B:$B=$K1189)*('env Parameter'!$C:$C=$L1189),'env Parameter'!H:H,""),"")</f>
        <v>생물상 조사</v>
      </c>
      <c r="C1189" s="10" cm="1">
        <f t="array" ref="C1189">IFERROR(_xlfn.XLOOKUP(1,('env Parameter'!$A:$A=$A1189)*('env Parameter'!$B:$B=$K1189)*('env Parameter'!$C:$C=$L1189),'env Parameter'!E:E,""),"")</f>
        <v>2.14</v>
      </c>
      <c r="D1189" s="10" cm="1">
        <f t="array" ref="D1189">IFERROR(_xlfn.XLOOKUP(1,('env Parameter'!$A:$A=$A1189)*('env Parameter'!$B:$B=$K1189)*('env Parameter'!$C:$C=$L1189),'env Parameter'!F:F,""),"")</f>
        <v>478</v>
      </c>
      <c r="E1189" s="10" cm="1">
        <f t="array" ref="E1189">IFERROR(_xlfn.XLOOKUP(1,('env Parameter'!$A:$A=$A1189)*('env Parameter'!$B:$B=$K1189)*('env Parameter'!$C:$C=$L1189),'env Parameter'!G:G,""),"")</f>
        <v>7.6</v>
      </c>
      <c r="F1189" t="str">
        <f>eDNA!F1189</f>
        <v>MiFish</v>
      </c>
      <c r="G1189" t="str">
        <f>eDNA!D1189</f>
        <v>Odontobutis interrupta</v>
      </c>
      <c r="H1189" t="str">
        <f>_xlfn.XLOOKUP(G1189,'Common name (master file)'!$B:$B,'Common name (master file)'!$A:$A,"-------------")</f>
        <v>얼록동사리</v>
      </c>
      <c r="I1189">
        <f>eDNA!E1189</f>
        <v>2891</v>
      </c>
      <c r="J1189" t="str">
        <f>_xlfn.XLOOKUP(G1189,'Common name (master file)'!$B:$B,'Common name (master file)'!$C:$C,"")</f>
        <v>어류</v>
      </c>
      <c r="K1189">
        <f>eDNA!B1189</f>
        <v>126.8772417</v>
      </c>
      <c r="L1189">
        <f>eDNA!C1189</f>
        <v>37.474826299999997</v>
      </c>
      <c r="M1189" s="10" t="str" cm="1">
        <f t="array" ref="M1189">IFERROR(_xlfn.XLOOKUP(1,('env Parameter'!$A:$A=$A1189)*('env Parameter'!$B:$B=$K1189)*('env Parameter'!$C:$C=$L1189),'env Parameter'!D:D,""),"")</f>
        <v>안양천-10</v>
      </c>
      <c r="N1189" s="10" t="str" cm="1">
        <f t="array" ref="N1189">IFERROR(_xlfn.XLOOKUP(1,('env Parameter'!$A:$A=$A1189)*('env Parameter'!$B:$B=$K1189)*('env Parameter'!$C:$C=$L1189),'env Parameter'!I:I,""),"")</f>
        <v>YR</v>
      </c>
    </row>
    <row r="1190" spans="1:14">
      <c r="A1190">
        <f>eDNA!A1190</f>
        <v>20201024</v>
      </c>
      <c r="B1190" s="10" t="str" cm="1">
        <f t="array" ref="B1190">IFERROR(_xlfn.XLOOKUP(1,('env Parameter'!$A:$A=$A1190)*('env Parameter'!$B:$B=$K1190)*('env Parameter'!$C:$C=$L1190),'env Parameter'!H:H,""),"")</f>
        <v>생물상 조사</v>
      </c>
      <c r="C1190" s="10" cm="1">
        <f t="array" ref="C1190">IFERROR(_xlfn.XLOOKUP(1,('env Parameter'!$A:$A=$A1190)*('env Parameter'!$B:$B=$K1190)*('env Parameter'!$C:$C=$L1190),'env Parameter'!E:E,""),"")</f>
        <v>2.14</v>
      </c>
      <c r="D1190" s="10" cm="1">
        <f t="array" ref="D1190">IFERROR(_xlfn.XLOOKUP(1,('env Parameter'!$A:$A=$A1190)*('env Parameter'!$B:$B=$K1190)*('env Parameter'!$C:$C=$L1190),'env Parameter'!F:F,""),"")</f>
        <v>478</v>
      </c>
      <c r="E1190" s="10" cm="1">
        <f t="array" ref="E1190">IFERROR(_xlfn.XLOOKUP(1,('env Parameter'!$A:$A=$A1190)*('env Parameter'!$B:$B=$K1190)*('env Parameter'!$C:$C=$L1190),'env Parameter'!G:G,""),"")</f>
        <v>7.6</v>
      </c>
      <c r="F1190" t="str">
        <f>eDNA!F1190</f>
        <v>MiFish</v>
      </c>
      <c r="G1190" t="str">
        <f>eDNA!D1190</f>
        <v>Silurus soldatovi</v>
      </c>
      <c r="H1190" t="str">
        <f>_xlfn.XLOOKUP(G1190,'Common name (master file)'!$B:$B,'Common name (master file)'!$A:$A,"-------------")</f>
        <v>솔다토비 메기</v>
      </c>
      <c r="I1190">
        <f>eDNA!E1190</f>
        <v>3173</v>
      </c>
      <c r="J1190" t="str">
        <f>_xlfn.XLOOKUP(G1190,'Common name (master file)'!$B:$B,'Common name (master file)'!$C:$C,"")</f>
        <v>어류</v>
      </c>
      <c r="K1190">
        <f>eDNA!B1190</f>
        <v>126.8772417</v>
      </c>
      <c r="L1190">
        <f>eDNA!C1190</f>
        <v>37.474826299999997</v>
      </c>
      <c r="M1190" s="10" t="str" cm="1">
        <f t="array" ref="M1190">IFERROR(_xlfn.XLOOKUP(1,('env Parameter'!$A:$A=$A1190)*('env Parameter'!$B:$B=$K1190)*('env Parameter'!$C:$C=$L1190),'env Parameter'!D:D,""),"")</f>
        <v>안양천-10</v>
      </c>
      <c r="N1190" s="10" t="str" cm="1">
        <f t="array" ref="N1190">IFERROR(_xlfn.XLOOKUP(1,('env Parameter'!$A:$A=$A1190)*('env Parameter'!$B:$B=$K1190)*('env Parameter'!$C:$C=$L1190),'env Parameter'!I:I,""),"")</f>
        <v>YR</v>
      </c>
    </row>
    <row r="1191" spans="1:14">
      <c r="A1191">
        <f>eDNA!A1191</f>
        <v>20201024</v>
      </c>
      <c r="B1191" s="10" t="str" cm="1">
        <f t="array" ref="B1191">IFERROR(_xlfn.XLOOKUP(1,('env Parameter'!$A:$A=$A1191)*('env Parameter'!$B:$B=$K1191)*('env Parameter'!$C:$C=$L1191),'env Parameter'!H:H,""),"")</f>
        <v>생물상 조사</v>
      </c>
      <c r="C1191" s="10" cm="1">
        <f t="array" ref="C1191">IFERROR(_xlfn.XLOOKUP(1,('env Parameter'!$A:$A=$A1191)*('env Parameter'!$B:$B=$K1191)*('env Parameter'!$C:$C=$L1191),'env Parameter'!E:E,""),"")</f>
        <v>2.14</v>
      </c>
      <c r="D1191" s="10" cm="1">
        <f t="array" ref="D1191">IFERROR(_xlfn.XLOOKUP(1,('env Parameter'!$A:$A=$A1191)*('env Parameter'!$B:$B=$K1191)*('env Parameter'!$C:$C=$L1191),'env Parameter'!F:F,""),"")</f>
        <v>478</v>
      </c>
      <c r="E1191" s="10" cm="1">
        <f t="array" ref="E1191">IFERROR(_xlfn.XLOOKUP(1,('env Parameter'!$A:$A=$A1191)*('env Parameter'!$B:$B=$K1191)*('env Parameter'!$C:$C=$L1191),'env Parameter'!G:G,""),"")</f>
        <v>7.6</v>
      </c>
      <c r="F1191" t="str">
        <f>eDNA!F1191</f>
        <v>MiFish</v>
      </c>
      <c r="G1191" t="str">
        <f>eDNA!D1191</f>
        <v>Mugil cephalus</v>
      </c>
      <c r="H1191" t="str">
        <f>_xlfn.XLOOKUP(G1191,'Common name (master file)'!$B:$B,'Common name (master file)'!$A:$A,"-------------")</f>
        <v>숭어</v>
      </c>
      <c r="I1191">
        <f>eDNA!E1191</f>
        <v>5460</v>
      </c>
      <c r="J1191" t="str">
        <f>_xlfn.XLOOKUP(G1191,'Common name (master file)'!$B:$B,'Common name (master file)'!$C:$C,"")</f>
        <v>어류</v>
      </c>
      <c r="K1191">
        <f>eDNA!B1191</f>
        <v>126.8772417</v>
      </c>
      <c r="L1191">
        <f>eDNA!C1191</f>
        <v>37.474826299999997</v>
      </c>
      <c r="M1191" s="10" t="str" cm="1">
        <f t="array" ref="M1191">IFERROR(_xlfn.XLOOKUP(1,('env Parameter'!$A:$A=$A1191)*('env Parameter'!$B:$B=$K1191)*('env Parameter'!$C:$C=$L1191),'env Parameter'!D:D,""),"")</f>
        <v>안양천-10</v>
      </c>
      <c r="N1191" s="10" t="str" cm="1">
        <f t="array" ref="N1191">IFERROR(_xlfn.XLOOKUP(1,('env Parameter'!$A:$A=$A1191)*('env Parameter'!$B:$B=$K1191)*('env Parameter'!$C:$C=$L1191),'env Parameter'!I:I,""),"")</f>
        <v>YR</v>
      </c>
    </row>
    <row r="1192" spans="1:14">
      <c r="A1192">
        <f>eDNA!A1192</f>
        <v>20201024</v>
      </c>
      <c r="B1192" s="10" t="str" cm="1">
        <f t="array" ref="B1192">IFERROR(_xlfn.XLOOKUP(1,('env Parameter'!$A:$A=$A1192)*('env Parameter'!$B:$B=$K1192)*('env Parameter'!$C:$C=$L1192),'env Parameter'!H:H,""),"")</f>
        <v>생물상 조사</v>
      </c>
      <c r="C1192" s="10" cm="1">
        <f t="array" ref="C1192">IFERROR(_xlfn.XLOOKUP(1,('env Parameter'!$A:$A=$A1192)*('env Parameter'!$B:$B=$K1192)*('env Parameter'!$C:$C=$L1192),'env Parameter'!E:E,""),"")</f>
        <v>2.14</v>
      </c>
      <c r="D1192" s="10" cm="1">
        <f t="array" ref="D1192">IFERROR(_xlfn.XLOOKUP(1,('env Parameter'!$A:$A=$A1192)*('env Parameter'!$B:$B=$K1192)*('env Parameter'!$C:$C=$L1192),'env Parameter'!F:F,""),"")</f>
        <v>478</v>
      </c>
      <c r="E1192" s="10" cm="1">
        <f t="array" ref="E1192">IFERROR(_xlfn.XLOOKUP(1,('env Parameter'!$A:$A=$A1192)*('env Parameter'!$B:$B=$K1192)*('env Parameter'!$C:$C=$L1192),'env Parameter'!G:G,""),"")</f>
        <v>7.6</v>
      </c>
      <c r="F1192" t="str">
        <f>eDNA!F1192</f>
        <v>MiFish</v>
      </c>
      <c r="G1192" t="str">
        <f>eDNA!D1192</f>
        <v>Zacco platypus</v>
      </c>
      <c r="H1192" t="str">
        <f>_xlfn.XLOOKUP(G1192,'Common name (master file)'!$B:$B,'Common name (master file)'!$A:$A,"-------------")</f>
        <v>피라미</v>
      </c>
      <c r="I1192">
        <f>eDNA!E1192</f>
        <v>10592</v>
      </c>
      <c r="J1192" t="str">
        <f>_xlfn.XLOOKUP(G1192,'Common name (master file)'!$B:$B,'Common name (master file)'!$C:$C,"")</f>
        <v>어류</v>
      </c>
      <c r="K1192">
        <f>eDNA!B1192</f>
        <v>126.8772417</v>
      </c>
      <c r="L1192">
        <f>eDNA!C1192</f>
        <v>37.474826299999997</v>
      </c>
      <c r="M1192" s="10" t="str" cm="1">
        <f t="array" ref="M1192">IFERROR(_xlfn.XLOOKUP(1,('env Parameter'!$A:$A=$A1192)*('env Parameter'!$B:$B=$K1192)*('env Parameter'!$C:$C=$L1192),'env Parameter'!D:D,""),"")</f>
        <v>안양천-10</v>
      </c>
      <c r="N1192" s="10" t="str" cm="1">
        <f t="array" ref="N1192">IFERROR(_xlfn.XLOOKUP(1,('env Parameter'!$A:$A=$A1192)*('env Parameter'!$B:$B=$K1192)*('env Parameter'!$C:$C=$L1192),'env Parameter'!I:I,""),"")</f>
        <v>YR</v>
      </c>
    </row>
    <row r="1193" spans="1:14">
      <c r="A1193">
        <f>eDNA!A1193</f>
        <v>20201024</v>
      </c>
      <c r="B1193" s="10" t="str" cm="1">
        <f t="array" ref="B1193">IFERROR(_xlfn.XLOOKUP(1,('env Parameter'!$A:$A=$A1193)*('env Parameter'!$B:$B=$K1193)*('env Parameter'!$C:$C=$L1193),'env Parameter'!H:H,""),"")</f>
        <v>생물상 조사</v>
      </c>
      <c r="C1193" s="10" cm="1">
        <f t="array" ref="C1193">IFERROR(_xlfn.XLOOKUP(1,('env Parameter'!$A:$A=$A1193)*('env Parameter'!$B:$B=$K1193)*('env Parameter'!$C:$C=$L1193),'env Parameter'!E:E,""),"")</f>
        <v>2.14</v>
      </c>
      <c r="D1193" s="10" cm="1">
        <f t="array" ref="D1193">IFERROR(_xlfn.XLOOKUP(1,('env Parameter'!$A:$A=$A1193)*('env Parameter'!$B:$B=$K1193)*('env Parameter'!$C:$C=$L1193),'env Parameter'!F:F,""),"")</f>
        <v>478</v>
      </c>
      <c r="E1193" s="10" cm="1">
        <f t="array" ref="E1193">IFERROR(_xlfn.XLOOKUP(1,('env Parameter'!$A:$A=$A1193)*('env Parameter'!$B:$B=$K1193)*('env Parameter'!$C:$C=$L1193),'env Parameter'!G:G,""),"")</f>
        <v>7.6</v>
      </c>
      <c r="F1193" t="str">
        <f>eDNA!F1193</f>
        <v>MiFish</v>
      </c>
      <c r="G1193" t="str">
        <f>eDNA!D1193</f>
        <v>Carassius gibelio</v>
      </c>
      <c r="H1193" t="str">
        <f>_xlfn.XLOOKUP(G1193,'Common name (master file)'!$B:$B,'Common name (master file)'!$A:$A,"-------------")</f>
        <v>기벨리오 붕어</v>
      </c>
      <c r="I1193">
        <f>eDNA!E1193</f>
        <v>27504</v>
      </c>
      <c r="J1193" t="str">
        <f>_xlfn.XLOOKUP(G1193,'Common name (master file)'!$B:$B,'Common name (master file)'!$C:$C,"")</f>
        <v>어류</v>
      </c>
      <c r="K1193">
        <f>eDNA!B1193</f>
        <v>126.8772417</v>
      </c>
      <c r="L1193">
        <f>eDNA!C1193</f>
        <v>37.474826299999997</v>
      </c>
      <c r="M1193" s="10" t="str" cm="1">
        <f t="array" ref="M1193">IFERROR(_xlfn.XLOOKUP(1,('env Parameter'!$A:$A=$A1193)*('env Parameter'!$B:$B=$K1193)*('env Parameter'!$C:$C=$L1193),'env Parameter'!D:D,""),"")</f>
        <v>안양천-10</v>
      </c>
      <c r="N1193" s="10" t="str" cm="1">
        <f t="array" ref="N1193">IFERROR(_xlfn.XLOOKUP(1,('env Parameter'!$A:$A=$A1193)*('env Parameter'!$B:$B=$K1193)*('env Parameter'!$C:$C=$L1193),'env Parameter'!I:I,""),"")</f>
        <v>YR</v>
      </c>
    </row>
    <row r="1194" spans="1:14">
      <c r="A1194">
        <f>eDNA!A1194</f>
        <v>20201024</v>
      </c>
      <c r="B1194" s="10" t="str" cm="1">
        <f t="array" ref="B1194">IFERROR(_xlfn.XLOOKUP(1,('env Parameter'!$A:$A=$A1194)*('env Parameter'!$B:$B=$K1194)*('env Parameter'!$C:$C=$L1194),'env Parameter'!H:H,""),"")</f>
        <v>생물상 조사</v>
      </c>
      <c r="C1194" s="10" cm="1">
        <f t="array" ref="C1194">IFERROR(_xlfn.XLOOKUP(1,('env Parameter'!$A:$A=$A1194)*('env Parameter'!$B:$B=$K1194)*('env Parameter'!$C:$C=$L1194),'env Parameter'!E:E,""),"")</f>
        <v>2.14</v>
      </c>
      <c r="D1194" s="10" cm="1">
        <f t="array" ref="D1194">IFERROR(_xlfn.XLOOKUP(1,('env Parameter'!$A:$A=$A1194)*('env Parameter'!$B:$B=$K1194)*('env Parameter'!$C:$C=$L1194),'env Parameter'!F:F,""),"")</f>
        <v>478</v>
      </c>
      <c r="E1194" s="10" cm="1">
        <f t="array" ref="E1194">IFERROR(_xlfn.XLOOKUP(1,('env Parameter'!$A:$A=$A1194)*('env Parameter'!$B:$B=$K1194)*('env Parameter'!$C:$C=$L1194),'env Parameter'!G:G,""),"")</f>
        <v>7.6</v>
      </c>
      <c r="F1194" t="str">
        <f>eDNA!F1194</f>
        <v>MiFish</v>
      </c>
      <c r="G1194" t="str">
        <f>eDNA!D1194</f>
        <v>Pseudorasbora parva</v>
      </c>
      <c r="H1194" t="str">
        <f>_xlfn.XLOOKUP(G1194,'Common name (master file)'!$B:$B,'Common name (master file)'!$A:$A,"-------------")</f>
        <v>참붕어</v>
      </c>
      <c r="I1194">
        <f>eDNA!E1194</f>
        <v>31392</v>
      </c>
      <c r="J1194" t="str">
        <f>_xlfn.XLOOKUP(G1194,'Common name (master file)'!$B:$B,'Common name (master file)'!$C:$C,"")</f>
        <v>어류</v>
      </c>
      <c r="K1194">
        <f>eDNA!B1194</f>
        <v>126.8772417</v>
      </c>
      <c r="L1194">
        <f>eDNA!C1194</f>
        <v>37.474826299999997</v>
      </c>
      <c r="M1194" s="10" t="str" cm="1">
        <f t="array" ref="M1194">IFERROR(_xlfn.XLOOKUP(1,('env Parameter'!$A:$A=$A1194)*('env Parameter'!$B:$B=$K1194)*('env Parameter'!$C:$C=$L1194),'env Parameter'!D:D,""),"")</f>
        <v>안양천-10</v>
      </c>
      <c r="N1194" s="10" t="str" cm="1">
        <f t="array" ref="N1194">IFERROR(_xlfn.XLOOKUP(1,('env Parameter'!$A:$A=$A1194)*('env Parameter'!$B:$B=$K1194)*('env Parameter'!$C:$C=$L1194),'env Parameter'!I:I,""),"")</f>
        <v>YR</v>
      </c>
    </row>
    <row r="1195" spans="1:14">
      <c r="A1195">
        <f>eDNA!A1195</f>
        <v>20201024</v>
      </c>
      <c r="B1195" s="10" t="str" cm="1">
        <f t="array" ref="B1195">IFERROR(_xlfn.XLOOKUP(1,('env Parameter'!$A:$A=$A1195)*('env Parameter'!$B:$B=$K1195)*('env Parameter'!$C:$C=$L1195),'env Parameter'!H:H,""),"")</f>
        <v>생물상 조사</v>
      </c>
      <c r="C1195" s="10" cm="1">
        <f t="array" ref="C1195">IFERROR(_xlfn.XLOOKUP(1,('env Parameter'!$A:$A=$A1195)*('env Parameter'!$B:$B=$K1195)*('env Parameter'!$C:$C=$L1195),'env Parameter'!E:E,""),"")</f>
        <v>2.14</v>
      </c>
      <c r="D1195" s="10" cm="1">
        <f t="array" ref="D1195">IFERROR(_xlfn.XLOOKUP(1,('env Parameter'!$A:$A=$A1195)*('env Parameter'!$B:$B=$K1195)*('env Parameter'!$C:$C=$L1195),'env Parameter'!F:F,""),"")</f>
        <v>478</v>
      </c>
      <c r="E1195" s="10" cm="1">
        <f t="array" ref="E1195">IFERROR(_xlfn.XLOOKUP(1,('env Parameter'!$A:$A=$A1195)*('env Parameter'!$B:$B=$K1195)*('env Parameter'!$C:$C=$L1195),'env Parameter'!G:G,""),"")</f>
        <v>7.6</v>
      </c>
      <c r="F1195" t="str">
        <f>eDNA!F1195</f>
        <v>MiFish</v>
      </c>
      <c r="G1195" t="str">
        <f>eDNA!D1195</f>
        <v>Homo sapiens</v>
      </c>
      <c r="H1195" t="str">
        <f>_xlfn.XLOOKUP(G1195,'Common name (master file)'!$B:$B,'Common name (master file)'!$A:$A,"-------------")</f>
        <v>사람</v>
      </c>
      <c r="I1195">
        <f>eDNA!E1195</f>
        <v>18</v>
      </c>
      <c r="J1195" t="str">
        <f>_xlfn.XLOOKUP(G1195,'Common name (master file)'!$B:$B,'Common name (master file)'!$C:$C,"")</f>
        <v>포유류</v>
      </c>
      <c r="K1195">
        <f>eDNA!B1195</f>
        <v>126.87060049999999</v>
      </c>
      <c r="L1195">
        <f>eDNA!C1195</f>
        <v>37.492184199999997</v>
      </c>
      <c r="M1195" s="10" t="str" cm="1">
        <f t="array" ref="M1195">IFERROR(_xlfn.XLOOKUP(1,('env Parameter'!$A:$A=$A1195)*('env Parameter'!$B:$B=$K1195)*('env Parameter'!$C:$C=$L1195),'env Parameter'!D:D,""),"")</f>
        <v>안양천-12</v>
      </c>
      <c r="N1195" s="10" t="str" cm="1">
        <f t="array" ref="N1195">IFERROR(_xlfn.XLOOKUP(1,('env Parameter'!$A:$A=$A1195)*('env Parameter'!$B:$B=$K1195)*('env Parameter'!$C:$C=$L1195),'env Parameter'!I:I,""),"")</f>
        <v>YR</v>
      </c>
    </row>
    <row r="1196" spans="1:14">
      <c r="A1196">
        <f>eDNA!A1196</f>
        <v>20201024</v>
      </c>
      <c r="B1196" s="10" t="str" cm="1">
        <f t="array" ref="B1196">IFERROR(_xlfn.XLOOKUP(1,('env Parameter'!$A:$A=$A1196)*('env Parameter'!$B:$B=$K1196)*('env Parameter'!$C:$C=$L1196),'env Parameter'!H:H,""),"")</f>
        <v>생물상 조사</v>
      </c>
      <c r="C1196" s="10" cm="1">
        <f t="array" ref="C1196">IFERROR(_xlfn.XLOOKUP(1,('env Parameter'!$A:$A=$A1196)*('env Parameter'!$B:$B=$K1196)*('env Parameter'!$C:$C=$L1196),'env Parameter'!E:E,""),"")</f>
        <v>2.14</v>
      </c>
      <c r="D1196" s="10" cm="1">
        <f t="array" ref="D1196">IFERROR(_xlfn.XLOOKUP(1,('env Parameter'!$A:$A=$A1196)*('env Parameter'!$B:$B=$K1196)*('env Parameter'!$C:$C=$L1196),'env Parameter'!F:F,""),"")</f>
        <v>478</v>
      </c>
      <c r="E1196" s="10" cm="1">
        <f t="array" ref="E1196">IFERROR(_xlfn.XLOOKUP(1,('env Parameter'!$A:$A=$A1196)*('env Parameter'!$B:$B=$K1196)*('env Parameter'!$C:$C=$L1196),'env Parameter'!G:G,""),"")</f>
        <v>7.6</v>
      </c>
      <c r="F1196" t="str">
        <f>eDNA!F1196</f>
        <v>MiFish</v>
      </c>
      <c r="G1196" t="str">
        <f>eDNA!D1196</f>
        <v>Rhinogobius giurinus</v>
      </c>
      <c r="H1196" t="str">
        <f>_xlfn.XLOOKUP(G1196,'Common name (master file)'!$B:$B,'Common name (master file)'!$A:$A,"-------------")</f>
        <v>갈문망둑</v>
      </c>
      <c r="I1196">
        <f>eDNA!E1196</f>
        <v>20</v>
      </c>
      <c r="J1196" t="str">
        <f>_xlfn.XLOOKUP(G1196,'Common name (master file)'!$B:$B,'Common name (master file)'!$C:$C,"")</f>
        <v>어류</v>
      </c>
      <c r="K1196">
        <f>eDNA!B1196</f>
        <v>126.87060049999999</v>
      </c>
      <c r="L1196">
        <f>eDNA!C1196</f>
        <v>37.492184199999997</v>
      </c>
      <c r="M1196" s="10" t="str" cm="1">
        <f t="array" ref="M1196">IFERROR(_xlfn.XLOOKUP(1,('env Parameter'!$A:$A=$A1196)*('env Parameter'!$B:$B=$K1196)*('env Parameter'!$C:$C=$L1196),'env Parameter'!D:D,""),"")</f>
        <v>안양천-12</v>
      </c>
      <c r="N1196" s="10" t="str" cm="1">
        <f t="array" ref="N1196">IFERROR(_xlfn.XLOOKUP(1,('env Parameter'!$A:$A=$A1196)*('env Parameter'!$B:$B=$K1196)*('env Parameter'!$C:$C=$L1196),'env Parameter'!I:I,""),"")</f>
        <v>YR</v>
      </c>
    </row>
    <row r="1197" spans="1:14">
      <c r="A1197">
        <f>eDNA!A1197</f>
        <v>20201024</v>
      </c>
      <c r="B1197" s="10" t="str" cm="1">
        <f t="array" ref="B1197">IFERROR(_xlfn.XLOOKUP(1,('env Parameter'!$A:$A=$A1197)*('env Parameter'!$B:$B=$K1197)*('env Parameter'!$C:$C=$L1197),'env Parameter'!H:H,""),"")</f>
        <v>생물상 조사</v>
      </c>
      <c r="C1197" s="10" cm="1">
        <f t="array" ref="C1197">IFERROR(_xlfn.XLOOKUP(1,('env Parameter'!$A:$A=$A1197)*('env Parameter'!$B:$B=$K1197)*('env Parameter'!$C:$C=$L1197),'env Parameter'!E:E,""),"")</f>
        <v>2.14</v>
      </c>
      <c r="D1197" s="10" cm="1">
        <f t="array" ref="D1197">IFERROR(_xlfn.XLOOKUP(1,('env Parameter'!$A:$A=$A1197)*('env Parameter'!$B:$B=$K1197)*('env Parameter'!$C:$C=$L1197),'env Parameter'!F:F,""),"")</f>
        <v>478</v>
      </c>
      <c r="E1197" s="10" cm="1">
        <f t="array" ref="E1197">IFERROR(_xlfn.XLOOKUP(1,('env Parameter'!$A:$A=$A1197)*('env Parameter'!$B:$B=$K1197)*('env Parameter'!$C:$C=$L1197),'env Parameter'!G:G,""),"")</f>
        <v>7.6</v>
      </c>
      <c r="F1197" t="str">
        <f>eDNA!F1197</f>
        <v>MiFish</v>
      </c>
      <c r="G1197" t="str">
        <f>eDNA!D1197</f>
        <v>Hemibarbus maculatus</v>
      </c>
      <c r="H1197" t="str">
        <f>_xlfn.XLOOKUP(G1197,'Common name (master file)'!$B:$B,'Common name (master file)'!$A:$A,"-------------")</f>
        <v>알락누치</v>
      </c>
      <c r="I1197">
        <f>eDNA!E1197</f>
        <v>28</v>
      </c>
      <c r="J1197" t="str">
        <f>_xlfn.XLOOKUP(G1197,'Common name (master file)'!$B:$B,'Common name (master file)'!$C:$C,"")</f>
        <v>어류</v>
      </c>
      <c r="K1197">
        <f>eDNA!B1197</f>
        <v>126.87060049999999</v>
      </c>
      <c r="L1197">
        <f>eDNA!C1197</f>
        <v>37.492184199999997</v>
      </c>
      <c r="M1197" s="10" t="str" cm="1">
        <f t="array" ref="M1197">IFERROR(_xlfn.XLOOKUP(1,('env Parameter'!$A:$A=$A1197)*('env Parameter'!$B:$B=$K1197)*('env Parameter'!$C:$C=$L1197),'env Parameter'!D:D,""),"")</f>
        <v>안양천-12</v>
      </c>
      <c r="N1197" s="10" t="str" cm="1">
        <f t="array" ref="N1197">IFERROR(_xlfn.XLOOKUP(1,('env Parameter'!$A:$A=$A1197)*('env Parameter'!$B:$B=$K1197)*('env Parameter'!$C:$C=$L1197),'env Parameter'!I:I,""),"")</f>
        <v>YR</v>
      </c>
    </row>
    <row r="1198" spans="1:14">
      <c r="A1198">
        <f>eDNA!A1198</f>
        <v>20201024</v>
      </c>
      <c r="B1198" s="10" t="str" cm="1">
        <f t="array" ref="B1198">IFERROR(_xlfn.XLOOKUP(1,('env Parameter'!$A:$A=$A1198)*('env Parameter'!$B:$B=$K1198)*('env Parameter'!$C:$C=$L1198),'env Parameter'!H:H,""),"")</f>
        <v>생물상 조사</v>
      </c>
      <c r="C1198" s="10" cm="1">
        <f t="array" ref="C1198">IFERROR(_xlfn.XLOOKUP(1,('env Parameter'!$A:$A=$A1198)*('env Parameter'!$B:$B=$K1198)*('env Parameter'!$C:$C=$L1198),'env Parameter'!E:E,""),"")</f>
        <v>2.14</v>
      </c>
      <c r="D1198" s="10" cm="1">
        <f t="array" ref="D1198">IFERROR(_xlfn.XLOOKUP(1,('env Parameter'!$A:$A=$A1198)*('env Parameter'!$B:$B=$K1198)*('env Parameter'!$C:$C=$L1198),'env Parameter'!F:F,""),"")</f>
        <v>478</v>
      </c>
      <c r="E1198" s="10" cm="1">
        <f t="array" ref="E1198">IFERROR(_xlfn.XLOOKUP(1,('env Parameter'!$A:$A=$A1198)*('env Parameter'!$B:$B=$K1198)*('env Parameter'!$C:$C=$L1198),'env Parameter'!G:G,""),"")</f>
        <v>7.6</v>
      </c>
      <c r="F1198" t="str">
        <f>eDNA!F1198</f>
        <v>MiFish</v>
      </c>
      <c r="G1198" t="str">
        <f>eDNA!D1198</f>
        <v>Mus musculus</v>
      </c>
      <c r="H1198" t="str">
        <f>_xlfn.XLOOKUP(G1198,'Common name (master file)'!$B:$B,'Common name (master file)'!$A:$A,"-------------")</f>
        <v>생쥐</v>
      </c>
      <c r="I1198">
        <f>eDNA!E1198</f>
        <v>33</v>
      </c>
      <c r="J1198" t="str">
        <f>_xlfn.XLOOKUP(G1198,'Common name (master file)'!$B:$B,'Common name (master file)'!$C:$C,"")</f>
        <v>포유류</v>
      </c>
      <c r="K1198">
        <f>eDNA!B1198</f>
        <v>126.87060049999999</v>
      </c>
      <c r="L1198">
        <f>eDNA!C1198</f>
        <v>37.492184199999997</v>
      </c>
      <c r="M1198" s="10" t="str" cm="1">
        <f t="array" ref="M1198">IFERROR(_xlfn.XLOOKUP(1,('env Parameter'!$A:$A=$A1198)*('env Parameter'!$B:$B=$K1198)*('env Parameter'!$C:$C=$L1198),'env Parameter'!D:D,""),"")</f>
        <v>안양천-12</v>
      </c>
      <c r="N1198" s="10" t="str" cm="1">
        <f t="array" ref="N1198">IFERROR(_xlfn.XLOOKUP(1,('env Parameter'!$A:$A=$A1198)*('env Parameter'!$B:$B=$K1198)*('env Parameter'!$C:$C=$L1198),'env Parameter'!I:I,""),"")</f>
        <v>YR</v>
      </c>
    </row>
    <row r="1199" spans="1:14">
      <c r="A1199">
        <f>eDNA!A1199</f>
        <v>20201024</v>
      </c>
      <c r="B1199" s="10" t="str" cm="1">
        <f t="array" ref="B1199">IFERROR(_xlfn.XLOOKUP(1,('env Parameter'!$A:$A=$A1199)*('env Parameter'!$B:$B=$K1199)*('env Parameter'!$C:$C=$L1199),'env Parameter'!H:H,""),"")</f>
        <v>생물상 조사</v>
      </c>
      <c r="C1199" s="10" cm="1">
        <f t="array" ref="C1199">IFERROR(_xlfn.XLOOKUP(1,('env Parameter'!$A:$A=$A1199)*('env Parameter'!$B:$B=$K1199)*('env Parameter'!$C:$C=$L1199),'env Parameter'!E:E,""),"")</f>
        <v>2.14</v>
      </c>
      <c r="D1199" s="10" cm="1">
        <f t="array" ref="D1199">IFERROR(_xlfn.XLOOKUP(1,('env Parameter'!$A:$A=$A1199)*('env Parameter'!$B:$B=$K1199)*('env Parameter'!$C:$C=$L1199),'env Parameter'!F:F,""),"")</f>
        <v>478</v>
      </c>
      <c r="E1199" s="10" cm="1">
        <f t="array" ref="E1199">IFERROR(_xlfn.XLOOKUP(1,('env Parameter'!$A:$A=$A1199)*('env Parameter'!$B:$B=$K1199)*('env Parameter'!$C:$C=$L1199),'env Parameter'!G:G,""),"")</f>
        <v>7.6</v>
      </c>
      <c r="F1199" t="str">
        <f>eDNA!F1199</f>
        <v>MiFish</v>
      </c>
      <c r="G1199" t="str">
        <f>eDNA!D1199</f>
        <v>Carassius auratus</v>
      </c>
      <c r="H1199" t="str">
        <f>_xlfn.XLOOKUP(G1199,'Common name (master file)'!$B:$B,'Common name (master file)'!$A:$A,"-------------")</f>
        <v>붕어</v>
      </c>
      <c r="I1199">
        <f>eDNA!E1199</f>
        <v>46</v>
      </c>
      <c r="J1199" t="str">
        <f>_xlfn.XLOOKUP(G1199,'Common name (master file)'!$B:$B,'Common name (master file)'!$C:$C,"")</f>
        <v>어류</v>
      </c>
      <c r="K1199">
        <f>eDNA!B1199</f>
        <v>126.87060049999999</v>
      </c>
      <c r="L1199">
        <f>eDNA!C1199</f>
        <v>37.492184199999997</v>
      </c>
      <c r="M1199" s="10" t="str" cm="1">
        <f t="array" ref="M1199">IFERROR(_xlfn.XLOOKUP(1,('env Parameter'!$A:$A=$A1199)*('env Parameter'!$B:$B=$K1199)*('env Parameter'!$C:$C=$L1199),'env Parameter'!D:D,""),"")</f>
        <v>안양천-12</v>
      </c>
      <c r="N1199" s="10" t="str" cm="1">
        <f t="array" ref="N1199">IFERROR(_xlfn.XLOOKUP(1,('env Parameter'!$A:$A=$A1199)*('env Parameter'!$B:$B=$K1199)*('env Parameter'!$C:$C=$L1199),'env Parameter'!I:I,""),"")</f>
        <v>YR</v>
      </c>
    </row>
    <row r="1200" spans="1:14">
      <c r="A1200">
        <f>eDNA!A1200</f>
        <v>20201024</v>
      </c>
      <c r="B1200" s="10" t="str" cm="1">
        <f t="array" ref="B1200">IFERROR(_xlfn.XLOOKUP(1,('env Parameter'!$A:$A=$A1200)*('env Parameter'!$B:$B=$K1200)*('env Parameter'!$C:$C=$L1200),'env Parameter'!H:H,""),"")</f>
        <v>생물상 조사</v>
      </c>
      <c r="C1200" s="10" cm="1">
        <f t="array" ref="C1200">IFERROR(_xlfn.XLOOKUP(1,('env Parameter'!$A:$A=$A1200)*('env Parameter'!$B:$B=$K1200)*('env Parameter'!$C:$C=$L1200),'env Parameter'!E:E,""),"")</f>
        <v>2.14</v>
      </c>
      <c r="D1200" s="10" cm="1">
        <f t="array" ref="D1200">IFERROR(_xlfn.XLOOKUP(1,('env Parameter'!$A:$A=$A1200)*('env Parameter'!$B:$B=$K1200)*('env Parameter'!$C:$C=$L1200),'env Parameter'!F:F,""),"")</f>
        <v>478</v>
      </c>
      <c r="E1200" s="10" cm="1">
        <f t="array" ref="E1200">IFERROR(_xlfn.XLOOKUP(1,('env Parameter'!$A:$A=$A1200)*('env Parameter'!$B:$B=$K1200)*('env Parameter'!$C:$C=$L1200),'env Parameter'!G:G,""),"")</f>
        <v>7.6</v>
      </c>
      <c r="F1200" t="str">
        <f>eDNA!F1200</f>
        <v>MiFish</v>
      </c>
      <c r="G1200" t="str">
        <f>eDNA!D1200</f>
        <v>Carassius cuvieri</v>
      </c>
      <c r="H1200" t="str">
        <f>_xlfn.XLOOKUP(G1200,'Common name (master file)'!$B:$B,'Common name (master file)'!$A:$A,"-------------")</f>
        <v>떡붕어</v>
      </c>
      <c r="I1200">
        <f>eDNA!E1200</f>
        <v>93</v>
      </c>
      <c r="J1200" t="str">
        <f>_xlfn.XLOOKUP(G1200,'Common name (master file)'!$B:$B,'Common name (master file)'!$C:$C,"")</f>
        <v>어류</v>
      </c>
      <c r="K1200">
        <f>eDNA!B1200</f>
        <v>126.87060049999999</v>
      </c>
      <c r="L1200">
        <f>eDNA!C1200</f>
        <v>37.492184199999997</v>
      </c>
      <c r="M1200" s="10" t="str" cm="1">
        <f t="array" ref="M1200">IFERROR(_xlfn.XLOOKUP(1,('env Parameter'!$A:$A=$A1200)*('env Parameter'!$B:$B=$K1200)*('env Parameter'!$C:$C=$L1200),'env Parameter'!D:D,""),"")</f>
        <v>안양천-12</v>
      </c>
      <c r="N1200" s="10" t="str" cm="1">
        <f t="array" ref="N1200">IFERROR(_xlfn.XLOOKUP(1,('env Parameter'!$A:$A=$A1200)*('env Parameter'!$B:$B=$K1200)*('env Parameter'!$C:$C=$L1200),'env Parameter'!I:I,""),"")</f>
        <v>YR</v>
      </c>
    </row>
    <row r="1201" spans="1:14">
      <c r="A1201">
        <f>eDNA!A1201</f>
        <v>20201024</v>
      </c>
      <c r="B1201" s="10" t="str" cm="1">
        <f t="array" ref="B1201">IFERROR(_xlfn.XLOOKUP(1,('env Parameter'!$A:$A=$A1201)*('env Parameter'!$B:$B=$K1201)*('env Parameter'!$C:$C=$L1201),'env Parameter'!H:H,""),"")</f>
        <v>생물상 조사</v>
      </c>
      <c r="C1201" s="10" cm="1">
        <f t="array" ref="C1201">IFERROR(_xlfn.XLOOKUP(1,('env Parameter'!$A:$A=$A1201)*('env Parameter'!$B:$B=$K1201)*('env Parameter'!$C:$C=$L1201),'env Parameter'!E:E,""),"")</f>
        <v>2.14</v>
      </c>
      <c r="D1201" s="10" cm="1">
        <f t="array" ref="D1201">IFERROR(_xlfn.XLOOKUP(1,('env Parameter'!$A:$A=$A1201)*('env Parameter'!$B:$B=$K1201)*('env Parameter'!$C:$C=$L1201),'env Parameter'!F:F,""),"")</f>
        <v>478</v>
      </c>
      <c r="E1201" s="10" cm="1">
        <f t="array" ref="E1201">IFERROR(_xlfn.XLOOKUP(1,('env Parameter'!$A:$A=$A1201)*('env Parameter'!$B:$B=$K1201)*('env Parameter'!$C:$C=$L1201),'env Parameter'!G:G,""),"")</f>
        <v>7.6</v>
      </c>
      <c r="F1201" t="str">
        <f>eDNA!F1201</f>
        <v>MiFish</v>
      </c>
      <c r="G1201" t="str">
        <f>eDNA!D1201</f>
        <v>Pica serica</v>
      </c>
      <c r="H1201" t="str">
        <f>_xlfn.XLOOKUP(G1201,'Common name (master file)'!$B:$B,'Common name (master file)'!$A:$A,"-------------")</f>
        <v>까치</v>
      </c>
      <c r="I1201">
        <f>eDNA!E1201</f>
        <v>69</v>
      </c>
      <c r="J1201" t="str">
        <f>_xlfn.XLOOKUP(G1201,'Common name (master file)'!$B:$B,'Common name (master file)'!$C:$C,"")</f>
        <v>조류</v>
      </c>
      <c r="K1201">
        <f>eDNA!B1201</f>
        <v>126.87060049999999</v>
      </c>
      <c r="L1201">
        <f>eDNA!C1201</f>
        <v>37.492184199999997</v>
      </c>
      <c r="M1201" s="10" t="str" cm="1">
        <f t="array" ref="M1201">IFERROR(_xlfn.XLOOKUP(1,('env Parameter'!$A:$A=$A1201)*('env Parameter'!$B:$B=$K1201)*('env Parameter'!$C:$C=$L1201),'env Parameter'!D:D,""),"")</f>
        <v>안양천-12</v>
      </c>
      <c r="N1201" s="10" t="str" cm="1">
        <f t="array" ref="N1201">IFERROR(_xlfn.XLOOKUP(1,('env Parameter'!$A:$A=$A1201)*('env Parameter'!$B:$B=$K1201)*('env Parameter'!$C:$C=$L1201),'env Parameter'!I:I,""),"")</f>
        <v>YR</v>
      </c>
    </row>
    <row r="1202" spans="1:14">
      <c r="A1202">
        <f>eDNA!A1202</f>
        <v>20201024</v>
      </c>
      <c r="B1202" s="10" t="str" cm="1">
        <f t="array" ref="B1202">IFERROR(_xlfn.XLOOKUP(1,('env Parameter'!$A:$A=$A1202)*('env Parameter'!$B:$B=$K1202)*('env Parameter'!$C:$C=$L1202),'env Parameter'!H:H,""),"")</f>
        <v>생물상 조사</v>
      </c>
      <c r="C1202" s="10" cm="1">
        <f t="array" ref="C1202">IFERROR(_xlfn.XLOOKUP(1,('env Parameter'!$A:$A=$A1202)*('env Parameter'!$B:$B=$K1202)*('env Parameter'!$C:$C=$L1202),'env Parameter'!E:E,""),"")</f>
        <v>2.14</v>
      </c>
      <c r="D1202" s="10" cm="1">
        <f t="array" ref="D1202">IFERROR(_xlfn.XLOOKUP(1,('env Parameter'!$A:$A=$A1202)*('env Parameter'!$B:$B=$K1202)*('env Parameter'!$C:$C=$L1202),'env Parameter'!F:F,""),"")</f>
        <v>478</v>
      </c>
      <c r="E1202" s="10" cm="1">
        <f t="array" ref="E1202">IFERROR(_xlfn.XLOOKUP(1,('env Parameter'!$A:$A=$A1202)*('env Parameter'!$B:$B=$K1202)*('env Parameter'!$C:$C=$L1202),'env Parameter'!G:G,""),"")</f>
        <v>7.6</v>
      </c>
      <c r="F1202" t="str">
        <f>eDNA!F1202</f>
        <v>MiFish</v>
      </c>
      <c r="G1202" t="str">
        <f>eDNA!D1202</f>
        <v>Gnathopogon strigatus</v>
      </c>
      <c r="H1202" t="str">
        <f>_xlfn.XLOOKUP(G1202,'Common name (master file)'!$B:$B,'Common name (master file)'!$A:$A,"-------------")</f>
        <v>줄몰개</v>
      </c>
      <c r="I1202">
        <f>eDNA!E1202</f>
        <v>92</v>
      </c>
      <c r="J1202" t="str">
        <f>_xlfn.XLOOKUP(G1202,'Common name (master file)'!$B:$B,'Common name (master file)'!$C:$C,"")</f>
        <v>어류</v>
      </c>
      <c r="K1202">
        <f>eDNA!B1202</f>
        <v>126.87060049999999</v>
      </c>
      <c r="L1202">
        <f>eDNA!C1202</f>
        <v>37.492184199999997</v>
      </c>
      <c r="M1202" s="10" t="str" cm="1">
        <f t="array" ref="M1202">IFERROR(_xlfn.XLOOKUP(1,('env Parameter'!$A:$A=$A1202)*('env Parameter'!$B:$B=$K1202)*('env Parameter'!$C:$C=$L1202),'env Parameter'!D:D,""),"")</f>
        <v>안양천-12</v>
      </c>
      <c r="N1202" s="10" t="str" cm="1">
        <f t="array" ref="N1202">IFERROR(_xlfn.XLOOKUP(1,('env Parameter'!$A:$A=$A1202)*('env Parameter'!$B:$B=$K1202)*('env Parameter'!$C:$C=$L1202),'env Parameter'!I:I,""),"")</f>
        <v>YR</v>
      </c>
    </row>
    <row r="1203" spans="1:14">
      <c r="A1203">
        <f>eDNA!A1203</f>
        <v>20201024</v>
      </c>
      <c r="B1203" s="10" t="str" cm="1">
        <f t="array" ref="B1203">IFERROR(_xlfn.XLOOKUP(1,('env Parameter'!$A:$A=$A1203)*('env Parameter'!$B:$B=$K1203)*('env Parameter'!$C:$C=$L1203),'env Parameter'!H:H,""),"")</f>
        <v>생물상 조사</v>
      </c>
      <c r="C1203" s="10" cm="1">
        <f t="array" ref="C1203">IFERROR(_xlfn.XLOOKUP(1,('env Parameter'!$A:$A=$A1203)*('env Parameter'!$B:$B=$K1203)*('env Parameter'!$C:$C=$L1203),'env Parameter'!E:E,""),"")</f>
        <v>2.14</v>
      </c>
      <c r="D1203" s="10" cm="1">
        <f t="array" ref="D1203">IFERROR(_xlfn.XLOOKUP(1,('env Parameter'!$A:$A=$A1203)*('env Parameter'!$B:$B=$K1203)*('env Parameter'!$C:$C=$L1203),'env Parameter'!F:F,""),"")</f>
        <v>478</v>
      </c>
      <c r="E1203" s="10" cm="1">
        <f t="array" ref="E1203">IFERROR(_xlfn.XLOOKUP(1,('env Parameter'!$A:$A=$A1203)*('env Parameter'!$B:$B=$K1203)*('env Parameter'!$C:$C=$L1203),'env Parameter'!G:G,""),"")</f>
        <v>7.6</v>
      </c>
      <c r="F1203" t="str">
        <f>eDNA!F1203</f>
        <v>MiFish</v>
      </c>
      <c r="G1203" t="str">
        <f>eDNA!D1203</f>
        <v>Cyprinus megalophthalmus</v>
      </c>
      <c r="H1203" t="str">
        <f>_xlfn.XLOOKUP(G1203,'Common name (master file)'!$B:$B,'Common name (master file)'!$A:$A,"-------------")</f>
        <v>큰눈잉어</v>
      </c>
      <c r="I1203">
        <f>eDNA!E1203</f>
        <v>92</v>
      </c>
      <c r="J1203" t="str">
        <f>_xlfn.XLOOKUP(G1203,'Common name (master file)'!$B:$B,'Common name (master file)'!$C:$C,"")</f>
        <v>어류</v>
      </c>
      <c r="K1203">
        <f>eDNA!B1203</f>
        <v>126.87060049999999</v>
      </c>
      <c r="L1203">
        <f>eDNA!C1203</f>
        <v>37.492184199999997</v>
      </c>
      <c r="M1203" s="10" t="str" cm="1">
        <f t="array" ref="M1203">IFERROR(_xlfn.XLOOKUP(1,('env Parameter'!$A:$A=$A1203)*('env Parameter'!$B:$B=$K1203)*('env Parameter'!$C:$C=$L1203),'env Parameter'!D:D,""),"")</f>
        <v>안양천-12</v>
      </c>
      <c r="N1203" s="10" t="str" cm="1">
        <f t="array" ref="N1203">IFERROR(_xlfn.XLOOKUP(1,('env Parameter'!$A:$A=$A1203)*('env Parameter'!$B:$B=$K1203)*('env Parameter'!$C:$C=$L1203),'env Parameter'!I:I,""),"")</f>
        <v>YR</v>
      </c>
    </row>
    <row r="1204" spans="1:14">
      <c r="A1204">
        <f>eDNA!A1204</f>
        <v>20201024</v>
      </c>
      <c r="B1204" s="10" t="str" cm="1">
        <f t="array" ref="B1204">IFERROR(_xlfn.XLOOKUP(1,('env Parameter'!$A:$A=$A1204)*('env Parameter'!$B:$B=$K1204)*('env Parameter'!$C:$C=$L1204),'env Parameter'!H:H,""),"")</f>
        <v>생물상 조사</v>
      </c>
      <c r="C1204" s="10" cm="1">
        <f t="array" ref="C1204">IFERROR(_xlfn.XLOOKUP(1,('env Parameter'!$A:$A=$A1204)*('env Parameter'!$B:$B=$K1204)*('env Parameter'!$C:$C=$L1204),'env Parameter'!E:E,""),"")</f>
        <v>2.14</v>
      </c>
      <c r="D1204" s="10" cm="1">
        <f t="array" ref="D1204">IFERROR(_xlfn.XLOOKUP(1,('env Parameter'!$A:$A=$A1204)*('env Parameter'!$B:$B=$K1204)*('env Parameter'!$C:$C=$L1204),'env Parameter'!F:F,""),"")</f>
        <v>478</v>
      </c>
      <c r="E1204" s="10" cm="1">
        <f t="array" ref="E1204">IFERROR(_xlfn.XLOOKUP(1,('env Parameter'!$A:$A=$A1204)*('env Parameter'!$B:$B=$K1204)*('env Parameter'!$C:$C=$L1204),'env Parameter'!G:G,""),"")</f>
        <v>7.6</v>
      </c>
      <c r="F1204" t="str">
        <f>eDNA!F1204</f>
        <v>MiFish</v>
      </c>
      <c r="G1204" t="str">
        <f>eDNA!D1204</f>
        <v>Pseudogobio esocinus</v>
      </c>
      <c r="H1204" t="str">
        <f>_xlfn.XLOOKUP(G1204,'Common name (master file)'!$B:$B,'Common name (master file)'!$A:$A,"-------------")</f>
        <v>모래무지</v>
      </c>
      <c r="I1204">
        <f>eDNA!E1204</f>
        <v>303</v>
      </c>
      <c r="J1204" t="str">
        <f>_xlfn.XLOOKUP(G1204,'Common name (master file)'!$B:$B,'Common name (master file)'!$C:$C,"")</f>
        <v>어류</v>
      </c>
      <c r="K1204">
        <f>eDNA!B1204</f>
        <v>126.87060049999999</v>
      </c>
      <c r="L1204">
        <f>eDNA!C1204</f>
        <v>37.492184199999997</v>
      </c>
      <c r="M1204" s="10" t="str" cm="1">
        <f t="array" ref="M1204">IFERROR(_xlfn.XLOOKUP(1,('env Parameter'!$A:$A=$A1204)*('env Parameter'!$B:$B=$K1204)*('env Parameter'!$C:$C=$L1204),'env Parameter'!D:D,""),"")</f>
        <v>안양천-12</v>
      </c>
      <c r="N1204" s="10" t="str" cm="1">
        <f t="array" ref="N1204">IFERROR(_xlfn.XLOOKUP(1,('env Parameter'!$A:$A=$A1204)*('env Parameter'!$B:$B=$K1204)*('env Parameter'!$C:$C=$L1204),'env Parameter'!I:I,""),"")</f>
        <v>YR</v>
      </c>
    </row>
    <row r="1205" spans="1:14">
      <c r="A1205">
        <f>eDNA!A1205</f>
        <v>20201024</v>
      </c>
      <c r="B1205" s="10" t="str" cm="1">
        <f t="array" ref="B1205">IFERROR(_xlfn.XLOOKUP(1,('env Parameter'!$A:$A=$A1205)*('env Parameter'!$B:$B=$K1205)*('env Parameter'!$C:$C=$L1205),'env Parameter'!H:H,""),"")</f>
        <v>생물상 조사</v>
      </c>
      <c r="C1205" s="10" cm="1">
        <f t="array" ref="C1205">IFERROR(_xlfn.XLOOKUP(1,('env Parameter'!$A:$A=$A1205)*('env Parameter'!$B:$B=$K1205)*('env Parameter'!$C:$C=$L1205),'env Parameter'!E:E,""),"")</f>
        <v>2.14</v>
      </c>
      <c r="D1205" s="10" cm="1">
        <f t="array" ref="D1205">IFERROR(_xlfn.XLOOKUP(1,('env Parameter'!$A:$A=$A1205)*('env Parameter'!$B:$B=$K1205)*('env Parameter'!$C:$C=$L1205),'env Parameter'!F:F,""),"")</f>
        <v>478</v>
      </c>
      <c r="E1205" s="10" cm="1">
        <f t="array" ref="E1205">IFERROR(_xlfn.XLOOKUP(1,('env Parameter'!$A:$A=$A1205)*('env Parameter'!$B:$B=$K1205)*('env Parameter'!$C:$C=$L1205),'env Parameter'!G:G,""),"")</f>
        <v>7.6</v>
      </c>
      <c r="F1205" t="str">
        <f>eDNA!F1205</f>
        <v>MiFish</v>
      </c>
      <c r="G1205" t="str">
        <f>eDNA!D1205</f>
        <v>Pelodiscus sinensis</v>
      </c>
      <c r="H1205" t="str">
        <f>_xlfn.XLOOKUP(G1205,'Common name (master file)'!$B:$B,'Common name (master file)'!$A:$A,"-------------")</f>
        <v>중국자라</v>
      </c>
      <c r="I1205">
        <f>eDNA!E1205</f>
        <v>231</v>
      </c>
      <c r="J1205" t="str">
        <f>_xlfn.XLOOKUP(G1205,'Common name (master file)'!$B:$B,'Common name (master file)'!$C:$C,"")</f>
        <v>양서파충류</v>
      </c>
      <c r="K1205">
        <f>eDNA!B1205</f>
        <v>126.87060049999999</v>
      </c>
      <c r="L1205">
        <f>eDNA!C1205</f>
        <v>37.492184199999997</v>
      </c>
      <c r="M1205" s="10" t="str" cm="1">
        <f t="array" ref="M1205">IFERROR(_xlfn.XLOOKUP(1,('env Parameter'!$A:$A=$A1205)*('env Parameter'!$B:$B=$K1205)*('env Parameter'!$C:$C=$L1205),'env Parameter'!D:D,""),"")</f>
        <v>안양천-12</v>
      </c>
      <c r="N1205" s="10" t="str" cm="1">
        <f t="array" ref="N1205">IFERROR(_xlfn.XLOOKUP(1,('env Parameter'!$A:$A=$A1205)*('env Parameter'!$B:$B=$K1205)*('env Parameter'!$C:$C=$L1205),'env Parameter'!I:I,""),"")</f>
        <v>YR</v>
      </c>
    </row>
    <row r="1206" spans="1:14">
      <c r="A1206">
        <f>eDNA!A1206</f>
        <v>20201024</v>
      </c>
      <c r="B1206" s="10" t="str" cm="1">
        <f t="array" ref="B1206">IFERROR(_xlfn.XLOOKUP(1,('env Parameter'!$A:$A=$A1206)*('env Parameter'!$B:$B=$K1206)*('env Parameter'!$C:$C=$L1206),'env Parameter'!H:H,""),"")</f>
        <v>생물상 조사</v>
      </c>
      <c r="C1206" s="10" cm="1">
        <f t="array" ref="C1206">IFERROR(_xlfn.XLOOKUP(1,('env Parameter'!$A:$A=$A1206)*('env Parameter'!$B:$B=$K1206)*('env Parameter'!$C:$C=$L1206),'env Parameter'!E:E,""),"")</f>
        <v>2.14</v>
      </c>
      <c r="D1206" s="10" cm="1">
        <f t="array" ref="D1206">IFERROR(_xlfn.XLOOKUP(1,('env Parameter'!$A:$A=$A1206)*('env Parameter'!$B:$B=$K1206)*('env Parameter'!$C:$C=$L1206),'env Parameter'!F:F,""),"")</f>
        <v>478</v>
      </c>
      <c r="E1206" s="10" cm="1">
        <f t="array" ref="E1206">IFERROR(_xlfn.XLOOKUP(1,('env Parameter'!$A:$A=$A1206)*('env Parameter'!$B:$B=$K1206)*('env Parameter'!$C:$C=$L1206),'env Parameter'!G:G,""),"")</f>
        <v>7.6</v>
      </c>
      <c r="F1206" t="str">
        <f>eDNA!F1206</f>
        <v>MiFish</v>
      </c>
      <c r="G1206" t="str">
        <f>eDNA!D1206</f>
        <v>Oryzias sinensis</v>
      </c>
      <c r="H1206" t="str">
        <f>_xlfn.XLOOKUP(G1206,'Common name (master file)'!$B:$B,'Common name (master file)'!$A:$A,"-------------")</f>
        <v>대륙송사리</v>
      </c>
      <c r="I1206">
        <f>eDNA!E1206</f>
        <v>221</v>
      </c>
      <c r="J1206" t="str">
        <f>_xlfn.XLOOKUP(G1206,'Common name (master file)'!$B:$B,'Common name (master file)'!$C:$C,"")</f>
        <v>어류</v>
      </c>
      <c r="K1206">
        <f>eDNA!B1206</f>
        <v>126.87060049999999</v>
      </c>
      <c r="L1206">
        <f>eDNA!C1206</f>
        <v>37.492184199999997</v>
      </c>
      <c r="M1206" s="10" t="str" cm="1">
        <f t="array" ref="M1206">IFERROR(_xlfn.XLOOKUP(1,('env Parameter'!$A:$A=$A1206)*('env Parameter'!$B:$B=$K1206)*('env Parameter'!$C:$C=$L1206),'env Parameter'!D:D,""),"")</f>
        <v>안양천-12</v>
      </c>
      <c r="N1206" s="10" t="str" cm="1">
        <f t="array" ref="N1206">IFERROR(_xlfn.XLOOKUP(1,('env Parameter'!$A:$A=$A1206)*('env Parameter'!$B:$B=$K1206)*('env Parameter'!$C:$C=$L1206),'env Parameter'!I:I,""),"")</f>
        <v>YR</v>
      </c>
    </row>
    <row r="1207" spans="1:14">
      <c r="A1207">
        <f>eDNA!A1207</f>
        <v>20201024</v>
      </c>
      <c r="B1207" s="10" t="str" cm="1">
        <f t="array" ref="B1207">IFERROR(_xlfn.XLOOKUP(1,('env Parameter'!$A:$A=$A1207)*('env Parameter'!$B:$B=$K1207)*('env Parameter'!$C:$C=$L1207),'env Parameter'!H:H,""),"")</f>
        <v>생물상 조사</v>
      </c>
      <c r="C1207" s="10" cm="1">
        <f t="array" ref="C1207">IFERROR(_xlfn.XLOOKUP(1,('env Parameter'!$A:$A=$A1207)*('env Parameter'!$B:$B=$K1207)*('env Parameter'!$C:$C=$L1207),'env Parameter'!E:E,""),"")</f>
        <v>2.14</v>
      </c>
      <c r="D1207" s="10" cm="1">
        <f t="array" ref="D1207">IFERROR(_xlfn.XLOOKUP(1,('env Parameter'!$A:$A=$A1207)*('env Parameter'!$B:$B=$K1207)*('env Parameter'!$C:$C=$L1207),'env Parameter'!F:F,""),"")</f>
        <v>478</v>
      </c>
      <c r="E1207" s="10" cm="1">
        <f t="array" ref="E1207">IFERROR(_xlfn.XLOOKUP(1,('env Parameter'!$A:$A=$A1207)*('env Parameter'!$B:$B=$K1207)*('env Parameter'!$C:$C=$L1207),'env Parameter'!G:G,""),"")</f>
        <v>7.6</v>
      </c>
      <c r="F1207" t="str">
        <f>eDNA!F1207</f>
        <v>MiFish</v>
      </c>
      <c r="G1207" t="str">
        <f>eDNA!D1207</f>
        <v>Lepomis macrochirus</v>
      </c>
      <c r="H1207" t="str">
        <f>_xlfn.XLOOKUP(G1207,'Common name (master file)'!$B:$B,'Common name (master file)'!$A:$A,"-------------")</f>
        <v>블루길</v>
      </c>
      <c r="I1207">
        <f>eDNA!E1207</f>
        <v>251</v>
      </c>
      <c r="J1207" t="str">
        <f>_xlfn.XLOOKUP(G1207,'Common name (master file)'!$B:$B,'Common name (master file)'!$C:$C,"")</f>
        <v>어류</v>
      </c>
      <c r="K1207">
        <f>eDNA!B1207</f>
        <v>126.87060049999999</v>
      </c>
      <c r="L1207">
        <f>eDNA!C1207</f>
        <v>37.492184199999997</v>
      </c>
      <c r="M1207" s="10" t="str" cm="1">
        <f t="array" ref="M1207">IFERROR(_xlfn.XLOOKUP(1,('env Parameter'!$A:$A=$A1207)*('env Parameter'!$B:$B=$K1207)*('env Parameter'!$C:$C=$L1207),'env Parameter'!D:D,""),"")</f>
        <v>안양천-12</v>
      </c>
      <c r="N1207" s="10" t="str" cm="1">
        <f t="array" ref="N1207">IFERROR(_xlfn.XLOOKUP(1,('env Parameter'!$A:$A=$A1207)*('env Parameter'!$B:$B=$K1207)*('env Parameter'!$C:$C=$L1207),'env Parameter'!I:I,""),"")</f>
        <v>YR</v>
      </c>
    </row>
    <row r="1208" spans="1:14">
      <c r="A1208">
        <f>eDNA!A1208</f>
        <v>20201024</v>
      </c>
      <c r="B1208" s="10" t="str" cm="1">
        <f t="array" ref="B1208">IFERROR(_xlfn.XLOOKUP(1,('env Parameter'!$A:$A=$A1208)*('env Parameter'!$B:$B=$K1208)*('env Parameter'!$C:$C=$L1208),'env Parameter'!H:H,""),"")</f>
        <v>생물상 조사</v>
      </c>
      <c r="C1208" s="10" cm="1">
        <f t="array" ref="C1208">IFERROR(_xlfn.XLOOKUP(1,('env Parameter'!$A:$A=$A1208)*('env Parameter'!$B:$B=$K1208)*('env Parameter'!$C:$C=$L1208),'env Parameter'!E:E,""),"")</f>
        <v>2.14</v>
      </c>
      <c r="D1208" s="10" cm="1">
        <f t="array" ref="D1208">IFERROR(_xlfn.XLOOKUP(1,('env Parameter'!$A:$A=$A1208)*('env Parameter'!$B:$B=$K1208)*('env Parameter'!$C:$C=$L1208),'env Parameter'!F:F,""),"")</f>
        <v>478</v>
      </c>
      <c r="E1208" s="10" cm="1">
        <f t="array" ref="E1208">IFERROR(_xlfn.XLOOKUP(1,('env Parameter'!$A:$A=$A1208)*('env Parameter'!$B:$B=$K1208)*('env Parameter'!$C:$C=$L1208),'env Parameter'!G:G,""),"")</f>
        <v>7.6</v>
      </c>
      <c r="F1208" t="str">
        <f>eDNA!F1208</f>
        <v>MiFish</v>
      </c>
      <c r="G1208" t="str">
        <f>eDNA!D1208</f>
        <v>Tadorna tadorna</v>
      </c>
      <c r="H1208" t="str">
        <f>_xlfn.XLOOKUP(G1208,'Common name (master file)'!$B:$B,'Common name (master file)'!$A:$A,"-------------")</f>
        <v>혹부리오리</v>
      </c>
      <c r="I1208">
        <f>eDNA!E1208</f>
        <v>442</v>
      </c>
      <c r="J1208" t="str">
        <f>_xlfn.XLOOKUP(G1208,'Common name (master file)'!$B:$B,'Common name (master file)'!$C:$C,"")</f>
        <v>조류</v>
      </c>
      <c r="K1208">
        <f>eDNA!B1208</f>
        <v>126.87060049999999</v>
      </c>
      <c r="L1208">
        <f>eDNA!C1208</f>
        <v>37.492184199999997</v>
      </c>
      <c r="M1208" s="10" t="str" cm="1">
        <f t="array" ref="M1208">IFERROR(_xlfn.XLOOKUP(1,('env Parameter'!$A:$A=$A1208)*('env Parameter'!$B:$B=$K1208)*('env Parameter'!$C:$C=$L1208),'env Parameter'!D:D,""),"")</f>
        <v>안양천-12</v>
      </c>
      <c r="N1208" s="10" t="str" cm="1">
        <f t="array" ref="N1208">IFERROR(_xlfn.XLOOKUP(1,('env Parameter'!$A:$A=$A1208)*('env Parameter'!$B:$B=$K1208)*('env Parameter'!$C:$C=$L1208),'env Parameter'!I:I,""),"")</f>
        <v>YR</v>
      </c>
    </row>
    <row r="1209" spans="1:14">
      <c r="A1209">
        <f>eDNA!A1209</f>
        <v>20201024</v>
      </c>
      <c r="B1209" s="10" t="str" cm="1">
        <f t="array" ref="B1209">IFERROR(_xlfn.XLOOKUP(1,('env Parameter'!$A:$A=$A1209)*('env Parameter'!$B:$B=$K1209)*('env Parameter'!$C:$C=$L1209),'env Parameter'!H:H,""),"")</f>
        <v>생물상 조사</v>
      </c>
      <c r="C1209" s="10" cm="1">
        <f t="array" ref="C1209">IFERROR(_xlfn.XLOOKUP(1,('env Parameter'!$A:$A=$A1209)*('env Parameter'!$B:$B=$K1209)*('env Parameter'!$C:$C=$L1209),'env Parameter'!E:E,""),"")</f>
        <v>2.14</v>
      </c>
      <c r="D1209" s="10" cm="1">
        <f t="array" ref="D1209">IFERROR(_xlfn.XLOOKUP(1,('env Parameter'!$A:$A=$A1209)*('env Parameter'!$B:$B=$K1209)*('env Parameter'!$C:$C=$L1209),'env Parameter'!F:F,""),"")</f>
        <v>478</v>
      </c>
      <c r="E1209" s="10" cm="1">
        <f t="array" ref="E1209">IFERROR(_xlfn.XLOOKUP(1,('env Parameter'!$A:$A=$A1209)*('env Parameter'!$B:$B=$K1209)*('env Parameter'!$C:$C=$L1209),'env Parameter'!G:G,""),"")</f>
        <v>7.6</v>
      </c>
      <c r="F1209" t="str">
        <f>eDNA!F1209</f>
        <v>MiFish</v>
      </c>
      <c r="G1209" t="str">
        <f>eDNA!D1209</f>
        <v>Acanthorhodeus chankaensis</v>
      </c>
      <c r="H1209" t="str">
        <f>_xlfn.XLOOKUP(G1209,'Common name (master file)'!$B:$B,'Common name (master file)'!$A:$A,"-------------")</f>
        <v>가시납지리</v>
      </c>
      <c r="I1209">
        <f>eDNA!E1209</f>
        <v>510</v>
      </c>
      <c r="J1209" t="str">
        <f>_xlfn.XLOOKUP(G1209,'Common name (master file)'!$B:$B,'Common name (master file)'!$C:$C,"")</f>
        <v>어류</v>
      </c>
      <c r="K1209">
        <f>eDNA!B1209</f>
        <v>126.87060049999999</v>
      </c>
      <c r="L1209">
        <f>eDNA!C1209</f>
        <v>37.492184199999997</v>
      </c>
      <c r="M1209" s="10" t="str" cm="1">
        <f t="array" ref="M1209">IFERROR(_xlfn.XLOOKUP(1,('env Parameter'!$A:$A=$A1209)*('env Parameter'!$B:$B=$K1209)*('env Parameter'!$C:$C=$L1209),'env Parameter'!D:D,""),"")</f>
        <v>안양천-12</v>
      </c>
      <c r="N1209" s="10" t="str" cm="1">
        <f t="array" ref="N1209">IFERROR(_xlfn.XLOOKUP(1,('env Parameter'!$A:$A=$A1209)*('env Parameter'!$B:$B=$K1209)*('env Parameter'!$C:$C=$L1209),'env Parameter'!I:I,""),"")</f>
        <v>YR</v>
      </c>
    </row>
    <row r="1210" spans="1:14">
      <c r="A1210">
        <f>eDNA!A1210</f>
        <v>20201024</v>
      </c>
      <c r="B1210" s="10" t="str" cm="1">
        <f t="array" ref="B1210">IFERROR(_xlfn.XLOOKUP(1,('env Parameter'!$A:$A=$A1210)*('env Parameter'!$B:$B=$K1210)*('env Parameter'!$C:$C=$L1210),'env Parameter'!H:H,""),"")</f>
        <v>생물상 조사</v>
      </c>
      <c r="C1210" s="10" cm="1">
        <f t="array" ref="C1210">IFERROR(_xlfn.XLOOKUP(1,('env Parameter'!$A:$A=$A1210)*('env Parameter'!$B:$B=$K1210)*('env Parameter'!$C:$C=$L1210),'env Parameter'!E:E,""),"")</f>
        <v>2.14</v>
      </c>
      <c r="D1210" s="10" cm="1">
        <f t="array" ref="D1210">IFERROR(_xlfn.XLOOKUP(1,('env Parameter'!$A:$A=$A1210)*('env Parameter'!$B:$B=$K1210)*('env Parameter'!$C:$C=$L1210),'env Parameter'!F:F,""),"")</f>
        <v>478</v>
      </c>
      <c r="E1210" s="10" cm="1">
        <f t="array" ref="E1210">IFERROR(_xlfn.XLOOKUP(1,('env Parameter'!$A:$A=$A1210)*('env Parameter'!$B:$B=$K1210)*('env Parameter'!$C:$C=$L1210),'env Parameter'!G:G,""),"")</f>
        <v>7.6</v>
      </c>
      <c r="F1210" t="str">
        <f>eDNA!F1210</f>
        <v>MiFish</v>
      </c>
      <c r="G1210" t="str">
        <f>eDNA!D1210</f>
        <v>Misgurnus mizolepis</v>
      </c>
      <c r="H1210" t="str">
        <f>_xlfn.XLOOKUP(G1210,'Common name (master file)'!$B:$B,'Common name (master file)'!$A:$A,"-------------")</f>
        <v>미꾸라지</v>
      </c>
      <c r="I1210">
        <f>eDNA!E1210</f>
        <v>490</v>
      </c>
      <c r="J1210" t="str">
        <f>_xlfn.XLOOKUP(G1210,'Common name (master file)'!$B:$B,'Common name (master file)'!$C:$C,"")</f>
        <v>어류</v>
      </c>
      <c r="K1210">
        <f>eDNA!B1210</f>
        <v>126.87060049999999</v>
      </c>
      <c r="L1210">
        <f>eDNA!C1210</f>
        <v>37.492184199999997</v>
      </c>
      <c r="M1210" s="10" t="str" cm="1">
        <f t="array" ref="M1210">IFERROR(_xlfn.XLOOKUP(1,('env Parameter'!$A:$A=$A1210)*('env Parameter'!$B:$B=$K1210)*('env Parameter'!$C:$C=$L1210),'env Parameter'!D:D,""),"")</f>
        <v>안양천-12</v>
      </c>
      <c r="N1210" s="10" t="str" cm="1">
        <f t="array" ref="N1210">IFERROR(_xlfn.XLOOKUP(1,('env Parameter'!$A:$A=$A1210)*('env Parameter'!$B:$B=$K1210)*('env Parameter'!$C:$C=$L1210),'env Parameter'!I:I,""),"")</f>
        <v>YR</v>
      </c>
    </row>
    <row r="1211" spans="1:14">
      <c r="A1211">
        <f>eDNA!A1211</f>
        <v>20201024</v>
      </c>
      <c r="B1211" s="10" t="str" cm="1">
        <f t="array" ref="B1211">IFERROR(_xlfn.XLOOKUP(1,('env Parameter'!$A:$A=$A1211)*('env Parameter'!$B:$B=$K1211)*('env Parameter'!$C:$C=$L1211),'env Parameter'!H:H,""),"")</f>
        <v>생물상 조사</v>
      </c>
      <c r="C1211" s="10" cm="1">
        <f t="array" ref="C1211">IFERROR(_xlfn.XLOOKUP(1,('env Parameter'!$A:$A=$A1211)*('env Parameter'!$B:$B=$K1211)*('env Parameter'!$C:$C=$L1211),'env Parameter'!E:E,""),"")</f>
        <v>2.14</v>
      </c>
      <c r="D1211" s="10" cm="1">
        <f t="array" ref="D1211">IFERROR(_xlfn.XLOOKUP(1,('env Parameter'!$A:$A=$A1211)*('env Parameter'!$B:$B=$K1211)*('env Parameter'!$C:$C=$L1211),'env Parameter'!F:F,""),"")</f>
        <v>478</v>
      </c>
      <c r="E1211" s="10" cm="1">
        <f t="array" ref="E1211">IFERROR(_xlfn.XLOOKUP(1,('env Parameter'!$A:$A=$A1211)*('env Parameter'!$B:$B=$K1211)*('env Parameter'!$C:$C=$L1211),'env Parameter'!G:G,""),"")</f>
        <v>7.6</v>
      </c>
      <c r="F1211" t="str">
        <f>eDNA!F1211</f>
        <v>MiFish</v>
      </c>
      <c r="G1211" t="str">
        <f>eDNA!D1211</f>
        <v>Synechogobius hasta</v>
      </c>
      <c r="H1211" t="str">
        <f>_xlfn.XLOOKUP(G1211,'Common name (master file)'!$B:$B,'Common name (master file)'!$A:$A,"-------------")</f>
        <v>풀망둑</v>
      </c>
      <c r="I1211">
        <f>eDNA!E1211</f>
        <v>446</v>
      </c>
      <c r="J1211" t="str">
        <f>_xlfn.XLOOKUP(G1211,'Common name (master file)'!$B:$B,'Common name (master file)'!$C:$C,"")</f>
        <v>어류</v>
      </c>
      <c r="K1211">
        <f>eDNA!B1211</f>
        <v>126.87060049999999</v>
      </c>
      <c r="L1211">
        <f>eDNA!C1211</f>
        <v>37.492184199999997</v>
      </c>
      <c r="M1211" s="10" t="str" cm="1">
        <f t="array" ref="M1211">IFERROR(_xlfn.XLOOKUP(1,('env Parameter'!$A:$A=$A1211)*('env Parameter'!$B:$B=$K1211)*('env Parameter'!$C:$C=$L1211),'env Parameter'!D:D,""),"")</f>
        <v>안양천-12</v>
      </c>
      <c r="N1211" s="10" t="str" cm="1">
        <f t="array" ref="N1211">IFERROR(_xlfn.XLOOKUP(1,('env Parameter'!$A:$A=$A1211)*('env Parameter'!$B:$B=$K1211)*('env Parameter'!$C:$C=$L1211),'env Parameter'!I:I,""),"")</f>
        <v>YR</v>
      </c>
    </row>
    <row r="1212" spans="1:14">
      <c r="A1212">
        <f>eDNA!A1212</f>
        <v>20201024</v>
      </c>
      <c r="B1212" s="10" t="str" cm="1">
        <f t="array" ref="B1212">IFERROR(_xlfn.XLOOKUP(1,('env Parameter'!$A:$A=$A1212)*('env Parameter'!$B:$B=$K1212)*('env Parameter'!$C:$C=$L1212),'env Parameter'!H:H,""),"")</f>
        <v>생물상 조사</v>
      </c>
      <c r="C1212" s="10" cm="1">
        <f t="array" ref="C1212">IFERROR(_xlfn.XLOOKUP(1,('env Parameter'!$A:$A=$A1212)*('env Parameter'!$B:$B=$K1212)*('env Parameter'!$C:$C=$L1212),'env Parameter'!E:E,""),"")</f>
        <v>2.14</v>
      </c>
      <c r="D1212" s="10" cm="1">
        <f t="array" ref="D1212">IFERROR(_xlfn.XLOOKUP(1,('env Parameter'!$A:$A=$A1212)*('env Parameter'!$B:$B=$K1212)*('env Parameter'!$C:$C=$L1212),'env Parameter'!F:F,""),"")</f>
        <v>478</v>
      </c>
      <c r="E1212" s="10" cm="1">
        <f t="array" ref="E1212">IFERROR(_xlfn.XLOOKUP(1,('env Parameter'!$A:$A=$A1212)*('env Parameter'!$B:$B=$K1212)*('env Parameter'!$C:$C=$L1212),'env Parameter'!G:G,""),"")</f>
        <v>7.6</v>
      </c>
      <c r="F1212" t="str">
        <f>eDNA!F1212</f>
        <v>MiFish</v>
      </c>
      <c r="G1212" t="str">
        <f>eDNA!D1212</f>
        <v>Hemibarbus sp.</v>
      </c>
      <c r="H1212" t="str">
        <f>_xlfn.XLOOKUP(G1212,'Common name (master file)'!$B:$B,'Common name (master file)'!$A:$A,"-------------")</f>
        <v>누치 속</v>
      </c>
      <c r="I1212">
        <f>eDNA!E1212</f>
        <v>643</v>
      </c>
      <c r="J1212" t="str">
        <f>_xlfn.XLOOKUP(G1212,'Common name (master file)'!$B:$B,'Common name (master file)'!$C:$C,"")</f>
        <v>어류</v>
      </c>
      <c r="K1212">
        <f>eDNA!B1212</f>
        <v>126.87060049999999</v>
      </c>
      <c r="L1212">
        <f>eDNA!C1212</f>
        <v>37.492184199999997</v>
      </c>
      <c r="M1212" s="10" t="str" cm="1">
        <f t="array" ref="M1212">IFERROR(_xlfn.XLOOKUP(1,('env Parameter'!$A:$A=$A1212)*('env Parameter'!$B:$B=$K1212)*('env Parameter'!$C:$C=$L1212),'env Parameter'!D:D,""),"")</f>
        <v>안양천-12</v>
      </c>
      <c r="N1212" s="10" t="str" cm="1">
        <f t="array" ref="N1212">IFERROR(_xlfn.XLOOKUP(1,('env Parameter'!$A:$A=$A1212)*('env Parameter'!$B:$B=$K1212)*('env Parameter'!$C:$C=$L1212),'env Parameter'!I:I,""),"")</f>
        <v>YR</v>
      </c>
    </row>
    <row r="1213" spans="1:14">
      <c r="A1213">
        <f>eDNA!A1213</f>
        <v>20201024</v>
      </c>
      <c r="B1213" s="10" t="str" cm="1">
        <f t="array" ref="B1213">IFERROR(_xlfn.XLOOKUP(1,('env Parameter'!$A:$A=$A1213)*('env Parameter'!$B:$B=$K1213)*('env Parameter'!$C:$C=$L1213),'env Parameter'!H:H,""),"")</f>
        <v>생물상 조사</v>
      </c>
      <c r="C1213" s="10" cm="1">
        <f t="array" ref="C1213">IFERROR(_xlfn.XLOOKUP(1,('env Parameter'!$A:$A=$A1213)*('env Parameter'!$B:$B=$K1213)*('env Parameter'!$C:$C=$L1213),'env Parameter'!E:E,""),"")</f>
        <v>2.14</v>
      </c>
      <c r="D1213" s="10" cm="1">
        <f t="array" ref="D1213">IFERROR(_xlfn.XLOOKUP(1,('env Parameter'!$A:$A=$A1213)*('env Parameter'!$B:$B=$K1213)*('env Parameter'!$C:$C=$L1213),'env Parameter'!F:F,""),"")</f>
        <v>478</v>
      </c>
      <c r="E1213" s="10" cm="1">
        <f t="array" ref="E1213">IFERROR(_xlfn.XLOOKUP(1,('env Parameter'!$A:$A=$A1213)*('env Parameter'!$B:$B=$K1213)*('env Parameter'!$C:$C=$L1213),'env Parameter'!G:G,""),"")</f>
        <v>7.6</v>
      </c>
      <c r="F1213" t="str">
        <f>eDNA!F1213</f>
        <v>MiFish</v>
      </c>
      <c r="G1213" t="str">
        <f>eDNA!D1213</f>
        <v>Cyprinus carpio</v>
      </c>
      <c r="H1213" t="str">
        <f>_xlfn.XLOOKUP(G1213,'Common name (master file)'!$B:$B,'Common name (master file)'!$A:$A,"-------------")</f>
        <v>잉어</v>
      </c>
      <c r="I1213">
        <f>eDNA!E1213</f>
        <v>716</v>
      </c>
      <c r="J1213" t="str">
        <f>_xlfn.XLOOKUP(G1213,'Common name (master file)'!$B:$B,'Common name (master file)'!$C:$C,"")</f>
        <v>어류</v>
      </c>
      <c r="K1213">
        <f>eDNA!B1213</f>
        <v>126.87060049999999</v>
      </c>
      <c r="L1213">
        <f>eDNA!C1213</f>
        <v>37.492184199999997</v>
      </c>
      <c r="M1213" s="10" t="str" cm="1">
        <f t="array" ref="M1213">IFERROR(_xlfn.XLOOKUP(1,('env Parameter'!$A:$A=$A1213)*('env Parameter'!$B:$B=$K1213)*('env Parameter'!$C:$C=$L1213),'env Parameter'!D:D,""),"")</f>
        <v>안양천-12</v>
      </c>
      <c r="N1213" s="10" t="str" cm="1">
        <f t="array" ref="N1213">IFERROR(_xlfn.XLOOKUP(1,('env Parameter'!$A:$A=$A1213)*('env Parameter'!$B:$B=$K1213)*('env Parameter'!$C:$C=$L1213),'env Parameter'!I:I,""),"")</f>
        <v>YR</v>
      </c>
    </row>
    <row r="1214" spans="1:14">
      <c r="A1214">
        <f>eDNA!A1214</f>
        <v>20201024</v>
      </c>
      <c r="B1214" s="10" t="str" cm="1">
        <f t="array" ref="B1214">IFERROR(_xlfn.XLOOKUP(1,('env Parameter'!$A:$A=$A1214)*('env Parameter'!$B:$B=$K1214)*('env Parameter'!$C:$C=$L1214),'env Parameter'!H:H,""),"")</f>
        <v>생물상 조사</v>
      </c>
      <c r="C1214" s="10" cm="1">
        <f t="array" ref="C1214">IFERROR(_xlfn.XLOOKUP(1,('env Parameter'!$A:$A=$A1214)*('env Parameter'!$B:$B=$K1214)*('env Parameter'!$C:$C=$L1214),'env Parameter'!E:E,""),"")</f>
        <v>2.14</v>
      </c>
      <c r="D1214" s="10" cm="1">
        <f t="array" ref="D1214">IFERROR(_xlfn.XLOOKUP(1,('env Parameter'!$A:$A=$A1214)*('env Parameter'!$B:$B=$K1214)*('env Parameter'!$C:$C=$L1214),'env Parameter'!F:F,""),"")</f>
        <v>478</v>
      </c>
      <c r="E1214" s="10" cm="1">
        <f t="array" ref="E1214">IFERROR(_xlfn.XLOOKUP(1,('env Parameter'!$A:$A=$A1214)*('env Parameter'!$B:$B=$K1214)*('env Parameter'!$C:$C=$L1214),'env Parameter'!G:G,""),"")</f>
        <v>7.6</v>
      </c>
      <c r="F1214" t="str">
        <f>eDNA!F1214</f>
        <v>MiFish</v>
      </c>
      <c r="G1214" t="str">
        <f>eDNA!D1214</f>
        <v>Tridentiger obscurus</v>
      </c>
      <c r="H1214" t="str">
        <f>_xlfn.XLOOKUP(G1214,'Common name (master file)'!$B:$B,'Common name (master file)'!$A:$A,"-------------")</f>
        <v>검정망둑</v>
      </c>
      <c r="I1214">
        <f>eDNA!E1214</f>
        <v>942</v>
      </c>
      <c r="J1214" t="str">
        <f>_xlfn.XLOOKUP(G1214,'Common name (master file)'!$B:$B,'Common name (master file)'!$C:$C,"")</f>
        <v>어류</v>
      </c>
      <c r="K1214">
        <f>eDNA!B1214</f>
        <v>126.87060049999999</v>
      </c>
      <c r="L1214">
        <f>eDNA!C1214</f>
        <v>37.492184199999997</v>
      </c>
      <c r="M1214" s="10" t="str" cm="1">
        <f t="array" ref="M1214">IFERROR(_xlfn.XLOOKUP(1,('env Parameter'!$A:$A=$A1214)*('env Parameter'!$B:$B=$K1214)*('env Parameter'!$C:$C=$L1214),'env Parameter'!D:D,""),"")</f>
        <v>안양천-12</v>
      </c>
      <c r="N1214" s="10" t="str" cm="1">
        <f t="array" ref="N1214">IFERROR(_xlfn.XLOOKUP(1,('env Parameter'!$A:$A=$A1214)*('env Parameter'!$B:$B=$K1214)*('env Parameter'!$C:$C=$L1214),'env Parameter'!I:I,""),"")</f>
        <v>YR</v>
      </c>
    </row>
    <row r="1215" spans="1:14">
      <c r="A1215">
        <f>eDNA!A1215</f>
        <v>20201024</v>
      </c>
      <c r="B1215" s="10" t="str" cm="1">
        <f t="array" ref="B1215">IFERROR(_xlfn.XLOOKUP(1,('env Parameter'!$A:$A=$A1215)*('env Parameter'!$B:$B=$K1215)*('env Parameter'!$C:$C=$L1215),'env Parameter'!H:H,""),"")</f>
        <v>생물상 조사</v>
      </c>
      <c r="C1215" s="10" cm="1">
        <f t="array" ref="C1215">IFERROR(_xlfn.XLOOKUP(1,('env Parameter'!$A:$A=$A1215)*('env Parameter'!$B:$B=$K1215)*('env Parameter'!$C:$C=$L1215),'env Parameter'!E:E,""),"")</f>
        <v>2.14</v>
      </c>
      <c r="D1215" s="10" cm="1">
        <f t="array" ref="D1215">IFERROR(_xlfn.XLOOKUP(1,('env Parameter'!$A:$A=$A1215)*('env Parameter'!$B:$B=$K1215)*('env Parameter'!$C:$C=$L1215),'env Parameter'!F:F,""),"")</f>
        <v>478</v>
      </c>
      <c r="E1215" s="10" cm="1">
        <f t="array" ref="E1215">IFERROR(_xlfn.XLOOKUP(1,('env Parameter'!$A:$A=$A1215)*('env Parameter'!$B:$B=$K1215)*('env Parameter'!$C:$C=$L1215),'env Parameter'!G:G,""),"")</f>
        <v>7.6</v>
      </c>
      <c r="F1215" t="str">
        <f>eDNA!F1215</f>
        <v>MiFish</v>
      </c>
      <c r="G1215" t="str">
        <f>eDNA!D1215</f>
        <v>Carassius sp.</v>
      </c>
      <c r="H1215" t="str">
        <f>_xlfn.XLOOKUP(G1215,'Common name (master file)'!$B:$B,'Common name (master file)'!$A:$A,"-------------")</f>
        <v>붕어 속</v>
      </c>
      <c r="I1215">
        <f>eDNA!E1215</f>
        <v>1976</v>
      </c>
      <c r="J1215" t="str">
        <f>_xlfn.XLOOKUP(G1215,'Common name (master file)'!$B:$B,'Common name (master file)'!$C:$C,"")</f>
        <v>어류</v>
      </c>
      <c r="K1215">
        <f>eDNA!B1215</f>
        <v>126.87060049999999</v>
      </c>
      <c r="L1215">
        <f>eDNA!C1215</f>
        <v>37.492184199999997</v>
      </c>
      <c r="M1215" s="10" t="str" cm="1">
        <f t="array" ref="M1215">IFERROR(_xlfn.XLOOKUP(1,('env Parameter'!$A:$A=$A1215)*('env Parameter'!$B:$B=$K1215)*('env Parameter'!$C:$C=$L1215),'env Parameter'!D:D,""),"")</f>
        <v>안양천-12</v>
      </c>
      <c r="N1215" s="10" t="str" cm="1">
        <f t="array" ref="N1215">IFERROR(_xlfn.XLOOKUP(1,('env Parameter'!$A:$A=$A1215)*('env Parameter'!$B:$B=$K1215)*('env Parameter'!$C:$C=$L1215),'env Parameter'!I:I,""),"")</f>
        <v>YR</v>
      </c>
    </row>
    <row r="1216" spans="1:14">
      <c r="A1216">
        <f>eDNA!A1216</f>
        <v>20201024</v>
      </c>
      <c r="B1216" s="10" t="str" cm="1">
        <f t="array" ref="B1216">IFERROR(_xlfn.XLOOKUP(1,('env Parameter'!$A:$A=$A1216)*('env Parameter'!$B:$B=$K1216)*('env Parameter'!$C:$C=$L1216),'env Parameter'!H:H,""),"")</f>
        <v>생물상 조사</v>
      </c>
      <c r="C1216" s="10" cm="1">
        <f t="array" ref="C1216">IFERROR(_xlfn.XLOOKUP(1,('env Parameter'!$A:$A=$A1216)*('env Parameter'!$B:$B=$K1216)*('env Parameter'!$C:$C=$L1216),'env Parameter'!E:E,""),"")</f>
        <v>2.14</v>
      </c>
      <c r="D1216" s="10" cm="1">
        <f t="array" ref="D1216">IFERROR(_xlfn.XLOOKUP(1,('env Parameter'!$A:$A=$A1216)*('env Parameter'!$B:$B=$K1216)*('env Parameter'!$C:$C=$L1216),'env Parameter'!F:F,""),"")</f>
        <v>478</v>
      </c>
      <c r="E1216" s="10" cm="1">
        <f t="array" ref="E1216">IFERROR(_xlfn.XLOOKUP(1,('env Parameter'!$A:$A=$A1216)*('env Parameter'!$B:$B=$K1216)*('env Parameter'!$C:$C=$L1216),'env Parameter'!G:G,""),"")</f>
        <v>7.6</v>
      </c>
      <c r="F1216" t="str">
        <f>eDNA!F1216</f>
        <v>MiFish</v>
      </c>
      <c r="G1216" t="str">
        <f>eDNA!D1216</f>
        <v>Channa argus</v>
      </c>
      <c r="H1216" t="str">
        <f>_xlfn.XLOOKUP(G1216,'Common name (master file)'!$B:$B,'Common name (master file)'!$A:$A,"-------------")</f>
        <v>가물치</v>
      </c>
      <c r="I1216">
        <f>eDNA!E1216</f>
        <v>3090</v>
      </c>
      <c r="J1216" t="str">
        <f>_xlfn.XLOOKUP(G1216,'Common name (master file)'!$B:$B,'Common name (master file)'!$C:$C,"")</f>
        <v>어류</v>
      </c>
      <c r="K1216">
        <f>eDNA!B1216</f>
        <v>126.87060049999999</v>
      </c>
      <c r="L1216">
        <f>eDNA!C1216</f>
        <v>37.492184199999997</v>
      </c>
      <c r="M1216" s="10" t="str" cm="1">
        <f t="array" ref="M1216">IFERROR(_xlfn.XLOOKUP(1,('env Parameter'!$A:$A=$A1216)*('env Parameter'!$B:$B=$K1216)*('env Parameter'!$C:$C=$L1216),'env Parameter'!D:D,""),"")</f>
        <v>안양천-12</v>
      </c>
      <c r="N1216" s="10" t="str" cm="1">
        <f t="array" ref="N1216">IFERROR(_xlfn.XLOOKUP(1,('env Parameter'!$A:$A=$A1216)*('env Parameter'!$B:$B=$K1216)*('env Parameter'!$C:$C=$L1216),'env Parameter'!I:I,""),"")</f>
        <v>YR</v>
      </c>
    </row>
    <row r="1217" spans="1:14">
      <c r="A1217">
        <f>eDNA!A1217</f>
        <v>20201024</v>
      </c>
      <c r="B1217" s="10" t="str" cm="1">
        <f t="array" ref="B1217">IFERROR(_xlfn.XLOOKUP(1,('env Parameter'!$A:$A=$A1217)*('env Parameter'!$B:$B=$K1217)*('env Parameter'!$C:$C=$L1217),'env Parameter'!H:H,""),"")</f>
        <v>생물상 조사</v>
      </c>
      <c r="C1217" s="10" cm="1">
        <f t="array" ref="C1217">IFERROR(_xlfn.XLOOKUP(1,('env Parameter'!$A:$A=$A1217)*('env Parameter'!$B:$B=$K1217)*('env Parameter'!$C:$C=$L1217),'env Parameter'!E:E,""),"")</f>
        <v>2.14</v>
      </c>
      <c r="D1217" s="10" cm="1">
        <f t="array" ref="D1217">IFERROR(_xlfn.XLOOKUP(1,('env Parameter'!$A:$A=$A1217)*('env Parameter'!$B:$B=$K1217)*('env Parameter'!$C:$C=$L1217),'env Parameter'!F:F,""),"")</f>
        <v>478</v>
      </c>
      <c r="E1217" s="10" cm="1">
        <f t="array" ref="E1217">IFERROR(_xlfn.XLOOKUP(1,('env Parameter'!$A:$A=$A1217)*('env Parameter'!$B:$B=$K1217)*('env Parameter'!$C:$C=$L1217),'env Parameter'!G:G,""),"")</f>
        <v>7.6</v>
      </c>
      <c r="F1217" t="str">
        <f>eDNA!F1217</f>
        <v>MiFish</v>
      </c>
      <c r="G1217" t="str">
        <f>eDNA!D1217</f>
        <v>Rhinogobius sp.</v>
      </c>
      <c r="H1217" t="str">
        <f>_xlfn.XLOOKUP(G1217,'Common name (master file)'!$B:$B,'Common name (master file)'!$A:$A,"-------------")</f>
        <v>밀어</v>
      </c>
      <c r="I1217">
        <f>eDNA!E1217</f>
        <v>3132</v>
      </c>
      <c r="J1217" t="str">
        <f>_xlfn.XLOOKUP(G1217,'Common name (master file)'!$B:$B,'Common name (master file)'!$C:$C,"")</f>
        <v>어류</v>
      </c>
      <c r="K1217">
        <f>eDNA!B1217</f>
        <v>126.87060049999999</v>
      </c>
      <c r="L1217">
        <f>eDNA!C1217</f>
        <v>37.492184199999997</v>
      </c>
      <c r="M1217" s="10" t="str" cm="1">
        <f t="array" ref="M1217">IFERROR(_xlfn.XLOOKUP(1,('env Parameter'!$A:$A=$A1217)*('env Parameter'!$B:$B=$K1217)*('env Parameter'!$C:$C=$L1217),'env Parameter'!D:D,""),"")</f>
        <v>안양천-12</v>
      </c>
      <c r="N1217" s="10" t="str" cm="1">
        <f t="array" ref="N1217">IFERROR(_xlfn.XLOOKUP(1,('env Parameter'!$A:$A=$A1217)*('env Parameter'!$B:$B=$K1217)*('env Parameter'!$C:$C=$L1217),'env Parameter'!I:I,""),"")</f>
        <v>YR</v>
      </c>
    </row>
    <row r="1218" spans="1:14">
      <c r="A1218">
        <f>eDNA!A1218</f>
        <v>20201024</v>
      </c>
      <c r="B1218" s="10" t="str" cm="1">
        <f t="array" ref="B1218">IFERROR(_xlfn.XLOOKUP(1,('env Parameter'!$A:$A=$A1218)*('env Parameter'!$B:$B=$K1218)*('env Parameter'!$C:$C=$L1218),'env Parameter'!H:H,""),"")</f>
        <v>생물상 조사</v>
      </c>
      <c r="C1218" s="10" cm="1">
        <f t="array" ref="C1218">IFERROR(_xlfn.XLOOKUP(1,('env Parameter'!$A:$A=$A1218)*('env Parameter'!$B:$B=$K1218)*('env Parameter'!$C:$C=$L1218),'env Parameter'!E:E,""),"")</f>
        <v>2.14</v>
      </c>
      <c r="D1218" s="10" cm="1">
        <f t="array" ref="D1218">IFERROR(_xlfn.XLOOKUP(1,('env Parameter'!$A:$A=$A1218)*('env Parameter'!$B:$B=$K1218)*('env Parameter'!$C:$C=$L1218),'env Parameter'!F:F,""),"")</f>
        <v>478</v>
      </c>
      <c r="E1218" s="10" cm="1">
        <f t="array" ref="E1218">IFERROR(_xlfn.XLOOKUP(1,('env Parameter'!$A:$A=$A1218)*('env Parameter'!$B:$B=$K1218)*('env Parameter'!$C:$C=$L1218),'env Parameter'!G:G,""),"")</f>
        <v>7.6</v>
      </c>
      <c r="F1218" t="str">
        <f>eDNA!F1218</f>
        <v>MiFish</v>
      </c>
      <c r="G1218" t="str">
        <f>eDNA!D1218</f>
        <v>Silurus soldatovi</v>
      </c>
      <c r="H1218" t="str">
        <f>_xlfn.XLOOKUP(G1218,'Common name (master file)'!$B:$B,'Common name (master file)'!$A:$A,"-------------")</f>
        <v>솔다토비 메기</v>
      </c>
      <c r="I1218">
        <f>eDNA!E1218</f>
        <v>4057</v>
      </c>
      <c r="J1218" t="str">
        <f>_xlfn.XLOOKUP(G1218,'Common name (master file)'!$B:$B,'Common name (master file)'!$C:$C,"")</f>
        <v>어류</v>
      </c>
      <c r="K1218">
        <f>eDNA!B1218</f>
        <v>126.87060049999999</v>
      </c>
      <c r="L1218">
        <f>eDNA!C1218</f>
        <v>37.492184199999997</v>
      </c>
      <c r="M1218" s="10" t="str" cm="1">
        <f t="array" ref="M1218">IFERROR(_xlfn.XLOOKUP(1,('env Parameter'!$A:$A=$A1218)*('env Parameter'!$B:$B=$K1218)*('env Parameter'!$C:$C=$L1218),'env Parameter'!D:D,""),"")</f>
        <v>안양천-12</v>
      </c>
      <c r="N1218" s="10" t="str" cm="1">
        <f t="array" ref="N1218">IFERROR(_xlfn.XLOOKUP(1,('env Parameter'!$A:$A=$A1218)*('env Parameter'!$B:$B=$K1218)*('env Parameter'!$C:$C=$L1218),'env Parameter'!I:I,""),"")</f>
        <v>YR</v>
      </c>
    </row>
    <row r="1219" spans="1:14">
      <c r="A1219">
        <f>eDNA!A1219</f>
        <v>20201024</v>
      </c>
      <c r="B1219" s="10" t="str" cm="1">
        <f t="array" ref="B1219">IFERROR(_xlfn.XLOOKUP(1,('env Parameter'!$A:$A=$A1219)*('env Parameter'!$B:$B=$K1219)*('env Parameter'!$C:$C=$L1219),'env Parameter'!H:H,""),"")</f>
        <v>생물상 조사</v>
      </c>
      <c r="C1219" s="10" cm="1">
        <f t="array" ref="C1219">IFERROR(_xlfn.XLOOKUP(1,('env Parameter'!$A:$A=$A1219)*('env Parameter'!$B:$B=$K1219)*('env Parameter'!$C:$C=$L1219),'env Parameter'!E:E,""),"")</f>
        <v>2.14</v>
      </c>
      <c r="D1219" s="10" cm="1">
        <f t="array" ref="D1219">IFERROR(_xlfn.XLOOKUP(1,('env Parameter'!$A:$A=$A1219)*('env Parameter'!$B:$B=$K1219)*('env Parameter'!$C:$C=$L1219),'env Parameter'!F:F,""),"")</f>
        <v>478</v>
      </c>
      <c r="E1219" s="10" cm="1">
        <f t="array" ref="E1219">IFERROR(_xlfn.XLOOKUP(1,('env Parameter'!$A:$A=$A1219)*('env Parameter'!$B:$B=$K1219)*('env Parameter'!$C:$C=$L1219),'env Parameter'!G:G,""),"")</f>
        <v>7.6</v>
      </c>
      <c r="F1219" t="str">
        <f>eDNA!F1219</f>
        <v>MiFish</v>
      </c>
      <c r="G1219" t="str">
        <f>eDNA!D1219</f>
        <v>Odontobutis interrupta</v>
      </c>
      <c r="H1219" t="str">
        <f>_xlfn.XLOOKUP(G1219,'Common name (master file)'!$B:$B,'Common name (master file)'!$A:$A,"-------------")</f>
        <v>얼록동사리</v>
      </c>
      <c r="I1219">
        <f>eDNA!E1219</f>
        <v>4463</v>
      </c>
      <c r="J1219" t="str">
        <f>_xlfn.XLOOKUP(G1219,'Common name (master file)'!$B:$B,'Common name (master file)'!$C:$C,"")</f>
        <v>어류</v>
      </c>
      <c r="K1219">
        <f>eDNA!B1219</f>
        <v>126.87060049999999</v>
      </c>
      <c r="L1219">
        <f>eDNA!C1219</f>
        <v>37.492184199999997</v>
      </c>
      <c r="M1219" s="10" t="str" cm="1">
        <f t="array" ref="M1219">IFERROR(_xlfn.XLOOKUP(1,('env Parameter'!$A:$A=$A1219)*('env Parameter'!$B:$B=$K1219)*('env Parameter'!$C:$C=$L1219),'env Parameter'!D:D,""),"")</f>
        <v>안양천-12</v>
      </c>
      <c r="N1219" s="10" t="str" cm="1">
        <f t="array" ref="N1219">IFERROR(_xlfn.XLOOKUP(1,('env Parameter'!$A:$A=$A1219)*('env Parameter'!$B:$B=$K1219)*('env Parameter'!$C:$C=$L1219),'env Parameter'!I:I,""),"")</f>
        <v>YR</v>
      </c>
    </row>
    <row r="1220" spans="1:14">
      <c r="A1220">
        <f>eDNA!A1220</f>
        <v>20201024</v>
      </c>
      <c r="B1220" s="10" t="str" cm="1">
        <f t="array" ref="B1220">IFERROR(_xlfn.XLOOKUP(1,('env Parameter'!$A:$A=$A1220)*('env Parameter'!$B:$B=$K1220)*('env Parameter'!$C:$C=$L1220),'env Parameter'!H:H,""),"")</f>
        <v>생물상 조사</v>
      </c>
      <c r="C1220" s="10" cm="1">
        <f t="array" ref="C1220">IFERROR(_xlfn.XLOOKUP(1,('env Parameter'!$A:$A=$A1220)*('env Parameter'!$B:$B=$K1220)*('env Parameter'!$C:$C=$L1220),'env Parameter'!E:E,""),"")</f>
        <v>2.14</v>
      </c>
      <c r="D1220" s="10" cm="1">
        <f t="array" ref="D1220">IFERROR(_xlfn.XLOOKUP(1,('env Parameter'!$A:$A=$A1220)*('env Parameter'!$B:$B=$K1220)*('env Parameter'!$C:$C=$L1220),'env Parameter'!F:F,""),"")</f>
        <v>478</v>
      </c>
      <c r="E1220" s="10" cm="1">
        <f t="array" ref="E1220">IFERROR(_xlfn.XLOOKUP(1,('env Parameter'!$A:$A=$A1220)*('env Parameter'!$B:$B=$K1220)*('env Parameter'!$C:$C=$L1220),'env Parameter'!G:G,""),"")</f>
        <v>7.6</v>
      </c>
      <c r="F1220" t="str">
        <f>eDNA!F1220</f>
        <v>MiFish</v>
      </c>
      <c r="G1220" t="str">
        <f>eDNA!D1220</f>
        <v>Acheilognathus macropterus</v>
      </c>
      <c r="H1220" t="str">
        <f>_xlfn.XLOOKUP(G1220,'Common name (master file)'!$B:$B,'Common name (master file)'!$A:$A,"-------------")</f>
        <v>큰납지리</v>
      </c>
      <c r="I1220">
        <f>eDNA!E1220</f>
        <v>6108</v>
      </c>
      <c r="J1220" t="str">
        <f>_xlfn.XLOOKUP(G1220,'Common name (master file)'!$B:$B,'Common name (master file)'!$C:$C,"")</f>
        <v>어류</v>
      </c>
      <c r="K1220">
        <f>eDNA!B1220</f>
        <v>126.87060049999999</v>
      </c>
      <c r="L1220">
        <f>eDNA!C1220</f>
        <v>37.492184199999997</v>
      </c>
      <c r="M1220" s="10" t="str" cm="1">
        <f t="array" ref="M1220">IFERROR(_xlfn.XLOOKUP(1,('env Parameter'!$A:$A=$A1220)*('env Parameter'!$B:$B=$K1220)*('env Parameter'!$C:$C=$L1220),'env Parameter'!D:D,""),"")</f>
        <v>안양천-12</v>
      </c>
      <c r="N1220" s="10" t="str" cm="1">
        <f t="array" ref="N1220">IFERROR(_xlfn.XLOOKUP(1,('env Parameter'!$A:$A=$A1220)*('env Parameter'!$B:$B=$K1220)*('env Parameter'!$C:$C=$L1220),'env Parameter'!I:I,""),"")</f>
        <v>YR</v>
      </c>
    </row>
    <row r="1221" spans="1:14">
      <c r="A1221">
        <f>eDNA!A1221</f>
        <v>20201024</v>
      </c>
      <c r="B1221" s="10" t="str" cm="1">
        <f t="array" ref="B1221">IFERROR(_xlfn.XLOOKUP(1,('env Parameter'!$A:$A=$A1221)*('env Parameter'!$B:$B=$K1221)*('env Parameter'!$C:$C=$L1221),'env Parameter'!H:H,""),"")</f>
        <v>생물상 조사</v>
      </c>
      <c r="C1221" s="10" cm="1">
        <f t="array" ref="C1221">IFERROR(_xlfn.XLOOKUP(1,('env Parameter'!$A:$A=$A1221)*('env Parameter'!$B:$B=$K1221)*('env Parameter'!$C:$C=$L1221),'env Parameter'!E:E,""),"")</f>
        <v>2.14</v>
      </c>
      <c r="D1221" s="10" cm="1">
        <f t="array" ref="D1221">IFERROR(_xlfn.XLOOKUP(1,('env Parameter'!$A:$A=$A1221)*('env Parameter'!$B:$B=$K1221)*('env Parameter'!$C:$C=$L1221),'env Parameter'!F:F,""),"")</f>
        <v>478</v>
      </c>
      <c r="E1221" s="10" cm="1">
        <f t="array" ref="E1221">IFERROR(_xlfn.XLOOKUP(1,('env Parameter'!$A:$A=$A1221)*('env Parameter'!$B:$B=$K1221)*('env Parameter'!$C:$C=$L1221),'env Parameter'!G:G,""),"")</f>
        <v>7.6</v>
      </c>
      <c r="F1221" t="str">
        <f>eDNA!F1221</f>
        <v>MiFish</v>
      </c>
      <c r="G1221" t="str">
        <f>eDNA!D1221</f>
        <v>Zacco platypus</v>
      </c>
      <c r="H1221" t="str">
        <f>_xlfn.XLOOKUP(G1221,'Common name (master file)'!$B:$B,'Common name (master file)'!$A:$A,"-------------")</f>
        <v>피라미</v>
      </c>
      <c r="I1221">
        <f>eDNA!E1221</f>
        <v>16889</v>
      </c>
      <c r="J1221" t="str">
        <f>_xlfn.XLOOKUP(G1221,'Common name (master file)'!$B:$B,'Common name (master file)'!$C:$C,"")</f>
        <v>어류</v>
      </c>
      <c r="K1221">
        <f>eDNA!B1221</f>
        <v>126.87060049999999</v>
      </c>
      <c r="L1221">
        <f>eDNA!C1221</f>
        <v>37.492184199999997</v>
      </c>
      <c r="M1221" s="10" t="str" cm="1">
        <f t="array" ref="M1221">IFERROR(_xlfn.XLOOKUP(1,('env Parameter'!$A:$A=$A1221)*('env Parameter'!$B:$B=$K1221)*('env Parameter'!$C:$C=$L1221),'env Parameter'!D:D,""),"")</f>
        <v>안양천-12</v>
      </c>
      <c r="N1221" s="10" t="str" cm="1">
        <f t="array" ref="N1221">IFERROR(_xlfn.XLOOKUP(1,('env Parameter'!$A:$A=$A1221)*('env Parameter'!$B:$B=$K1221)*('env Parameter'!$C:$C=$L1221),'env Parameter'!I:I,""),"")</f>
        <v>YR</v>
      </c>
    </row>
    <row r="1222" spans="1:14">
      <c r="A1222">
        <f>eDNA!A1222</f>
        <v>20201024</v>
      </c>
      <c r="B1222" s="10" t="str" cm="1">
        <f t="array" ref="B1222">IFERROR(_xlfn.XLOOKUP(1,('env Parameter'!$A:$A=$A1222)*('env Parameter'!$B:$B=$K1222)*('env Parameter'!$C:$C=$L1222),'env Parameter'!H:H,""),"")</f>
        <v>생물상 조사</v>
      </c>
      <c r="C1222" s="10" cm="1">
        <f t="array" ref="C1222">IFERROR(_xlfn.XLOOKUP(1,('env Parameter'!$A:$A=$A1222)*('env Parameter'!$B:$B=$K1222)*('env Parameter'!$C:$C=$L1222),'env Parameter'!E:E,""),"")</f>
        <v>2.14</v>
      </c>
      <c r="D1222" s="10" cm="1">
        <f t="array" ref="D1222">IFERROR(_xlfn.XLOOKUP(1,('env Parameter'!$A:$A=$A1222)*('env Parameter'!$B:$B=$K1222)*('env Parameter'!$C:$C=$L1222),'env Parameter'!F:F,""),"")</f>
        <v>478</v>
      </c>
      <c r="E1222" s="10" cm="1">
        <f t="array" ref="E1222">IFERROR(_xlfn.XLOOKUP(1,('env Parameter'!$A:$A=$A1222)*('env Parameter'!$B:$B=$K1222)*('env Parameter'!$C:$C=$L1222),'env Parameter'!G:G,""),"")</f>
        <v>7.6</v>
      </c>
      <c r="F1222" t="str">
        <f>eDNA!F1222</f>
        <v>MiFish</v>
      </c>
      <c r="G1222" t="str">
        <f>eDNA!D1222</f>
        <v>Pseudorasbora parva</v>
      </c>
      <c r="H1222" t="str">
        <f>_xlfn.XLOOKUP(G1222,'Common name (master file)'!$B:$B,'Common name (master file)'!$A:$A,"-------------")</f>
        <v>참붕어</v>
      </c>
      <c r="I1222">
        <f>eDNA!E1222</f>
        <v>43688</v>
      </c>
      <c r="J1222" t="str">
        <f>_xlfn.XLOOKUP(G1222,'Common name (master file)'!$B:$B,'Common name (master file)'!$C:$C,"")</f>
        <v>어류</v>
      </c>
      <c r="K1222">
        <f>eDNA!B1222</f>
        <v>126.87060049999999</v>
      </c>
      <c r="L1222">
        <f>eDNA!C1222</f>
        <v>37.492184199999997</v>
      </c>
      <c r="M1222" s="10" t="str" cm="1">
        <f t="array" ref="M1222">IFERROR(_xlfn.XLOOKUP(1,('env Parameter'!$A:$A=$A1222)*('env Parameter'!$B:$B=$K1222)*('env Parameter'!$C:$C=$L1222),'env Parameter'!D:D,""),"")</f>
        <v>안양천-12</v>
      </c>
      <c r="N1222" s="10" t="str" cm="1">
        <f t="array" ref="N1222">IFERROR(_xlfn.XLOOKUP(1,('env Parameter'!$A:$A=$A1222)*('env Parameter'!$B:$B=$K1222)*('env Parameter'!$C:$C=$L1222),'env Parameter'!I:I,""),"")</f>
        <v>YR</v>
      </c>
    </row>
    <row r="1223" spans="1:14">
      <c r="A1223">
        <f>eDNA!A1223</f>
        <v>20201024</v>
      </c>
      <c r="B1223" s="10" t="str" cm="1">
        <f t="array" ref="B1223">IFERROR(_xlfn.XLOOKUP(1,('env Parameter'!$A:$A=$A1223)*('env Parameter'!$B:$B=$K1223)*('env Parameter'!$C:$C=$L1223),'env Parameter'!H:H,""),"")</f>
        <v>생물상 조사</v>
      </c>
      <c r="C1223" s="10" cm="1">
        <f t="array" ref="C1223">IFERROR(_xlfn.XLOOKUP(1,('env Parameter'!$A:$A=$A1223)*('env Parameter'!$B:$B=$K1223)*('env Parameter'!$C:$C=$L1223),'env Parameter'!E:E,""),"")</f>
        <v>2.14</v>
      </c>
      <c r="D1223" s="10" cm="1">
        <f t="array" ref="D1223">IFERROR(_xlfn.XLOOKUP(1,('env Parameter'!$A:$A=$A1223)*('env Parameter'!$B:$B=$K1223)*('env Parameter'!$C:$C=$L1223),'env Parameter'!F:F,""),"")</f>
        <v>478</v>
      </c>
      <c r="E1223" s="10" cm="1">
        <f t="array" ref="E1223">IFERROR(_xlfn.XLOOKUP(1,('env Parameter'!$A:$A=$A1223)*('env Parameter'!$B:$B=$K1223)*('env Parameter'!$C:$C=$L1223),'env Parameter'!G:G,""),"")</f>
        <v>7.6</v>
      </c>
      <c r="F1223" t="str">
        <f>eDNA!F1223</f>
        <v>MiFish</v>
      </c>
      <c r="G1223" t="str">
        <f>eDNA!D1223</f>
        <v>Carassius gibelio</v>
      </c>
      <c r="H1223" t="str">
        <f>_xlfn.XLOOKUP(G1223,'Common name (master file)'!$B:$B,'Common name (master file)'!$A:$A,"-------------")</f>
        <v>기벨리오 붕어</v>
      </c>
      <c r="I1223">
        <f>eDNA!E1223</f>
        <v>76038</v>
      </c>
      <c r="J1223" t="str">
        <f>_xlfn.XLOOKUP(G1223,'Common name (master file)'!$B:$B,'Common name (master file)'!$C:$C,"")</f>
        <v>어류</v>
      </c>
      <c r="K1223">
        <f>eDNA!B1223</f>
        <v>126.87060049999999</v>
      </c>
      <c r="L1223">
        <f>eDNA!C1223</f>
        <v>37.492184199999997</v>
      </c>
      <c r="M1223" s="10" t="str" cm="1">
        <f t="array" ref="M1223">IFERROR(_xlfn.XLOOKUP(1,('env Parameter'!$A:$A=$A1223)*('env Parameter'!$B:$B=$K1223)*('env Parameter'!$C:$C=$L1223),'env Parameter'!D:D,""),"")</f>
        <v>안양천-12</v>
      </c>
      <c r="N1223" s="10" t="str" cm="1">
        <f t="array" ref="N1223">IFERROR(_xlfn.XLOOKUP(1,('env Parameter'!$A:$A=$A1223)*('env Parameter'!$B:$B=$K1223)*('env Parameter'!$C:$C=$L1223),'env Parameter'!I:I,""),"")</f>
        <v>YR</v>
      </c>
    </row>
    <row r="1224" spans="1:14">
      <c r="A1224">
        <f>eDNA!A1224</f>
        <v>20201024</v>
      </c>
      <c r="B1224" s="10" t="str" cm="1">
        <f t="array" ref="B1224">IFERROR(_xlfn.XLOOKUP(1,('env Parameter'!$A:$A=$A1224)*('env Parameter'!$B:$B=$K1224)*('env Parameter'!$C:$C=$L1224),'env Parameter'!H:H,""),"")</f>
        <v>생물상 조사</v>
      </c>
      <c r="C1224" s="10" cm="1">
        <f t="array" ref="C1224">IFERROR(_xlfn.XLOOKUP(1,('env Parameter'!$A:$A=$A1224)*('env Parameter'!$B:$B=$K1224)*('env Parameter'!$C:$C=$L1224),'env Parameter'!E:E,""),"")</f>
        <v>2.14</v>
      </c>
      <c r="D1224" s="10" cm="1">
        <f t="array" ref="D1224">IFERROR(_xlfn.XLOOKUP(1,('env Parameter'!$A:$A=$A1224)*('env Parameter'!$B:$B=$K1224)*('env Parameter'!$C:$C=$L1224),'env Parameter'!F:F,""),"")</f>
        <v>478</v>
      </c>
      <c r="E1224" s="10" cm="1">
        <f t="array" ref="E1224">IFERROR(_xlfn.XLOOKUP(1,('env Parameter'!$A:$A=$A1224)*('env Parameter'!$B:$B=$K1224)*('env Parameter'!$C:$C=$L1224),'env Parameter'!G:G,""),"")</f>
        <v>7.6</v>
      </c>
      <c r="F1224" t="str">
        <f>eDNA!F1224</f>
        <v>MiFish</v>
      </c>
      <c r="G1224" t="str">
        <f>eDNA!D1224</f>
        <v>Rattus norvegicus</v>
      </c>
      <c r="H1224" t="str">
        <f>_xlfn.XLOOKUP(G1224,'Common name (master file)'!$B:$B,'Common name (master file)'!$A:$A,"-------------")</f>
        <v>시궁쥐</v>
      </c>
      <c r="I1224">
        <f>eDNA!E1224</f>
        <v>20</v>
      </c>
      <c r="J1224" t="str">
        <f>_xlfn.XLOOKUP(G1224,'Common name (master file)'!$B:$B,'Common name (master file)'!$C:$C,"")</f>
        <v>포유류</v>
      </c>
      <c r="K1224">
        <f>eDNA!B1224</f>
        <v>126.87358690000001</v>
      </c>
      <c r="L1224">
        <f>eDNA!C1224</f>
        <v>37.508467699999997</v>
      </c>
      <c r="M1224" s="10" t="str" cm="1">
        <f t="array" ref="M1224">IFERROR(_xlfn.XLOOKUP(1,('env Parameter'!$A:$A=$A1224)*('env Parameter'!$B:$B=$K1224)*('env Parameter'!$C:$C=$L1224),'env Parameter'!D:D,""),"")</f>
        <v>안양천-13</v>
      </c>
      <c r="N1224" s="10" t="str" cm="1">
        <f t="array" ref="N1224">IFERROR(_xlfn.XLOOKUP(1,('env Parameter'!$A:$A=$A1224)*('env Parameter'!$B:$B=$K1224)*('env Parameter'!$C:$C=$L1224),'env Parameter'!I:I,""),"")</f>
        <v>YR</v>
      </c>
    </row>
    <row r="1225" spans="1:14">
      <c r="A1225">
        <f>eDNA!A1225</f>
        <v>20201024</v>
      </c>
      <c r="B1225" s="10" t="str" cm="1">
        <f t="array" ref="B1225">IFERROR(_xlfn.XLOOKUP(1,('env Parameter'!$A:$A=$A1225)*('env Parameter'!$B:$B=$K1225)*('env Parameter'!$C:$C=$L1225),'env Parameter'!H:H,""),"")</f>
        <v>생물상 조사</v>
      </c>
      <c r="C1225" s="10" cm="1">
        <f t="array" ref="C1225">IFERROR(_xlfn.XLOOKUP(1,('env Parameter'!$A:$A=$A1225)*('env Parameter'!$B:$B=$K1225)*('env Parameter'!$C:$C=$L1225),'env Parameter'!E:E,""),"")</f>
        <v>2.14</v>
      </c>
      <c r="D1225" s="10" cm="1">
        <f t="array" ref="D1225">IFERROR(_xlfn.XLOOKUP(1,('env Parameter'!$A:$A=$A1225)*('env Parameter'!$B:$B=$K1225)*('env Parameter'!$C:$C=$L1225),'env Parameter'!F:F,""),"")</f>
        <v>478</v>
      </c>
      <c r="E1225" s="10" cm="1">
        <f t="array" ref="E1225">IFERROR(_xlfn.XLOOKUP(1,('env Parameter'!$A:$A=$A1225)*('env Parameter'!$B:$B=$K1225)*('env Parameter'!$C:$C=$L1225),'env Parameter'!G:G,""),"")</f>
        <v>7.6</v>
      </c>
      <c r="F1225" t="str">
        <f>eDNA!F1225</f>
        <v>MiFish</v>
      </c>
      <c r="G1225" t="str">
        <f>eDNA!D1225</f>
        <v>Hemibarbus maculatus</v>
      </c>
      <c r="H1225" t="str">
        <f>_xlfn.XLOOKUP(G1225,'Common name (master file)'!$B:$B,'Common name (master file)'!$A:$A,"-------------")</f>
        <v>알락누치</v>
      </c>
      <c r="I1225">
        <f>eDNA!E1225</f>
        <v>31</v>
      </c>
      <c r="J1225" t="str">
        <f>_xlfn.XLOOKUP(G1225,'Common name (master file)'!$B:$B,'Common name (master file)'!$C:$C,"")</f>
        <v>어류</v>
      </c>
      <c r="K1225">
        <f>eDNA!B1225</f>
        <v>126.87358690000001</v>
      </c>
      <c r="L1225">
        <f>eDNA!C1225</f>
        <v>37.508467699999997</v>
      </c>
      <c r="M1225" s="10" t="str" cm="1">
        <f t="array" ref="M1225">IFERROR(_xlfn.XLOOKUP(1,('env Parameter'!$A:$A=$A1225)*('env Parameter'!$B:$B=$K1225)*('env Parameter'!$C:$C=$L1225),'env Parameter'!D:D,""),"")</f>
        <v>안양천-13</v>
      </c>
      <c r="N1225" s="10" t="str" cm="1">
        <f t="array" ref="N1225">IFERROR(_xlfn.XLOOKUP(1,('env Parameter'!$A:$A=$A1225)*('env Parameter'!$B:$B=$K1225)*('env Parameter'!$C:$C=$L1225),'env Parameter'!I:I,""),"")</f>
        <v>YR</v>
      </c>
    </row>
    <row r="1226" spans="1:14">
      <c r="A1226">
        <f>eDNA!A1226</f>
        <v>20201024</v>
      </c>
      <c r="B1226" s="10" t="str" cm="1">
        <f t="array" ref="B1226">IFERROR(_xlfn.XLOOKUP(1,('env Parameter'!$A:$A=$A1226)*('env Parameter'!$B:$B=$K1226)*('env Parameter'!$C:$C=$L1226),'env Parameter'!H:H,""),"")</f>
        <v>생물상 조사</v>
      </c>
      <c r="C1226" s="10" cm="1">
        <f t="array" ref="C1226">IFERROR(_xlfn.XLOOKUP(1,('env Parameter'!$A:$A=$A1226)*('env Parameter'!$B:$B=$K1226)*('env Parameter'!$C:$C=$L1226),'env Parameter'!E:E,""),"")</f>
        <v>2.14</v>
      </c>
      <c r="D1226" s="10" cm="1">
        <f t="array" ref="D1226">IFERROR(_xlfn.XLOOKUP(1,('env Parameter'!$A:$A=$A1226)*('env Parameter'!$B:$B=$K1226)*('env Parameter'!$C:$C=$L1226),'env Parameter'!F:F,""),"")</f>
        <v>478</v>
      </c>
      <c r="E1226" s="10" cm="1">
        <f t="array" ref="E1226">IFERROR(_xlfn.XLOOKUP(1,('env Parameter'!$A:$A=$A1226)*('env Parameter'!$B:$B=$K1226)*('env Parameter'!$C:$C=$L1226),'env Parameter'!G:G,""),"")</f>
        <v>7.6</v>
      </c>
      <c r="F1226" t="str">
        <f>eDNA!F1226</f>
        <v>MiFish</v>
      </c>
      <c r="G1226" t="str">
        <f>eDNA!D1226</f>
        <v>Carassius auratus</v>
      </c>
      <c r="H1226" t="str">
        <f>_xlfn.XLOOKUP(G1226,'Common name (master file)'!$B:$B,'Common name (master file)'!$A:$A,"-------------")</f>
        <v>붕어</v>
      </c>
      <c r="I1226">
        <f>eDNA!E1226</f>
        <v>31</v>
      </c>
      <c r="J1226" t="str">
        <f>_xlfn.XLOOKUP(G1226,'Common name (master file)'!$B:$B,'Common name (master file)'!$C:$C,"")</f>
        <v>어류</v>
      </c>
      <c r="K1226">
        <f>eDNA!B1226</f>
        <v>126.87358690000001</v>
      </c>
      <c r="L1226">
        <f>eDNA!C1226</f>
        <v>37.508467699999997</v>
      </c>
      <c r="M1226" s="10" t="str" cm="1">
        <f t="array" ref="M1226">IFERROR(_xlfn.XLOOKUP(1,('env Parameter'!$A:$A=$A1226)*('env Parameter'!$B:$B=$K1226)*('env Parameter'!$C:$C=$L1226),'env Parameter'!D:D,""),"")</f>
        <v>안양천-13</v>
      </c>
      <c r="N1226" s="10" t="str" cm="1">
        <f t="array" ref="N1226">IFERROR(_xlfn.XLOOKUP(1,('env Parameter'!$A:$A=$A1226)*('env Parameter'!$B:$B=$K1226)*('env Parameter'!$C:$C=$L1226),'env Parameter'!I:I,""),"")</f>
        <v>YR</v>
      </c>
    </row>
    <row r="1227" spans="1:14">
      <c r="A1227">
        <f>eDNA!A1227</f>
        <v>20200916</v>
      </c>
      <c r="B1227" s="10" t="str" cm="1">
        <f t="array" ref="B1227">IFERROR(_xlfn.XLOOKUP(1,('env Parameter'!$A:$A=$A1227)*('env Parameter'!$B:$B=$K1227)*('env Parameter'!$C:$C=$L1227),'env Parameter'!H:H,""),"")</f>
        <v>생물상 조사</v>
      </c>
      <c r="C1227" s="10" cm="1">
        <f t="array" ref="C1227">IFERROR(_xlfn.XLOOKUP(1,('env Parameter'!$A:$A=$A1227)*('env Parameter'!$B:$B=$K1227)*('env Parameter'!$C:$C=$L1227),'env Parameter'!E:E,""),"")</f>
        <v>2.14</v>
      </c>
      <c r="D1227" s="10" cm="1">
        <f t="array" ref="D1227">IFERROR(_xlfn.XLOOKUP(1,('env Parameter'!$A:$A=$A1227)*('env Parameter'!$B:$B=$K1227)*('env Parameter'!$C:$C=$L1227),'env Parameter'!F:F,""),"")</f>
        <v>478</v>
      </c>
      <c r="E1227" s="10" cm="1">
        <f t="array" ref="E1227">IFERROR(_xlfn.XLOOKUP(1,('env Parameter'!$A:$A=$A1227)*('env Parameter'!$B:$B=$K1227)*('env Parameter'!$C:$C=$L1227),'env Parameter'!G:G,""),"")</f>
        <v>7.6</v>
      </c>
      <c r="F1227" t="str">
        <f>eDNA!F1227</f>
        <v>MiFish</v>
      </c>
      <c r="G1227" t="str">
        <f>eDNA!D1227</f>
        <v>Lefua costata</v>
      </c>
      <c r="H1227" t="str">
        <f>_xlfn.XLOOKUP(G1227,'Common name (master file)'!$B:$B,'Common name (master file)'!$A:$A,"-------------")</f>
        <v>쌀미꾸리</v>
      </c>
      <c r="I1227">
        <f>eDNA!E1227</f>
        <v>3458</v>
      </c>
      <c r="J1227" t="str">
        <f>_xlfn.XLOOKUP(G1227,'Common name (master file)'!$B:$B,'Common name (master file)'!$C:$C,"")</f>
        <v>어류</v>
      </c>
      <c r="K1227">
        <f>eDNA!B1227</f>
        <v>126.99657019999999</v>
      </c>
      <c r="L1227">
        <f>eDNA!C1227</f>
        <v>37.389118600000003</v>
      </c>
      <c r="M1227" s="10" t="str" cm="1">
        <f t="array" ref="M1227">IFERROR(_xlfn.XLOOKUP(1,('env Parameter'!$A:$A=$A1227)*('env Parameter'!$B:$B=$K1227)*('env Parameter'!$C:$C=$L1227),'env Parameter'!D:D,""),"")</f>
        <v>안양천-19</v>
      </c>
      <c r="N1227" s="10" t="str" cm="1">
        <f t="array" ref="N1227">IFERROR(_xlfn.XLOOKUP(1,('env Parameter'!$A:$A=$A1227)*('env Parameter'!$B:$B=$K1227)*('env Parameter'!$C:$C=$L1227),'env Parameter'!I:I,""),"")</f>
        <v>YR</v>
      </c>
    </row>
    <row r="1228" spans="1:14">
      <c r="A1228">
        <f>eDNA!A1228</f>
        <v>20201024</v>
      </c>
      <c r="B1228" s="10" t="str" cm="1">
        <f t="array" ref="B1228">IFERROR(_xlfn.XLOOKUP(1,('env Parameter'!$A:$A=$A1228)*('env Parameter'!$B:$B=$K1228)*('env Parameter'!$C:$C=$L1228),'env Parameter'!H:H,""),"")</f>
        <v>생물상 조사</v>
      </c>
      <c r="C1228" s="10" cm="1">
        <f t="array" ref="C1228">IFERROR(_xlfn.XLOOKUP(1,('env Parameter'!$A:$A=$A1228)*('env Parameter'!$B:$B=$K1228)*('env Parameter'!$C:$C=$L1228),'env Parameter'!E:E,""),"")</f>
        <v>2.14</v>
      </c>
      <c r="D1228" s="10" cm="1">
        <f t="array" ref="D1228">IFERROR(_xlfn.XLOOKUP(1,('env Parameter'!$A:$A=$A1228)*('env Parameter'!$B:$B=$K1228)*('env Parameter'!$C:$C=$L1228),'env Parameter'!F:F,""),"")</f>
        <v>478</v>
      </c>
      <c r="E1228" s="10" cm="1">
        <f t="array" ref="E1228">IFERROR(_xlfn.XLOOKUP(1,('env Parameter'!$A:$A=$A1228)*('env Parameter'!$B:$B=$K1228)*('env Parameter'!$C:$C=$L1228),'env Parameter'!G:G,""),"")</f>
        <v>7.6</v>
      </c>
      <c r="F1228" t="str">
        <f>eDNA!F1228</f>
        <v>MiFish</v>
      </c>
      <c r="G1228" t="str">
        <f>eDNA!D1228</f>
        <v>Homo sapiens</v>
      </c>
      <c r="H1228" t="str">
        <f>_xlfn.XLOOKUP(G1228,'Common name (master file)'!$B:$B,'Common name (master file)'!$A:$A,"-------------")</f>
        <v>사람</v>
      </c>
      <c r="I1228">
        <f>eDNA!E1228</f>
        <v>79</v>
      </c>
      <c r="J1228" t="str">
        <f>_xlfn.XLOOKUP(G1228,'Common name (master file)'!$B:$B,'Common name (master file)'!$C:$C,"")</f>
        <v>포유류</v>
      </c>
      <c r="K1228">
        <f>eDNA!B1228</f>
        <v>126.87358690000001</v>
      </c>
      <c r="L1228">
        <f>eDNA!C1228</f>
        <v>37.508467699999997</v>
      </c>
      <c r="M1228" s="10" t="str" cm="1">
        <f t="array" ref="M1228">IFERROR(_xlfn.XLOOKUP(1,('env Parameter'!$A:$A=$A1228)*('env Parameter'!$B:$B=$K1228)*('env Parameter'!$C:$C=$L1228),'env Parameter'!D:D,""),"")</f>
        <v>안양천-13</v>
      </c>
      <c r="N1228" s="10" t="str" cm="1">
        <f t="array" ref="N1228">IFERROR(_xlfn.XLOOKUP(1,('env Parameter'!$A:$A=$A1228)*('env Parameter'!$B:$B=$K1228)*('env Parameter'!$C:$C=$L1228),'env Parameter'!I:I,""),"")</f>
        <v>YR</v>
      </c>
    </row>
    <row r="1229" spans="1:14">
      <c r="A1229">
        <f>eDNA!A1229</f>
        <v>20201024</v>
      </c>
      <c r="B1229" s="10" t="str" cm="1">
        <f t="array" ref="B1229">IFERROR(_xlfn.XLOOKUP(1,('env Parameter'!$A:$A=$A1229)*('env Parameter'!$B:$B=$K1229)*('env Parameter'!$C:$C=$L1229),'env Parameter'!H:H,""),"")</f>
        <v>생물상 조사</v>
      </c>
      <c r="C1229" s="10" cm="1">
        <f t="array" ref="C1229">IFERROR(_xlfn.XLOOKUP(1,('env Parameter'!$A:$A=$A1229)*('env Parameter'!$B:$B=$K1229)*('env Parameter'!$C:$C=$L1229),'env Parameter'!E:E,""),"")</f>
        <v>2.14</v>
      </c>
      <c r="D1229" s="10" cm="1">
        <f t="array" ref="D1229">IFERROR(_xlfn.XLOOKUP(1,('env Parameter'!$A:$A=$A1229)*('env Parameter'!$B:$B=$K1229)*('env Parameter'!$C:$C=$L1229),'env Parameter'!F:F,""),"")</f>
        <v>478</v>
      </c>
      <c r="E1229" s="10" cm="1">
        <f t="array" ref="E1229">IFERROR(_xlfn.XLOOKUP(1,('env Parameter'!$A:$A=$A1229)*('env Parameter'!$B:$B=$K1229)*('env Parameter'!$C:$C=$L1229),'env Parameter'!G:G,""),"")</f>
        <v>7.6</v>
      </c>
      <c r="F1229" t="str">
        <f>eDNA!F1229</f>
        <v>MiFish</v>
      </c>
      <c r="G1229" t="str">
        <f>eDNA!D1229</f>
        <v>Carassius cuvieri</v>
      </c>
      <c r="H1229" t="str">
        <f>_xlfn.XLOOKUP(G1229,'Common name (master file)'!$B:$B,'Common name (master file)'!$A:$A,"-------------")</f>
        <v>떡붕어</v>
      </c>
      <c r="I1229">
        <f>eDNA!E1229</f>
        <v>166</v>
      </c>
      <c r="J1229" t="str">
        <f>_xlfn.XLOOKUP(G1229,'Common name (master file)'!$B:$B,'Common name (master file)'!$C:$C,"")</f>
        <v>어류</v>
      </c>
      <c r="K1229">
        <f>eDNA!B1229</f>
        <v>126.87358690000001</v>
      </c>
      <c r="L1229">
        <f>eDNA!C1229</f>
        <v>37.508467699999997</v>
      </c>
      <c r="M1229" s="10" t="str" cm="1">
        <f t="array" ref="M1229">IFERROR(_xlfn.XLOOKUP(1,('env Parameter'!$A:$A=$A1229)*('env Parameter'!$B:$B=$K1229)*('env Parameter'!$C:$C=$L1229),'env Parameter'!D:D,""),"")</f>
        <v>안양천-13</v>
      </c>
      <c r="N1229" s="10" t="str" cm="1">
        <f t="array" ref="N1229">IFERROR(_xlfn.XLOOKUP(1,('env Parameter'!$A:$A=$A1229)*('env Parameter'!$B:$B=$K1229)*('env Parameter'!$C:$C=$L1229),'env Parameter'!I:I,""),"")</f>
        <v>YR</v>
      </c>
    </row>
    <row r="1230" spans="1:14">
      <c r="A1230">
        <f>eDNA!A1230</f>
        <v>20201024</v>
      </c>
      <c r="B1230" s="10" t="str" cm="1">
        <f t="array" ref="B1230">IFERROR(_xlfn.XLOOKUP(1,('env Parameter'!$A:$A=$A1230)*('env Parameter'!$B:$B=$K1230)*('env Parameter'!$C:$C=$L1230),'env Parameter'!H:H,""),"")</f>
        <v>생물상 조사</v>
      </c>
      <c r="C1230" s="10" cm="1">
        <f t="array" ref="C1230">IFERROR(_xlfn.XLOOKUP(1,('env Parameter'!$A:$A=$A1230)*('env Parameter'!$B:$B=$K1230)*('env Parameter'!$C:$C=$L1230),'env Parameter'!E:E,""),"")</f>
        <v>2.14</v>
      </c>
      <c r="D1230" s="10" cm="1">
        <f t="array" ref="D1230">IFERROR(_xlfn.XLOOKUP(1,('env Parameter'!$A:$A=$A1230)*('env Parameter'!$B:$B=$K1230)*('env Parameter'!$C:$C=$L1230),'env Parameter'!F:F,""),"")</f>
        <v>478</v>
      </c>
      <c r="E1230" s="10" cm="1">
        <f t="array" ref="E1230">IFERROR(_xlfn.XLOOKUP(1,('env Parameter'!$A:$A=$A1230)*('env Parameter'!$B:$B=$K1230)*('env Parameter'!$C:$C=$L1230),'env Parameter'!G:G,""),"")</f>
        <v>7.6</v>
      </c>
      <c r="F1230" t="str">
        <f>eDNA!F1230</f>
        <v>MiFish</v>
      </c>
      <c r="G1230" t="str">
        <f>eDNA!D1230</f>
        <v>Tadorna tadorna</v>
      </c>
      <c r="H1230" t="str">
        <f>_xlfn.XLOOKUP(G1230,'Common name (master file)'!$B:$B,'Common name (master file)'!$A:$A,"-------------")</f>
        <v>혹부리오리</v>
      </c>
      <c r="I1230">
        <f>eDNA!E1230</f>
        <v>145</v>
      </c>
      <c r="J1230" t="str">
        <f>_xlfn.XLOOKUP(G1230,'Common name (master file)'!$B:$B,'Common name (master file)'!$C:$C,"")</f>
        <v>조류</v>
      </c>
      <c r="K1230">
        <f>eDNA!B1230</f>
        <v>126.87358690000001</v>
      </c>
      <c r="L1230">
        <f>eDNA!C1230</f>
        <v>37.508467699999997</v>
      </c>
      <c r="M1230" s="10" t="str" cm="1">
        <f t="array" ref="M1230">IFERROR(_xlfn.XLOOKUP(1,('env Parameter'!$A:$A=$A1230)*('env Parameter'!$B:$B=$K1230)*('env Parameter'!$C:$C=$L1230),'env Parameter'!D:D,""),"")</f>
        <v>안양천-13</v>
      </c>
      <c r="N1230" s="10" t="str" cm="1">
        <f t="array" ref="N1230">IFERROR(_xlfn.XLOOKUP(1,('env Parameter'!$A:$A=$A1230)*('env Parameter'!$B:$B=$K1230)*('env Parameter'!$C:$C=$L1230),'env Parameter'!I:I,""),"")</f>
        <v>YR</v>
      </c>
    </row>
    <row r="1231" spans="1:14">
      <c r="A1231">
        <f>eDNA!A1231</f>
        <v>20201024</v>
      </c>
      <c r="B1231" s="10" t="str" cm="1">
        <f t="array" ref="B1231">IFERROR(_xlfn.XLOOKUP(1,('env Parameter'!$A:$A=$A1231)*('env Parameter'!$B:$B=$K1231)*('env Parameter'!$C:$C=$L1231),'env Parameter'!H:H,""),"")</f>
        <v>생물상 조사</v>
      </c>
      <c r="C1231" s="10" cm="1">
        <f t="array" ref="C1231">IFERROR(_xlfn.XLOOKUP(1,('env Parameter'!$A:$A=$A1231)*('env Parameter'!$B:$B=$K1231)*('env Parameter'!$C:$C=$L1231),'env Parameter'!E:E,""),"")</f>
        <v>2.14</v>
      </c>
      <c r="D1231" s="10" cm="1">
        <f t="array" ref="D1231">IFERROR(_xlfn.XLOOKUP(1,('env Parameter'!$A:$A=$A1231)*('env Parameter'!$B:$B=$K1231)*('env Parameter'!$C:$C=$L1231),'env Parameter'!F:F,""),"")</f>
        <v>478</v>
      </c>
      <c r="E1231" s="10" cm="1">
        <f t="array" ref="E1231">IFERROR(_xlfn.XLOOKUP(1,('env Parameter'!$A:$A=$A1231)*('env Parameter'!$B:$B=$K1231)*('env Parameter'!$C:$C=$L1231),'env Parameter'!G:G,""),"")</f>
        <v>7.6</v>
      </c>
      <c r="F1231" t="str">
        <f>eDNA!F1231</f>
        <v>MiFish</v>
      </c>
      <c r="G1231" t="str">
        <f>eDNA!D1231</f>
        <v>Abbottina rivularis</v>
      </c>
      <c r="H1231" t="str">
        <f>_xlfn.XLOOKUP(G1231,'Common name (master file)'!$B:$B,'Common name (master file)'!$A:$A,"-------------")</f>
        <v>버들매치</v>
      </c>
      <c r="I1231">
        <f>eDNA!E1231</f>
        <v>165</v>
      </c>
      <c r="J1231" t="str">
        <f>_xlfn.XLOOKUP(G1231,'Common name (master file)'!$B:$B,'Common name (master file)'!$C:$C,"")</f>
        <v>어류</v>
      </c>
      <c r="K1231">
        <f>eDNA!B1231</f>
        <v>126.87358690000001</v>
      </c>
      <c r="L1231">
        <f>eDNA!C1231</f>
        <v>37.508467699999997</v>
      </c>
      <c r="M1231" s="10" t="str" cm="1">
        <f t="array" ref="M1231">IFERROR(_xlfn.XLOOKUP(1,('env Parameter'!$A:$A=$A1231)*('env Parameter'!$B:$B=$K1231)*('env Parameter'!$C:$C=$L1231),'env Parameter'!D:D,""),"")</f>
        <v>안양천-13</v>
      </c>
      <c r="N1231" s="10" t="str" cm="1">
        <f t="array" ref="N1231">IFERROR(_xlfn.XLOOKUP(1,('env Parameter'!$A:$A=$A1231)*('env Parameter'!$B:$B=$K1231)*('env Parameter'!$C:$C=$L1231),'env Parameter'!I:I,""),"")</f>
        <v>YR</v>
      </c>
    </row>
    <row r="1232" spans="1:14">
      <c r="A1232">
        <f>eDNA!A1232</f>
        <v>20201024</v>
      </c>
      <c r="B1232" s="10" t="str" cm="1">
        <f t="array" ref="B1232">IFERROR(_xlfn.XLOOKUP(1,('env Parameter'!$A:$A=$A1232)*('env Parameter'!$B:$B=$K1232)*('env Parameter'!$C:$C=$L1232),'env Parameter'!H:H,""),"")</f>
        <v>생물상 조사</v>
      </c>
      <c r="C1232" s="10" cm="1">
        <f t="array" ref="C1232">IFERROR(_xlfn.XLOOKUP(1,('env Parameter'!$A:$A=$A1232)*('env Parameter'!$B:$B=$K1232)*('env Parameter'!$C:$C=$L1232),'env Parameter'!E:E,""),"")</f>
        <v>2.14</v>
      </c>
      <c r="D1232" s="10" cm="1">
        <f t="array" ref="D1232">IFERROR(_xlfn.XLOOKUP(1,('env Parameter'!$A:$A=$A1232)*('env Parameter'!$B:$B=$K1232)*('env Parameter'!$C:$C=$L1232),'env Parameter'!F:F,""),"")</f>
        <v>478</v>
      </c>
      <c r="E1232" s="10" cm="1">
        <f t="array" ref="E1232">IFERROR(_xlfn.XLOOKUP(1,('env Parameter'!$A:$A=$A1232)*('env Parameter'!$B:$B=$K1232)*('env Parameter'!$C:$C=$L1232),'env Parameter'!G:G,""),"")</f>
        <v>7.6</v>
      </c>
      <c r="F1232" t="str">
        <f>eDNA!F1232</f>
        <v>MiFish</v>
      </c>
      <c r="G1232" t="str">
        <f>eDNA!D1232</f>
        <v>Pseudogobio esocinus</v>
      </c>
      <c r="H1232" t="str">
        <f>_xlfn.XLOOKUP(G1232,'Common name (master file)'!$B:$B,'Common name (master file)'!$A:$A,"-------------")</f>
        <v>모래무지</v>
      </c>
      <c r="I1232">
        <f>eDNA!E1232</f>
        <v>209</v>
      </c>
      <c r="J1232" t="str">
        <f>_xlfn.XLOOKUP(G1232,'Common name (master file)'!$B:$B,'Common name (master file)'!$C:$C,"")</f>
        <v>어류</v>
      </c>
      <c r="K1232">
        <f>eDNA!B1232</f>
        <v>126.87358690000001</v>
      </c>
      <c r="L1232">
        <f>eDNA!C1232</f>
        <v>37.508467699999997</v>
      </c>
      <c r="M1232" s="10" t="str" cm="1">
        <f t="array" ref="M1232">IFERROR(_xlfn.XLOOKUP(1,('env Parameter'!$A:$A=$A1232)*('env Parameter'!$B:$B=$K1232)*('env Parameter'!$C:$C=$L1232),'env Parameter'!D:D,""),"")</f>
        <v>안양천-13</v>
      </c>
      <c r="N1232" s="10" t="str" cm="1">
        <f t="array" ref="N1232">IFERROR(_xlfn.XLOOKUP(1,('env Parameter'!$A:$A=$A1232)*('env Parameter'!$B:$B=$K1232)*('env Parameter'!$C:$C=$L1232),'env Parameter'!I:I,""),"")</f>
        <v>YR</v>
      </c>
    </row>
    <row r="1233" spans="1:14">
      <c r="A1233">
        <f>eDNA!A1233</f>
        <v>20201024</v>
      </c>
      <c r="B1233" s="10" t="str" cm="1">
        <f t="array" ref="B1233">IFERROR(_xlfn.XLOOKUP(1,('env Parameter'!$A:$A=$A1233)*('env Parameter'!$B:$B=$K1233)*('env Parameter'!$C:$C=$L1233),'env Parameter'!H:H,""),"")</f>
        <v>생물상 조사</v>
      </c>
      <c r="C1233" s="10" cm="1">
        <f t="array" ref="C1233">IFERROR(_xlfn.XLOOKUP(1,('env Parameter'!$A:$A=$A1233)*('env Parameter'!$B:$B=$K1233)*('env Parameter'!$C:$C=$L1233),'env Parameter'!E:E,""),"")</f>
        <v>2.14</v>
      </c>
      <c r="D1233" s="10" cm="1">
        <f t="array" ref="D1233">IFERROR(_xlfn.XLOOKUP(1,('env Parameter'!$A:$A=$A1233)*('env Parameter'!$B:$B=$K1233)*('env Parameter'!$C:$C=$L1233),'env Parameter'!F:F,""),"")</f>
        <v>478</v>
      </c>
      <c r="E1233" s="10" cm="1">
        <f t="array" ref="E1233">IFERROR(_xlfn.XLOOKUP(1,('env Parameter'!$A:$A=$A1233)*('env Parameter'!$B:$B=$K1233)*('env Parameter'!$C:$C=$L1233),'env Parameter'!G:G,""),"")</f>
        <v>7.6</v>
      </c>
      <c r="F1233" t="str">
        <f>eDNA!F1233</f>
        <v>MiFish</v>
      </c>
      <c r="G1233" t="str">
        <f>eDNA!D1233</f>
        <v>Tridentiger trigonocephalus</v>
      </c>
      <c r="H1233" t="str">
        <f>_xlfn.XLOOKUP(G1233,'Common name (master file)'!$B:$B,'Common name (master file)'!$A:$A,"-------------")</f>
        <v>두줄망둑</v>
      </c>
      <c r="I1233">
        <f>eDNA!E1233</f>
        <v>215</v>
      </c>
      <c r="J1233" t="str">
        <f>_xlfn.XLOOKUP(G1233,'Common name (master file)'!$B:$B,'Common name (master file)'!$C:$C,"")</f>
        <v>어류</v>
      </c>
      <c r="K1233">
        <f>eDNA!B1233</f>
        <v>126.87358690000001</v>
      </c>
      <c r="L1233">
        <f>eDNA!C1233</f>
        <v>37.508467699999997</v>
      </c>
      <c r="M1233" s="10" t="str" cm="1">
        <f t="array" ref="M1233">IFERROR(_xlfn.XLOOKUP(1,('env Parameter'!$A:$A=$A1233)*('env Parameter'!$B:$B=$K1233)*('env Parameter'!$C:$C=$L1233),'env Parameter'!D:D,""),"")</f>
        <v>안양천-13</v>
      </c>
      <c r="N1233" s="10" t="str" cm="1">
        <f t="array" ref="N1233">IFERROR(_xlfn.XLOOKUP(1,('env Parameter'!$A:$A=$A1233)*('env Parameter'!$B:$B=$K1233)*('env Parameter'!$C:$C=$L1233),'env Parameter'!I:I,""),"")</f>
        <v>YR</v>
      </c>
    </row>
    <row r="1234" spans="1:14">
      <c r="A1234">
        <f>eDNA!A1234</f>
        <v>20201024</v>
      </c>
      <c r="B1234" s="10" t="str" cm="1">
        <f t="array" ref="B1234">IFERROR(_xlfn.XLOOKUP(1,('env Parameter'!$A:$A=$A1234)*('env Parameter'!$B:$B=$K1234)*('env Parameter'!$C:$C=$L1234),'env Parameter'!H:H,""),"")</f>
        <v>생물상 조사</v>
      </c>
      <c r="C1234" s="10" cm="1">
        <f t="array" ref="C1234">IFERROR(_xlfn.XLOOKUP(1,('env Parameter'!$A:$A=$A1234)*('env Parameter'!$B:$B=$K1234)*('env Parameter'!$C:$C=$L1234),'env Parameter'!E:E,""),"")</f>
        <v>2.14</v>
      </c>
      <c r="D1234" s="10" cm="1">
        <f t="array" ref="D1234">IFERROR(_xlfn.XLOOKUP(1,('env Parameter'!$A:$A=$A1234)*('env Parameter'!$B:$B=$K1234)*('env Parameter'!$C:$C=$L1234),'env Parameter'!F:F,""),"")</f>
        <v>478</v>
      </c>
      <c r="E1234" s="10" cm="1">
        <f t="array" ref="E1234">IFERROR(_xlfn.XLOOKUP(1,('env Parameter'!$A:$A=$A1234)*('env Parameter'!$B:$B=$K1234)*('env Parameter'!$C:$C=$L1234),'env Parameter'!G:G,""),"")</f>
        <v>7.6</v>
      </c>
      <c r="F1234" t="str">
        <f>eDNA!F1234</f>
        <v>MiFish</v>
      </c>
      <c r="G1234" t="str">
        <f>eDNA!D1234</f>
        <v>Bos taurus</v>
      </c>
      <c r="H1234" t="str">
        <f>_xlfn.XLOOKUP(G1234,'Common name (master file)'!$B:$B,'Common name (master file)'!$A:$A,"-------------")</f>
        <v>소</v>
      </c>
      <c r="I1234">
        <f>eDNA!E1234</f>
        <v>262</v>
      </c>
      <c r="J1234" t="str">
        <f>_xlfn.XLOOKUP(G1234,'Common name (master file)'!$B:$B,'Common name (master file)'!$C:$C,"")</f>
        <v>포유류</v>
      </c>
      <c r="K1234">
        <f>eDNA!B1234</f>
        <v>126.87358690000001</v>
      </c>
      <c r="L1234">
        <f>eDNA!C1234</f>
        <v>37.508467699999997</v>
      </c>
      <c r="M1234" s="10" t="str" cm="1">
        <f t="array" ref="M1234">IFERROR(_xlfn.XLOOKUP(1,('env Parameter'!$A:$A=$A1234)*('env Parameter'!$B:$B=$K1234)*('env Parameter'!$C:$C=$L1234),'env Parameter'!D:D,""),"")</f>
        <v>안양천-13</v>
      </c>
      <c r="N1234" s="10" t="str" cm="1">
        <f t="array" ref="N1234">IFERROR(_xlfn.XLOOKUP(1,('env Parameter'!$A:$A=$A1234)*('env Parameter'!$B:$B=$K1234)*('env Parameter'!$C:$C=$L1234),'env Parameter'!I:I,""),"")</f>
        <v>YR</v>
      </c>
    </row>
    <row r="1235" spans="1:14">
      <c r="A1235">
        <f>eDNA!A1235</f>
        <v>20201024</v>
      </c>
      <c r="B1235" s="10" t="str" cm="1">
        <f t="array" ref="B1235">IFERROR(_xlfn.XLOOKUP(1,('env Parameter'!$A:$A=$A1235)*('env Parameter'!$B:$B=$K1235)*('env Parameter'!$C:$C=$L1235),'env Parameter'!H:H,""),"")</f>
        <v>생물상 조사</v>
      </c>
      <c r="C1235" s="10" cm="1">
        <f t="array" ref="C1235">IFERROR(_xlfn.XLOOKUP(1,('env Parameter'!$A:$A=$A1235)*('env Parameter'!$B:$B=$K1235)*('env Parameter'!$C:$C=$L1235),'env Parameter'!E:E,""),"")</f>
        <v>2.14</v>
      </c>
      <c r="D1235" s="10" cm="1">
        <f t="array" ref="D1235">IFERROR(_xlfn.XLOOKUP(1,('env Parameter'!$A:$A=$A1235)*('env Parameter'!$B:$B=$K1235)*('env Parameter'!$C:$C=$L1235),'env Parameter'!F:F,""),"")</f>
        <v>478</v>
      </c>
      <c r="E1235" s="10" cm="1">
        <f t="array" ref="E1235">IFERROR(_xlfn.XLOOKUP(1,('env Parameter'!$A:$A=$A1235)*('env Parameter'!$B:$B=$K1235)*('env Parameter'!$C:$C=$L1235),'env Parameter'!G:G,""),"")</f>
        <v>7.6</v>
      </c>
      <c r="F1235" t="str">
        <f>eDNA!F1235</f>
        <v>MiFish</v>
      </c>
      <c r="G1235" t="str">
        <f>eDNA!D1235</f>
        <v>Anguilla japonica</v>
      </c>
      <c r="H1235" t="str">
        <f>_xlfn.XLOOKUP(G1235,'Common name (master file)'!$B:$B,'Common name (master file)'!$A:$A,"-------------")</f>
        <v>뱀장어</v>
      </c>
      <c r="I1235">
        <f>eDNA!E1235</f>
        <v>268</v>
      </c>
      <c r="J1235" t="str">
        <f>_xlfn.XLOOKUP(G1235,'Common name (master file)'!$B:$B,'Common name (master file)'!$C:$C,"")</f>
        <v>어류</v>
      </c>
      <c r="K1235">
        <f>eDNA!B1235</f>
        <v>126.87358690000001</v>
      </c>
      <c r="L1235">
        <f>eDNA!C1235</f>
        <v>37.508467699999997</v>
      </c>
      <c r="M1235" s="10" t="str" cm="1">
        <f t="array" ref="M1235">IFERROR(_xlfn.XLOOKUP(1,('env Parameter'!$A:$A=$A1235)*('env Parameter'!$B:$B=$K1235)*('env Parameter'!$C:$C=$L1235),'env Parameter'!D:D,""),"")</f>
        <v>안양천-13</v>
      </c>
      <c r="N1235" s="10" t="str" cm="1">
        <f t="array" ref="N1235">IFERROR(_xlfn.XLOOKUP(1,('env Parameter'!$A:$A=$A1235)*('env Parameter'!$B:$B=$K1235)*('env Parameter'!$C:$C=$L1235),'env Parameter'!I:I,""),"")</f>
        <v>YR</v>
      </c>
    </row>
    <row r="1236" spans="1:14">
      <c r="A1236">
        <f>eDNA!A1236</f>
        <v>20201024</v>
      </c>
      <c r="B1236" s="10" t="str" cm="1">
        <f t="array" ref="B1236">IFERROR(_xlfn.XLOOKUP(1,('env Parameter'!$A:$A=$A1236)*('env Parameter'!$B:$B=$K1236)*('env Parameter'!$C:$C=$L1236),'env Parameter'!H:H,""),"")</f>
        <v>생물상 조사</v>
      </c>
      <c r="C1236" s="10" cm="1">
        <f t="array" ref="C1236">IFERROR(_xlfn.XLOOKUP(1,('env Parameter'!$A:$A=$A1236)*('env Parameter'!$B:$B=$K1236)*('env Parameter'!$C:$C=$L1236),'env Parameter'!E:E,""),"")</f>
        <v>2.14</v>
      </c>
      <c r="D1236" s="10" cm="1">
        <f t="array" ref="D1236">IFERROR(_xlfn.XLOOKUP(1,('env Parameter'!$A:$A=$A1236)*('env Parameter'!$B:$B=$K1236)*('env Parameter'!$C:$C=$L1236),'env Parameter'!F:F,""),"")</f>
        <v>478</v>
      </c>
      <c r="E1236" s="10" cm="1">
        <f t="array" ref="E1236">IFERROR(_xlfn.XLOOKUP(1,('env Parameter'!$A:$A=$A1236)*('env Parameter'!$B:$B=$K1236)*('env Parameter'!$C:$C=$L1236),'env Parameter'!G:G,""),"")</f>
        <v>7.6</v>
      </c>
      <c r="F1236" t="str">
        <f>eDNA!F1236</f>
        <v>MiFish</v>
      </c>
      <c r="G1236" t="str">
        <f>eDNA!D1236</f>
        <v>Canis lupus familiaris</v>
      </c>
      <c r="H1236" t="str">
        <f>_xlfn.XLOOKUP(G1236,'Common name (master file)'!$B:$B,'Common name (master file)'!$A:$A,"-------------")</f>
        <v>개</v>
      </c>
      <c r="I1236">
        <f>eDNA!E1236</f>
        <v>437</v>
      </c>
      <c r="J1236" t="str">
        <f>_xlfn.XLOOKUP(G1236,'Common name (master file)'!$B:$B,'Common name (master file)'!$C:$C,"")</f>
        <v>포유류</v>
      </c>
      <c r="K1236">
        <f>eDNA!B1236</f>
        <v>126.87358690000001</v>
      </c>
      <c r="L1236">
        <f>eDNA!C1236</f>
        <v>37.508467699999997</v>
      </c>
      <c r="M1236" s="10" t="str" cm="1">
        <f t="array" ref="M1236">IFERROR(_xlfn.XLOOKUP(1,('env Parameter'!$A:$A=$A1236)*('env Parameter'!$B:$B=$K1236)*('env Parameter'!$C:$C=$L1236),'env Parameter'!D:D,""),"")</f>
        <v>안양천-13</v>
      </c>
      <c r="N1236" s="10" t="str" cm="1">
        <f t="array" ref="N1236">IFERROR(_xlfn.XLOOKUP(1,('env Parameter'!$A:$A=$A1236)*('env Parameter'!$B:$B=$K1236)*('env Parameter'!$C:$C=$L1236),'env Parameter'!I:I,""),"")</f>
        <v>YR</v>
      </c>
    </row>
    <row r="1237" spans="1:14">
      <c r="A1237">
        <f>eDNA!A1237</f>
        <v>20201024</v>
      </c>
      <c r="B1237" s="10" t="str" cm="1">
        <f t="array" ref="B1237">IFERROR(_xlfn.XLOOKUP(1,('env Parameter'!$A:$A=$A1237)*('env Parameter'!$B:$B=$K1237)*('env Parameter'!$C:$C=$L1237),'env Parameter'!H:H,""),"")</f>
        <v>생물상 조사</v>
      </c>
      <c r="C1237" s="10" cm="1">
        <f t="array" ref="C1237">IFERROR(_xlfn.XLOOKUP(1,('env Parameter'!$A:$A=$A1237)*('env Parameter'!$B:$B=$K1237)*('env Parameter'!$C:$C=$L1237),'env Parameter'!E:E,""),"")</f>
        <v>2.14</v>
      </c>
      <c r="D1237" s="10" cm="1">
        <f t="array" ref="D1237">IFERROR(_xlfn.XLOOKUP(1,('env Parameter'!$A:$A=$A1237)*('env Parameter'!$B:$B=$K1237)*('env Parameter'!$C:$C=$L1237),'env Parameter'!F:F,""),"")</f>
        <v>478</v>
      </c>
      <c r="E1237" s="10" cm="1">
        <f t="array" ref="E1237">IFERROR(_xlfn.XLOOKUP(1,('env Parameter'!$A:$A=$A1237)*('env Parameter'!$B:$B=$K1237)*('env Parameter'!$C:$C=$L1237),'env Parameter'!G:G,""),"")</f>
        <v>7.6</v>
      </c>
      <c r="F1237" t="str">
        <f>eDNA!F1237</f>
        <v>MiFish</v>
      </c>
      <c r="G1237" t="str">
        <f>eDNA!D1237</f>
        <v>Synechogobius hasta</v>
      </c>
      <c r="H1237" t="str">
        <f>_xlfn.XLOOKUP(G1237,'Common name (master file)'!$B:$B,'Common name (master file)'!$A:$A,"-------------")</f>
        <v>풀망둑</v>
      </c>
      <c r="I1237">
        <f>eDNA!E1237</f>
        <v>358</v>
      </c>
      <c r="J1237" t="str">
        <f>_xlfn.XLOOKUP(G1237,'Common name (master file)'!$B:$B,'Common name (master file)'!$C:$C,"")</f>
        <v>어류</v>
      </c>
      <c r="K1237">
        <f>eDNA!B1237</f>
        <v>126.87358690000001</v>
      </c>
      <c r="L1237">
        <f>eDNA!C1237</f>
        <v>37.508467699999997</v>
      </c>
      <c r="M1237" s="10" t="str" cm="1">
        <f t="array" ref="M1237">IFERROR(_xlfn.XLOOKUP(1,('env Parameter'!$A:$A=$A1237)*('env Parameter'!$B:$B=$K1237)*('env Parameter'!$C:$C=$L1237),'env Parameter'!D:D,""),"")</f>
        <v>안양천-13</v>
      </c>
      <c r="N1237" s="10" t="str" cm="1">
        <f t="array" ref="N1237">IFERROR(_xlfn.XLOOKUP(1,('env Parameter'!$A:$A=$A1237)*('env Parameter'!$B:$B=$K1237)*('env Parameter'!$C:$C=$L1237),'env Parameter'!I:I,""),"")</f>
        <v>YR</v>
      </c>
    </row>
    <row r="1238" spans="1:14">
      <c r="A1238">
        <f>eDNA!A1238</f>
        <v>20201024</v>
      </c>
      <c r="B1238" s="10" t="str" cm="1">
        <f t="array" ref="B1238">IFERROR(_xlfn.XLOOKUP(1,('env Parameter'!$A:$A=$A1238)*('env Parameter'!$B:$B=$K1238)*('env Parameter'!$C:$C=$L1238),'env Parameter'!H:H,""),"")</f>
        <v>생물상 조사</v>
      </c>
      <c r="C1238" s="10" cm="1">
        <f t="array" ref="C1238">IFERROR(_xlfn.XLOOKUP(1,('env Parameter'!$A:$A=$A1238)*('env Parameter'!$B:$B=$K1238)*('env Parameter'!$C:$C=$L1238),'env Parameter'!E:E,""),"")</f>
        <v>2.14</v>
      </c>
      <c r="D1238" s="10" cm="1">
        <f t="array" ref="D1238">IFERROR(_xlfn.XLOOKUP(1,('env Parameter'!$A:$A=$A1238)*('env Parameter'!$B:$B=$K1238)*('env Parameter'!$C:$C=$L1238),'env Parameter'!F:F,""),"")</f>
        <v>478</v>
      </c>
      <c r="E1238" s="10" cm="1">
        <f t="array" ref="E1238">IFERROR(_xlfn.XLOOKUP(1,('env Parameter'!$A:$A=$A1238)*('env Parameter'!$B:$B=$K1238)*('env Parameter'!$C:$C=$L1238),'env Parameter'!G:G,""),"")</f>
        <v>7.6</v>
      </c>
      <c r="F1238" t="str">
        <f>eDNA!F1238</f>
        <v>MiFish</v>
      </c>
      <c r="G1238" t="str">
        <f>eDNA!D1238</f>
        <v>Misgurnus mizolepis</v>
      </c>
      <c r="H1238" t="str">
        <f>_xlfn.XLOOKUP(G1238,'Common name (master file)'!$B:$B,'Common name (master file)'!$A:$A,"-------------")</f>
        <v>미꾸라지</v>
      </c>
      <c r="I1238">
        <f>eDNA!E1238</f>
        <v>369</v>
      </c>
      <c r="J1238" t="str">
        <f>_xlfn.XLOOKUP(G1238,'Common name (master file)'!$B:$B,'Common name (master file)'!$C:$C,"")</f>
        <v>어류</v>
      </c>
      <c r="K1238">
        <f>eDNA!B1238</f>
        <v>126.87358690000001</v>
      </c>
      <c r="L1238">
        <f>eDNA!C1238</f>
        <v>37.508467699999997</v>
      </c>
      <c r="M1238" s="10" t="str" cm="1">
        <f t="array" ref="M1238">IFERROR(_xlfn.XLOOKUP(1,('env Parameter'!$A:$A=$A1238)*('env Parameter'!$B:$B=$K1238)*('env Parameter'!$C:$C=$L1238),'env Parameter'!D:D,""),"")</f>
        <v>안양천-13</v>
      </c>
      <c r="N1238" s="10" t="str" cm="1">
        <f t="array" ref="N1238">IFERROR(_xlfn.XLOOKUP(1,('env Parameter'!$A:$A=$A1238)*('env Parameter'!$B:$B=$K1238)*('env Parameter'!$C:$C=$L1238),'env Parameter'!I:I,""),"")</f>
        <v>YR</v>
      </c>
    </row>
    <row r="1239" spans="1:14">
      <c r="A1239">
        <f>eDNA!A1239</f>
        <v>20201024</v>
      </c>
      <c r="B1239" s="10" t="str" cm="1">
        <f t="array" ref="B1239">IFERROR(_xlfn.XLOOKUP(1,('env Parameter'!$A:$A=$A1239)*('env Parameter'!$B:$B=$K1239)*('env Parameter'!$C:$C=$L1239),'env Parameter'!H:H,""),"")</f>
        <v>생물상 조사</v>
      </c>
      <c r="C1239" s="10" cm="1">
        <f t="array" ref="C1239">IFERROR(_xlfn.XLOOKUP(1,('env Parameter'!$A:$A=$A1239)*('env Parameter'!$B:$B=$K1239)*('env Parameter'!$C:$C=$L1239),'env Parameter'!E:E,""),"")</f>
        <v>2.14</v>
      </c>
      <c r="D1239" s="10" cm="1">
        <f t="array" ref="D1239">IFERROR(_xlfn.XLOOKUP(1,('env Parameter'!$A:$A=$A1239)*('env Parameter'!$B:$B=$K1239)*('env Parameter'!$C:$C=$L1239),'env Parameter'!F:F,""),"")</f>
        <v>478</v>
      </c>
      <c r="E1239" s="10" cm="1">
        <f t="array" ref="E1239">IFERROR(_xlfn.XLOOKUP(1,('env Parameter'!$A:$A=$A1239)*('env Parameter'!$B:$B=$K1239)*('env Parameter'!$C:$C=$L1239),'env Parameter'!G:G,""),"")</f>
        <v>7.6</v>
      </c>
      <c r="F1239" t="str">
        <f>eDNA!F1239</f>
        <v>MiFish</v>
      </c>
      <c r="G1239" t="str">
        <f>eDNA!D1239</f>
        <v>Tridentiger obscurus</v>
      </c>
      <c r="H1239" t="str">
        <f>_xlfn.XLOOKUP(G1239,'Common name (master file)'!$B:$B,'Common name (master file)'!$A:$A,"-------------")</f>
        <v>검정망둑</v>
      </c>
      <c r="I1239">
        <f>eDNA!E1239</f>
        <v>592</v>
      </c>
      <c r="J1239" t="str">
        <f>_xlfn.XLOOKUP(G1239,'Common name (master file)'!$B:$B,'Common name (master file)'!$C:$C,"")</f>
        <v>어류</v>
      </c>
      <c r="K1239">
        <f>eDNA!B1239</f>
        <v>126.87358690000001</v>
      </c>
      <c r="L1239">
        <f>eDNA!C1239</f>
        <v>37.508467699999997</v>
      </c>
      <c r="M1239" s="10" t="str" cm="1">
        <f t="array" ref="M1239">IFERROR(_xlfn.XLOOKUP(1,('env Parameter'!$A:$A=$A1239)*('env Parameter'!$B:$B=$K1239)*('env Parameter'!$C:$C=$L1239),'env Parameter'!D:D,""),"")</f>
        <v>안양천-13</v>
      </c>
      <c r="N1239" s="10" t="str" cm="1">
        <f t="array" ref="N1239">IFERROR(_xlfn.XLOOKUP(1,('env Parameter'!$A:$A=$A1239)*('env Parameter'!$B:$B=$K1239)*('env Parameter'!$C:$C=$L1239),'env Parameter'!I:I,""),"")</f>
        <v>YR</v>
      </c>
    </row>
    <row r="1240" spans="1:14">
      <c r="A1240">
        <f>eDNA!A1240</f>
        <v>20201024</v>
      </c>
      <c r="B1240" s="10" t="str" cm="1">
        <f t="array" ref="B1240">IFERROR(_xlfn.XLOOKUP(1,('env Parameter'!$A:$A=$A1240)*('env Parameter'!$B:$B=$K1240)*('env Parameter'!$C:$C=$L1240),'env Parameter'!H:H,""),"")</f>
        <v>생물상 조사</v>
      </c>
      <c r="C1240" s="10" cm="1">
        <f t="array" ref="C1240">IFERROR(_xlfn.XLOOKUP(1,('env Parameter'!$A:$A=$A1240)*('env Parameter'!$B:$B=$K1240)*('env Parameter'!$C:$C=$L1240),'env Parameter'!E:E,""),"")</f>
        <v>2.14</v>
      </c>
      <c r="D1240" s="10" cm="1">
        <f t="array" ref="D1240">IFERROR(_xlfn.XLOOKUP(1,('env Parameter'!$A:$A=$A1240)*('env Parameter'!$B:$B=$K1240)*('env Parameter'!$C:$C=$L1240),'env Parameter'!F:F,""),"")</f>
        <v>478</v>
      </c>
      <c r="E1240" s="10" cm="1">
        <f t="array" ref="E1240">IFERROR(_xlfn.XLOOKUP(1,('env Parameter'!$A:$A=$A1240)*('env Parameter'!$B:$B=$K1240)*('env Parameter'!$C:$C=$L1240),'env Parameter'!G:G,""),"")</f>
        <v>7.6</v>
      </c>
      <c r="F1240" t="str">
        <f>eDNA!F1240</f>
        <v>MiFish</v>
      </c>
      <c r="G1240" t="str">
        <f>eDNA!D1240</f>
        <v>Paramisgurnus dabryanus</v>
      </c>
      <c r="H1240" t="str">
        <f>_xlfn.XLOOKUP(G1240,'Common name (master file)'!$B:$B,'Common name (master file)'!$A:$A,"-------------")</f>
        <v>중국미꾸라지</v>
      </c>
      <c r="I1240">
        <f>eDNA!E1240</f>
        <v>456</v>
      </c>
      <c r="J1240" t="str">
        <f>_xlfn.XLOOKUP(G1240,'Common name (master file)'!$B:$B,'Common name (master file)'!$C:$C,"")</f>
        <v>어류</v>
      </c>
      <c r="K1240">
        <f>eDNA!B1240</f>
        <v>126.87358690000001</v>
      </c>
      <c r="L1240">
        <f>eDNA!C1240</f>
        <v>37.508467699999997</v>
      </c>
      <c r="M1240" s="10" t="str" cm="1">
        <f t="array" ref="M1240">IFERROR(_xlfn.XLOOKUP(1,('env Parameter'!$A:$A=$A1240)*('env Parameter'!$B:$B=$K1240)*('env Parameter'!$C:$C=$L1240),'env Parameter'!D:D,""),"")</f>
        <v>안양천-13</v>
      </c>
      <c r="N1240" s="10" t="str" cm="1">
        <f t="array" ref="N1240">IFERROR(_xlfn.XLOOKUP(1,('env Parameter'!$A:$A=$A1240)*('env Parameter'!$B:$B=$K1240)*('env Parameter'!$C:$C=$L1240),'env Parameter'!I:I,""),"")</f>
        <v>YR</v>
      </c>
    </row>
    <row r="1241" spans="1:14">
      <c r="A1241">
        <f>eDNA!A1241</f>
        <v>20201024</v>
      </c>
      <c r="B1241" s="10" t="str" cm="1">
        <f t="array" ref="B1241">IFERROR(_xlfn.XLOOKUP(1,('env Parameter'!$A:$A=$A1241)*('env Parameter'!$B:$B=$K1241)*('env Parameter'!$C:$C=$L1241),'env Parameter'!H:H,""),"")</f>
        <v>생물상 조사</v>
      </c>
      <c r="C1241" s="10" cm="1">
        <f t="array" ref="C1241">IFERROR(_xlfn.XLOOKUP(1,('env Parameter'!$A:$A=$A1241)*('env Parameter'!$B:$B=$K1241)*('env Parameter'!$C:$C=$L1241),'env Parameter'!E:E,""),"")</f>
        <v>2.14</v>
      </c>
      <c r="D1241" s="10" cm="1">
        <f t="array" ref="D1241">IFERROR(_xlfn.XLOOKUP(1,('env Parameter'!$A:$A=$A1241)*('env Parameter'!$B:$B=$K1241)*('env Parameter'!$C:$C=$L1241),'env Parameter'!F:F,""),"")</f>
        <v>478</v>
      </c>
      <c r="E1241" s="10" cm="1">
        <f t="array" ref="E1241">IFERROR(_xlfn.XLOOKUP(1,('env Parameter'!$A:$A=$A1241)*('env Parameter'!$B:$B=$K1241)*('env Parameter'!$C:$C=$L1241),'env Parameter'!G:G,""),"")</f>
        <v>7.6</v>
      </c>
      <c r="F1241" t="str">
        <f>eDNA!F1241</f>
        <v>MiFish</v>
      </c>
      <c r="G1241" t="str">
        <f>eDNA!D1241</f>
        <v>Acanthorhodeus chankaensis</v>
      </c>
      <c r="H1241" t="str">
        <f>_xlfn.XLOOKUP(G1241,'Common name (master file)'!$B:$B,'Common name (master file)'!$A:$A,"-------------")</f>
        <v>가시납지리</v>
      </c>
      <c r="I1241">
        <f>eDNA!E1241</f>
        <v>474</v>
      </c>
      <c r="J1241" t="str">
        <f>_xlfn.XLOOKUP(G1241,'Common name (master file)'!$B:$B,'Common name (master file)'!$C:$C,"")</f>
        <v>어류</v>
      </c>
      <c r="K1241">
        <f>eDNA!B1241</f>
        <v>126.87358690000001</v>
      </c>
      <c r="L1241">
        <f>eDNA!C1241</f>
        <v>37.508467699999997</v>
      </c>
      <c r="M1241" s="10" t="str" cm="1">
        <f t="array" ref="M1241">IFERROR(_xlfn.XLOOKUP(1,('env Parameter'!$A:$A=$A1241)*('env Parameter'!$B:$B=$K1241)*('env Parameter'!$C:$C=$L1241),'env Parameter'!D:D,""),"")</f>
        <v>안양천-13</v>
      </c>
      <c r="N1241" s="10" t="str" cm="1">
        <f t="array" ref="N1241">IFERROR(_xlfn.XLOOKUP(1,('env Parameter'!$A:$A=$A1241)*('env Parameter'!$B:$B=$K1241)*('env Parameter'!$C:$C=$L1241),'env Parameter'!I:I,""),"")</f>
        <v>YR</v>
      </c>
    </row>
    <row r="1242" spans="1:14">
      <c r="A1242">
        <f>eDNA!A1242</f>
        <v>20200916</v>
      </c>
      <c r="B1242" s="10" t="str" cm="1">
        <f t="array" ref="B1242">IFERROR(_xlfn.XLOOKUP(1,('env Parameter'!$A:$A=$A1242)*('env Parameter'!$B:$B=$K1242)*('env Parameter'!$C:$C=$L1242),'env Parameter'!H:H,""),"")</f>
        <v>생물상 조사</v>
      </c>
      <c r="C1242" s="10" cm="1">
        <f t="array" ref="C1242">IFERROR(_xlfn.XLOOKUP(1,('env Parameter'!$A:$A=$A1242)*('env Parameter'!$B:$B=$K1242)*('env Parameter'!$C:$C=$L1242),'env Parameter'!E:E,""),"")</f>
        <v>2.14</v>
      </c>
      <c r="D1242" s="10" cm="1">
        <f t="array" ref="D1242">IFERROR(_xlfn.XLOOKUP(1,('env Parameter'!$A:$A=$A1242)*('env Parameter'!$B:$B=$K1242)*('env Parameter'!$C:$C=$L1242),'env Parameter'!F:F,""),"")</f>
        <v>478</v>
      </c>
      <c r="E1242" s="10" cm="1">
        <f t="array" ref="E1242">IFERROR(_xlfn.XLOOKUP(1,('env Parameter'!$A:$A=$A1242)*('env Parameter'!$B:$B=$K1242)*('env Parameter'!$C:$C=$L1242),'env Parameter'!G:G,""),"")</f>
        <v>7.6</v>
      </c>
      <c r="F1242" t="str">
        <f>eDNA!F1242</f>
        <v>MiFish</v>
      </c>
      <c r="G1242" t="str">
        <f>eDNA!D1242</f>
        <v>Lefua costata</v>
      </c>
      <c r="H1242" t="str">
        <f>_xlfn.XLOOKUP(G1242,'Common name (master file)'!$B:$B,'Common name (master file)'!$A:$A,"-------------")</f>
        <v>쌀미꾸리</v>
      </c>
      <c r="I1242">
        <f>eDNA!E1242</f>
        <v>85</v>
      </c>
      <c r="J1242" t="str">
        <f>_xlfn.XLOOKUP(G1242,'Common name (master file)'!$B:$B,'Common name (master file)'!$C:$C,"")</f>
        <v>어류</v>
      </c>
      <c r="K1242">
        <f>eDNA!B1242</f>
        <v>126.9866722</v>
      </c>
      <c r="L1242">
        <f>eDNA!C1242</f>
        <v>37.398721700000003</v>
      </c>
      <c r="M1242" s="10" t="str" cm="1">
        <f t="array" ref="M1242">IFERROR(_xlfn.XLOOKUP(1,('env Parameter'!$A:$A=$A1242)*('env Parameter'!$B:$B=$K1242)*('env Parameter'!$C:$C=$L1242),'env Parameter'!D:D,""),"")</f>
        <v>안양천-30</v>
      </c>
      <c r="N1242" s="10" t="str" cm="1">
        <f t="array" ref="N1242">IFERROR(_xlfn.XLOOKUP(1,('env Parameter'!$A:$A=$A1242)*('env Parameter'!$B:$B=$K1242)*('env Parameter'!$C:$C=$L1242),'env Parameter'!I:I,""),"")</f>
        <v>YR</v>
      </c>
    </row>
    <row r="1243" spans="1:14">
      <c r="A1243">
        <f>eDNA!A1243</f>
        <v>20201024</v>
      </c>
      <c r="B1243" s="10" t="str" cm="1">
        <f t="array" ref="B1243">IFERROR(_xlfn.XLOOKUP(1,('env Parameter'!$A:$A=$A1243)*('env Parameter'!$B:$B=$K1243)*('env Parameter'!$C:$C=$L1243),'env Parameter'!H:H,""),"")</f>
        <v>생물상 조사</v>
      </c>
      <c r="C1243" s="10" cm="1">
        <f t="array" ref="C1243">IFERROR(_xlfn.XLOOKUP(1,('env Parameter'!$A:$A=$A1243)*('env Parameter'!$B:$B=$K1243)*('env Parameter'!$C:$C=$L1243),'env Parameter'!E:E,""),"")</f>
        <v>2.14</v>
      </c>
      <c r="D1243" s="10" cm="1">
        <f t="array" ref="D1243">IFERROR(_xlfn.XLOOKUP(1,('env Parameter'!$A:$A=$A1243)*('env Parameter'!$B:$B=$K1243)*('env Parameter'!$C:$C=$L1243),'env Parameter'!F:F,""),"")</f>
        <v>478</v>
      </c>
      <c r="E1243" s="10" cm="1">
        <f t="array" ref="E1243">IFERROR(_xlfn.XLOOKUP(1,('env Parameter'!$A:$A=$A1243)*('env Parameter'!$B:$B=$K1243)*('env Parameter'!$C:$C=$L1243),'env Parameter'!G:G,""),"")</f>
        <v>7.6</v>
      </c>
      <c r="F1243" t="str">
        <f>eDNA!F1243</f>
        <v>MiFish</v>
      </c>
      <c r="G1243" t="str">
        <f>eDNA!D1243</f>
        <v>Sus scrofa</v>
      </c>
      <c r="H1243" t="str">
        <f>_xlfn.XLOOKUP(G1243,'Common name (master file)'!$B:$B,'Common name (master file)'!$A:$A,"-------------")</f>
        <v>멧돼지</v>
      </c>
      <c r="I1243">
        <f>eDNA!E1243</f>
        <v>1577</v>
      </c>
      <c r="J1243" t="str">
        <f>_xlfn.XLOOKUP(G1243,'Common name (master file)'!$B:$B,'Common name (master file)'!$C:$C,"")</f>
        <v>포유류</v>
      </c>
      <c r="K1243">
        <f>eDNA!B1243</f>
        <v>126.87358690000001</v>
      </c>
      <c r="L1243">
        <f>eDNA!C1243</f>
        <v>37.508467699999997</v>
      </c>
      <c r="M1243" s="10" t="str" cm="1">
        <f t="array" ref="M1243">IFERROR(_xlfn.XLOOKUP(1,('env Parameter'!$A:$A=$A1243)*('env Parameter'!$B:$B=$K1243)*('env Parameter'!$C:$C=$L1243),'env Parameter'!D:D,""),"")</f>
        <v>안양천-13</v>
      </c>
      <c r="N1243" s="10" t="str" cm="1">
        <f t="array" ref="N1243">IFERROR(_xlfn.XLOOKUP(1,('env Parameter'!$A:$A=$A1243)*('env Parameter'!$B:$B=$K1243)*('env Parameter'!$C:$C=$L1243),'env Parameter'!I:I,""),"")</f>
        <v>YR</v>
      </c>
    </row>
    <row r="1244" spans="1:14">
      <c r="A1244">
        <f>eDNA!A1244</f>
        <v>20201024</v>
      </c>
      <c r="B1244" s="10" t="str" cm="1">
        <f t="array" ref="B1244">IFERROR(_xlfn.XLOOKUP(1,('env Parameter'!$A:$A=$A1244)*('env Parameter'!$B:$B=$K1244)*('env Parameter'!$C:$C=$L1244),'env Parameter'!H:H,""),"")</f>
        <v>생물상 조사</v>
      </c>
      <c r="C1244" s="10" cm="1">
        <f t="array" ref="C1244">IFERROR(_xlfn.XLOOKUP(1,('env Parameter'!$A:$A=$A1244)*('env Parameter'!$B:$B=$K1244)*('env Parameter'!$C:$C=$L1244),'env Parameter'!E:E,""),"")</f>
        <v>2.14</v>
      </c>
      <c r="D1244" s="10" cm="1">
        <f t="array" ref="D1244">IFERROR(_xlfn.XLOOKUP(1,('env Parameter'!$A:$A=$A1244)*('env Parameter'!$B:$B=$K1244)*('env Parameter'!$C:$C=$L1244),'env Parameter'!F:F,""),"")</f>
        <v>478</v>
      </c>
      <c r="E1244" s="10" cm="1">
        <f t="array" ref="E1244">IFERROR(_xlfn.XLOOKUP(1,('env Parameter'!$A:$A=$A1244)*('env Parameter'!$B:$B=$K1244)*('env Parameter'!$C:$C=$L1244),'env Parameter'!G:G,""),"")</f>
        <v>7.6</v>
      </c>
      <c r="F1244" t="str">
        <f>eDNA!F1244</f>
        <v>MiFish</v>
      </c>
      <c r="G1244" t="str">
        <f>eDNA!D1244</f>
        <v>Gymnogobius breunigii</v>
      </c>
      <c r="H1244" t="str">
        <f>_xlfn.XLOOKUP(G1244,'Common name (master file)'!$B:$B,'Common name (master file)'!$A:$A,"-------------")</f>
        <v>날망둑</v>
      </c>
      <c r="I1244">
        <f>eDNA!E1244</f>
        <v>688</v>
      </c>
      <c r="J1244" t="str">
        <f>_xlfn.XLOOKUP(G1244,'Common name (master file)'!$B:$B,'Common name (master file)'!$C:$C,"")</f>
        <v>어류</v>
      </c>
      <c r="K1244">
        <f>eDNA!B1244</f>
        <v>126.87358690000001</v>
      </c>
      <c r="L1244">
        <f>eDNA!C1244</f>
        <v>37.508467699999997</v>
      </c>
      <c r="M1244" s="10" t="str" cm="1">
        <f t="array" ref="M1244">IFERROR(_xlfn.XLOOKUP(1,('env Parameter'!$A:$A=$A1244)*('env Parameter'!$B:$B=$K1244)*('env Parameter'!$C:$C=$L1244),'env Parameter'!D:D,""),"")</f>
        <v>안양천-13</v>
      </c>
      <c r="N1244" s="10" t="str" cm="1">
        <f t="array" ref="N1244">IFERROR(_xlfn.XLOOKUP(1,('env Parameter'!$A:$A=$A1244)*('env Parameter'!$B:$B=$K1244)*('env Parameter'!$C:$C=$L1244),'env Parameter'!I:I,""),"")</f>
        <v>YR</v>
      </c>
    </row>
    <row r="1245" spans="1:14">
      <c r="A1245">
        <f>eDNA!A1245</f>
        <v>20201024</v>
      </c>
      <c r="B1245" s="10" t="str" cm="1">
        <f t="array" ref="B1245">IFERROR(_xlfn.XLOOKUP(1,('env Parameter'!$A:$A=$A1245)*('env Parameter'!$B:$B=$K1245)*('env Parameter'!$C:$C=$L1245),'env Parameter'!H:H,""),"")</f>
        <v>생물상 조사</v>
      </c>
      <c r="C1245" s="10" cm="1">
        <f t="array" ref="C1245">IFERROR(_xlfn.XLOOKUP(1,('env Parameter'!$A:$A=$A1245)*('env Parameter'!$B:$B=$K1245)*('env Parameter'!$C:$C=$L1245),'env Parameter'!E:E,""),"")</f>
        <v>2.14</v>
      </c>
      <c r="D1245" s="10" cm="1">
        <f t="array" ref="D1245">IFERROR(_xlfn.XLOOKUP(1,('env Parameter'!$A:$A=$A1245)*('env Parameter'!$B:$B=$K1245)*('env Parameter'!$C:$C=$L1245),'env Parameter'!F:F,""),"")</f>
        <v>478</v>
      </c>
      <c r="E1245" s="10" cm="1">
        <f t="array" ref="E1245">IFERROR(_xlfn.XLOOKUP(1,('env Parameter'!$A:$A=$A1245)*('env Parameter'!$B:$B=$K1245)*('env Parameter'!$C:$C=$L1245),'env Parameter'!G:G,""),"")</f>
        <v>7.6</v>
      </c>
      <c r="F1245" t="str">
        <f>eDNA!F1245</f>
        <v>MiFish</v>
      </c>
      <c r="G1245" t="str">
        <f>eDNA!D1245</f>
        <v>Cyprinus carpio</v>
      </c>
      <c r="H1245" t="str">
        <f>_xlfn.XLOOKUP(G1245,'Common name (master file)'!$B:$B,'Common name (master file)'!$A:$A,"-------------")</f>
        <v>잉어</v>
      </c>
      <c r="I1245">
        <f>eDNA!E1245</f>
        <v>846</v>
      </c>
      <c r="J1245" t="str">
        <f>_xlfn.XLOOKUP(G1245,'Common name (master file)'!$B:$B,'Common name (master file)'!$C:$C,"")</f>
        <v>어류</v>
      </c>
      <c r="K1245">
        <f>eDNA!B1245</f>
        <v>126.87358690000001</v>
      </c>
      <c r="L1245">
        <f>eDNA!C1245</f>
        <v>37.508467699999997</v>
      </c>
      <c r="M1245" s="10" t="str" cm="1">
        <f t="array" ref="M1245">IFERROR(_xlfn.XLOOKUP(1,('env Parameter'!$A:$A=$A1245)*('env Parameter'!$B:$B=$K1245)*('env Parameter'!$C:$C=$L1245),'env Parameter'!D:D,""),"")</f>
        <v>안양천-13</v>
      </c>
      <c r="N1245" s="10" t="str" cm="1">
        <f t="array" ref="N1245">IFERROR(_xlfn.XLOOKUP(1,('env Parameter'!$A:$A=$A1245)*('env Parameter'!$B:$B=$K1245)*('env Parameter'!$C:$C=$L1245),'env Parameter'!I:I,""),"")</f>
        <v>YR</v>
      </c>
    </row>
    <row r="1246" spans="1:14">
      <c r="A1246">
        <f>eDNA!A1246</f>
        <v>20201024</v>
      </c>
      <c r="B1246" s="10" t="str" cm="1">
        <f t="array" ref="B1246">IFERROR(_xlfn.XLOOKUP(1,('env Parameter'!$A:$A=$A1246)*('env Parameter'!$B:$B=$K1246)*('env Parameter'!$C:$C=$L1246),'env Parameter'!H:H,""),"")</f>
        <v>생물상 조사</v>
      </c>
      <c r="C1246" s="10" cm="1">
        <f t="array" ref="C1246">IFERROR(_xlfn.XLOOKUP(1,('env Parameter'!$A:$A=$A1246)*('env Parameter'!$B:$B=$K1246)*('env Parameter'!$C:$C=$L1246),'env Parameter'!E:E,""),"")</f>
        <v>2.14</v>
      </c>
      <c r="D1246" s="10" cm="1">
        <f t="array" ref="D1246">IFERROR(_xlfn.XLOOKUP(1,('env Parameter'!$A:$A=$A1246)*('env Parameter'!$B:$B=$K1246)*('env Parameter'!$C:$C=$L1246),'env Parameter'!F:F,""),"")</f>
        <v>478</v>
      </c>
      <c r="E1246" s="10" cm="1">
        <f t="array" ref="E1246">IFERROR(_xlfn.XLOOKUP(1,('env Parameter'!$A:$A=$A1246)*('env Parameter'!$B:$B=$K1246)*('env Parameter'!$C:$C=$L1246),'env Parameter'!G:G,""),"")</f>
        <v>7.6</v>
      </c>
      <c r="F1246" t="str">
        <f>eDNA!F1246</f>
        <v>MiFish</v>
      </c>
      <c r="G1246" t="str">
        <f>eDNA!D1246</f>
        <v>Gnathopogon strigatus</v>
      </c>
      <c r="H1246" t="str">
        <f>_xlfn.XLOOKUP(G1246,'Common name (master file)'!$B:$B,'Common name (master file)'!$A:$A,"-------------")</f>
        <v>줄몰개</v>
      </c>
      <c r="I1246">
        <f>eDNA!E1246</f>
        <v>834</v>
      </c>
      <c r="J1246" t="str">
        <f>_xlfn.XLOOKUP(G1246,'Common name (master file)'!$B:$B,'Common name (master file)'!$C:$C,"")</f>
        <v>어류</v>
      </c>
      <c r="K1246">
        <f>eDNA!B1246</f>
        <v>126.87358690000001</v>
      </c>
      <c r="L1246">
        <f>eDNA!C1246</f>
        <v>37.508467699999997</v>
      </c>
      <c r="M1246" s="10" t="str" cm="1">
        <f t="array" ref="M1246">IFERROR(_xlfn.XLOOKUP(1,('env Parameter'!$A:$A=$A1246)*('env Parameter'!$B:$B=$K1246)*('env Parameter'!$C:$C=$L1246),'env Parameter'!D:D,""),"")</f>
        <v>안양천-13</v>
      </c>
      <c r="N1246" s="10" t="str" cm="1">
        <f t="array" ref="N1246">IFERROR(_xlfn.XLOOKUP(1,('env Parameter'!$A:$A=$A1246)*('env Parameter'!$B:$B=$K1246)*('env Parameter'!$C:$C=$L1246),'env Parameter'!I:I,""),"")</f>
        <v>YR</v>
      </c>
    </row>
    <row r="1247" spans="1:14">
      <c r="A1247">
        <f>eDNA!A1247</f>
        <v>20201024</v>
      </c>
      <c r="B1247" s="10" t="str" cm="1">
        <f t="array" ref="B1247">IFERROR(_xlfn.XLOOKUP(1,('env Parameter'!$A:$A=$A1247)*('env Parameter'!$B:$B=$K1247)*('env Parameter'!$C:$C=$L1247),'env Parameter'!H:H,""),"")</f>
        <v>생물상 조사</v>
      </c>
      <c r="C1247" s="10" cm="1">
        <f t="array" ref="C1247">IFERROR(_xlfn.XLOOKUP(1,('env Parameter'!$A:$A=$A1247)*('env Parameter'!$B:$B=$K1247)*('env Parameter'!$C:$C=$L1247),'env Parameter'!E:E,""),"")</f>
        <v>2.14</v>
      </c>
      <c r="D1247" s="10" cm="1">
        <f t="array" ref="D1247">IFERROR(_xlfn.XLOOKUP(1,('env Parameter'!$A:$A=$A1247)*('env Parameter'!$B:$B=$K1247)*('env Parameter'!$C:$C=$L1247),'env Parameter'!F:F,""),"")</f>
        <v>478</v>
      </c>
      <c r="E1247" s="10" cm="1">
        <f t="array" ref="E1247">IFERROR(_xlfn.XLOOKUP(1,('env Parameter'!$A:$A=$A1247)*('env Parameter'!$B:$B=$K1247)*('env Parameter'!$C:$C=$L1247),'env Parameter'!G:G,""),"")</f>
        <v>7.6</v>
      </c>
      <c r="F1247" t="str">
        <f>eDNA!F1247</f>
        <v>MiFish</v>
      </c>
      <c r="G1247" t="str">
        <f>eDNA!D1247</f>
        <v>Carassius sp.</v>
      </c>
      <c r="H1247" t="str">
        <f>_xlfn.XLOOKUP(G1247,'Common name (master file)'!$B:$B,'Common name (master file)'!$A:$A,"-------------")</f>
        <v>붕어 속</v>
      </c>
      <c r="I1247">
        <f>eDNA!E1247</f>
        <v>1059</v>
      </c>
      <c r="J1247" t="str">
        <f>_xlfn.XLOOKUP(G1247,'Common name (master file)'!$B:$B,'Common name (master file)'!$C:$C,"")</f>
        <v>어류</v>
      </c>
      <c r="K1247">
        <f>eDNA!B1247</f>
        <v>126.87358690000001</v>
      </c>
      <c r="L1247">
        <f>eDNA!C1247</f>
        <v>37.508467699999997</v>
      </c>
      <c r="M1247" s="10" t="str" cm="1">
        <f t="array" ref="M1247">IFERROR(_xlfn.XLOOKUP(1,('env Parameter'!$A:$A=$A1247)*('env Parameter'!$B:$B=$K1247)*('env Parameter'!$C:$C=$L1247),'env Parameter'!D:D,""),"")</f>
        <v>안양천-13</v>
      </c>
      <c r="N1247" s="10" t="str" cm="1">
        <f t="array" ref="N1247">IFERROR(_xlfn.XLOOKUP(1,('env Parameter'!$A:$A=$A1247)*('env Parameter'!$B:$B=$K1247)*('env Parameter'!$C:$C=$L1247),'env Parameter'!I:I,""),"")</f>
        <v>YR</v>
      </c>
    </row>
    <row r="1248" spans="1:14">
      <c r="A1248">
        <f>eDNA!A1248</f>
        <v>20201024</v>
      </c>
      <c r="B1248" s="10" t="str" cm="1">
        <f t="array" ref="B1248">IFERROR(_xlfn.XLOOKUP(1,('env Parameter'!$A:$A=$A1248)*('env Parameter'!$B:$B=$K1248)*('env Parameter'!$C:$C=$L1248),'env Parameter'!H:H,""),"")</f>
        <v>생물상 조사</v>
      </c>
      <c r="C1248" s="10" cm="1">
        <f t="array" ref="C1248">IFERROR(_xlfn.XLOOKUP(1,('env Parameter'!$A:$A=$A1248)*('env Parameter'!$B:$B=$K1248)*('env Parameter'!$C:$C=$L1248),'env Parameter'!E:E,""),"")</f>
        <v>2.14</v>
      </c>
      <c r="D1248" s="10" cm="1">
        <f t="array" ref="D1248">IFERROR(_xlfn.XLOOKUP(1,('env Parameter'!$A:$A=$A1248)*('env Parameter'!$B:$B=$K1248)*('env Parameter'!$C:$C=$L1248),'env Parameter'!F:F,""),"")</f>
        <v>478</v>
      </c>
      <c r="E1248" s="10" cm="1">
        <f t="array" ref="E1248">IFERROR(_xlfn.XLOOKUP(1,('env Parameter'!$A:$A=$A1248)*('env Parameter'!$B:$B=$K1248)*('env Parameter'!$C:$C=$L1248),'env Parameter'!G:G,""),"")</f>
        <v>7.6</v>
      </c>
      <c r="F1248" t="str">
        <f>eDNA!F1248</f>
        <v>MiFish</v>
      </c>
      <c r="G1248" t="str">
        <f>eDNA!D1248</f>
        <v>Hemibarbus sp.</v>
      </c>
      <c r="H1248" t="str">
        <f>_xlfn.XLOOKUP(G1248,'Common name (master file)'!$B:$B,'Common name (master file)'!$A:$A,"-------------")</f>
        <v>누치 속</v>
      </c>
      <c r="I1248">
        <f>eDNA!E1248</f>
        <v>1457</v>
      </c>
      <c r="J1248" t="str">
        <f>_xlfn.XLOOKUP(G1248,'Common name (master file)'!$B:$B,'Common name (master file)'!$C:$C,"")</f>
        <v>어류</v>
      </c>
      <c r="K1248">
        <f>eDNA!B1248</f>
        <v>126.87358690000001</v>
      </c>
      <c r="L1248">
        <f>eDNA!C1248</f>
        <v>37.508467699999997</v>
      </c>
      <c r="M1248" s="10" t="str" cm="1">
        <f t="array" ref="M1248">IFERROR(_xlfn.XLOOKUP(1,('env Parameter'!$A:$A=$A1248)*('env Parameter'!$B:$B=$K1248)*('env Parameter'!$C:$C=$L1248),'env Parameter'!D:D,""),"")</f>
        <v>안양천-13</v>
      </c>
      <c r="N1248" s="10" t="str" cm="1">
        <f t="array" ref="N1248">IFERROR(_xlfn.XLOOKUP(1,('env Parameter'!$A:$A=$A1248)*('env Parameter'!$B:$B=$K1248)*('env Parameter'!$C:$C=$L1248),'env Parameter'!I:I,""),"")</f>
        <v>YR</v>
      </c>
    </row>
    <row r="1249" spans="1:14">
      <c r="A1249">
        <f>eDNA!A1249</f>
        <v>20201024</v>
      </c>
      <c r="B1249" s="10" t="str" cm="1">
        <f t="array" ref="B1249">IFERROR(_xlfn.XLOOKUP(1,('env Parameter'!$A:$A=$A1249)*('env Parameter'!$B:$B=$K1249)*('env Parameter'!$C:$C=$L1249),'env Parameter'!H:H,""),"")</f>
        <v>생물상 조사</v>
      </c>
      <c r="C1249" s="10" cm="1">
        <f t="array" ref="C1249">IFERROR(_xlfn.XLOOKUP(1,('env Parameter'!$A:$A=$A1249)*('env Parameter'!$B:$B=$K1249)*('env Parameter'!$C:$C=$L1249),'env Parameter'!E:E,""),"")</f>
        <v>2.14</v>
      </c>
      <c r="D1249" s="10" cm="1">
        <f t="array" ref="D1249">IFERROR(_xlfn.XLOOKUP(1,('env Parameter'!$A:$A=$A1249)*('env Parameter'!$B:$B=$K1249)*('env Parameter'!$C:$C=$L1249),'env Parameter'!F:F,""),"")</f>
        <v>478</v>
      </c>
      <c r="E1249" s="10" cm="1">
        <f t="array" ref="E1249">IFERROR(_xlfn.XLOOKUP(1,('env Parameter'!$A:$A=$A1249)*('env Parameter'!$B:$B=$K1249)*('env Parameter'!$C:$C=$L1249),'env Parameter'!G:G,""),"")</f>
        <v>7.6</v>
      </c>
      <c r="F1249" t="str">
        <f>eDNA!F1249</f>
        <v>MiFish</v>
      </c>
      <c r="G1249" t="str">
        <f>eDNA!D1249</f>
        <v>Acheilognathus macropterus</v>
      </c>
      <c r="H1249" t="str">
        <f>_xlfn.XLOOKUP(G1249,'Common name (master file)'!$B:$B,'Common name (master file)'!$A:$A,"-------------")</f>
        <v>큰납지리</v>
      </c>
      <c r="I1249">
        <f>eDNA!E1249</f>
        <v>1680</v>
      </c>
      <c r="J1249" t="str">
        <f>_xlfn.XLOOKUP(G1249,'Common name (master file)'!$B:$B,'Common name (master file)'!$C:$C,"")</f>
        <v>어류</v>
      </c>
      <c r="K1249">
        <f>eDNA!B1249</f>
        <v>126.87358690000001</v>
      </c>
      <c r="L1249">
        <f>eDNA!C1249</f>
        <v>37.508467699999997</v>
      </c>
      <c r="M1249" s="10" t="str" cm="1">
        <f t="array" ref="M1249">IFERROR(_xlfn.XLOOKUP(1,('env Parameter'!$A:$A=$A1249)*('env Parameter'!$B:$B=$K1249)*('env Parameter'!$C:$C=$L1249),'env Parameter'!D:D,""),"")</f>
        <v>안양천-13</v>
      </c>
      <c r="N1249" s="10" t="str" cm="1">
        <f t="array" ref="N1249">IFERROR(_xlfn.XLOOKUP(1,('env Parameter'!$A:$A=$A1249)*('env Parameter'!$B:$B=$K1249)*('env Parameter'!$C:$C=$L1249),'env Parameter'!I:I,""),"")</f>
        <v>YR</v>
      </c>
    </row>
    <row r="1250" spans="1:14">
      <c r="A1250">
        <f>eDNA!A1250</f>
        <v>20201024</v>
      </c>
      <c r="B1250" s="10" t="str" cm="1">
        <f t="array" ref="B1250">IFERROR(_xlfn.XLOOKUP(1,('env Parameter'!$A:$A=$A1250)*('env Parameter'!$B:$B=$K1250)*('env Parameter'!$C:$C=$L1250),'env Parameter'!H:H,""),"")</f>
        <v>생물상 조사</v>
      </c>
      <c r="C1250" s="10" cm="1">
        <f t="array" ref="C1250">IFERROR(_xlfn.XLOOKUP(1,('env Parameter'!$A:$A=$A1250)*('env Parameter'!$B:$B=$K1250)*('env Parameter'!$C:$C=$L1250),'env Parameter'!E:E,""),"")</f>
        <v>2.14</v>
      </c>
      <c r="D1250" s="10" cm="1">
        <f t="array" ref="D1250">IFERROR(_xlfn.XLOOKUP(1,('env Parameter'!$A:$A=$A1250)*('env Parameter'!$B:$B=$K1250)*('env Parameter'!$C:$C=$L1250),'env Parameter'!F:F,""),"")</f>
        <v>478</v>
      </c>
      <c r="E1250" s="10" cm="1">
        <f t="array" ref="E1250">IFERROR(_xlfn.XLOOKUP(1,('env Parameter'!$A:$A=$A1250)*('env Parameter'!$B:$B=$K1250)*('env Parameter'!$C:$C=$L1250),'env Parameter'!G:G,""),"")</f>
        <v>7.6</v>
      </c>
      <c r="F1250" t="str">
        <f>eDNA!F1250</f>
        <v>MiFish</v>
      </c>
      <c r="G1250" t="str">
        <f>eDNA!D1250</f>
        <v>Silurus soldatovi</v>
      </c>
      <c r="H1250" t="str">
        <f>_xlfn.XLOOKUP(G1250,'Common name (master file)'!$B:$B,'Common name (master file)'!$A:$A,"-------------")</f>
        <v>솔다토비 메기</v>
      </c>
      <c r="I1250">
        <f>eDNA!E1250</f>
        <v>1658</v>
      </c>
      <c r="J1250" t="str">
        <f>_xlfn.XLOOKUP(G1250,'Common name (master file)'!$B:$B,'Common name (master file)'!$C:$C,"")</f>
        <v>어류</v>
      </c>
      <c r="K1250">
        <f>eDNA!B1250</f>
        <v>126.87358690000001</v>
      </c>
      <c r="L1250">
        <f>eDNA!C1250</f>
        <v>37.508467699999997</v>
      </c>
      <c r="M1250" s="10" t="str" cm="1">
        <f t="array" ref="M1250">IFERROR(_xlfn.XLOOKUP(1,('env Parameter'!$A:$A=$A1250)*('env Parameter'!$B:$B=$K1250)*('env Parameter'!$C:$C=$L1250),'env Parameter'!D:D,""),"")</f>
        <v>안양천-13</v>
      </c>
      <c r="N1250" s="10" t="str" cm="1">
        <f t="array" ref="N1250">IFERROR(_xlfn.XLOOKUP(1,('env Parameter'!$A:$A=$A1250)*('env Parameter'!$B:$B=$K1250)*('env Parameter'!$C:$C=$L1250),'env Parameter'!I:I,""),"")</f>
        <v>YR</v>
      </c>
    </row>
    <row r="1251" spans="1:14">
      <c r="A1251">
        <f>eDNA!A1251</f>
        <v>20201024</v>
      </c>
      <c r="B1251" s="10" t="str" cm="1">
        <f t="array" ref="B1251">IFERROR(_xlfn.XLOOKUP(1,('env Parameter'!$A:$A=$A1251)*('env Parameter'!$B:$B=$K1251)*('env Parameter'!$C:$C=$L1251),'env Parameter'!H:H,""),"")</f>
        <v>생물상 조사</v>
      </c>
      <c r="C1251" s="10" cm="1">
        <f t="array" ref="C1251">IFERROR(_xlfn.XLOOKUP(1,('env Parameter'!$A:$A=$A1251)*('env Parameter'!$B:$B=$K1251)*('env Parameter'!$C:$C=$L1251),'env Parameter'!E:E,""),"")</f>
        <v>2.14</v>
      </c>
      <c r="D1251" s="10" cm="1">
        <f t="array" ref="D1251">IFERROR(_xlfn.XLOOKUP(1,('env Parameter'!$A:$A=$A1251)*('env Parameter'!$B:$B=$K1251)*('env Parameter'!$C:$C=$L1251),'env Parameter'!F:F,""),"")</f>
        <v>478</v>
      </c>
      <c r="E1251" s="10" cm="1">
        <f t="array" ref="E1251">IFERROR(_xlfn.XLOOKUP(1,('env Parameter'!$A:$A=$A1251)*('env Parameter'!$B:$B=$K1251)*('env Parameter'!$C:$C=$L1251),'env Parameter'!G:G,""),"")</f>
        <v>7.6</v>
      </c>
      <c r="F1251" t="str">
        <f>eDNA!F1251</f>
        <v>MiFish</v>
      </c>
      <c r="G1251" t="str">
        <f>eDNA!D1251</f>
        <v>Odontobutis interrupta</v>
      </c>
      <c r="H1251" t="str">
        <f>_xlfn.XLOOKUP(G1251,'Common name (master file)'!$B:$B,'Common name (master file)'!$A:$A,"-------------")</f>
        <v>얼록동사리</v>
      </c>
      <c r="I1251">
        <f>eDNA!E1251</f>
        <v>3136</v>
      </c>
      <c r="J1251" t="str">
        <f>_xlfn.XLOOKUP(G1251,'Common name (master file)'!$B:$B,'Common name (master file)'!$C:$C,"")</f>
        <v>어류</v>
      </c>
      <c r="K1251">
        <f>eDNA!B1251</f>
        <v>126.87358690000001</v>
      </c>
      <c r="L1251">
        <f>eDNA!C1251</f>
        <v>37.508467699999997</v>
      </c>
      <c r="M1251" s="10" t="str" cm="1">
        <f t="array" ref="M1251">IFERROR(_xlfn.XLOOKUP(1,('env Parameter'!$A:$A=$A1251)*('env Parameter'!$B:$B=$K1251)*('env Parameter'!$C:$C=$L1251),'env Parameter'!D:D,""),"")</f>
        <v>안양천-13</v>
      </c>
      <c r="N1251" s="10" t="str" cm="1">
        <f t="array" ref="N1251">IFERROR(_xlfn.XLOOKUP(1,('env Parameter'!$A:$A=$A1251)*('env Parameter'!$B:$B=$K1251)*('env Parameter'!$C:$C=$L1251),'env Parameter'!I:I,""),"")</f>
        <v>YR</v>
      </c>
    </row>
    <row r="1252" spans="1:14">
      <c r="A1252">
        <f>eDNA!A1252</f>
        <v>20201024</v>
      </c>
      <c r="B1252" s="10" t="str" cm="1">
        <f t="array" ref="B1252">IFERROR(_xlfn.XLOOKUP(1,('env Parameter'!$A:$A=$A1252)*('env Parameter'!$B:$B=$K1252)*('env Parameter'!$C:$C=$L1252),'env Parameter'!H:H,""),"")</f>
        <v>생물상 조사</v>
      </c>
      <c r="C1252" s="10" cm="1">
        <f t="array" ref="C1252">IFERROR(_xlfn.XLOOKUP(1,('env Parameter'!$A:$A=$A1252)*('env Parameter'!$B:$B=$K1252)*('env Parameter'!$C:$C=$L1252),'env Parameter'!E:E,""),"")</f>
        <v>2.14</v>
      </c>
      <c r="D1252" s="10" cm="1">
        <f t="array" ref="D1252">IFERROR(_xlfn.XLOOKUP(1,('env Parameter'!$A:$A=$A1252)*('env Parameter'!$B:$B=$K1252)*('env Parameter'!$C:$C=$L1252),'env Parameter'!F:F,""),"")</f>
        <v>478</v>
      </c>
      <c r="E1252" s="10" cm="1">
        <f t="array" ref="E1252">IFERROR(_xlfn.XLOOKUP(1,('env Parameter'!$A:$A=$A1252)*('env Parameter'!$B:$B=$K1252)*('env Parameter'!$C:$C=$L1252),'env Parameter'!G:G,""),"")</f>
        <v>7.6</v>
      </c>
      <c r="F1252" t="str">
        <f>eDNA!F1252</f>
        <v>MiFish</v>
      </c>
      <c r="G1252" t="str">
        <f>eDNA!D1252</f>
        <v>Channa argus</v>
      </c>
      <c r="H1252" t="str">
        <f>_xlfn.XLOOKUP(G1252,'Common name (master file)'!$B:$B,'Common name (master file)'!$A:$A,"-------------")</f>
        <v>가물치</v>
      </c>
      <c r="I1252">
        <f>eDNA!E1252</f>
        <v>7489</v>
      </c>
      <c r="J1252" t="str">
        <f>_xlfn.XLOOKUP(G1252,'Common name (master file)'!$B:$B,'Common name (master file)'!$C:$C,"")</f>
        <v>어류</v>
      </c>
      <c r="K1252">
        <f>eDNA!B1252</f>
        <v>126.87358690000001</v>
      </c>
      <c r="L1252">
        <f>eDNA!C1252</f>
        <v>37.508467699999997</v>
      </c>
      <c r="M1252" s="10" t="str" cm="1">
        <f t="array" ref="M1252">IFERROR(_xlfn.XLOOKUP(1,('env Parameter'!$A:$A=$A1252)*('env Parameter'!$B:$B=$K1252)*('env Parameter'!$C:$C=$L1252),'env Parameter'!D:D,""),"")</f>
        <v>안양천-13</v>
      </c>
      <c r="N1252" s="10" t="str" cm="1">
        <f t="array" ref="N1252">IFERROR(_xlfn.XLOOKUP(1,('env Parameter'!$A:$A=$A1252)*('env Parameter'!$B:$B=$K1252)*('env Parameter'!$C:$C=$L1252),'env Parameter'!I:I,""),"")</f>
        <v>YR</v>
      </c>
    </row>
    <row r="1253" spans="1:14">
      <c r="A1253">
        <f>eDNA!A1253</f>
        <v>20201024</v>
      </c>
      <c r="B1253" s="10" t="str" cm="1">
        <f t="array" ref="B1253">IFERROR(_xlfn.XLOOKUP(1,('env Parameter'!$A:$A=$A1253)*('env Parameter'!$B:$B=$K1253)*('env Parameter'!$C:$C=$L1253),'env Parameter'!H:H,""),"")</f>
        <v>생물상 조사</v>
      </c>
      <c r="C1253" s="10" cm="1">
        <f t="array" ref="C1253">IFERROR(_xlfn.XLOOKUP(1,('env Parameter'!$A:$A=$A1253)*('env Parameter'!$B:$B=$K1253)*('env Parameter'!$C:$C=$L1253),'env Parameter'!E:E,""),"")</f>
        <v>2.14</v>
      </c>
      <c r="D1253" s="10" cm="1">
        <f t="array" ref="D1253">IFERROR(_xlfn.XLOOKUP(1,('env Parameter'!$A:$A=$A1253)*('env Parameter'!$B:$B=$K1253)*('env Parameter'!$C:$C=$L1253),'env Parameter'!F:F,""),"")</f>
        <v>478</v>
      </c>
      <c r="E1253" s="10" cm="1">
        <f t="array" ref="E1253">IFERROR(_xlfn.XLOOKUP(1,('env Parameter'!$A:$A=$A1253)*('env Parameter'!$B:$B=$K1253)*('env Parameter'!$C:$C=$L1253),'env Parameter'!G:G,""),"")</f>
        <v>7.6</v>
      </c>
      <c r="F1253" t="str">
        <f>eDNA!F1253</f>
        <v>MiFish</v>
      </c>
      <c r="G1253" t="str">
        <f>eDNA!D1253</f>
        <v>Lepomis macrochirus</v>
      </c>
      <c r="H1253" t="str">
        <f>_xlfn.XLOOKUP(G1253,'Common name (master file)'!$B:$B,'Common name (master file)'!$A:$A,"-------------")</f>
        <v>블루길</v>
      </c>
      <c r="I1253">
        <f>eDNA!E1253</f>
        <v>4660</v>
      </c>
      <c r="J1253" t="str">
        <f>_xlfn.XLOOKUP(G1253,'Common name (master file)'!$B:$B,'Common name (master file)'!$C:$C,"")</f>
        <v>어류</v>
      </c>
      <c r="K1253">
        <f>eDNA!B1253</f>
        <v>126.87358690000001</v>
      </c>
      <c r="L1253">
        <f>eDNA!C1253</f>
        <v>37.508467699999997</v>
      </c>
      <c r="M1253" s="10" t="str" cm="1">
        <f t="array" ref="M1253">IFERROR(_xlfn.XLOOKUP(1,('env Parameter'!$A:$A=$A1253)*('env Parameter'!$B:$B=$K1253)*('env Parameter'!$C:$C=$L1253),'env Parameter'!D:D,""),"")</f>
        <v>안양천-13</v>
      </c>
      <c r="N1253" s="10" t="str" cm="1">
        <f t="array" ref="N1253">IFERROR(_xlfn.XLOOKUP(1,('env Parameter'!$A:$A=$A1253)*('env Parameter'!$B:$B=$K1253)*('env Parameter'!$C:$C=$L1253),'env Parameter'!I:I,""),"")</f>
        <v>YR</v>
      </c>
    </row>
    <row r="1254" spans="1:14">
      <c r="A1254">
        <f>eDNA!A1254</f>
        <v>20201024</v>
      </c>
      <c r="B1254" s="10" t="str" cm="1">
        <f t="array" ref="B1254">IFERROR(_xlfn.XLOOKUP(1,('env Parameter'!$A:$A=$A1254)*('env Parameter'!$B:$B=$K1254)*('env Parameter'!$C:$C=$L1254),'env Parameter'!H:H,""),"")</f>
        <v>생물상 조사</v>
      </c>
      <c r="C1254" s="10" cm="1">
        <f t="array" ref="C1254">IFERROR(_xlfn.XLOOKUP(1,('env Parameter'!$A:$A=$A1254)*('env Parameter'!$B:$B=$K1254)*('env Parameter'!$C:$C=$L1254),'env Parameter'!E:E,""),"")</f>
        <v>2.14</v>
      </c>
      <c r="D1254" s="10" cm="1">
        <f t="array" ref="D1254">IFERROR(_xlfn.XLOOKUP(1,('env Parameter'!$A:$A=$A1254)*('env Parameter'!$B:$B=$K1254)*('env Parameter'!$C:$C=$L1254),'env Parameter'!F:F,""),"")</f>
        <v>478</v>
      </c>
      <c r="E1254" s="10" cm="1">
        <f t="array" ref="E1254">IFERROR(_xlfn.XLOOKUP(1,('env Parameter'!$A:$A=$A1254)*('env Parameter'!$B:$B=$K1254)*('env Parameter'!$C:$C=$L1254),'env Parameter'!G:G,""),"")</f>
        <v>7.6</v>
      </c>
      <c r="F1254" t="str">
        <f>eDNA!F1254</f>
        <v>MiFish</v>
      </c>
      <c r="G1254" t="str">
        <f>eDNA!D1254</f>
        <v>Zacco platypus</v>
      </c>
      <c r="H1254" t="str">
        <f>_xlfn.XLOOKUP(G1254,'Common name (master file)'!$B:$B,'Common name (master file)'!$A:$A,"-------------")</f>
        <v>피라미</v>
      </c>
      <c r="I1254">
        <f>eDNA!E1254</f>
        <v>10031</v>
      </c>
      <c r="J1254" t="str">
        <f>_xlfn.XLOOKUP(G1254,'Common name (master file)'!$B:$B,'Common name (master file)'!$C:$C,"")</f>
        <v>어류</v>
      </c>
      <c r="K1254">
        <f>eDNA!B1254</f>
        <v>126.87358690000001</v>
      </c>
      <c r="L1254">
        <f>eDNA!C1254</f>
        <v>37.508467699999997</v>
      </c>
      <c r="M1254" s="10" t="str" cm="1">
        <f t="array" ref="M1254">IFERROR(_xlfn.XLOOKUP(1,('env Parameter'!$A:$A=$A1254)*('env Parameter'!$B:$B=$K1254)*('env Parameter'!$C:$C=$L1254),'env Parameter'!D:D,""),"")</f>
        <v>안양천-13</v>
      </c>
      <c r="N1254" s="10" t="str" cm="1">
        <f t="array" ref="N1254">IFERROR(_xlfn.XLOOKUP(1,('env Parameter'!$A:$A=$A1254)*('env Parameter'!$B:$B=$K1254)*('env Parameter'!$C:$C=$L1254),'env Parameter'!I:I,""),"")</f>
        <v>YR</v>
      </c>
    </row>
    <row r="1255" spans="1:14">
      <c r="A1255">
        <f>eDNA!A1255</f>
        <v>20201024</v>
      </c>
      <c r="B1255" s="10" t="str" cm="1">
        <f t="array" ref="B1255">IFERROR(_xlfn.XLOOKUP(1,('env Parameter'!$A:$A=$A1255)*('env Parameter'!$B:$B=$K1255)*('env Parameter'!$C:$C=$L1255),'env Parameter'!H:H,""),"")</f>
        <v>생물상 조사</v>
      </c>
      <c r="C1255" s="10" cm="1">
        <f t="array" ref="C1255">IFERROR(_xlfn.XLOOKUP(1,('env Parameter'!$A:$A=$A1255)*('env Parameter'!$B:$B=$K1255)*('env Parameter'!$C:$C=$L1255),'env Parameter'!E:E,""),"")</f>
        <v>2.14</v>
      </c>
      <c r="D1255" s="10" cm="1">
        <f t="array" ref="D1255">IFERROR(_xlfn.XLOOKUP(1,('env Parameter'!$A:$A=$A1255)*('env Parameter'!$B:$B=$K1255)*('env Parameter'!$C:$C=$L1255),'env Parameter'!F:F,""),"")</f>
        <v>478</v>
      </c>
      <c r="E1255" s="10" cm="1">
        <f t="array" ref="E1255">IFERROR(_xlfn.XLOOKUP(1,('env Parameter'!$A:$A=$A1255)*('env Parameter'!$B:$B=$K1255)*('env Parameter'!$C:$C=$L1255),'env Parameter'!G:G,""),"")</f>
        <v>7.6</v>
      </c>
      <c r="F1255" t="str">
        <f>eDNA!F1255</f>
        <v>MiFish</v>
      </c>
      <c r="G1255" t="str">
        <f>eDNA!D1255</f>
        <v>Planiliza haematocheila</v>
      </c>
      <c r="H1255" t="str">
        <f>_xlfn.XLOOKUP(G1255,'Common name (master file)'!$B:$B,'Common name (master file)'!$A:$A,"-------------")</f>
        <v>가숭어</v>
      </c>
      <c r="I1255">
        <f>eDNA!E1255</f>
        <v>20806</v>
      </c>
      <c r="J1255" t="str">
        <f>_xlfn.XLOOKUP(G1255,'Common name (master file)'!$B:$B,'Common name (master file)'!$C:$C,"")</f>
        <v>어류</v>
      </c>
      <c r="K1255">
        <f>eDNA!B1255</f>
        <v>126.87358690000001</v>
      </c>
      <c r="L1255">
        <f>eDNA!C1255</f>
        <v>37.508467699999997</v>
      </c>
      <c r="M1255" s="10" t="str" cm="1">
        <f t="array" ref="M1255">IFERROR(_xlfn.XLOOKUP(1,('env Parameter'!$A:$A=$A1255)*('env Parameter'!$B:$B=$K1255)*('env Parameter'!$C:$C=$L1255),'env Parameter'!D:D,""),"")</f>
        <v>안양천-13</v>
      </c>
      <c r="N1255" s="10" t="str" cm="1">
        <f t="array" ref="N1255">IFERROR(_xlfn.XLOOKUP(1,('env Parameter'!$A:$A=$A1255)*('env Parameter'!$B:$B=$K1255)*('env Parameter'!$C:$C=$L1255),'env Parameter'!I:I,""),"")</f>
        <v>YR</v>
      </c>
    </row>
    <row r="1256" spans="1:14">
      <c r="A1256">
        <f>eDNA!A1256</f>
        <v>20201024</v>
      </c>
      <c r="B1256" s="10" t="str" cm="1">
        <f t="array" ref="B1256">IFERROR(_xlfn.XLOOKUP(1,('env Parameter'!$A:$A=$A1256)*('env Parameter'!$B:$B=$K1256)*('env Parameter'!$C:$C=$L1256),'env Parameter'!H:H,""),"")</f>
        <v>생물상 조사</v>
      </c>
      <c r="C1256" s="10" cm="1">
        <f t="array" ref="C1256">IFERROR(_xlfn.XLOOKUP(1,('env Parameter'!$A:$A=$A1256)*('env Parameter'!$B:$B=$K1256)*('env Parameter'!$C:$C=$L1256),'env Parameter'!E:E,""),"")</f>
        <v>2.14</v>
      </c>
      <c r="D1256" s="10" cm="1">
        <f t="array" ref="D1256">IFERROR(_xlfn.XLOOKUP(1,('env Parameter'!$A:$A=$A1256)*('env Parameter'!$B:$B=$K1256)*('env Parameter'!$C:$C=$L1256),'env Parameter'!F:F,""),"")</f>
        <v>478</v>
      </c>
      <c r="E1256" s="10" cm="1">
        <f t="array" ref="E1256">IFERROR(_xlfn.XLOOKUP(1,('env Parameter'!$A:$A=$A1256)*('env Parameter'!$B:$B=$K1256)*('env Parameter'!$C:$C=$L1256),'env Parameter'!G:G,""),"")</f>
        <v>7.6</v>
      </c>
      <c r="F1256" t="str">
        <f>eDNA!F1256</f>
        <v>MiFish</v>
      </c>
      <c r="G1256" t="str">
        <f>eDNA!D1256</f>
        <v>Carassius gibelio</v>
      </c>
      <c r="H1256" t="str">
        <f>_xlfn.XLOOKUP(G1256,'Common name (master file)'!$B:$B,'Common name (master file)'!$A:$A,"-------------")</f>
        <v>기벨리오 붕어</v>
      </c>
      <c r="I1256">
        <f>eDNA!E1256</f>
        <v>35257</v>
      </c>
      <c r="J1256" t="str">
        <f>_xlfn.XLOOKUP(G1256,'Common name (master file)'!$B:$B,'Common name (master file)'!$C:$C,"")</f>
        <v>어류</v>
      </c>
      <c r="K1256">
        <f>eDNA!B1256</f>
        <v>126.87358690000001</v>
      </c>
      <c r="L1256">
        <f>eDNA!C1256</f>
        <v>37.508467699999997</v>
      </c>
      <c r="M1256" s="10" t="str" cm="1">
        <f t="array" ref="M1256">IFERROR(_xlfn.XLOOKUP(1,('env Parameter'!$A:$A=$A1256)*('env Parameter'!$B:$B=$K1256)*('env Parameter'!$C:$C=$L1256),'env Parameter'!D:D,""),"")</f>
        <v>안양천-13</v>
      </c>
      <c r="N1256" s="10" t="str" cm="1">
        <f t="array" ref="N1256">IFERROR(_xlfn.XLOOKUP(1,('env Parameter'!$A:$A=$A1256)*('env Parameter'!$B:$B=$K1256)*('env Parameter'!$C:$C=$L1256),'env Parameter'!I:I,""),"")</f>
        <v>YR</v>
      </c>
    </row>
    <row r="1257" spans="1:14">
      <c r="A1257">
        <f>eDNA!A1257</f>
        <v>20201024</v>
      </c>
      <c r="B1257" s="10" t="str" cm="1">
        <f t="array" ref="B1257">IFERROR(_xlfn.XLOOKUP(1,('env Parameter'!$A:$A=$A1257)*('env Parameter'!$B:$B=$K1257)*('env Parameter'!$C:$C=$L1257),'env Parameter'!H:H,""),"")</f>
        <v>생물상 조사</v>
      </c>
      <c r="C1257" s="10" cm="1">
        <f t="array" ref="C1257">IFERROR(_xlfn.XLOOKUP(1,('env Parameter'!$A:$A=$A1257)*('env Parameter'!$B:$B=$K1257)*('env Parameter'!$C:$C=$L1257),'env Parameter'!E:E,""),"")</f>
        <v>2.14</v>
      </c>
      <c r="D1257" s="10" cm="1">
        <f t="array" ref="D1257">IFERROR(_xlfn.XLOOKUP(1,('env Parameter'!$A:$A=$A1257)*('env Parameter'!$B:$B=$K1257)*('env Parameter'!$C:$C=$L1257),'env Parameter'!F:F,""),"")</f>
        <v>478</v>
      </c>
      <c r="E1257" s="10" cm="1">
        <f t="array" ref="E1257">IFERROR(_xlfn.XLOOKUP(1,('env Parameter'!$A:$A=$A1257)*('env Parameter'!$B:$B=$K1257)*('env Parameter'!$C:$C=$L1257),'env Parameter'!G:G,""),"")</f>
        <v>7.6</v>
      </c>
      <c r="F1257" t="str">
        <f>eDNA!F1257</f>
        <v>MiFish</v>
      </c>
      <c r="G1257" t="str">
        <f>eDNA!D1257</f>
        <v>Pseudorasbora parva</v>
      </c>
      <c r="H1257" t="str">
        <f>_xlfn.XLOOKUP(G1257,'Common name (master file)'!$B:$B,'Common name (master file)'!$A:$A,"-------------")</f>
        <v>참붕어</v>
      </c>
      <c r="I1257">
        <f>eDNA!E1257</f>
        <v>41361</v>
      </c>
      <c r="J1257" t="str">
        <f>_xlfn.XLOOKUP(G1257,'Common name (master file)'!$B:$B,'Common name (master file)'!$C:$C,"")</f>
        <v>어류</v>
      </c>
      <c r="K1257">
        <f>eDNA!B1257</f>
        <v>126.87358690000001</v>
      </c>
      <c r="L1257">
        <f>eDNA!C1257</f>
        <v>37.508467699999997</v>
      </c>
      <c r="M1257" s="10" t="str" cm="1">
        <f t="array" ref="M1257">IFERROR(_xlfn.XLOOKUP(1,('env Parameter'!$A:$A=$A1257)*('env Parameter'!$B:$B=$K1257)*('env Parameter'!$C:$C=$L1257),'env Parameter'!D:D,""),"")</f>
        <v>안양천-13</v>
      </c>
      <c r="N1257" s="10" t="str" cm="1">
        <f t="array" ref="N1257">IFERROR(_xlfn.XLOOKUP(1,('env Parameter'!$A:$A=$A1257)*('env Parameter'!$B:$B=$K1257)*('env Parameter'!$C:$C=$L1257),'env Parameter'!I:I,""),"")</f>
        <v>YR</v>
      </c>
    </row>
    <row r="1258" spans="1:14">
      <c r="A1258">
        <f>eDNA!A1258</f>
        <v>20201024</v>
      </c>
      <c r="B1258" s="10" t="str" cm="1">
        <f t="array" ref="B1258">IFERROR(_xlfn.XLOOKUP(1,('env Parameter'!$A:$A=$A1258)*('env Parameter'!$B:$B=$K1258)*('env Parameter'!$C:$C=$L1258),'env Parameter'!H:H,""),"")</f>
        <v>생물상 조사</v>
      </c>
      <c r="C1258" s="10" cm="1">
        <f t="array" ref="C1258">IFERROR(_xlfn.XLOOKUP(1,('env Parameter'!$A:$A=$A1258)*('env Parameter'!$B:$B=$K1258)*('env Parameter'!$C:$C=$L1258),'env Parameter'!E:E,""),"")</f>
        <v>2.14</v>
      </c>
      <c r="D1258" s="10" cm="1">
        <f t="array" ref="D1258">IFERROR(_xlfn.XLOOKUP(1,('env Parameter'!$A:$A=$A1258)*('env Parameter'!$B:$B=$K1258)*('env Parameter'!$C:$C=$L1258),'env Parameter'!F:F,""),"")</f>
        <v>478</v>
      </c>
      <c r="E1258" s="10" cm="1">
        <f t="array" ref="E1258">IFERROR(_xlfn.XLOOKUP(1,('env Parameter'!$A:$A=$A1258)*('env Parameter'!$B:$B=$K1258)*('env Parameter'!$C:$C=$L1258),'env Parameter'!G:G,""),"")</f>
        <v>7.6</v>
      </c>
      <c r="F1258" t="str">
        <f>eDNA!F1258</f>
        <v>MiFish</v>
      </c>
      <c r="G1258" t="str">
        <f>eDNA!D1258</f>
        <v>Rhinogobius sp.</v>
      </c>
      <c r="H1258" t="str">
        <f>_xlfn.XLOOKUP(G1258,'Common name (master file)'!$B:$B,'Common name (master file)'!$A:$A,"-------------")</f>
        <v>밀어</v>
      </c>
      <c r="I1258">
        <f>eDNA!E1258</f>
        <v>11</v>
      </c>
      <c r="J1258" t="str">
        <f>_xlfn.XLOOKUP(G1258,'Common name (master file)'!$B:$B,'Common name (master file)'!$C:$C,"")</f>
        <v>어류</v>
      </c>
      <c r="K1258">
        <f>eDNA!B1258</f>
        <v>126.8797805</v>
      </c>
      <c r="L1258">
        <f>eDNA!C1258</f>
        <v>37.523914499999997</v>
      </c>
      <c r="M1258" s="10" t="str" cm="1">
        <f t="array" ref="M1258">IFERROR(_xlfn.XLOOKUP(1,('env Parameter'!$A:$A=$A1258)*('env Parameter'!$B:$B=$K1258)*('env Parameter'!$C:$C=$L1258),'env Parameter'!D:D,""),"")</f>
        <v>안양천-15</v>
      </c>
      <c r="N1258" s="10" t="str" cm="1">
        <f t="array" ref="N1258">IFERROR(_xlfn.XLOOKUP(1,('env Parameter'!$A:$A=$A1258)*('env Parameter'!$B:$B=$K1258)*('env Parameter'!$C:$C=$L1258),'env Parameter'!I:I,""),"")</f>
        <v>YR</v>
      </c>
    </row>
    <row r="1259" spans="1:14">
      <c r="A1259">
        <f>eDNA!A1259</f>
        <v>20201024</v>
      </c>
      <c r="B1259" s="10" t="str" cm="1">
        <f t="array" ref="B1259">IFERROR(_xlfn.XLOOKUP(1,('env Parameter'!$A:$A=$A1259)*('env Parameter'!$B:$B=$K1259)*('env Parameter'!$C:$C=$L1259),'env Parameter'!H:H,""),"")</f>
        <v>생물상 조사</v>
      </c>
      <c r="C1259" s="10" cm="1">
        <f t="array" ref="C1259">IFERROR(_xlfn.XLOOKUP(1,('env Parameter'!$A:$A=$A1259)*('env Parameter'!$B:$B=$K1259)*('env Parameter'!$C:$C=$L1259),'env Parameter'!E:E,""),"")</f>
        <v>2.14</v>
      </c>
      <c r="D1259" s="10" cm="1">
        <f t="array" ref="D1259">IFERROR(_xlfn.XLOOKUP(1,('env Parameter'!$A:$A=$A1259)*('env Parameter'!$B:$B=$K1259)*('env Parameter'!$C:$C=$L1259),'env Parameter'!F:F,""),"")</f>
        <v>478</v>
      </c>
      <c r="E1259" s="10" cm="1">
        <f t="array" ref="E1259">IFERROR(_xlfn.XLOOKUP(1,('env Parameter'!$A:$A=$A1259)*('env Parameter'!$B:$B=$K1259)*('env Parameter'!$C:$C=$L1259),'env Parameter'!G:G,""),"")</f>
        <v>7.6</v>
      </c>
      <c r="F1259" t="str">
        <f>eDNA!F1259</f>
        <v>MiFish</v>
      </c>
      <c r="G1259" t="str">
        <f>eDNA!D1259</f>
        <v>Hemibarbus maculatus</v>
      </c>
      <c r="H1259" t="str">
        <f>_xlfn.XLOOKUP(G1259,'Common name (master file)'!$B:$B,'Common name (master file)'!$A:$A,"-------------")</f>
        <v>알락누치</v>
      </c>
      <c r="I1259">
        <f>eDNA!E1259</f>
        <v>18</v>
      </c>
      <c r="J1259" t="str">
        <f>_xlfn.XLOOKUP(G1259,'Common name (master file)'!$B:$B,'Common name (master file)'!$C:$C,"")</f>
        <v>어류</v>
      </c>
      <c r="K1259">
        <f>eDNA!B1259</f>
        <v>126.8797805</v>
      </c>
      <c r="L1259">
        <f>eDNA!C1259</f>
        <v>37.523914499999997</v>
      </c>
      <c r="M1259" s="10" t="str" cm="1">
        <f t="array" ref="M1259">IFERROR(_xlfn.XLOOKUP(1,('env Parameter'!$A:$A=$A1259)*('env Parameter'!$B:$B=$K1259)*('env Parameter'!$C:$C=$L1259),'env Parameter'!D:D,""),"")</f>
        <v>안양천-15</v>
      </c>
      <c r="N1259" s="10" t="str" cm="1">
        <f t="array" ref="N1259">IFERROR(_xlfn.XLOOKUP(1,('env Parameter'!$A:$A=$A1259)*('env Parameter'!$B:$B=$K1259)*('env Parameter'!$C:$C=$L1259),'env Parameter'!I:I,""),"")</f>
        <v>YR</v>
      </c>
    </row>
    <row r="1260" spans="1:14">
      <c r="A1260">
        <f>eDNA!A1260</f>
        <v>20201024</v>
      </c>
      <c r="B1260" s="10" t="str" cm="1">
        <f t="array" ref="B1260">IFERROR(_xlfn.XLOOKUP(1,('env Parameter'!$A:$A=$A1260)*('env Parameter'!$B:$B=$K1260)*('env Parameter'!$C:$C=$L1260),'env Parameter'!H:H,""),"")</f>
        <v>생물상 조사</v>
      </c>
      <c r="C1260" s="10" cm="1">
        <f t="array" ref="C1260">IFERROR(_xlfn.XLOOKUP(1,('env Parameter'!$A:$A=$A1260)*('env Parameter'!$B:$B=$K1260)*('env Parameter'!$C:$C=$L1260),'env Parameter'!E:E,""),"")</f>
        <v>2.14</v>
      </c>
      <c r="D1260" s="10" cm="1">
        <f t="array" ref="D1260">IFERROR(_xlfn.XLOOKUP(1,('env Parameter'!$A:$A=$A1260)*('env Parameter'!$B:$B=$K1260)*('env Parameter'!$C:$C=$L1260),'env Parameter'!F:F,""),"")</f>
        <v>478</v>
      </c>
      <c r="E1260" s="10" cm="1">
        <f t="array" ref="E1260">IFERROR(_xlfn.XLOOKUP(1,('env Parameter'!$A:$A=$A1260)*('env Parameter'!$B:$B=$K1260)*('env Parameter'!$C:$C=$L1260),'env Parameter'!G:G,""),"")</f>
        <v>7.6</v>
      </c>
      <c r="F1260" t="str">
        <f>eDNA!F1260</f>
        <v>MiFish</v>
      </c>
      <c r="G1260" t="str">
        <f>eDNA!D1260</f>
        <v>Carassius auratus</v>
      </c>
      <c r="H1260" t="str">
        <f>_xlfn.XLOOKUP(G1260,'Common name (master file)'!$B:$B,'Common name (master file)'!$A:$A,"-------------")</f>
        <v>붕어</v>
      </c>
      <c r="I1260">
        <f>eDNA!E1260</f>
        <v>59</v>
      </c>
      <c r="J1260" t="str">
        <f>_xlfn.XLOOKUP(G1260,'Common name (master file)'!$B:$B,'Common name (master file)'!$C:$C,"")</f>
        <v>어류</v>
      </c>
      <c r="K1260">
        <f>eDNA!B1260</f>
        <v>126.8797805</v>
      </c>
      <c r="L1260">
        <f>eDNA!C1260</f>
        <v>37.523914499999997</v>
      </c>
      <c r="M1260" s="10" t="str" cm="1">
        <f t="array" ref="M1260">IFERROR(_xlfn.XLOOKUP(1,('env Parameter'!$A:$A=$A1260)*('env Parameter'!$B:$B=$K1260)*('env Parameter'!$C:$C=$L1260),'env Parameter'!D:D,""),"")</f>
        <v>안양천-15</v>
      </c>
      <c r="N1260" s="10" t="str" cm="1">
        <f t="array" ref="N1260">IFERROR(_xlfn.XLOOKUP(1,('env Parameter'!$A:$A=$A1260)*('env Parameter'!$B:$B=$K1260)*('env Parameter'!$C:$C=$L1260),'env Parameter'!I:I,""),"")</f>
        <v>YR</v>
      </c>
    </row>
    <row r="1261" spans="1:14">
      <c r="A1261">
        <f>eDNA!A1261</f>
        <v>20201024</v>
      </c>
      <c r="B1261" s="10" t="str" cm="1">
        <f t="array" ref="B1261">IFERROR(_xlfn.XLOOKUP(1,('env Parameter'!$A:$A=$A1261)*('env Parameter'!$B:$B=$K1261)*('env Parameter'!$C:$C=$L1261),'env Parameter'!H:H,""),"")</f>
        <v>생물상 조사</v>
      </c>
      <c r="C1261" s="10" cm="1">
        <f t="array" ref="C1261">IFERROR(_xlfn.XLOOKUP(1,('env Parameter'!$A:$A=$A1261)*('env Parameter'!$B:$B=$K1261)*('env Parameter'!$C:$C=$L1261),'env Parameter'!E:E,""),"")</f>
        <v>2.14</v>
      </c>
      <c r="D1261" s="10" cm="1">
        <f t="array" ref="D1261">IFERROR(_xlfn.XLOOKUP(1,('env Parameter'!$A:$A=$A1261)*('env Parameter'!$B:$B=$K1261)*('env Parameter'!$C:$C=$L1261),'env Parameter'!F:F,""),"")</f>
        <v>478</v>
      </c>
      <c r="E1261" s="10" cm="1">
        <f t="array" ref="E1261">IFERROR(_xlfn.XLOOKUP(1,('env Parameter'!$A:$A=$A1261)*('env Parameter'!$B:$B=$K1261)*('env Parameter'!$C:$C=$L1261),'env Parameter'!G:G,""),"")</f>
        <v>7.6</v>
      </c>
      <c r="F1261" t="str">
        <f>eDNA!F1261</f>
        <v>MiFish</v>
      </c>
      <c r="G1261" t="str">
        <f>eDNA!D1261</f>
        <v>Carassius cuvieri</v>
      </c>
      <c r="H1261" t="str">
        <f>_xlfn.XLOOKUP(G1261,'Common name (master file)'!$B:$B,'Common name (master file)'!$A:$A,"-------------")</f>
        <v>떡붕어</v>
      </c>
      <c r="I1261">
        <f>eDNA!E1261</f>
        <v>79</v>
      </c>
      <c r="J1261" t="str">
        <f>_xlfn.XLOOKUP(G1261,'Common name (master file)'!$B:$B,'Common name (master file)'!$C:$C,"")</f>
        <v>어류</v>
      </c>
      <c r="K1261">
        <f>eDNA!B1261</f>
        <v>126.8797805</v>
      </c>
      <c r="L1261">
        <f>eDNA!C1261</f>
        <v>37.523914499999997</v>
      </c>
      <c r="M1261" s="10" t="str" cm="1">
        <f t="array" ref="M1261">IFERROR(_xlfn.XLOOKUP(1,('env Parameter'!$A:$A=$A1261)*('env Parameter'!$B:$B=$K1261)*('env Parameter'!$C:$C=$L1261),'env Parameter'!D:D,""),"")</f>
        <v>안양천-15</v>
      </c>
      <c r="N1261" s="10" t="str" cm="1">
        <f t="array" ref="N1261">IFERROR(_xlfn.XLOOKUP(1,('env Parameter'!$A:$A=$A1261)*('env Parameter'!$B:$B=$K1261)*('env Parameter'!$C:$C=$L1261),'env Parameter'!I:I,""),"")</f>
        <v>YR</v>
      </c>
    </row>
    <row r="1262" spans="1:14">
      <c r="A1262">
        <f>eDNA!A1262</f>
        <v>20201024</v>
      </c>
      <c r="B1262" s="10" t="str" cm="1">
        <f t="array" ref="B1262">IFERROR(_xlfn.XLOOKUP(1,('env Parameter'!$A:$A=$A1262)*('env Parameter'!$B:$B=$K1262)*('env Parameter'!$C:$C=$L1262),'env Parameter'!H:H,""),"")</f>
        <v>생물상 조사</v>
      </c>
      <c r="C1262" s="10" cm="1">
        <f t="array" ref="C1262">IFERROR(_xlfn.XLOOKUP(1,('env Parameter'!$A:$A=$A1262)*('env Parameter'!$B:$B=$K1262)*('env Parameter'!$C:$C=$L1262),'env Parameter'!E:E,""),"")</f>
        <v>2.14</v>
      </c>
      <c r="D1262" s="10" cm="1">
        <f t="array" ref="D1262">IFERROR(_xlfn.XLOOKUP(1,('env Parameter'!$A:$A=$A1262)*('env Parameter'!$B:$B=$K1262)*('env Parameter'!$C:$C=$L1262),'env Parameter'!F:F,""),"")</f>
        <v>478</v>
      </c>
      <c r="E1262" s="10" cm="1">
        <f t="array" ref="E1262">IFERROR(_xlfn.XLOOKUP(1,('env Parameter'!$A:$A=$A1262)*('env Parameter'!$B:$B=$K1262)*('env Parameter'!$C:$C=$L1262),'env Parameter'!G:G,""),"")</f>
        <v>7.6</v>
      </c>
      <c r="F1262" t="str">
        <f>eDNA!F1262</f>
        <v>MiFish</v>
      </c>
      <c r="G1262" t="str">
        <f>eDNA!D1262</f>
        <v>Homo sapiens</v>
      </c>
      <c r="H1262" t="str">
        <f>_xlfn.XLOOKUP(G1262,'Common name (master file)'!$B:$B,'Common name (master file)'!$A:$A,"-------------")</f>
        <v>사람</v>
      </c>
      <c r="I1262">
        <f>eDNA!E1262</f>
        <v>90</v>
      </c>
      <c r="J1262" t="str">
        <f>_xlfn.XLOOKUP(G1262,'Common name (master file)'!$B:$B,'Common name (master file)'!$C:$C,"")</f>
        <v>포유류</v>
      </c>
      <c r="K1262">
        <f>eDNA!B1262</f>
        <v>126.8797805</v>
      </c>
      <c r="L1262">
        <f>eDNA!C1262</f>
        <v>37.523914499999997</v>
      </c>
      <c r="M1262" s="10" t="str" cm="1">
        <f t="array" ref="M1262">IFERROR(_xlfn.XLOOKUP(1,('env Parameter'!$A:$A=$A1262)*('env Parameter'!$B:$B=$K1262)*('env Parameter'!$C:$C=$L1262),'env Parameter'!D:D,""),"")</f>
        <v>안양천-15</v>
      </c>
      <c r="N1262" s="10" t="str" cm="1">
        <f t="array" ref="N1262">IFERROR(_xlfn.XLOOKUP(1,('env Parameter'!$A:$A=$A1262)*('env Parameter'!$B:$B=$K1262)*('env Parameter'!$C:$C=$L1262),'env Parameter'!I:I,""),"")</f>
        <v>YR</v>
      </c>
    </row>
    <row r="1263" spans="1:14">
      <c r="A1263">
        <f>eDNA!A1263</f>
        <v>20201024</v>
      </c>
      <c r="B1263" s="10" t="str" cm="1">
        <f t="array" ref="B1263">IFERROR(_xlfn.XLOOKUP(1,('env Parameter'!$A:$A=$A1263)*('env Parameter'!$B:$B=$K1263)*('env Parameter'!$C:$C=$L1263),'env Parameter'!H:H,""),"")</f>
        <v>생물상 조사</v>
      </c>
      <c r="C1263" s="10" cm="1">
        <f t="array" ref="C1263">IFERROR(_xlfn.XLOOKUP(1,('env Parameter'!$A:$A=$A1263)*('env Parameter'!$B:$B=$K1263)*('env Parameter'!$C:$C=$L1263),'env Parameter'!E:E,""),"")</f>
        <v>2.14</v>
      </c>
      <c r="D1263" s="10" cm="1">
        <f t="array" ref="D1263">IFERROR(_xlfn.XLOOKUP(1,('env Parameter'!$A:$A=$A1263)*('env Parameter'!$B:$B=$K1263)*('env Parameter'!$C:$C=$L1263),'env Parameter'!F:F,""),"")</f>
        <v>478</v>
      </c>
      <c r="E1263" s="10" cm="1">
        <f t="array" ref="E1263">IFERROR(_xlfn.XLOOKUP(1,('env Parameter'!$A:$A=$A1263)*('env Parameter'!$B:$B=$K1263)*('env Parameter'!$C:$C=$L1263),'env Parameter'!G:G,""),"")</f>
        <v>7.6</v>
      </c>
      <c r="F1263" t="str">
        <f>eDNA!F1263</f>
        <v>MiFish</v>
      </c>
      <c r="G1263" t="str">
        <f>eDNA!D1263</f>
        <v>Sus scrofa</v>
      </c>
      <c r="H1263" t="str">
        <f>_xlfn.XLOOKUP(G1263,'Common name (master file)'!$B:$B,'Common name (master file)'!$A:$A,"-------------")</f>
        <v>멧돼지</v>
      </c>
      <c r="I1263">
        <f>eDNA!E1263</f>
        <v>272</v>
      </c>
      <c r="J1263" t="str">
        <f>_xlfn.XLOOKUP(G1263,'Common name (master file)'!$B:$B,'Common name (master file)'!$C:$C,"")</f>
        <v>포유류</v>
      </c>
      <c r="K1263">
        <f>eDNA!B1263</f>
        <v>126.8797805</v>
      </c>
      <c r="L1263">
        <f>eDNA!C1263</f>
        <v>37.523914499999997</v>
      </c>
      <c r="M1263" s="10" t="str" cm="1">
        <f t="array" ref="M1263">IFERROR(_xlfn.XLOOKUP(1,('env Parameter'!$A:$A=$A1263)*('env Parameter'!$B:$B=$K1263)*('env Parameter'!$C:$C=$L1263),'env Parameter'!D:D,""),"")</f>
        <v>안양천-15</v>
      </c>
      <c r="N1263" s="10" t="str" cm="1">
        <f t="array" ref="N1263">IFERROR(_xlfn.XLOOKUP(1,('env Parameter'!$A:$A=$A1263)*('env Parameter'!$B:$B=$K1263)*('env Parameter'!$C:$C=$L1263),'env Parameter'!I:I,""),"")</f>
        <v>YR</v>
      </c>
    </row>
    <row r="1264" spans="1:14">
      <c r="A1264">
        <f>eDNA!A1264</f>
        <v>20201024</v>
      </c>
      <c r="B1264" s="10" t="str" cm="1">
        <f t="array" ref="B1264">IFERROR(_xlfn.XLOOKUP(1,('env Parameter'!$A:$A=$A1264)*('env Parameter'!$B:$B=$K1264)*('env Parameter'!$C:$C=$L1264),'env Parameter'!H:H,""),"")</f>
        <v>생물상 조사</v>
      </c>
      <c r="C1264" s="10" cm="1">
        <f t="array" ref="C1264">IFERROR(_xlfn.XLOOKUP(1,('env Parameter'!$A:$A=$A1264)*('env Parameter'!$B:$B=$K1264)*('env Parameter'!$C:$C=$L1264),'env Parameter'!E:E,""),"")</f>
        <v>2.14</v>
      </c>
      <c r="D1264" s="10" cm="1">
        <f t="array" ref="D1264">IFERROR(_xlfn.XLOOKUP(1,('env Parameter'!$A:$A=$A1264)*('env Parameter'!$B:$B=$K1264)*('env Parameter'!$C:$C=$L1264),'env Parameter'!F:F,""),"")</f>
        <v>478</v>
      </c>
      <c r="E1264" s="10" cm="1">
        <f t="array" ref="E1264">IFERROR(_xlfn.XLOOKUP(1,('env Parameter'!$A:$A=$A1264)*('env Parameter'!$B:$B=$K1264)*('env Parameter'!$C:$C=$L1264),'env Parameter'!G:G,""),"")</f>
        <v>7.6</v>
      </c>
      <c r="F1264" t="str">
        <f>eDNA!F1264</f>
        <v>MiFish</v>
      </c>
      <c r="G1264" t="str">
        <f>eDNA!D1264</f>
        <v>Pseudogobio esocinus</v>
      </c>
      <c r="H1264" t="str">
        <f>_xlfn.XLOOKUP(G1264,'Common name (master file)'!$B:$B,'Common name (master file)'!$A:$A,"-------------")</f>
        <v>모래무지</v>
      </c>
      <c r="I1264">
        <f>eDNA!E1264</f>
        <v>152</v>
      </c>
      <c r="J1264" t="str">
        <f>_xlfn.XLOOKUP(G1264,'Common name (master file)'!$B:$B,'Common name (master file)'!$C:$C,"")</f>
        <v>어류</v>
      </c>
      <c r="K1264">
        <f>eDNA!B1264</f>
        <v>126.8797805</v>
      </c>
      <c r="L1264">
        <f>eDNA!C1264</f>
        <v>37.523914499999997</v>
      </c>
      <c r="M1264" s="10" t="str" cm="1">
        <f t="array" ref="M1264">IFERROR(_xlfn.XLOOKUP(1,('env Parameter'!$A:$A=$A1264)*('env Parameter'!$B:$B=$K1264)*('env Parameter'!$C:$C=$L1264),'env Parameter'!D:D,""),"")</f>
        <v>안양천-15</v>
      </c>
      <c r="N1264" s="10" t="str" cm="1">
        <f t="array" ref="N1264">IFERROR(_xlfn.XLOOKUP(1,('env Parameter'!$A:$A=$A1264)*('env Parameter'!$B:$B=$K1264)*('env Parameter'!$C:$C=$L1264),'env Parameter'!I:I,""),"")</f>
        <v>YR</v>
      </c>
    </row>
    <row r="1265" spans="1:14">
      <c r="A1265">
        <f>eDNA!A1265</f>
        <v>20201024</v>
      </c>
      <c r="B1265" s="10" t="str" cm="1">
        <f t="array" ref="B1265">IFERROR(_xlfn.XLOOKUP(1,('env Parameter'!$A:$A=$A1265)*('env Parameter'!$B:$B=$K1265)*('env Parameter'!$C:$C=$L1265),'env Parameter'!H:H,""),"")</f>
        <v>생물상 조사</v>
      </c>
      <c r="C1265" s="10" cm="1">
        <f t="array" ref="C1265">IFERROR(_xlfn.XLOOKUP(1,('env Parameter'!$A:$A=$A1265)*('env Parameter'!$B:$B=$K1265)*('env Parameter'!$C:$C=$L1265),'env Parameter'!E:E,""),"")</f>
        <v>2.14</v>
      </c>
      <c r="D1265" s="10" cm="1">
        <f t="array" ref="D1265">IFERROR(_xlfn.XLOOKUP(1,('env Parameter'!$A:$A=$A1265)*('env Parameter'!$B:$B=$K1265)*('env Parameter'!$C:$C=$L1265),'env Parameter'!F:F,""),"")</f>
        <v>478</v>
      </c>
      <c r="E1265" s="10" cm="1">
        <f t="array" ref="E1265">IFERROR(_xlfn.XLOOKUP(1,('env Parameter'!$A:$A=$A1265)*('env Parameter'!$B:$B=$K1265)*('env Parameter'!$C:$C=$L1265),'env Parameter'!G:G,""),"")</f>
        <v>7.6</v>
      </c>
      <c r="F1265" t="str">
        <f>eDNA!F1265</f>
        <v>MiFish</v>
      </c>
      <c r="G1265" t="str">
        <f>eDNA!D1265</f>
        <v>Gymnogobius urotaenia</v>
      </c>
      <c r="H1265" t="str">
        <f>_xlfn.XLOOKUP(G1265,'Common name (master file)'!$B:$B,'Common name (master file)'!$A:$A,"-------------")</f>
        <v>꾹저구</v>
      </c>
      <c r="I1265">
        <f>eDNA!E1265</f>
        <v>154</v>
      </c>
      <c r="J1265" t="str">
        <f>_xlfn.XLOOKUP(G1265,'Common name (master file)'!$B:$B,'Common name (master file)'!$C:$C,"")</f>
        <v>어류</v>
      </c>
      <c r="K1265">
        <f>eDNA!B1265</f>
        <v>126.8797805</v>
      </c>
      <c r="L1265">
        <f>eDNA!C1265</f>
        <v>37.523914499999997</v>
      </c>
      <c r="M1265" s="10" t="str" cm="1">
        <f t="array" ref="M1265">IFERROR(_xlfn.XLOOKUP(1,('env Parameter'!$A:$A=$A1265)*('env Parameter'!$B:$B=$K1265)*('env Parameter'!$C:$C=$L1265),'env Parameter'!D:D,""),"")</f>
        <v>안양천-15</v>
      </c>
      <c r="N1265" s="10" t="str" cm="1">
        <f t="array" ref="N1265">IFERROR(_xlfn.XLOOKUP(1,('env Parameter'!$A:$A=$A1265)*('env Parameter'!$B:$B=$K1265)*('env Parameter'!$C:$C=$L1265),'env Parameter'!I:I,""),"")</f>
        <v>YR</v>
      </c>
    </row>
    <row r="1266" spans="1:14">
      <c r="A1266">
        <f>eDNA!A1266</f>
        <v>20201024</v>
      </c>
      <c r="B1266" s="10" t="str" cm="1">
        <f t="array" ref="B1266">IFERROR(_xlfn.XLOOKUP(1,('env Parameter'!$A:$A=$A1266)*('env Parameter'!$B:$B=$K1266)*('env Parameter'!$C:$C=$L1266),'env Parameter'!H:H,""),"")</f>
        <v>생물상 조사</v>
      </c>
      <c r="C1266" s="10" cm="1">
        <f t="array" ref="C1266">IFERROR(_xlfn.XLOOKUP(1,('env Parameter'!$A:$A=$A1266)*('env Parameter'!$B:$B=$K1266)*('env Parameter'!$C:$C=$L1266),'env Parameter'!E:E,""),"")</f>
        <v>2.14</v>
      </c>
      <c r="D1266" s="10" cm="1">
        <f t="array" ref="D1266">IFERROR(_xlfn.XLOOKUP(1,('env Parameter'!$A:$A=$A1266)*('env Parameter'!$B:$B=$K1266)*('env Parameter'!$C:$C=$L1266),'env Parameter'!F:F,""),"")</f>
        <v>478</v>
      </c>
      <c r="E1266" s="10" cm="1">
        <f t="array" ref="E1266">IFERROR(_xlfn.XLOOKUP(1,('env Parameter'!$A:$A=$A1266)*('env Parameter'!$B:$B=$K1266)*('env Parameter'!$C:$C=$L1266),'env Parameter'!G:G,""),"")</f>
        <v>7.6</v>
      </c>
      <c r="F1266" t="str">
        <f>eDNA!F1266</f>
        <v>MiFish</v>
      </c>
      <c r="G1266" t="str">
        <f>eDNA!D1266</f>
        <v>Paramisgurnus dabryanus</v>
      </c>
      <c r="H1266" t="str">
        <f>_xlfn.XLOOKUP(G1266,'Common name (master file)'!$B:$B,'Common name (master file)'!$A:$A,"-------------")</f>
        <v>중국미꾸라지</v>
      </c>
      <c r="I1266">
        <f>eDNA!E1266</f>
        <v>156</v>
      </c>
      <c r="J1266" t="str">
        <f>_xlfn.XLOOKUP(G1266,'Common name (master file)'!$B:$B,'Common name (master file)'!$C:$C,"")</f>
        <v>어류</v>
      </c>
      <c r="K1266">
        <f>eDNA!B1266</f>
        <v>126.8797805</v>
      </c>
      <c r="L1266">
        <f>eDNA!C1266</f>
        <v>37.523914499999997</v>
      </c>
      <c r="M1266" s="10" t="str" cm="1">
        <f t="array" ref="M1266">IFERROR(_xlfn.XLOOKUP(1,('env Parameter'!$A:$A=$A1266)*('env Parameter'!$B:$B=$K1266)*('env Parameter'!$C:$C=$L1266),'env Parameter'!D:D,""),"")</f>
        <v>안양천-15</v>
      </c>
      <c r="N1266" s="10" t="str" cm="1">
        <f t="array" ref="N1266">IFERROR(_xlfn.XLOOKUP(1,('env Parameter'!$A:$A=$A1266)*('env Parameter'!$B:$B=$K1266)*('env Parameter'!$C:$C=$L1266),'env Parameter'!I:I,""),"")</f>
        <v>YR</v>
      </c>
    </row>
    <row r="1267" spans="1:14">
      <c r="A1267">
        <f>eDNA!A1267</f>
        <v>20201024</v>
      </c>
      <c r="B1267" s="10" t="str" cm="1">
        <f t="array" ref="B1267">IFERROR(_xlfn.XLOOKUP(1,('env Parameter'!$A:$A=$A1267)*('env Parameter'!$B:$B=$K1267)*('env Parameter'!$C:$C=$L1267),'env Parameter'!H:H,""),"")</f>
        <v>생물상 조사</v>
      </c>
      <c r="C1267" s="10" cm="1">
        <f t="array" ref="C1267">IFERROR(_xlfn.XLOOKUP(1,('env Parameter'!$A:$A=$A1267)*('env Parameter'!$B:$B=$K1267)*('env Parameter'!$C:$C=$L1267),'env Parameter'!E:E,""),"")</f>
        <v>2.14</v>
      </c>
      <c r="D1267" s="10" cm="1">
        <f t="array" ref="D1267">IFERROR(_xlfn.XLOOKUP(1,('env Parameter'!$A:$A=$A1267)*('env Parameter'!$B:$B=$K1267)*('env Parameter'!$C:$C=$L1267),'env Parameter'!F:F,""),"")</f>
        <v>478</v>
      </c>
      <c r="E1267" s="10" cm="1">
        <f t="array" ref="E1267">IFERROR(_xlfn.XLOOKUP(1,('env Parameter'!$A:$A=$A1267)*('env Parameter'!$B:$B=$K1267)*('env Parameter'!$C:$C=$L1267),'env Parameter'!G:G,""),"")</f>
        <v>7.6</v>
      </c>
      <c r="F1267" t="str">
        <f>eDNA!F1267</f>
        <v>MiFish</v>
      </c>
      <c r="G1267" t="str">
        <f>eDNA!D1267</f>
        <v>Bos taurus</v>
      </c>
      <c r="H1267" t="str">
        <f>_xlfn.XLOOKUP(G1267,'Common name (master file)'!$B:$B,'Common name (master file)'!$A:$A,"-------------")</f>
        <v>소</v>
      </c>
      <c r="I1267">
        <f>eDNA!E1267</f>
        <v>257</v>
      </c>
      <c r="J1267" t="str">
        <f>_xlfn.XLOOKUP(G1267,'Common name (master file)'!$B:$B,'Common name (master file)'!$C:$C,"")</f>
        <v>포유류</v>
      </c>
      <c r="K1267">
        <f>eDNA!B1267</f>
        <v>126.8797805</v>
      </c>
      <c r="L1267">
        <f>eDNA!C1267</f>
        <v>37.523914499999997</v>
      </c>
      <c r="M1267" s="10" t="str" cm="1">
        <f t="array" ref="M1267">IFERROR(_xlfn.XLOOKUP(1,('env Parameter'!$A:$A=$A1267)*('env Parameter'!$B:$B=$K1267)*('env Parameter'!$C:$C=$L1267),'env Parameter'!D:D,""),"")</f>
        <v>안양천-15</v>
      </c>
      <c r="N1267" s="10" t="str" cm="1">
        <f t="array" ref="N1267">IFERROR(_xlfn.XLOOKUP(1,('env Parameter'!$A:$A=$A1267)*('env Parameter'!$B:$B=$K1267)*('env Parameter'!$C:$C=$L1267),'env Parameter'!I:I,""),"")</f>
        <v>YR</v>
      </c>
    </row>
    <row r="1268" spans="1:14">
      <c r="A1268">
        <f>eDNA!A1268</f>
        <v>20201024</v>
      </c>
      <c r="B1268" s="10" t="str" cm="1">
        <f t="array" ref="B1268">IFERROR(_xlfn.XLOOKUP(1,('env Parameter'!$A:$A=$A1268)*('env Parameter'!$B:$B=$K1268)*('env Parameter'!$C:$C=$L1268),'env Parameter'!H:H,""),"")</f>
        <v>생물상 조사</v>
      </c>
      <c r="C1268" s="10" cm="1">
        <f t="array" ref="C1268">IFERROR(_xlfn.XLOOKUP(1,('env Parameter'!$A:$A=$A1268)*('env Parameter'!$B:$B=$K1268)*('env Parameter'!$C:$C=$L1268),'env Parameter'!E:E,""),"")</f>
        <v>2.14</v>
      </c>
      <c r="D1268" s="10" cm="1">
        <f t="array" ref="D1268">IFERROR(_xlfn.XLOOKUP(1,('env Parameter'!$A:$A=$A1268)*('env Parameter'!$B:$B=$K1268)*('env Parameter'!$C:$C=$L1268),'env Parameter'!F:F,""),"")</f>
        <v>478</v>
      </c>
      <c r="E1268" s="10" cm="1">
        <f t="array" ref="E1268">IFERROR(_xlfn.XLOOKUP(1,('env Parameter'!$A:$A=$A1268)*('env Parameter'!$B:$B=$K1268)*('env Parameter'!$C:$C=$L1268),'env Parameter'!G:G,""),"")</f>
        <v>7.6</v>
      </c>
      <c r="F1268" t="str">
        <f>eDNA!F1268</f>
        <v>MiFish</v>
      </c>
      <c r="G1268" t="str">
        <f>eDNA!D1268</f>
        <v>Anguilla japonica</v>
      </c>
      <c r="H1268" t="str">
        <f>_xlfn.XLOOKUP(G1268,'Common name (master file)'!$B:$B,'Common name (master file)'!$A:$A,"-------------")</f>
        <v>뱀장어</v>
      </c>
      <c r="I1268">
        <f>eDNA!E1268</f>
        <v>298</v>
      </c>
      <c r="J1268" t="str">
        <f>_xlfn.XLOOKUP(G1268,'Common name (master file)'!$B:$B,'Common name (master file)'!$C:$C,"")</f>
        <v>어류</v>
      </c>
      <c r="K1268">
        <f>eDNA!B1268</f>
        <v>126.8797805</v>
      </c>
      <c r="L1268">
        <f>eDNA!C1268</f>
        <v>37.523914499999997</v>
      </c>
      <c r="M1268" s="10" t="str" cm="1">
        <f t="array" ref="M1268">IFERROR(_xlfn.XLOOKUP(1,('env Parameter'!$A:$A=$A1268)*('env Parameter'!$B:$B=$K1268)*('env Parameter'!$C:$C=$L1268),'env Parameter'!D:D,""),"")</f>
        <v>안양천-15</v>
      </c>
      <c r="N1268" s="10" t="str" cm="1">
        <f t="array" ref="N1268">IFERROR(_xlfn.XLOOKUP(1,('env Parameter'!$A:$A=$A1268)*('env Parameter'!$B:$B=$K1268)*('env Parameter'!$C:$C=$L1268),'env Parameter'!I:I,""),"")</f>
        <v>YR</v>
      </c>
    </row>
    <row r="1269" spans="1:14">
      <c r="A1269">
        <f>eDNA!A1269</f>
        <v>20201024</v>
      </c>
      <c r="B1269" s="10" t="str" cm="1">
        <f t="array" ref="B1269">IFERROR(_xlfn.XLOOKUP(1,('env Parameter'!$A:$A=$A1269)*('env Parameter'!$B:$B=$K1269)*('env Parameter'!$C:$C=$L1269),'env Parameter'!H:H,""),"")</f>
        <v>생물상 조사</v>
      </c>
      <c r="C1269" s="10" cm="1">
        <f t="array" ref="C1269">IFERROR(_xlfn.XLOOKUP(1,('env Parameter'!$A:$A=$A1269)*('env Parameter'!$B:$B=$K1269)*('env Parameter'!$C:$C=$L1269),'env Parameter'!E:E,""),"")</f>
        <v>2.14</v>
      </c>
      <c r="D1269" s="10" cm="1">
        <f t="array" ref="D1269">IFERROR(_xlfn.XLOOKUP(1,('env Parameter'!$A:$A=$A1269)*('env Parameter'!$B:$B=$K1269)*('env Parameter'!$C:$C=$L1269),'env Parameter'!F:F,""),"")</f>
        <v>478</v>
      </c>
      <c r="E1269" s="10" cm="1">
        <f t="array" ref="E1269">IFERROR(_xlfn.XLOOKUP(1,('env Parameter'!$A:$A=$A1269)*('env Parameter'!$B:$B=$K1269)*('env Parameter'!$C:$C=$L1269),'env Parameter'!G:G,""),"")</f>
        <v>7.6</v>
      </c>
      <c r="F1269" t="str">
        <f>eDNA!F1269</f>
        <v>MiFish</v>
      </c>
      <c r="G1269" t="str">
        <f>eDNA!D1269</f>
        <v>Misgurnus mizolepis</v>
      </c>
      <c r="H1269" t="str">
        <f>_xlfn.XLOOKUP(G1269,'Common name (master file)'!$B:$B,'Common name (master file)'!$A:$A,"-------------")</f>
        <v>미꾸라지</v>
      </c>
      <c r="I1269">
        <f>eDNA!E1269</f>
        <v>501</v>
      </c>
      <c r="J1269" t="str">
        <f>_xlfn.XLOOKUP(G1269,'Common name (master file)'!$B:$B,'Common name (master file)'!$C:$C,"")</f>
        <v>어류</v>
      </c>
      <c r="K1269">
        <f>eDNA!B1269</f>
        <v>126.8797805</v>
      </c>
      <c r="L1269">
        <f>eDNA!C1269</f>
        <v>37.523914499999997</v>
      </c>
      <c r="M1269" s="10" t="str" cm="1">
        <f t="array" ref="M1269">IFERROR(_xlfn.XLOOKUP(1,('env Parameter'!$A:$A=$A1269)*('env Parameter'!$B:$B=$K1269)*('env Parameter'!$C:$C=$L1269),'env Parameter'!D:D,""),"")</f>
        <v>안양천-15</v>
      </c>
      <c r="N1269" s="10" t="str" cm="1">
        <f t="array" ref="N1269">IFERROR(_xlfn.XLOOKUP(1,('env Parameter'!$A:$A=$A1269)*('env Parameter'!$B:$B=$K1269)*('env Parameter'!$C:$C=$L1269),'env Parameter'!I:I,""),"")</f>
        <v>YR</v>
      </c>
    </row>
    <row r="1270" spans="1:14">
      <c r="A1270">
        <f>eDNA!A1270</f>
        <v>20201024</v>
      </c>
      <c r="B1270" s="10" t="str" cm="1">
        <f t="array" ref="B1270">IFERROR(_xlfn.XLOOKUP(1,('env Parameter'!$A:$A=$A1270)*('env Parameter'!$B:$B=$K1270)*('env Parameter'!$C:$C=$L1270),'env Parameter'!H:H,""),"")</f>
        <v>생물상 조사</v>
      </c>
      <c r="C1270" s="10" cm="1">
        <f t="array" ref="C1270">IFERROR(_xlfn.XLOOKUP(1,('env Parameter'!$A:$A=$A1270)*('env Parameter'!$B:$B=$K1270)*('env Parameter'!$C:$C=$L1270),'env Parameter'!E:E,""),"")</f>
        <v>2.14</v>
      </c>
      <c r="D1270" s="10" cm="1">
        <f t="array" ref="D1270">IFERROR(_xlfn.XLOOKUP(1,('env Parameter'!$A:$A=$A1270)*('env Parameter'!$B:$B=$K1270)*('env Parameter'!$C:$C=$L1270),'env Parameter'!F:F,""),"")</f>
        <v>478</v>
      </c>
      <c r="E1270" s="10" cm="1">
        <f t="array" ref="E1270">IFERROR(_xlfn.XLOOKUP(1,('env Parameter'!$A:$A=$A1270)*('env Parameter'!$B:$B=$K1270)*('env Parameter'!$C:$C=$L1270),'env Parameter'!G:G,""),"")</f>
        <v>7.6</v>
      </c>
      <c r="F1270" t="str">
        <f>eDNA!F1270</f>
        <v>MiFish</v>
      </c>
      <c r="G1270" t="str">
        <f>eDNA!D1270</f>
        <v>Cyprinus carpio</v>
      </c>
      <c r="H1270" t="str">
        <f>_xlfn.XLOOKUP(G1270,'Common name (master file)'!$B:$B,'Common name (master file)'!$A:$A,"-------------")</f>
        <v>잉어</v>
      </c>
      <c r="I1270">
        <f>eDNA!E1270</f>
        <v>544</v>
      </c>
      <c r="J1270" t="str">
        <f>_xlfn.XLOOKUP(G1270,'Common name (master file)'!$B:$B,'Common name (master file)'!$C:$C,"")</f>
        <v>어류</v>
      </c>
      <c r="K1270">
        <f>eDNA!B1270</f>
        <v>126.8797805</v>
      </c>
      <c r="L1270">
        <f>eDNA!C1270</f>
        <v>37.523914499999997</v>
      </c>
      <c r="M1270" s="10" t="str" cm="1">
        <f t="array" ref="M1270">IFERROR(_xlfn.XLOOKUP(1,('env Parameter'!$A:$A=$A1270)*('env Parameter'!$B:$B=$K1270)*('env Parameter'!$C:$C=$L1270),'env Parameter'!D:D,""),"")</f>
        <v>안양천-15</v>
      </c>
      <c r="N1270" s="10" t="str" cm="1">
        <f t="array" ref="N1270">IFERROR(_xlfn.XLOOKUP(1,('env Parameter'!$A:$A=$A1270)*('env Parameter'!$B:$B=$K1270)*('env Parameter'!$C:$C=$L1270),'env Parameter'!I:I,""),"")</f>
        <v>YR</v>
      </c>
    </row>
    <row r="1271" spans="1:14">
      <c r="A1271">
        <f>eDNA!A1271</f>
        <v>20201024</v>
      </c>
      <c r="B1271" s="10" t="str" cm="1">
        <f t="array" ref="B1271">IFERROR(_xlfn.XLOOKUP(1,('env Parameter'!$A:$A=$A1271)*('env Parameter'!$B:$B=$K1271)*('env Parameter'!$C:$C=$L1271),'env Parameter'!H:H,""),"")</f>
        <v>생물상 조사</v>
      </c>
      <c r="C1271" s="10" cm="1">
        <f t="array" ref="C1271">IFERROR(_xlfn.XLOOKUP(1,('env Parameter'!$A:$A=$A1271)*('env Parameter'!$B:$B=$K1271)*('env Parameter'!$C:$C=$L1271),'env Parameter'!E:E,""),"")</f>
        <v>2.14</v>
      </c>
      <c r="D1271" s="10" cm="1">
        <f t="array" ref="D1271">IFERROR(_xlfn.XLOOKUP(1,('env Parameter'!$A:$A=$A1271)*('env Parameter'!$B:$B=$K1271)*('env Parameter'!$C:$C=$L1271),'env Parameter'!F:F,""),"")</f>
        <v>478</v>
      </c>
      <c r="E1271" s="10" cm="1">
        <f t="array" ref="E1271">IFERROR(_xlfn.XLOOKUP(1,('env Parameter'!$A:$A=$A1271)*('env Parameter'!$B:$B=$K1271)*('env Parameter'!$C:$C=$L1271),'env Parameter'!G:G,""),"")</f>
        <v>7.6</v>
      </c>
      <c r="F1271" t="str">
        <f>eDNA!F1271</f>
        <v>MiFish</v>
      </c>
      <c r="G1271" t="str">
        <f>eDNA!D1271</f>
        <v>Lepomis macrochirus</v>
      </c>
      <c r="H1271" t="str">
        <f>_xlfn.XLOOKUP(G1271,'Common name (master file)'!$B:$B,'Common name (master file)'!$A:$A,"-------------")</f>
        <v>블루길</v>
      </c>
      <c r="I1271">
        <f>eDNA!E1271</f>
        <v>585</v>
      </c>
      <c r="J1271" t="str">
        <f>_xlfn.XLOOKUP(G1271,'Common name (master file)'!$B:$B,'Common name (master file)'!$C:$C,"")</f>
        <v>어류</v>
      </c>
      <c r="K1271">
        <f>eDNA!B1271</f>
        <v>126.8797805</v>
      </c>
      <c r="L1271">
        <f>eDNA!C1271</f>
        <v>37.523914499999997</v>
      </c>
      <c r="M1271" s="10" t="str" cm="1">
        <f t="array" ref="M1271">IFERROR(_xlfn.XLOOKUP(1,('env Parameter'!$A:$A=$A1271)*('env Parameter'!$B:$B=$K1271)*('env Parameter'!$C:$C=$L1271),'env Parameter'!D:D,""),"")</f>
        <v>안양천-15</v>
      </c>
      <c r="N1271" s="10" t="str" cm="1">
        <f t="array" ref="N1271">IFERROR(_xlfn.XLOOKUP(1,('env Parameter'!$A:$A=$A1271)*('env Parameter'!$B:$B=$K1271)*('env Parameter'!$C:$C=$L1271),'env Parameter'!I:I,""),"")</f>
        <v>YR</v>
      </c>
    </row>
    <row r="1272" spans="1:14">
      <c r="A1272">
        <f>eDNA!A1272</f>
        <v>20201024</v>
      </c>
      <c r="B1272" s="10" t="str" cm="1">
        <f t="array" ref="B1272">IFERROR(_xlfn.XLOOKUP(1,('env Parameter'!$A:$A=$A1272)*('env Parameter'!$B:$B=$K1272)*('env Parameter'!$C:$C=$L1272),'env Parameter'!H:H,""),"")</f>
        <v>생물상 조사</v>
      </c>
      <c r="C1272" s="10" cm="1">
        <f t="array" ref="C1272">IFERROR(_xlfn.XLOOKUP(1,('env Parameter'!$A:$A=$A1272)*('env Parameter'!$B:$B=$K1272)*('env Parameter'!$C:$C=$L1272),'env Parameter'!E:E,""),"")</f>
        <v>2.14</v>
      </c>
      <c r="D1272" s="10" cm="1">
        <f t="array" ref="D1272">IFERROR(_xlfn.XLOOKUP(1,('env Parameter'!$A:$A=$A1272)*('env Parameter'!$B:$B=$K1272)*('env Parameter'!$C:$C=$L1272),'env Parameter'!F:F,""),"")</f>
        <v>478</v>
      </c>
      <c r="E1272" s="10" cm="1">
        <f t="array" ref="E1272">IFERROR(_xlfn.XLOOKUP(1,('env Parameter'!$A:$A=$A1272)*('env Parameter'!$B:$B=$K1272)*('env Parameter'!$C:$C=$L1272),'env Parameter'!G:G,""),"")</f>
        <v>7.6</v>
      </c>
      <c r="F1272" t="str">
        <f>eDNA!F1272</f>
        <v>MiFish</v>
      </c>
      <c r="G1272" t="str">
        <f>eDNA!D1272</f>
        <v>Hemibarbus sp.</v>
      </c>
      <c r="H1272" t="str">
        <f>_xlfn.XLOOKUP(G1272,'Common name (master file)'!$B:$B,'Common name (master file)'!$A:$A,"-------------")</f>
        <v>누치 속</v>
      </c>
      <c r="I1272">
        <f>eDNA!E1272</f>
        <v>718</v>
      </c>
      <c r="J1272" t="str">
        <f>_xlfn.XLOOKUP(G1272,'Common name (master file)'!$B:$B,'Common name (master file)'!$C:$C,"")</f>
        <v>어류</v>
      </c>
      <c r="K1272">
        <f>eDNA!B1272</f>
        <v>126.8797805</v>
      </c>
      <c r="L1272">
        <f>eDNA!C1272</f>
        <v>37.523914499999997</v>
      </c>
      <c r="M1272" s="10" t="str" cm="1">
        <f t="array" ref="M1272">IFERROR(_xlfn.XLOOKUP(1,('env Parameter'!$A:$A=$A1272)*('env Parameter'!$B:$B=$K1272)*('env Parameter'!$C:$C=$L1272),'env Parameter'!D:D,""),"")</f>
        <v>안양천-15</v>
      </c>
      <c r="N1272" s="10" t="str" cm="1">
        <f t="array" ref="N1272">IFERROR(_xlfn.XLOOKUP(1,('env Parameter'!$A:$A=$A1272)*('env Parameter'!$B:$B=$K1272)*('env Parameter'!$C:$C=$L1272),'env Parameter'!I:I,""),"")</f>
        <v>YR</v>
      </c>
    </row>
    <row r="1273" spans="1:14">
      <c r="A1273">
        <f>eDNA!A1273</f>
        <v>20201024</v>
      </c>
      <c r="B1273" s="10" t="str" cm="1">
        <f t="array" ref="B1273">IFERROR(_xlfn.XLOOKUP(1,('env Parameter'!$A:$A=$A1273)*('env Parameter'!$B:$B=$K1273)*('env Parameter'!$C:$C=$L1273),'env Parameter'!H:H,""),"")</f>
        <v>생물상 조사</v>
      </c>
      <c r="C1273" s="10" cm="1">
        <f t="array" ref="C1273">IFERROR(_xlfn.XLOOKUP(1,('env Parameter'!$A:$A=$A1273)*('env Parameter'!$B:$B=$K1273)*('env Parameter'!$C:$C=$L1273),'env Parameter'!E:E,""),"")</f>
        <v>2.14</v>
      </c>
      <c r="D1273" s="10" cm="1">
        <f t="array" ref="D1273">IFERROR(_xlfn.XLOOKUP(1,('env Parameter'!$A:$A=$A1273)*('env Parameter'!$B:$B=$K1273)*('env Parameter'!$C:$C=$L1273),'env Parameter'!F:F,""),"")</f>
        <v>478</v>
      </c>
      <c r="E1273" s="10" cm="1">
        <f t="array" ref="E1273">IFERROR(_xlfn.XLOOKUP(1,('env Parameter'!$A:$A=$A1273)*('env Parameter'!$B:$B=$K1273)*('env Parameter'!$C:$C=$L1273),'env Parameter'!G:G,""),"")</f>
        <v>7.6</v>
      </c>
      <c r="F1273" t="str">
        <f>eDNA!F1273</f>
        <v>MiFish</v>
      </c>
      <c r="G1273" t="str">
        <f>eDNA!D1273</f>
        <v>Tridentiger obscurus</v>
      </c>
      <c r="H1273" t="str">
        <f>_xlfn.XLOOKUP(G1273,'Common name (master file)'!$B:$B,'Common name (master file)'!$A:$A,"-------------")</f>
        <v>검정망둑</v>
      </c>
      <c r="I1273">
        <f>eDNA!E1273</f>
        <v>713</v>
      </c>
      <c r="J1273" t="str">
        <f>_xlfn.XLOOKUP(G1273,'Common name (master file)'!$B:$B,'Common name (master file)'!$C:$C,"")</f>
        <v>어류</v>
      </c>
      <c r="K1273">
        <f>eDNA!B1273</f>
        <v>126.8797805</v>
      </c>
      <c r="L1273">
        <f>eDNA!C1273</f>
        <v>37.523914499999997</v>
      </c>
      <c r="M1273" s="10" t="str" cm="1">
        <f t="array" ref="M1273">IFERROR(_xlfn.XLOOKUP(1,('env Parameter'!$A:$A=$A1273)*('env Parameter'!$B:$B=$K1273)*('env Parameter'!$C:$C=$L1273),'env Parameter'!D:D,""),"")</f>
        <v>안양천-15</v>
      </c>
      <c r="N1273" s="10" t="str" cm="1">
        <f t="array" ref="N1273">IFERROR(_xlfn.XLOOKUP(1,('env Parameter'!$A:$A=$A1273)*('env Parameter'!$B:$B=$K1273)*('env Parameter'!$C:$C=$L1273),'env Parameter'!I:I,""),"")</f>
        <v>YR</v>
      </c>
    </row>
    <row r="1274" spans="1:14">
      <c r="A1274">
        <f>eDNA!A1274</f>
        <v>20201024</v>
      </c>
      <c r="B1274" s="10" t="str" cm="1">
        <f t="array" ref="B1274">IFERROR(_xlfn.XLOOKUP(1,('env Parameter'!$A:$A=$A1274)*('env Parameter'!$B:$B=$K1274)*('env Parameter'!$C:$C=$L1274),'env Parameter'!H:H,""),"")</f>
        <v>생물상 조사</v>
      </c>
      <c r="C1274" s="10" cm="1">
        <f t="array" ref="C1274">IFERROR(_xlfn.XLOOKUP(1,('env Parameter'!$A:$A=$A1274)*('env Parameter'!$B:$B=$K1274)*('env Parameter'!$C:$C=$L1274),'env Parameter'!E:E,""),"")</f>
        <v>2.14</v>
      </c>
      <c r="D1274" s="10" cm="1">
        <f t="array" ref="D1274">IFERROR(_xlfn.XLOOKUP(1,('env Parameter'!$A:$A=$A1274)*('env Parameter'!$B:$B=$K1274)*('env Parameter'!$C:$C=$L1274),'env Parameter'!F:F,""),"")</f>
        <v>478</v>
      </c>
      <c r="E1274" s="10" cm="1">
        <f t="array" ref="E1274">IFERROR(_xlfn.XLOOKUP(1,('env Parameter'!$A:$A=$A1274)*('env Parameter'!$B:$B=$K1274)*('env Parameter'!$C:$C=$L1274),'env Parameter'!G:G,""),"")</f>
        <v>7.6</v>
      </c>
      <c r="F1274" t="str">
        <f>eDNA!F1274</f>
        <v>MiFish</v>
      </c>
      <c r="G1274" t="str">
        <f>eDNA!D1274</f>
        <v>Plagiognathops microlepis</v>
      </c>
      <c r="H1274" t="str">
        <f>_xlfn.XLOOKUP(G1274,'Common name (master file)'!$B:$B,'Common name (master file)'!$A:$A,"-------------")</f>
        <v>왜몰개</v>
      </c>
      <c r="I1274">
        <f>eDNA!E1274</f>
        <v>856</v>
      </c>
      <c r="J1274" t="str">
        <f>_xlfn.XLOOKUP(G1274,'Common name (master file)'!$B:$B,'Common name (master file)'!$C:$C,"")</f>
        <v>어류</v>
      </c>
      <c r="K1274">
        <f>eDNA!B1274</f>
        <v>126.8797805</v>
      </c>
      <c r="L1274">
        <f>eDNA!C1274</f>
        <v>37.523914499999997</v>
      </c>
      <c r="M1274" s="10" t="str" cm="1">
        <f t="array" ref="M1274">IFERROR(_xlfn.XLOOKUP(1,('env Parameter'!$A:$A=$A1274)*('env Parameter'!$B:$B=$K1274)*('env Parameter'!$C:$C=$L1274),'env Parameter'!D:D,""),"")</f>
        <v>안양천-15</v>
      </c>
      <c r="N1274" s="10" t="str" cm="1">
        <f t="array" ref="N1274">IFERROR(_xlfn.XLOOKUP(1,('env Parameter'!$A:$A=$A1274)*('env Parameter'!$B:$B=$K1274)*('env Parameter'!$C:$C=$L1274),'env Parameter'!I:I,""),"")</f>
        <v>YR</v>
      </c>
    </row>
    <row r="1275" spans="1:14">
      <c r="A1275">
        <f>eDNA!A1275</f>
        <v>20201024</v>
      </c>
      <c r="B1275" s="10" t="str" cm="1">
        <f t="array" ref="B1275">IFERROR(_xlfn.XLOOKUP(1,('env Parameter'!$A:$A=$A1275)*('env Parameter'!$B:$B=$K1275)*('env Parameter'!$C:$C=$L1275),'env Parameter'!H:H,""),"")</f>
        <v>생물상 조사</v>
      </c>
      <c r="C1275" s="10" cm="1">
        <f t="array" ref="C1275">IFERROR(_xlfn.XLOOKUP(1,('env Parameter'!$A:$A=$A1275)*('env Parameter'!$B:$B=$K1275)*('env Parameter'!$C:$C=$L1275),'env Parameter'!E:E,""),"")</f>
        <v>2.14</v>
      </c>
      <c r="D1275" s="10" cm="1">
        <f t="array" ref="D1275">IFERROR(_xlfn.XLOOKUP(1,('env Parameter'!$A:$A=$A1275)*('env Parameter'!$B:$B=$K1275)*('env Parameter'!$C:$C=$L1275),'env Parameter'!F:F,""),"")</f>
        <v>478</v>
      </c>
      <c r="E1275" s="10" cm="1">
        <f t="array" ref="E1275">IFERROR(_xlfn.XLOOKUP(1,('env Parameter'!$A:$A=$A1275)*('env Parameter'!$B:$B=$K1275)*('env Parameter'!$C:$C=$L1275),'env Parameter'!G:G,""),"")</f>
        <v>7.6</v>
      </c>
      <c r="F1275" t="str">
        <f>eDNA!F1275</f>
        <v>MiFish</v>
      </c>
      <c r="G1275" t="str">
        <f>eDNA!D1275</f>
        <v>Acanthorhodeus chankaensis</v>
      </c>
      <c r="H1275" t="str">
        <f>_xlfn.XLOOKUP(G1275,'Common name (master file)'!$B:$B,'Common name (master file)'!$A:$A,"-------------")</f>
        <v>가시납지리</v>
      </c>
      <c r="I1275">
        <f>eDNA!E1275</f>
        <v>955</v>
      </c>
      <c r="J1275" t="str">
        <f>_xlfn.XLOOKUP(G1275,'Common name (master file)'!$B:$B,'Common name (master file)'!$C:$C,"")</f>
        <v>어류</v>
      </c>
      <c r="K1275">
        <f>eDNA!B1275</f>
        <v>126.8797805</v>
      </c>
      <c r="L1275">
        <f>eDNA!C1275</f>
        <v>37.523914499999997</v>
      </c>
      <c r="M1275" s="10" t="str" cm="1">
        <f t="array" ref="M1275">IFERROR(_xlfn.XLOOKUP(1,('env Parameter'!$A:$A=$A1275)*('env Parameter'!$B:$B=$K1275)*('env Parameter'!$C:$C=$L1275),'env Parameter'!D:D,""),"")</f>
        <v>안양천-15</v>
      </c>
      <c r="N1275" s="10" t="str" cm="1">
        <f t="array" ref="N1275">IFERROR(_xlfn.XLOOKUP(1,('env Parameter'!$A:$A=$A1275)*('env Parameter'!$B:$B=$K1275)*('env Parameter'!$C:$C=$L1275),'env Parameter'!I:I,""),"")</f>
        <v>YR</v>
      </c>
    </row>
    <row r="1276" spans="1:14">
      <c r="A1276">
        <f>eDNA!A1276</f>
        <v>20201024</v>
      </c>
      <c r="B1276" s="10" t="str" cm="1">
        <f t="array" ref="B1276">IFERROR(_xlfn.XLOOKUP(1,('env Parameter'!$A:$A=$A1276)*('env Parameter'!$B:$B=$K1276)*('env Parameter'!$C:$C=$L1276),'env Parameter'!H:H,""),"")</f>
        <v>생물상 조사</v>
      </c>
      <c r="C1276" s="10" cm="1">
        <f t="array" ref="C1276">IFERROR(_xlfn.XLOOKUP(1,('env Parameter'!$A:$A=$A1276)*('env Parameter'!$B:$B=$K1276)*('env Parameter'!$C:$C=$L1276),'env Parameter'!E:E,""),"")</f>
        <v>2.14</v>
      </c>
      <c r="D1276" s="10" cm="1">
        <f t="array" ref="D1276">IFERROR(_xlfn.XLOOKUP(1,('env Parameter'!$A:$A=$A1276)*('env Parameter'!$B:$B=$K1276)*('env Parameter'!$C:$C=$L1276),'env Parameter'!F:F,""),"")</f>
        <v>478</v>
      </c>
      <c r="E1276" s="10" cm="1">
        <f t="array" ref="E1276">IFERROR(_xlfn.XLOOKUP(1,('env Parameter'!$A:$A=$A1276)*('env Parameter'!$B:$B=$K1276)*('env Parameter'!$C:$C=$L1276),'env Parameter'!G:G,""),"")</f>
        <v>7.6</v>
      </c>
      <c r="F1276" t="str">
        <f>eDNA!F1276</f>
        <v>MiFish</v>
      </c>
      <c r="G1276" t="str">
        <f>eDNA!D1276</f>
        <v>Carassius sp.</v>
      </c>
      <c r="H1276" t="str">
        <f>_xlfn.XLOOKUP(G1276,'Common name (master file)'!$B:$B,'Common name (master file)'!$A:$A,"-------------")</f>
        <v>붕어 속</v>
      </c>
      <c r="I1276">
        <f>eDNA!E1276</f>
        <v>911</v>
      </c>
      <c r="J1276" t="str">
        <f>_xlfn.XLOOKUP(G1276,'Common name (master file)'!$B:$B,'Common name (master file)'!$C:$C,"")</f>
        <v>어류</v>
      </c>
      <c r="K1276">
        <f>eDNA!B1276</f>
        <v>126.8797805</v>
      </c>
      <c r="L1276">
        <f>eDNA!C1276</f>
        <v>37.523914499999997</v>
      </c>
      <c r="M1276" s="10" t="str" cm="1">
        <f t="array" ref="M1276">IFERROR(_xlfn.XLOOKUP(1,('env Parameter'!$A:$A=$A1276)*('env Parameter'!$B:$B=$K1276)*('env Parameter'!$C:$C=$L1276),'env Parameter'!D:D,""),"")</f>
        <v>안양천-15</v>
      </c>
      <c r="N1276" s="10" t="str" cm="1">
        <f t="array" ref="N1276">IFERROR(_xlfn.XLOOKUP(1,('env Parameter'!$A:$A=$A1276)*('env Parameter'!$B:$B=$K1276)*('env Parameter'!$C:$C=$L1276),'env Parameter'!I:I,""),"")</f>
        <v>YR</v>
      </c>
    </row>
    <row r="1277" spans="1:14">
      <c r="A1277">
        <f>eDNA!A1277</f>
        <v>20201024</v>
      </c>
      <c r="B1277" s="10" t="str" cm="1">
        <f t="array" ref="B1277">IFERROR(_xlfn.XLOOKUP(1,('env Parameter'!$A:$A=$A1277)*('env Parameter'!$B:$B=$K1277)*('env Parameter'!$C:$C=$L1277),'env Parameter'!H:H,""),"")</f>
        <v>생물상 조사</v>
      </c>
      <c r="C1277" s="10" cm="1">
        <f t="array" ref="C1277">IFERROR(_xlfn.XLOOKUP(1,('env Parameter'!$A:$A=$A1277)*('env Parameter'!$B:$B=$K1277)*('env Parameter'!$C:$C=$L1277),'env Parameter'!E:E,""),"")</f>
        <v>2.14</v>
      </c>
      <c r="D1277" s="10" cm="1">
        <f t="array" ref="D1277">IFERROR(_xlfn.XLOOKUP(1,('env Parameter'!$A:$A=$A1277)*('env Parameter'!$B:$B=$K1277)*('env Parameter'!$C:$C=$L1277),'env Parameter'!F:F,""),"")</f>
        <v>478</v>
      </c>
      <c r="E1277" s="10" cm="1">
        <f t="array" ref="E1277">IFERROR(_xlfn.XLOOKUP(1,('env Parameter'!$A:$A=$A1277)*('env Parameter'!$B:$B=$K1277)*('env Parameter'!$C:$C=$L1277),'env Parameter'!G:G,""),"")</f>
        <v>7.6</v>
      </c>
      <c r="F1277" t="str">
        <f>eDNA!F1277</f>
        <v>MiFish</v>
      </c>
      <c r="G1277" t="str">
        <f>eDNA!D1277</f>
        <v>Silurus soldatovi</v>
      </c>
      <c r="H1277" t="str">
        <f>_xlfn.XLOOKUP(G1277,'Common name (master file)'!$B:$B,'Common name (master file)'!$A:$A,"-------------")</f>
        <v>솔다토비 메기</v>
      </c>
      <c r="I1277">
        <f>eDNA!E1277</f>
        <v>902</v>
      </c>
      <c r="J1277" t="str">
        <f>_xlfn.XLOOKUP(G1277,'Common name (master file)'!$B:$B,'Common name (master file)'!$C:$C,"")</f>
        <v>어류</v>
      </c>
      <c r="K1277">
        <f>eDNA!B1277</f>
        <v>126.8797805</v>
      </c>
      <c r="L1277">
        <f>eDNA!C1277</f>
        <v>37.523914499999997</v>
      </c>
      <c r="M1277" s="10" t="str" cm="1">
        <f t="array" ref="M1277">IFERROR(_xlfn.XLOOKUP(1,('env Parameter'!$A:$A=$A1277)*('env Parameter'!$B:$B=$K1277)*('env Parameter'!$C:$C=$L1277),'env Parameter'!D:D,""),"")</f>
        <v>안양천-15</v>
      </c>
      <c r="N1277" s="10" t="str" cm="1">
        <f t="array" ref="N1277">IFERROR(_xlfn.XLOOKUP(1,('env Parameter'!$A:$A=$A1277)*('env Parameter'!$B:$B=$K1277)*('env Parameter'!$C:$C=$L1277),'env Parameter'!I:I,""),"")</f>
        <v>YR</v>
      </c>
    </row>
    <row r="1278" spans="1:14">
      <c r="A1278">
        <f>eDNA!A1278</f>
        <v>20201024</v>
      </c>
      <c r="B1278" s="10" t="str" cm="1">
        <f t="array" ref="B1278">IFERROR(_xlfn.XLOOKUP(1,('env Parameter'!$A:$A=$A1278)*('env Parameter'!$B:$B=$K1278)*('env Parameter'!$C:$C=$L1278),'env Parameter'!H:H,""),"")</f>
        <v>생물상 조사</v>
      </c>
      <c r="C1278" s="10" cm="1">
        <f t="array" ref="C1278">IFERROR(_xlfn.XLOOKUP(1,('env Parameter'!$A:$A=$A1278)*('env Parameter'!$B:$B=$K1278)*('env Parameter'!$C:$C=$L1278),'env Parameter'!E:E,""),"")</f>
        <v>2.14</v>
      </c>
      <c r="D1278" s="10" cm="1">
        <f t="array" ref="D1278">IFERROR(_xlfn.XLOOKUP(1,('env Parameter'!$A:$A=$A1278)*('env Parameter'!$B:$B=$K1278)*('env Parameter'!$C:$C=$L1278),'env Parameter'!F:F,""),"")</f>
        <v>478</v>
      </c>
      <c r="E1278" s="10" cm="1">
        <f t="array" ref="E1278">IFERROR(_xlfn.XLOOKUP(1,('env Parameter'!$A:$A=$A1278)*('env Parameter'!$B:$B=$K1278)*('env Parameter'!$C:$C=$L1278),'env Parameter'!G:G,""),"")</f>
        <v>7.6</v>
      </c>
      <c r="F1278" t="str">
        <f>eDNA!F1278</f>
        <v>MiFish</v>
      </c>
      <c r="G1278" t="str">
        <f>eDNA!D1278</f>
        <v>Odontobutis interrupta</v>
      </c>
      <c r="H1278" t="str">
        <f>_xlfn.XLOOKUP(G1278,'Common name (master file)'!$B:$B,'Common name (master file)'!$A:$A,"-------------")</f>
        <v>얼록동사리</v>
      </c>
      <c r="I1278">
        <f>eDNA!E1278</f>
        <v>1274</v>
      </c>
      <c r="J1278" t="str">
        <f>_xlfn.XLOOKUP(G1278,'Common name (master file)'!$B:$B,'Common name (master file)'!$C:$C,"")</f>
        <v>어류</v>
      </c>
      <c r="K1278">
        <f>eDNA!B1278</f>
        <v>126.8797805</v>
      </c>
      <c r="L1278">
        <f>eDNA!C1278</f>
        <v>37.523914499999997</v>
      </c>
      <c r="M1278" s="10" t="str" cm="1">
        <f t="array" ref="M1278">IFERROR(_xlfn.XLOOKUP(1,('env Parameter'!$A:$A=$A1278)*('env Parameter'!$B:$B=$K1278)*('env Parameter'!$C:$C=$L1278),'env Parameter'!D:D,""),"")</f>
        <v>안양천-15</v>
      </c>
      <c r="N1278" s="10" t="str" cm="1">
        <f t="array" ref="N1278">IFERROR(_xlfn.XLOOKUP(1,('env Parameter'!$A:$A=$A1278)*('env Parameter'!$B:$B=$K1278)*('env Parameter'!$C:$C=$L1278),'env Parameter'!I:I,""),"")</f>
        <v>YR</v>
      </c>
    </row>
    <row r="1279" spans="1:14">
      <c r="A1279">
        <f>eDNA!A1279</f>
        <v>20201024</v>
      </c>
      <c r="B1279" s="10" t="str" cm="1">
        <f t="array" ref="B1279">IFERROR(_xlfn.XLOOKUP(1,('env Parameter'!$A:$A=$A1279)*('env Parameter'!$B:$B=$K1279)*('env Parameter'!$C:$C=$L1279),'env Parameter'!H:H,""),"")</f>
        <v>생물상 조사</v>
      </c>
      <c r="C1279" s="10" cm="1">
        <f t="array" ref="C1279">IFERROR(_xlfn.XLOOKUP(1,('env Parameter'!$A:$A=$A1279)*('env Parameter'!$B:$B=$K1279)*('env Parameter'!$C:$C=$L1279),'env Parameter'!E:E,""),"")</f>
        <v>2.14</v>
      </c>
      <c r="D1279" s="10" cm="1">
        <f t="array" ref="D1279">IFERROR(_xlfn.XLOOKUP(1,('env Parameter'!$A:$A=$A1279)*('env Parameter'!$B:$B=$K1279)*('env Parameter'!$C:$C=$L1279),'env Parameter'!F:F,""),"")</f>
        <v>478</v>
      </c>
      <c r="E1279" s="10" cm="1">
        <f t="array" ref="E1279">IFERROR(_xlfn.XLOOKUP(1,('env Parameter'!$A:$A=$A1279)*('env Parameter'!$B:$B=$K1279)*('env Parameter'!$C:$C=$L1279),'env Parameter'!G:G,""),"")</f>
        <v>7.6</v>
      </c>
      <c r="F1279" t="str">
        <f>eDNA!F1279</f>
        <v>MiFish</v>
      </c>
      <c r="G1279" t="str">
        <f>eDNA!D1279</f>
        <v>Tridentiger trigonocephalus</v>
      </c>
      <c r="H1279" t="str">
        <f>_xlfn.XLOOKUP(G1279,'Common name (master file)'!$B:$B,'Common name (master file)'!$A:$A,"-------------")</f>
        <v>두줄망둑</v>
      </c>
      <c r="I1279">
        <f>eDNA!E1279</f>
        <v>1721</v>
      </c>
      <c r="J1279" t="str">
        <f>_xlfn.XLOOKUP(G1279,'Common name (master file)'!$B:$B,'Common name (master file)'!$C:$C,"")</f>
        <v>어류</v>
      </c>
      <c r="K1279">
        <f>eDNA!B1279</f>
        <v>126.8797805</v>
      </c>
      <c r="L1279">
        <f>eDNA!C1279</f>
        <v>37.523914499999997</v>
      </c>
      <c r="M1279" s="10" t="str" cm="1">
        <f t="array" ref="M1279">IFERROR(_xlfn.XLOOKUP(1,('env Parameter'!$A:$A=$A1279)*('env Parameter'!$B:$B=$K1279)*('env Parameter'!$C:$C=$L1279),'env Parameter'!D:D,""),"")</f>
        <v>안양천-15</v>
      </c>
      <c r="N1279" s="10" t="str" cm="1">
        <f t="array" ref="N1279">IFERROR(_xlfn.XLOOKUP(1,('env Parameter'!$A:$A=$A1279)*('env Parameter'!$B:$B=$K1279)*('env Parameter'!$C:$C=$L1279),'env Parameter'!I:I,""),"")</f>
        <v>YR</v>
      </c>
    </row>
    <row r="1280" spans="1:14">
      <c r="A1280">
        <f>eDNA!A1280</f>
        <v>20201024</v>
      </c>
      <c r="B1280" s="10" t="str" cm="1">
        <f t="array" ref="B1280">IFERROR(_xlfn.XLOOKUP(1,('env Parameter'!$A:$A=$A1280)*('env Parameter'!$B:$B=$K1280)*('env Parameter'!$C:$C=$L1280),'env Parameter'!H:H,""),"")</f>
        <v>생물상 조사</v>
      </c>
      <c r="C1280" s="10" cm="1">
        <f t="array" ref="C1280">IFERROR(_xlfn.XLOOKUP(1,('env Parameter'!$A:$A=$A1280)*('env Parameter'!$B:$B=$K1280)*('env Parameter'!$C:$C=$L1280),'env Parameter'!E:E,""),"")</f>
        <v>2.14</v>
      </c>
      <c r="D1280" s="10" cm="1">
        <f t="array" ref="D1280">IFERROR(_xlfn.XLOOKUP(1,('env Parameter'!$A:$A=$A1280)*('env Parameter'!$B:$B=$K1280)*('env Parameter'!$C:$C=$L1280),'env Parameter'!F:F,""),"")</f>
        <v>478</v>
      </c>
      <c r="E1280" s="10" cm="1">
        <f t="array" ref="E1280">IFERROR(_xlfn.XLOOKUP(1,('env Parameter'!$A:$A=$A1280)*('env Parameter'!$B:$B=$K1280)*('env Parameter'!$C:$C=$L1280),'env Parameter'!G:G,""),"")</f>
        <v>7.6</v>
      </c>
      <c r="F1280" t="str">
        <f>eDNA!F1280</f>
        <v>MiFish</v>
      </c>
      <c r="G1280" t="str">
        <f>eDNA!D1280</f>
        <v>Zacco platypus</v>
      </c>
      <c r="H1280" t="str">
        <f>_xlfn.XLOOKUP(G1280,'Common name (master file)'!$B:$B,'Common name (master file)'!$A:$A,"-------------")</f>
        <v>피라미</v>
      </c>
      <c r="I1280">
        <f>eDNA!E1280</f>
        <v>3421</v>
      </c>
      <c r="J1280" t="str">
        <f>_xlfn.XLOOKUP(G1280,'Common name (master file)'!$B:$B,'Common name (master file)'!$C:$C,"")</f>
        <v>어류</v>
      </c>
      <c r="K1280">
        <f>eDNA!B1280</f>
        <v>126.8797805</v>
      </c>
      <c r="L1280">
        <f>eDNA!C1280</f>
        <v>37.523914499999997</v>
      </c>
      <c r="M1280" s="10" t="str" cm="1">
        <f t="array" ref="M1280">IFERROR(_xlfn.XLOOKUP(1,('env Parameter'!$A:$A=$A1280)*('env Parameter'!$B:$B=$K1280)*('env Parameter'!$C:$C=$L1280),'env Parameter'!D:D,""),"")</f>
        <v>안양천-15</v>
      </c>
      <c r="N1280" s="10" t="str" cm="1">
        <f t="array" ref="N1280">IFERROR(_xlfn.XLOOKUP(1,('env Parameter'!$A:$A=$A1280)*('env Parameter'!$B:$B=$K1280)*('env Parameter'!$C:$C=$L1280),'env Parameter'!I:I,""),"")</f>
        <v>YR</v>
      </c>
    </row>
    <row r="1281" spans="1:14">
      <c r="A1281">
        <f>eDNA!A1281</f>
        <v>20201024</v>
      </c>
      <c r="B1281" s="10" t="str" cm="1">
        <f t="array" ref="B1281">IFERROR(_xlfn.XLOOKUP(1,('env Parameter'!$A:$A=$A1281)*('env Parameter'!$B:$B=$K1281)*('env Parameter'!$C:$C=$L1281),'env Parameter'!H:H,""),"")</f>
        <v>생물상 조사</v>
      </c>
      <c r="C1281" s="10" cm="1">
        <f t="array" ref="C1281">IFERROR(_xlfn.XLOOKUP(1,('env Parameter'!$A:$A=$A1281)*('env Parameter'!$B:$B=$K1281)*('env Parameter'!$C:$C=$L1281),'env Parameter'!E:E,""),"")</f>
        <v>2.14</v>
      </c>
      <c r="D1281" s="10" cm="1">
        <f t="array" ref="D1281">IFERROR(_xlfn.XLOOKUP(1,('env Parameter'!$A:$A=$A1281)*('env Parameter'!$B:$B=$K1281)*('env Parameter'!$C:$C=$L1281),'env Parameter'!F:F,""),"")</f>
        <v>478</v>
      </c>
      <c r="E1281" s="10" cm="1">
        <f t="array" ref="E1281">IFERROR(_xlfn.XLOOKUP(1,('env Parameter'!$A:$A=$A1281)*('env Parameter'!$B:$B=$K1281)*('env Parameter'!$C:$C=$L1281),'env Parameter'!G:G,""),"")</f>
        <v>7.6</v>
      </c>
      <c r="F1281" t="str">
        <f>eDNA!F1281</f>
        <v>MiFish</v>
      </c>
      <c r="G1281" t="str">
        <f>eDNA!D1281</f>
        <v>Acheilognathus macropterus</v>
      </c>
      <c r="H1281" t="str">
        <f>_xlfn.XLOOKUP(G1281,'Common name (master file)'!$B:$B,'Common name (master file)'!$A:$A,"-------------")</f>
        <v>큰납지리</v>
      </c>
      <c r="I1281">
        <f>eDNA!E1281</f>
        <v>3276</v>
      </c>
      <c r="J1281" t="str">
        <f>_xlfn.XLOOKUP(G1281,'Common name (master file)'!$B:$B,'Common name (master file)'!$C:$C,"")</f>
        <v>어류</v>
      </c>
      <c r="K1281">
        <f>eDNA!B1281</f>
        <v>126.8797805</v>
      </c>
      <c r="L1281">
        <f>eDNA!C1281</f>
        <v>37.523914499999997</v>
      </c>
      <c r="M1281" s="10" t="str" cm="1">
        <f t="array" ref="M1281">IFERROR(_xlfn.XLOOKUP(1,('env Parameter'!$A:$A=$A1281)*('env Parameter'!$B:$B=$K1281)*('env Parameter'!$C:$C=$L1281),'env Parameter'!D:D,""),"")</f>
        <v>안양천-15</v>
      </c>
      <c r="N1281" s="10" t="str" cm="1">
        <f t="array" ref="N1281">IFERROR(_xlfn.XLOOKUP(1,('env Parameter'!$A:$A=$A1281)*('env Parameter'!$B:$B=$K1281)*('env Parameter'!$C:$C=$L1281),'env Parameter'!I:I,""),"")</f>
        <v>YR</v>
      </c>
    </row>
    <row r="1282" spans="1:14">
      <c r="A1282">
        <f>eDNA!A1282</f>
        <v>20201024</v>
      </c>
      <c r="B1282" s="10" t="str" cm="1">
        <f t="array" ref="B1282">IFERROR(_xlfn.XLOOKUP(1,('env Parameter'!$A:$A=$A1282)*('env Parameter'!$B:$B=$K1282)*('env Parameter'!$C:$C=$L1282),'env Parameter'!H:H,""),"")</f>
        <v>생물상 조사</v>
      </c>
      <c r="C1282" s="10" cm="1">
        <f t="array" ref="C1282">IFERROR(_xlfn.XLOOKUP(1,('env Parameter'!$A:$A=$A1282)*('env Parameter'!$B:$B=$K1282)*('env Parameter'!$C:$C=$L1282),'env Parameter'!E:E,""),"")</f>
        <v>2.14</v>
      </c>
      <c r="D1282" s="10" cm="1">
        <f t="array" ref="D1282">IFERROR(_xlfn.XLOOKUP(1,('env Parameter'!$A:$A=$A1282)*('env Parameter'!$B:$B=$K1282)*('env Parameter'!$C:$C=$L1282),'env Parameter'!F:F,""),"")</f>
        <v>478</v>
      </c>
      <c r="E1282" s="10" cm="1">
        <f t="array" ref="E1282">IFERROR(_xlfn.XLOOKUP(1,('env Parameter'!$A:$A=$A1282)*('env Parameter'!$B:$B=$K1282)*('env Parameter'!$C:$C=$L1282),'env Parameter'!G:G,""),"")</f>
        <v>7.6</v>
      </c>
      <c r="F1282" t="str">
        <f>eDNA!F1282</f>
        <v>MiFish</v>
      </c>
      <c r="G1282" t="str">
        <f>eDNA!D1282</f>
        <v>Mugil cephalus</v>
      </c>
      <c r="H1282" t="str">
        <f>_xlfn.XLOOKUP(G1282,'Common name (master file)'!$B:$B,'Common name (master file)'!$A:$A,"-------------")</f>
        <v>숭어</v>
      </c>
      <c r="I1282">
        <f>eDNA!E1282</f>
        <v>3771</v>
      </c>
      <c r="J1282" t="str">
        <f>_xlfn.XLOOKUP(G1282,'Common name (master file)'!$B:$B,'Common name (master file)'!$C:$C,"")</f>
        <v>어류</v>
      </c>
      <c r="K1282">
        <f>eDNA!B1282</f>
        <v>126.8797805</v>
      </c>
      <c r="L1282">
        <f>eDNA!C1282</f>
        <v>37.523914499999997</v>
      </c>
      <c r="M1282" s="10" t="str" cm="1">
        <f t="array" ref="M1282">IFERROR(_xlfn.XLOOKUP(1,('env Parameter'!$A:$A=$A1282)*('env Parameter'!$B:$B=$K1282)*('env Parameter'!$C:$C=$L1282),'env Parameter'!D:D,""),"")</f>
        <v>안양천-15</v>
      </c>
      <c r="N1282" s="10" t="str" cm="1">
        <f t="array" ref="N1282">IFERROR(_xlfn.XLOOKUP(1,('env Parameter'!$A:$A=$A1282)*('env Parameter'!$B:$B=$K1282)*('env Parameter'!$C:$C=$L1282),'env Parameter'!I:I,""),"")</f>
        <v>YR</v>
      </c>
    </row>
    <row r="1283" spans="1:14">
      <c r="A1283">
        <f>eDNA!A1283</f>
        <v>20201024</v>
      </c>
      <c r="B1283" s="10" t="str" cm="1">
        <f t="array" ref="B1283">IFERROR(_xlfn.XLOOKUP(1,('env Parameter'!$A:$A=$A1283)*('env Parameter'!$B:$B=$K1283)*('env Parameter'!$C:$C=$L1283),'env Parameter'!H:H,""),"")</f>
        <v>생물상 조사</v>
      </c>
      <c r="C1283" s="10" cm="1">
        <f t="array" ref="C1283">IFERROR(_xlfn.XLOOKUP(1,('env Parameter'!$A:$A=$A1283)*('env Parameter'!$B:$B=$K1283)*('env Parameter'!$C:$C=$L1283),'env Parameter'!E:E,""),"")</f>
        <v>2.14</v>
      </c>
      <c r="D1283" s="10" cm="1">
        <f t="array" ref="D1283">IFERROR(_xlfn.XLOOKUP(1,('env Parameter'!$A:$A=$A1283)*('env Parameter'!$B:$B=$K1283)*('env Parameter'!$C:$C=$L1283),'env Parameter'!F:F,""),"")</f>
        <v>478</v>
      </c>
      <c r="E1283" s="10" cm="1">
        <f t="array" ref="E1283">IFERROR(_xlfn.XLOOKUP(1,('env Parameter'!$A:$A=$A1283)*('env Parameter'!$B:$B=$K1283)*('env Parameter'!$C:$C=$L1283),'env Parameter'!G:G,""),"")</f>
        <v>7.6</v>
      </c>
      <c r="F1283" t="str">
        <f>eDNA!F1283</f>
        <v>MiFish</v>
      </c>
      <c r="G1283" t="str">
        <f>eDNA!D1283</f>
        <v>Channa argus</v>
      </c>
      <c r="H1283" t="str">
        <f>_xlfn.XLOOKUP(G1283,'Common name (master file)'!$B:$B,'Common name (master file)'!$A:$A,"-------------")</f>
        <v>가물치</v>
      </c>
      <c r="I1283">
        <f>eDNA!E1283</f>
        <v>5307</v>
      </c>
      <c r="J1283" t="str">
        <f>_xlfn.XLOOKUP(G1283,'Common name (master file)'!$B:$B,'Common name (master file)'!$C:$C,"")</f>
        <v>어류</v>
      </c>
      <c r="K1283">
        <f>eDNA!B1283</f>
        <v>126.8797805</v>
      </c>
      <c r="L1283">
        <f>eDNA!C1283</f>
        <v>37.523914499999997</v>
      </c>
      <c r="M1283" s="10" t="str" cm="1">
        <f t="array" ref="M1283">IFERROR(_xlfn.XLOOKUP(1,('env Parameter'!$A:$A=$A1283)*('env Parameter'!$B:$B=$K1283)*('env Parameter'!$C:$C=$L1283),'env Parameter'!D:D,""),"")</f>
        <v>안양천-15</v>
      </c>
      <c r="N1283" s="10" t="str" cm="1">
        <f t="array" ref="N1283">IFERROR(_xlfn.XLOOKUP(1,('env Parameter'!$A:$A=$A1283)*('env Parameter'!$B:$B=$K1283)*('env Parameter'!$C:$C=$L1283),'env Parameter'!I:I,""),"")</f>
        <v>YR</v>
      </c>
    </row>
    <row r="1284" spans="1:14">
      <c r="A1284">
        <f>eDNA!A1284</f>
        <v>20201024</v>
      </c>
      <c r="B1284" s="10" t="str" cm="1">
        <f t="array" ref="B1284">IFERROR(_xlfn.XLOOKUP(1,('env Parameter'!$A:$A=$A1284)*('env Parameter'!$B:$B=$K1284)*('env Parameter'!$C:$C=$L1284),'env Parameter'!H:H,""),"")</f>
        <v>생물상 조사</v>
      </c>
      <c r="C1284" s="10" cm="1">
        <f t="array" ref="C1284">IFERROR(_xlfn.XLOOKUP(1,('env Parameter'!$A:$A=$A1284)*('env Parameter'!$B:$B=$K1284)*('env Parameter'!$C:$C=$L1284),'env Parameter'!E:E,""),"")</f>
        <v>2.14</v>
      </c>
      <c r="D1284" s="10" cm="1">
        <f t="array" ref="D1284">IFERROR(_xlfn.XLOOKUP(1,('env Parameter'!$A:$A=$A1284)*('env Parameter'!$B:$B=$K1284)*('env Parameter'!$C:$C=$L1284),'env Parameter'!F:F,""),"")</f>
        <v>478</v>
      </c>
      <c r="E1284" s="10" cm="1">
        <f t="array" ref="E1284">IFERROR(_xlfn.XLOOKUP(1,('env Parameter'!$A:$A=$A1284)*('env Parameter'!$B:$B=$K1284)*('env Parameter'!$C:$C=$L1284),'env Parameter'!G:G,""),"")</f>
        <v>7.6</v>
      </c>
      <c r="F1284" t="str">
        <f>eDNA!F1284</f>
        <v>MiFish</v>
      </c>
      <c r="G1284" t="str">
        <f>eDNA!D1284</f>
        <v>Carassius gibelio</v>
      </c>
      <c r="H1284" t="str">
        <f>_xlfn.XLOOKUP(G1284,'Common name (master file)'!$B:$B,'Common name (master file)'!$A:$A,"-------------")</f>
        <v>기벨리오 붕어</v>
      </c>
      <c r="I1284">
        <f>eDNA!E1284</f>
        <v>27351</v>
      </c>
      <c r="J1284" t="str">
        <f>_xlfn.XLOOKUP(G1284,'Common name (master file)'!$B:$B,'Common name (master file)'!$C:$C,"")</f>
        <v>어류</v>
      </c>
      <c r="K1284">
        <f>eDNA!B1284</f>
        <v>126.8797805</v>
      </c>
      <c r="L1284">
        <f>eDNA!C1284</f>
        <v>37.523914499999997</v>
      </c>
      <c r="M1284" s="10" t="str" cm="1">
        <f t="array" ref="M1284">IFERROR(_xlfn.XLOOKUP(1,('env Parameter'!$A:$A=$A1284)*('env Parameter'!$B:$B=$K1284)*('env Parameter'!$C:$C=$L1284),'env Parameter'!D:D,""),"")</f>
        <v>안양천-15</v>
      </c>
      <c r="N1284" s="10" t="str" cm="1">
        <f t="array" ref="N1284">IFERROR(_xlfn.XLOOKUP(1,('env Parameter'!$A:$A=$A1284)*('env Parameter'!$B:$B=$K1284)*('env Parameter'!$C:$C=$L1284),'env Parameter'!I:I,""),"")</f>
        <v>YR</v>
      </c>
    </row>
    <row r="1285" spans="1:14">
      <c r="A1285">
        <f>eDNA!A1285</f>
        <v>20201024</v>
      </c>
      <c r="B1285" s="10" t="str" cm="1">
        <f t="array" ref="B1285">IFERROR(_xlfn.XLOOKUP(1,('env Parameter'!$A:$A=$A1285)*('env Parameter'!$B:$B=$K1285)*('env Parameter'!$C:$C=$L1285),'env Parameter'!H:H,""),"")</f>
        <v>생물상 조사</v>
      </c>
      <c r="C1285" s="10" cm="1">
        <f t="array" ref="C1285">IFERROR(_xlfn.XLOOKUP(1,('env Parameter'!$A:$A=$A1285)*('env Parameter'!$B:$B=$K1285)*('env Parameter'!$C:$C=$L1285),'env Parameter'!E:E,""),"")</f>
        <v>2.14</v>
      </c>
      <c r="D1285" s="10" cm="1">
        <f t="array" ref="D1285">IFERROR(_xlfn.XLOOKUP(1,('env Parameter'!$A:$A=$A1285)*('env Parameter'!$B:$B=$K1285)*('env Parameter'!$C:$C=$L1285),'env Parameter'!F:F,""),"")</f>
        <v>478</v>
      </c>
      <c r="E1285" s="10" cm="1">
        <f t="array" ref="E1285">IFERROR(_xlfn.XLOOKUP(1,('env Parameter'!$A:$A=$A1285)*('env Parameter'!$B:$B=$K1285)*('env Parameter'!$C:$C=$L1285),'env Parameter'!G:G,""),"")</f>
        <v>7.6</v>
      </c>
      <c r="F1285" t="str">
        <f>eDNA!F1285</f>
        <v>MiFish</v>
      </c>
      <c r="G1285" t="str">
        <f>eDNA!D1285</f>
        <v>Pseudorasbora parva</v>
      </c>
      <c r="H1285" t="str">
        <f>_xlfn.XLOOKUP(G1285,'Common name (master file)'!$B:$B,'Common name (master file)'!$A:$A,"-------------")</f>
        <v>참붕어</v>
      </c>
      <c r="I1285">
        <f>eDNA!E1285</f>
        <v>40172</v>
      </c>
      <c r="J1285" t="str">
        <f>_xlfn.XLOOKUP(G1285,'Common name (master file)'!$B:$B,'Common name (master file)'!$C:$C,"")</f>
        <v>어류</v>
      </c>
      <c r="K1285">
        <f>eDNA!B1285</f>
        <v>126.8797805</v>
      </c>
      <c r="L1285">
        <f>eDNA!C1285</f>
        <v>37.523914499999997</v>
      </c>
      <c r="M1285" s="10" t="str" cm="1">
        <f t="array" ref="M1285">IFERROR(_xlfn.XLOOKUP(1,('env Parameter'!$A:$A=$A1285)*('env Parameter'!$B:$B=$K1285)*('env Parameter'!$C:$C=$L1285),'env Parameter'!D:D,""),"")</f>
        <v>안양천-15</v>
      </c>
      <c r="N1285" s="10" t="str" cm="1">
        <f t="array" ref="N1285">IFERROR(_xlfn.XLOOKUP(1,('env Parameter'!$A:$A=$A1285)*('env Parameter'!$B:$B=$K1285)*('env Parameter'!$C:$C=$L1285),'env Parameter'!I:I,""),"")</f>
        <v>YR</v>
      </c>
    </row>
    <row r="1286" spans="1:14">
      <c r="A1286">
        <f>eDNA!A1286</f>
        <v>20201024</v>
      </c>
      <c r="B1286" s="10" t="str" cm="1">
        <f t="array" ref="B1286">IFERROR(_xlfn.XLOOKUP(1,('env Parameter'!$A:$A=$A1286)*('env Parameter'!$B:$B=$K1286)*('env Parameter'!$C:$C=$L1286),'env Parameter'!H:H,""),"")</f>
        <v>생물상 조사</v>
      </c>
      <c r="C1286" s="10" cm="1">
        <f t="array" ref="C1286">IFERROR(_xlfn.XLOOKUP(1,('env Parameter'!$A:$A=$A1286)*('env Parameter'!$B:$B=$K1286)*('env Parameter'!$C:$C=$L1286),'env Parameter'!E:E,""),"")</f>
        <v>2.14</v>
      </c>
      <c r="D1286" s="10" cm="1">
        <f t="array" ref="D1286">IFERROR(_xlfn.XLOOKUP(1,('env Parameter'!$A:$A=$A1286)*('env Parameter'!$B:$B=$K1286)*('env Parameter'!$C:$C=$L1286),'env Parameter'!F:F,""),"")</f>
        <v>478</v>
      </c>
      <c r="E1286" s="10" cm="1">
        <f t="array" ref="E1286">IFERROR(_xlfn.XLOOKUP(1,('env Parameter'!$A:$A=$A1286)*('env Parameter'!$B:$B=$K1286)*('env Parameter'!$C:$C=$L1286),'env Parameter'!G:G,""),"")</f>
        <v>7.6</v>
      </c>
      <c r="F1286" t="str">
        <f>eDNA!F1286</f>
        <v>MiFish</v>
      </c>
      <c r="G1286" t="str">
        <f>eDNA!D1286</f>
        <v>Planiliza haematocheila</v>
      </c>
      <c r="H1286" t="str">
        <f>_xlfn.XLOOKUP(G1286,'Common name (master file)'!$B:$B,'Common name (master file)'!$A:$A,"-------------")</f>
        <v>가숭어</v>
      </c>
      <c r="I1286">
        <f>eDNA!E1286</f>
        <v>70673</v>
      </c>
      <c r="J1286" t="str">
        <f>_xlfn.XLOOKUP(G1286,'Common name (master file)'!$B:$B,'Common name (master file)'!$C:$C,"")</f>
        <v>어류</v>
      </c>
      <c r="K1286">
        <f>eDNA!B1286</f>
        <v>126.8797805</v>
      </c>
      <c r="L1286">
        <f>eDNA!C1286</f>
        <v>37.523914499999997</v>
      </c>
      <c r="M1286" s="10" t="str" cm="1">
        <f t="array" ref="M1286">IFERROR(_xlfn.XLOOKUP(1,('env Parameter'!$A:$A=$A1286)*('env Parameter'!$B:$B=$K1286)*('env Parameter'!$C:$C=$L1286),'env Parameter'!D:D,""),"")</f>
        <v>안양천-15</v>
      </c>
      <c r="N1286" s="10" t="str" cm="1">
        <f t="array" ref="N1286">IFERROR(_xlfn.XLOOKUP(1,('env Parameter'!$A:$A=$A1286)*('env Parameter'!$B:$B=$K1286)*('env Parameter'!$C:$C=$L1286),'env Parameter'!I:I,""),"")</f>
        <v>YR</v>
      </c>
    </row>
    <row r="1287" spans="1:14">
      <c r="A1287">
        <f>eDNA!A1287</f>
        <v>20201024</v>
      </c>
      <c r="B1287" s="10" t="str" cm="1">
        <f t="array" ref="B1287">IFERROR(_xlfn.XLOOKUP(1,('env Parameter'!$A:$A=$A1287)*('env Parameter'!$B:$B=$K1287)*('env Parameter'!$C:$C=$L1287),'env Parameter'!H:H,""),"")</f>
        <v>생물상 조사</v>
      </c>
      <c r="C1287" s="10" cm="1">
        <f t="array" ref="C1287">IFERROR(_xlfn.XLOOKUP(1,('env Parameter'!$A:$A=$A1287)*('env Parameter'!$B:$B=$K1287)*('env Parameter'!$C:$C=$L1287),'env Parameter'!E:E,""),"")</f>
        <v>2.14</v>
      </c>
      <c r="D1287" s="10" cm="1">
        <f t="array" ref="D1287">IFERROR(_xlfn.XLOOKUP(1,('env Parameter'!$A:$A=$A1287)*('env Parameter'!$B:$B=$K1287)*('env Parameter'!$C:$C=$L1287),'env Parameter'!F:F,""),"")</f>
        <v>478</v>
      </c>
      <c r="E1287" s="10" cm="1">
        <f t="array" ref="E1287">IFERROR(_xlfn.XLOOKUP(1,('env Parameter'!$A:$A=$A1287)*('env Parameter'!$B:$B=$K1287)*('env Parameter'!$C:$C=$L1287),'env Parameter'!G:G,""),"")</f>
        <v>7.6</v>
      </c>
      <c r="F1287" t="str">
        <f>eDNA!F1287</f>
        <v>MiFish</v>
      </c>
      <c r="G1287" t="str">
        <f>eDNA!D1287</f>
        <v>Carassius auratus</v>
      </c>
      <c r="H1287" t="str">
        <f>_xlfn.XLOOKUP(G1287,'Common name (master file)'!$B:$B,'Common name (master file)'!$A:$A,"-------------")</f>
        <v>붕어</v>
      </c>
      <c r="I1287">
        <f>eDNA!E1287</f>
        <v>15</v>
      </c>
      <c r="J1287" t="str">
        <f>_xlfn.XLOOKUP(G1287,'Common name (master file)'!$B:$B,'Common name (master file)'!$C:$C,"")</f>
        <v>어류</v>
      </c>
      <c r="K1287">
        <f>eDNA!B1287</f>
        <v>126.887135</v>
      </c>
      <c r="L1287">
        <f>eDNA!C1287</f>
        <v>37.539645499999999</v>
      </c>
      <c r="M1287" s="10" t="str" cm="1">
        <f t="array" ref="M1287">IFERROR(_xlfn.XLOOKUP(1,('env Parameter'!$A:$A=$A1287)*('env Parameter'!$B:$B=$K1287)*('env Parameter'!$C:$C=$L1287),'env Parameter'!D:D,""),"")</f>
        <v>안양천-16</v>
      </c>
      <c r="N1287" s="10" t="str" cm="1">
        <f t="array" ref="N1287">IFERROR(_xlfn.XLOOKUP(1,('env Parameter'!$A:$A=$A1287)*('env Parameter'!$B:$B=$K1287)*('env Parameter'!$C:$C=$L1287),'env Parameter'!I:I,""),"")</f>
        <v>YR</v>
      </c>
    </row>
    <row r="1288" spans="1:14">
      <c r="A1288">
        <f>eDNA!A1288</f>
        <v>20201024</v>
      </c>
      <c r="B1288" s="10" t="str" cm="1">
        <f t="array" ref="B1288">IFERROR(_xlfn.XLOOKUP(1,('env Parameter'!$A:$A=$A1288)*('env Parameter'!$B:$B=$K1288)*('env Parameter'!$C:$C=$L1288),'env Parameter'!H:H,""),"")</f>
        <v>생물상 조사</v>
      </c>
      <c r="C1288" s="10" cm="1">
        <f t="array" ref="C1288">IFERROR(_xlfn.XLOOKUP(1,('env Parameter'!$A:$A=$A1288)*('env Parameter'!$B:$B=$K1288)*('env Parameter'!$C:$C=$L1288),'env Parameter'!E:E,""),"")</f>
        <v>2.14</v>
      </c>
      <c r="D1288" s="10" cm="1">
        <f t="array" ref="D1288">IFERROR(_xlfn.XLOOKUP(1,('env Parameter'!$A:$A=$A1288)*('env Parameter'!$B:$B=$K1288)*('env Parameter'!$C:$C=$L1288),'env Parameter'!F:F,""),"")</f>
        <v>478</v>
      </c>
      <c r="E1288" s="10" cm="1">
        <f t="array" ref="E1288">IFERROR(_xlfn.XLOOKUP(1,('env Parameter'!$A:$A=$A1288)*('env Parameter'!$B:$B=$K1288)*('env Parameter'!$C:$C=$L1288),'env Parameter'!G:G,""),"")</f>
        <v>7.6</v>
      </c>
      <c r="F1288" t="str">
        <f>eDNA!F1288</f>
        <v>MiFish</v>
      </c>
      <c r="G1288" t="str">
        <f>eDNA!D1288</f>
        <v>Pica serica</v>
      </c>
      <c r="H1288" t="str">
        <f>_xlfn.XLOOKUP(G1288,'Common name (master file)'!$B:$B,'Common name (master file)'!$A:$A,"-------------")</f>
        <v>까치</v>
      </c>
      <c r="I1288">
        <f>eDNA!E1288</f>
        <v>22</v>
      </c>
      <c r="J1288" t="str">
        <f>_xlfn.XLOOKUP(G1288,'Common name (master file)'!$B:$B,'Common name (master file)'!$C:$C,"")</f>
        <v>조류</v>
      </c>
      <c r="K1288">
        <f>eDNA!B1288</f>
        <v>126.887135</v>
      </c>
      <c r="L1288">
        <f>eDNA!C1288</f>
        <v>37.539645499999999</v>
      </c>
      <c r="M1288" s="10" t="str" cm="1">
        <f t="array" ref="M1288">IFERROR(_xlfn.XLOOKUP(1,('env Parameter'!$A:$A=$A1288)*('env Parameter'!$B:$B=$K1288)*('env Parameter'!$C:$C=$L1288),'env Parameter'!D:D,""),"")</f>
        <v>안양천-16</v>
      </c>
      <c r="N1288" s="10" t="str" cm="1">
        <f t="array" ref="N1288">IFERROR(_xlfn.XLOOKUP(1,('env Parameter'!$A:$A=$A1288)*('env Parameter'!$B:$B=$K1288)*('env Parameter'!$C:$C=$L1288),'env Parameter'!I:I,""),"")</f>
        <v>YR</v>
      </c>
    </row>
    <row r="1289" spans="1:14">
      <c r="A1289">
        <f>eDNA!A1289</f>
        <v>20201024</v>
      </c>
      <c r="B1289" s="10" t="str" cm="1">
        <f t="array" ref="B1289">IFERROR(_xlfn.XLOOKUP(1,('env Parameter'!$A:$A=$A1289)*('env Parameter'!$B:$B=$K1289)*('env Parameter'!$C:$C=$L1289),'env Parameter'!H:H,""),"")</f>
        <v>생물상 조사</v>
      </c>
      <c r="C1289" s="10" cm="1">
        <f t="array" ref="C1289">IFERROR(_xlfn.XLOOKUP(1,('env Parameter'!$A:$A=$A1289)*('env Parameter'!$B:$B=$K1289)*('env Parameter'!$C:$C=$L1289),'env Parameter'!E:E,""),"")</f>
        <v>2.14</v>
      </c>
      <c r="D1289" s="10" cm="1">
        <f t="array" ref="D1289">IFERROR(_xlfn.XLOOKUP(1,('env Parameter'!$A:$A=$A1289)*('env Parameter'!$B:$B=$K1289)*('env Parameter'!$C:$C=$L1289),'env Parameter'!F:F,""),"")</f>
        <v>478</v>
      </c>
      <c r="E1289" s="10" cm="1">
        <f t="array" ref="E1289">IFERROR(_xlfn.XLOOKUP(1,('env Parameter'!$A:$A=$A1289)*('env Parameter'!$B:$B=$K1289)*('env Parameter'!$C:$C=$L1289),'env Parameter'!G:G,""),"")</f>
        <v>7.6</v>
      </c>
      <c r="F1289" t="str">
        <f>eDNA!F1289</f>
        <v>MiFish</v>
      </c>
      <c r="G1289" t="str">
        <f>eDNA!D1289</f>
        <v>Zacco platypus</v>
      </c>
      <c r="H1289" t="str">
        <f>_xlfn.XLOOKUP(G1289,'Common name (master file)'!$B:$B,'Common name (master file)'!$A:$A,"-------------")</f>
        <v>피라미</v>
      </c>
      <c r="I1289">
        <f>eDNA!E1289</f>
        <v>28</v>
      </c>
      <c r="J1289" t="str">
        <f>_xlfn.XLOOKUP(G1289,'Common name (master file)'!$B:$B,'Common name (master file)'!$C:$C,"")</f>
        <v>어류</v>
      </c>
      <c r="K1289">
        <f>eDNA!B1289</f>
        <v>126.887135</v>
      </c>
      <c r="L1289">
        <f>eDNA!C1289</f>
        <v>37.539645499999999</v>
      </c>
      <c r="M1289" s="10" t="str" cm="1">
        <f t="array" ref="M1289">IFERROR(_xlfn.XLOOKUP(1,('env Parameter'!$A:$A=$A1289)*('env Parameter'!$B:$B=$K1289)*('env Parameter'!$C:$C=$L1289),'env Parameter'!D:D,""),"")</f>
        <v>안양천-16</v>
      </c>
      <c r="N1289" s="10" t="str" cm="1">
        <f t="array" ref="N1289">IFERROR(_xlfn.XLOOKUP(1,('env Parameter'!$A:$A=$A1289)*('env Parameter'!$B:$B=$K1289)*('env Parameter'!$C:$C=$L1289),'env Parameter'!I:I,""),"")</f>
        <v>YR</v>
      </c>
    </row>
    <row r="1290" spans="1:14">
      <c r="A1290">
        <f>eDNA!A1290</f>
        <v>20201024</v>
      </c>
      <c r="B1290" s="10" t="str" cm="1">
        <f t="array" ref="B1290">IFERROR(_xlfn.XLOOKUP(1,('env Parameter'!$A:$A=$A1290)*('env Parameter'!$B:$B=$K1290)*('env Parameter'!$C:$C=$L1290),'env Parameter'!H:H,""),"")</f>
        <v>생물상 조사</v>
      </c>
      <c r="C1290" s="10" cm="1">
        <f t="array" ref="C1290">IFERROR(_xlfn.XLOOKUP(1,('env Parameter'!$A:$A=$A1290)*('env Parameter'!$B:$B=$K1290)*('env Parameter'!$C:$C=$L1290),'env Parameter'!E:E,""),"")</f>
        <v>2.14</v>
      </c>
      <c r="D1290" s="10" cm="1">
        <f t="array" ref="D1290">IFERROR(_xlfn.XLOOKUP(1,('env Parameter'!$A:$A=$A1290)*('env Parameter'!$B:$B=$K1290)*('env Parameter'!$C:$C=$L1290),'env Parameter'!F:F,""),"")</f>
        <v>478</v>
      </c>
      <c r="E1290" s="10" cm="1">
        <f t="array" ref="E1290">IFERROR(_xlfn.XLOOKUP(1,('env Parameter'!$A:$A=$A1290)*('env Parameter'!$B:$B=$K1290)*('env Parameter'!$C:$C=$L1290),'env Parameter'!G:G,""),"")</f>
        <v>7.6</v>
      </c>
      <c r="F1290" t="str">
        <f>eDNA!F1290</f>
        <v>MiFish</v>
      </c>
      <c r="G1290" t="str">
        <f>eDNA!D1290</f>
        <v>Hemibarbus umbrifer</v>
      </c>
      <c r="H1290" t="str">
        <f>_xlfn.XLOOKUP(G1290,'Common name (master file)'!$B:$B,'Common name (master file)'!$A:$A,"-------------")</f>
        <v>누치</v>
      </c>
      <c r="I1290">
        <f>eDNA!E1290</f>
        <v>35</v>
      </c>
      <c r="J1290" t="str">
        <f>_xlfn.XLOOKUP(G1290,'Common name (master file)'!$B:$B,'Common name (master file)'!$C:$C,"")</f>
        <v>어류</v>
      </c>
      <c r="K1290">
        <f>eDNA!B1290</f>
        <v>126.887135</v>
      </c>
      <c r="L1290">
        <f>eDNA!C1290</f>
        <v>37.539645499999999</v>
      </c>
      <c r="M1290" s="10" t="str" cm="1">
        <f t="array" ref="M1290">IFERROR(_xlfn.XLOOKUP(1,('env Parameter'!$A:$A=$A1290)*('env Parameter'!$B:$B=$K1290)*('env Parameter'!$C:$C=$L1290),'env Parameter'!D:D,""),"")</f>
        <v>안양천-16</v>
      </c>
      <c r="N1290" s="10" t="str" cm="1">
        <f t="array" ref="N1290">IFERROR(_xlfn.XLOOKUP(1,('env Parameter'!$A:$A=$A1290)*('env Parameter'!$B:$B=$K1290)*('env Parameter'!$C:$C=$L1290),'env Parameter'!I:I,""),"")</f>
        <v>YR</v>
      </c>
    </row>
    <row r="1291" spans="1:14">
      <c r="A1291">
        <f>eDNA!A1291</f>
        <v>20201024</v>
      </c>
      <c r="B1291" s="10" t="str" cm="1">
        <f t="array" ref="B1291">IFERROR(_xlfn.XLOOKUP(1,('env Parameter'!$A:$A=$A1291)*('env Parameter'!$B:$B=$K1291)*('env Parameter'!$C:$C=$L1291),'env Parameter'!H:H,""),"")</f>
        <v>생물상 조사</v>
      </c>
      <c r="C1291" s="10" cm="1">
        <f t="array" ref="C1291">IFERROR(_xlfn.XLOOKUP(1,('env Parameter'!$A:$A=$A1291)*('env Parameter'!$B:$B=$K1291)*('env Parameter'!$C:$C=$L1291),'env Parameter'!E:E,""),"")</f>
        <v>2.14</v>
      </c>
      <c r="D1291" s="10" cm="1">
        <f t="array" ref="D1291">IFERROR(_xlfn.XLOOKUP(1,('env Parameter'!$A:$A=$A1291)*('env Parameter'!$B:$B=$K1291)*('env Parameter'!$C:$C=$L1291),'env Parameter'!F:F,""),"")</f>
        <v>478</v>
      </c>
      <c r="E1291" s="10" cm="1">
        <f t="array" ref="E1291">IFERROR(_xlfn.XLOOKUP(1,('env Parameter'!$A:$A=$A1291)*('env Parameter'!$B:$B=$K1291)*('env Parameter'!$C:$C=$L1291),'env Parameter'!G:G,""),"")</f>
        <v>7.6</v>
      </c>
      <c r="F1291" t="str">
        <f>eDNA!F1291</f>
        <v>MiFish</v>
      </c>
      <c r="G1291" t="str">
        <f>eDNA!D1291</f>
        <v>Homo sapiens</v>
      </c>
      <c r="H1291" t="str">
        <f>_xlfn.XLOOKUP(G1291,'Common name (master file)'!$B:$B,'Common name (master file)'!$A:$A,"-------------")</f>
        <v>사람</v>
      </c>
      <c r="I1291">
        <f>eDNA!E1291</f>
        <v>137</v>
      </c>
      <c r="J1291" t="str">
        <f>_xlfn.XLOOKUP(G1291,'Common name (master file)'!$B:$B,'Common name (master file)'!$C:$C,"")</f>
        <v>포유류</v>
      </c>
      <c r="K1291">
        <f>eDNA!B1291</f>
        <v>126.887135</v>
      </c>
      <c r="L1291">
        <f>eDNA!C1291</f>
        <v>37.539645499999999</v>
      </c>
      <c r="M1291" s="10" t="str" cm="1">
        <f t="array" ref="M1291">IFERROR(_xlfn.XLOOKUP(1,('env Parameter'!$A:$A=$A1291)*('env Parameter'!$B:$B=$K1291)*('env Parameter'!$C:$C=$L1291),'env Parameter'!D:D,""),"")</f>
        <v>안양천-16</v>
      </c>
      <c r="N1291" s="10" t="str" cm="1">
        <f t="array" ref="N1291">IFERROR(_xlfn.XLOOKUP(1,('env Parameter'!$A:$A=$A1291)*('env Parameter'!$B:$B=$K1291)*('env Parameter'!$C:$C=$L1291),'env Parameter'!I:I,""),"")</f>
        <v>YR</v>
      </c>
    </row>
    <row r="1292" spans="1:14">
      <c r="A1292">
        <f>eDNA!A1292</f>
        <v>20201024</v>
      </c>
      <c r="B1292" s="10" t="str" cm="1">
        <f t="array" ref="B1292">IFERROR(_xlfn.XLOOKUP(1,('env Parameter'!$A:$A=$A1292)*('env Parameter'!$B:$B=$K1292)*('env Parameter'!$C:$C=$L1292),'env Parameter'!H:H,""),"")</f>
        <v>생물상 조사</v>
      </c>
      <c r="C1292" s="10" cm="1">
        <f t="array" ref="C1292">IFERROR(_xlfn.XLOOKUP(1,('env Parameter'!$A:$A=$A1292)*('env Parameter'!$B:$B=$K1292)*('env Parameter'!$C:$C=$L1292),'env Parameter'!E:E,""),"")</f>
        <v>2.14</v>
      </c>
      <c r="D1292" s="10" cm="1">
        <f t="array" ref="D1292">IFERROR(_xlfn.XLOOKUP(1,('env Parameter'!$A:$A=$A1292)*('env Parameter'!$B:$B=$K1292)*('env Parameter'!$C:$C=$L1292),'env Parameter'!F:F,""),"")</f>
        <v>478</v>
      </c>
      <c r="E1292" s="10" cm="1">
        <f t="array" ref="E1292">IFERROR(_xlfn.XLOOKUP(1,('env Parameter'!$A:$A=$A1292)*('env Parameter'!$B:$B=$K1292)*('env Parameter'!$C:$C=$L1292),'env Parameter'!G:G,""),"")</f>
        <v>7.6</v>
      </c>
      <c r="F1292" t="str">
        <f>eDNA!F1292</f>
        <v>MiFish</v>
      </c>
      <c r="G1292" t="str">
        <f>eDNA!D1292</f>
        <v>Canis lupus familiaris</v>
      </c>
      <c r="H1292" t="str">
        <f>_xlfn.XLOOKUP(G1292,'Common name (master file)'!$B:$B,'Common name (master file)'!$A:$A,"-------------")</f>
        <v>개</v>
      </c>
      <c r="I1292">
        <f>eDNA!E1292</f>
        <v>145</v>
      </c>
      <c r="J1292" t="str">
        <f>_xlfn.XLOOKUP(G1292,'Common name (master file)'!$B:$B,'Common name (master file)'!$C:$C,"")</f>
        <v>포유류</v>
      </c>
      <c r="K1292">
        <f>eDNA!B1292</f>
        <v>126.887135</v>
      </c>
      <c r="L1292">
        <f>eDNA!C1292</f>
        <v>37.539645499999999</v>
      </c>
      <c r="M1292" s="10" t="str" cm="1">
        <f t="array" ref="M1292">IFERROR(_xlfn.XLOOKUP(1,('env Parameter'!$A:$A=$A1292)*('env Parameter'!$B:$B=$K1292)*('env Parameter'!$C:$C=$L1292),'env Parameter'!D:D,""),"")</f>
        <v>안양천-16</v>
      </c>
      <c r="N1292" s="10" t="str" cm="1">
        <f t="array" ref="N1292">IFERROR(_xlfn.XLOOKUP(1,('env Parameter'!$A:$A=$A1292)*('env Parameter'!$B:$B=$K1292)*('env Parameter'!$C:$C=$L1292),'env Parameter'!I:I,""),"")</f>
        <v>YR</v>
      </c>
    </row>
    <row r="1293" spans="1:14">
      <c r="A1293">
        <f>eDNA!A1293</f>
        <v>20201024</v>
      </c>
      <c r="B1293" s="10" t="str" cm="1">
        <f t="array" ref="B1293">IFERROR(_xlfn.XLOOKUP(1,('env Parameter'!$A:$A=$A1293)*('env Parameter'!$B:$B=$K1293)*('env Parameter'!$C:$C=$L1293),'env Parameter'!H:H,""),"")</f>
        <v>생물상 조사</v>
      </c>
      <c r="C1293" s="10" cm="1">
        <f t="array" ref="C1293">IFERROR(_xlfn.XLOOKUP(1,('env Parameter'!$A:$A=$A1293)*('env Parameter'!$B:$B=$K1293)*('env Parameter'!$C:$C=$L1293),'env Parameter'!E:E,""),"")</f>
        <v>2.14</v>
      </c>
      <c r="D1293" s="10" cm="1">
        <f t="array" ref="D1293">IFERROR(_xlfn.XLOOKUP(1,('env Parameter'!$A:$A=$A1293)*('env Parameter'!$B:$B=$K1293)*('env Parameter'!$C:$C=$L1293),'env Parameter'!F:F,""),"")</f>
        <v>478</v>
      </c>
      <c r="E1293" s="10" cm="1">
        <f t="array" ref="E1293">IFERROR(_xlfn.XLOOKUP(1,('env Parameter'!$A:$A=$A1293)*('env Parameter'!$B:$B=$K1293)*('env Parameter'!$C:$C=$L1293),'env Parameter'!G:G,""),"")</f>
        <v>7.6</v>
      </c>
      <c r="F1293" t="str">
        <f>eDNA!F1293</f>
        <v>MiFish</v>
      </c>
      <c r="G1293" t="str">
        <f>eDNA!D1293</f>
        <v>Hemibarbus maculatus</v>
      </c>
      <c r="H1293" t="str">
        <f>_xlfn.XLOOKUP(G1293,'Common name (master file)'!$B:$B,'Common name (master file)'!$A:$A,"-------------")</f>
        <v>알락누치</v>
      </c>
      <c r="I1293">
        <f>eDNA!E1293</f>
        <v>145</v>
      </c>
      <c r="J1293" t="str">
        <f>_xlfn.XLOOKUP(G1293,'Common name (master file)'!$B:$B,'Common name (master file)'!$C:$C,"")</f>
        <v>어류</v>
      </c>
      <c r="K1293">
        <f>eDNA!B1293</f>
        <v>126.887135</v>
      </c>
      <c r="L1293">
        <f>eDNA!C1293</f>
        <v>37.539645499999999</v>
      </c>
      <c r="M1293" s="10" t="str" cm="1">
        <f t="array" ref="M1293">IFERROR(_xlfn.XLOOKUP(1,('env Parameter'!$A:$A=$A1293)*('env Parameter'!$B:$B=$K1293)*('env Parameter'!$C:$C=$L1293),'env Parameter'!D:D,""),"")</f>
        <v>안양천-16</v>
      </c>
      <c r="N1293" s="10" t="str" cm="1">
        <f t="array" ref="N1293">IFERROR(_xlfn.XLOOKUP(1,('env Parameter'!$A:$A=$A1293)*('env Parameter'!$B:$B=$K1293)*('env Parameter'!$C:$C=$L1293),'env Parameter'!I:I,""),"")</f>
        <v>YR</v>
      </c>
    </row>
    <row r="1294" spans="1:14">
      <c r="A1294">
        <f>eDNA!A1294</f>
        <v>20201024</v>
      </c>
      <c r="B1294" s="10" t="str" cm="1">
        <f t="array" ref="B1294">IFERROR(_xlfn.XLOOKUP(1,('env Parameter'!$A:$A=$A1294)*('env Parameter'!$B:$B=$K1294)*('env Parameter'!$C:$C=$L1294),'env Parameter'!H:H,""),"")</f>
        <v>생물상 조사</v>
      </c>
      <c r="C1294" s="10" cm="1">
        <f t="array" ref="C1294">IFERROR(_xlfn.XLOOKUP(1,('env Parameter'!$A:$A=$A1294)*('env Parameter'!$B:$B=$K1294)*('env Parameter'!$C:$C=$L1294),'env Parameter'!E:E,""),"")</f>
        <v>2.14</v>
      </c>
      <c r="D1294" s="10" cm="1">
        <f t="array" ref="D1294">IFERROR(_xlfn.XLOOKUP(1,('env Parameter'!$A:$A=$A1294)*('env Parameter'!$B:$B=$K1294)*('env Parameter'!$C:$C=$L1294),'env Parameter'!F:F,""),"")</f>
        <v>478</v>
      </c>
      <c r="E1294" s="10" cm="1">
        <f t="array" ref="E1294">IFERROR(_xlfn.XLOOKUP(1,('env Parameter'!$A:$A=$A1294)*('env Parameter'!$B:$B=$K1294)*('env Parameter'!$C:$C=$L1294),'env Parameter'!G:G,""),"")</f>
        <v>7.6</v>
      </c>
      <c r="F1294" t="str">
        <f>eDNA!F1294</f>
        <v>MiFish</v>
      </c>
      <c r="G1294" t="str">
        <f>eDNA!D1294</f>
        <v>Silurus soldatovi</v>
      </c>
      <c r="H1294" t="str">
        <f>_xlfn.XLOOKUP(G1294,'Common name (master file)'!$B:$B,'Common name (master file)'!$A:$A,"-------------")</f>
        <v>솔다토비 메기</v>
      </c>
      <c r="I1294">
        <f>eDNA!E1294</f>
        <v>233</v>
      </c>
      <c r="J1294" t="str">
        <f>_xlfn.XLOOKUP(G1294,'Common name (master file)'!$B:$B,'Common name (master file)'!$C:$C,"")</f>
        <v>어류</v>
      </c>
      <c r="K1294">
        <f>eDNA!B1294</f>
        <v>126.887135</v>
      </c>
      <c r="L1294">
        <f>eDNA!C1294</f>
        <v>37.539645499999999</v>
      </c>
      <c r="M1294" s="10" t="str" cm="1">
        <f t="array" ref="M1294">IFERROR(_xlfn.XLOOKUP(1,('env Parameter'!$A:$A=$A1294)*('env Parameter'!$B:$B=$K1294)*('env Parameter'!$C:$C=$L1294),'env Parameter'!D:D,""),"")</f>
        <v>안양천-16</v>
      </c>
      <c r="N1294" s="10" t="str" cm="1">
        <f t="array" ref="N1294">IFERROR(_xlfn.XLOOKUP(1,('env Parameter'!$A:$A=$A1294)*('env Parameter'!$B:$B=$K1294)*('env Parameter'!$C:$C=$L1294),'env Parameter'!I:I,""),"")</f>
        <v>YR</v>
      </c>
    </row>
    <row r="1295" spans="1:14">
      <c r="A1295">
        <f>eDNA!A1295</f>
        <v>20201024</v>
      </c>
      <c r="B1295" s="10" t="str" cm="1">
        <f t="array" ref="B1295">IFERROR(_xlfn.XLOOKUP(1,('env Parameter'!$A:$A=$A1295)*('env Parameter'!$B:$B=$K1295)*('env Parameter'!$C:$C=$L1295),'env Parameter'!H:H,""),"")</f>
        <v>생물상 조사</v>
      </c>
      <c r="C1295" s="10" cm="1">
        <f t="array" ref="C1295">IFERROR(_xlfn.XLOOKUP(1,('env Parameter'!$A:$A=$A1295)*('env Parameter'!$B:$B=$K1295)*('env Parameter'!$C:$C=$L1295),'env Parameter'!E:E,""),"")</f>
        <v>2.14</v>
      </c>
      <c r="D1295" s="10" cm="1">
        <f t="array" ref="D1295">IFERROR(_xlfn.XLOOKUP(1,('env Parameter'!$A:$A=$A1295)*('env Parameter'!$B:$B=$K1295)*('env Parameter'!$C:$C=$L1295),'env Parameter'!F:F,""),"")</f>
        <v>478</v>
      </c>
      <c r="E1295" s="10" cm="1">
        <f t="array" ref="E1295">IFERROR(_xlfn.XLOOKUP(1,('env Parameter'!$A:$A=$A1295)*('env Parameter'!$B:$B=$K1295)*('env Parameter'!$C:$C=$L1295),'env Parameter'!G:G,""),"")</f>
        <v>7.6</v>
      </c>
      <c r="F1295" t="str">
        <f>eDNA!F1295</f>
        <v>MiFish</v>
      </c>
      <c r="G1295" t="str">
        <f>eDNA!D1295</f>
        <v>Carassius sp.</v>
      </c>
      <c r="H1295" t="str">
        <f>_xlfn.XLOOKUP(G1295,'Common name (master file)'!$B:$B,'Common name (master file)'!$A:$A,"-------------")</f>
        <v>붕어 속</v>
      </c>
      <c r="I1295">
        <f>eDNA!E1295</f>
        <v>316</v>
      </c>
      <c r="J1295" t="str">
        <f>_xlfn.XLOOKUP(G1295,'Common name (master file)'!$B:$B,'Common name (master file)'!$C:$C,"")</f>
        <v>어류</v>
      </c>
      <c r="K1295">
        <f>eDNA!B1295</f>
        <v>126.887135</v>
      </c>
      <c r="L1295">
        <f>eDNA!C1295</f>
        <v>37.539645499999999</v>
      </c>
      <c r="M1295" s="10" t="str" cm="1">
        <f t="array" ref="M1295">IFERROR(_xlfn.XLOOKUP(1,('env Parameter'!$A:$A=$A1295)*('env Parameter'!$B:$B=$K1295)*('env Parameter'!$C:$C=$L1295),'env Parameter'!D:D,""),"")</f>
        <v>안양천-16</v>
      </c>
      <c r="N1295" s="10" t="str" cm="1">
        <f t="array" ref="N1295">IFERROR(_xlfn.XLOOKUP(1,('env Parameter'!$A:$A=$A1295)*('env Parameter'!$B:$B=$K1295)*('env Parameter'!$C:$C=$L1295),'env Parameter'!I:I,""),"")</f>
        <v>YR</v>
      </c>
    </row>
    <row r="1296" spans="1:14">
      <c r="A1296">
        <f>eDNA!A1296</f>
        <v>20201024</v>
      </c>
      <c r="B1296" s="10" t="str" cm="1">
        <f t="array" ref="B1296">IFERROR(_xlfn.XLOOKUP(1,('env Parameter'!$A:$A=$A1296)*('env Parameter'!$B:$B=$K1296)*('env Parameter'!$C:$C=$L1296),'env Parameter'!H:H,""),"")</f>
        <v>생물상 조사</v>
      </c>
      <c r="C1296" s="10" cm="1">
        <f t="array" ref="C1296">IFERROR(_xlfn.XLOOKUP(1,('env Parameter'!$A:$A=$A1296)*('env Parameter'!$B:$B=$K1296)*('env Parameter'!$C:$C=$L1296),'env Parameter'!E:E,""),"")</f>
        <v>2.14</v>
      </c>
      <c r="D1296" s="10" cm="1">
        <f t="array" ref="D1296">IFERROR(_xlfn.XLOOKUP(1,('env Parameter'!$A:$A=$A1296)*('env Parameter'!$B:$B=$K1296)*('env Parameter'!$C:$C=$L1296),'env Parameter'!F:F,""),"")</f>
        <v>478</v>
      </c>
      <c r="E1296" s="10" cm="1">
        <f t="array" ref="E1296">IFERROR(_xlfn.XLOOKUP(1,('env Parameter'!$A:$A=$A1296)*('env Parameter'!$B:$B=$K1296)*('env Parameter'!$C:$C=$L1296),'env Parameter'!G:G,""),"")</f>
        <v>7.6</v>
      </c>
      <c r="F1296" t="str">
        <f>eDNA!F1296</f>
        <v>MiFish</v>
      </c>
      <c r="G1296" t="str">
        <f>eDNA!D1296</f>
        <v>Acheilognathus macropterus</v>
      </c>
      <c r="H1296" t="str">
        <f>_xlfn.XLOOKUP(G1296,'Common name (master file)'!$B:$B,'Common name (master file)'!$A:$A,"-------------")</f>
        <v>큰납지리</v>
      </c>
      <c r="I1296">
        <f>eDNA!E1296</f>
        <v>334</v>
      </c>
      <c r="J1296" t="str">
        <f>_xlfn.XLOOKUP(G1296,'Common name (master file)'!$B:$B,'Common name (master file)'!$C:$C,"")</f>
        <v>어류</v>
      </c>
      <c r="K1296">
        <f>eDNA!B1296</f>
        <v>126.887135</v>
      </c>
      <c r="L1296">
        <f>eDNA!C1296</f>
        <v>37.539645499999999</v>
      </c>
      <c r="M1296" s="10" t="str" cm="1">
        <f t="array" ref="M1296">IFERROR(_xlfn.XLOOKUP(1,('env Parameter'!$A:$A=$A1296)*('env Parameter'!$B:$B=$K1296)*('env Parameter'!$C:$C=$L1296),'env Parameter'!D:D,""),"")</f>
        <v>안양천-16</v>
      </c>
      <c r="N1296" s="10" t="str" cm="1">
        <f t="array" ref="N1296">IFERROR(_xlfn.XLOOKUP(1,('env Parameter'!$A:$A=$A1296)*('env Parameter'!$B:$B=$K1296)*('env Parameter'!$C:$C=$L1296),'env Parameter'!I:I,""),"")</f>
        <v>YR</v>
      </c>
    </row>
    <row r="1297" spans="1:14">
      <c r="A1297">
        <f>eDNA!A1297</f>
        <v>20201024</v>
      </c>
      <c r="B1297" s="10" t="str" cm="1">
        <f t="array" ref="B1297">IFERROR(_xlfn.XLOOKUP(1,('env Parameter'!$A:$A=$A1297)*('env Parameter'!$B:$B=$K1297)*('env Parameter'!$C:$C=$L1297),'env Parameter'!H:H,""),"")</f>
        <v>생물상 조사</v>
      </c>
      <c r="C1297" s="10" cm="1">
        <f t="array" ref="C1297">IFERROR(_xlfn.XLOOKUP(1,('env Parameter'!$A:$A=$A1297)*('env Parameter'!$B:$B=$K1297)*('env Parameter'!$C:$C=$L1297),'env Parameter'!E:E,""),"")</f>
        <v>2.14</v>
      </c>
      <c r="D1297" s="10" cm="1">
        <f t="array" ref="D1297">IFERROR(_xlfn.XLOOKUP(1,('env Parameter'!$A:$A=$A1297)*('env Parameter'!$B:$B=$K1297)*('env Parameter'!$C:$C=$L1297),'env Parameter'!F:F,""),"")</f>
        <v>478</v>
      </c>
      <c r="E1297" s="10" cm="1">
        <f t="array" ref="E1297">IFERROR(_xlfn.XLOOKUP(1,('env Parameter'!$A:$A=$A1297)*('env Parameter'!$B:$B=$K1297)*('env Parameter'!$C:$C=$L1297),'env Parameter'!G:G,""),"")</f>
        <v>7.6</v>
      </c>
      <c r="F1297" t="str">
        <f>eDNA!F1297</f>
        <v>MiFish</v>
      </c>
      <c r="G1297" t="str">
        <f>eDNA!D1297</f>
        <v>Cyprinus carpio</v>
      </c>
      <c r="H1297" t="str">
        <f>_xlfn.XLOOKUP(G1297,'Common name (master file)'!$B:$B,'Common name (master file)'!$A:$A,"-------------")</f>
        <v>잉어</v>
      </c>
      <c r="I1297">
        <f>eDNA!E1297</f>
        <v>612</v>
      </c>
      <c r="J1297" t="str">
        <f>_xlfn.XLOOKUP(G1297,'Common name (master file)'!$B:$B,'Common name (master file)'!$C:$C,"")</f>
        <v>어류</v>
      </c>
      <c r="K1297">
        <f>eDNA!B1297</f>
        <v>126.887135</v>
      </c>
      <c r="L1297">
        <f>eDNA!C1297</f>
        <v>37.539645499999999</v>
      </c>
      <c r="M1297" s="10" t="str" cm="1">
        <f t="array" ref="M1297">IFERROR(_xlfn.XLOOKUP(1,('env Parameter'!$A:$A=$A1297)*('env Parameter'!$B:$B=$K1297)*('env Parameter'!$C:$C=$L1297),'env Parameter'!D:D,""),"")</f>
        <v>안양천-16</v>
      </c>
      <c r="N1297" s="10" t="str" cm="1">
        <f t="array" ref="N1297">IFERROR(_xlfn.XLOOKUP(1,('env Parameter'!$A:$A=$A1297)*('env Parameter'!$B:$B=$K1297)*('env Parameter'!$C:$C=$L1297),'env Parameter'!I:I,""),"")</f>
        <v>YR</v>
      </c>
    </row>
    <row r="1298" spans="1:14">
      <c r="A1298">
        <f>eDNA!A1298</f>
        <v>20201024</v>
      </c>
      <c r="B1298" s="10" t="str" cm="1">
        <f t="array" ref="B1298">IFERROR(_xlfn.XLOOKUP(1,('env Parameter'!$A:$A=$A1298)*('env Parameter'!$B:$B=$K1298)*('env Parameter'!$C:$C=$L1298),'env Parameter'!H:H,""),"")</f>
        <v>생물상 조사</v>
      </c>
      <c r="C1298" s="10" cm="1">
        <f t="array" ref="C1298">IFERROR(_xlfn.XLOOKUP(1,('env Parameter'!$A:$A=$A1298)*('env Parameter'!$B:$B=$K1298)*('env Parameter'!$C:$C=$L1298),'env Parameter'!E:E,""),"")</f>
        <v>2.14</v>
      </c>
      <c r="D1298" s="10" cm="1">
        <f t="array" ref="D1298">IFERROR(_xlfn.XLOOKUP(1,('env Parameter'!$A:$A=$A1298)*('env Parameter'!$B:$B=$K1298)*('env Parameter'!$C:$C=$L1298),'env Parameter'!F:F,""),"")</f>
        <v>478</v>
      </c>
      <c r="E1298" s="10" cm="1">
        <f t="array" ref="E1298">IFERROR(_xlfn.XLOOKUP(1,('env Parameter'!$A:$A=$A1298)*('env Parameter'!$B:$B=$K1298)*('env Parameter'!$C:$C=$L1298),'env Parameter'!G:G,""),"")</f>
        <v>7.6</v>
      </c>
      <c r="F1298" t="str">
        <f>eDNA!F1298</f>
        <v>MiFish</v>
      </c>
      <c r="G1298" t="str">
        <f>eDNA!D1298</f>
        <v>Rhinogobius sp.</v>
      </c>
      <c r="H1298" t="str">
        <f>_xlfn.XLOOKUP(G1298,'Common name (master file)'!$B:$B,'Common name (master file)'!$A:$A,"-------------")</f>
        <v>밀어</v>
      </c>
      <c r="I1298">
        <f>eDNA!E1298</f>
        <v>962</v>
      </c>
      <c r="J1298" t="str">
        <f>_xlfn.XLOOKUP(G1298,'Common name (master file)'!$B:$B,'Common name (master file)'!$C:$C,"")</f>
        <v>어류</v>
      </c>
      <c r="K1298">
        <f>eDNA!B1298</f>
        <v>126.887135</v>
      </c>
      <c r="L1298">
        <f>eDNA!C1298</f>
        <v>37.539645499999999</v>
      </c>
      <c r="M1298" s="10" t="str" cm="1">
        <f t="array" ref="M1298">IFERROR(_xlfn.XLOOKUP(1,('env Parameter'!$A:$A=$A1298)*('env Parameter'!$B:$B=$K1298)*('env Parameter'!$C:$C=$L1298),'env Parameter'!D:D,""),"")</f>
        <v>안양천-16</v>
      </c>
      <c r="N1298" s="10" t="str" cm="1">
        <f t="array" ref="N1298">IFERROR(_xlfn.XLOOKUP(1,('env Parameter'!$A:$A=$A1298)*('env Parameter'!$B:$B=$K1298)*('env Parameter'!$C:$C=$L1298),'env Parameter'!I:I,""),"")</f>
        <v>YR</v>
      </c>
    </row>
    <row r="1299" spans="1:14">
      <c r="A1299">
        <f>eDNA!A1299</f>
        <v>20201024</v>
      </c>
      <c r="B1299" s="10" t="str" cm="1">
        <f t="array" ref="B1299">IFERROR(_xlfn.XLOOKUP(1,('env Parameter'!$A:$A=$A1299)*('env Parameter'!$B:$B=$K1299)*('env Parameter'!$C:$C=$L1299),'env Parameter'!H:H,""),"")</f>
        <v>생물상 조사</v>
      </c>
      <c r="C1299" s="10" cm="1">
        <f t="array" ref="C1299">IFERROR(_xlfn.XLOOKUP(1,('env Parameter'!$A:$A=$A1299)*('env Parameter'!$B:$B=$K1299)*('env Parameter'!$C:$C=$L1299),'env Parameter'!E:E,""),"")</f>
        <v>2.14</v>
      </c>
      <c r="D1299" s="10" cm="1">
        <f t="array" ref="D1299">IFERROR(_xlfn.XLOOKUP(1,('env Parameter'!$A:$A=$A1299)*('env Parameter'!$B:$B=$K1299)*('env Parameter'!$C:$C=$L1299),'env Parameter'!F:F,""),"")</f>
        <v>478</v>
      </c>
      <c r="E1299" s="10" cm="1">
        <f t="array" ref="E1299">IFERROR(_xlfn.XLOOKUP(1,('env Parameter'!$A:$A=$A1299)*('env Parameter'!$B:$B=$K1299)*('env Parameter'!$C:$C=$L1299),'env Parameter'!G:G,""),"")</f>
        <v>7.6</v>
      </c>
      <c r="F1299" t="str">
        <f>eDNA!F1299</f>
        <v>MiFish</v>
      </c>
      <c r="G1299" t="str">
        <f>eDNA!D1299</f>
        <v>Tridentiger obscurus</v>
      </c>
      <c r="H1299" t="str">
        <f>_xlfn.XLOOKUP(G1299,'Common name (master file)'!$B:$B,'Common name (master file)'!$A:$A,"-------------")</f>
        <v>검정망둑</v>
      </c>
      <c r="I1299">
        <f>eDNA!E1299</f>
        <v>722</v>
      </c>
      <c r="J1299" t="str">
        <f>_xlfn.XLOOKUP(G1299,'Common name (master file)'!$B:$B,'Common name (master file)'!$C:$C,"")</f>
        <v>어류</v>
      </c>
      <c r="K1299">
        <f>eDNA!B1299</f>
        <v>126.887135</v>
      </c>
      <c r="L1299">
        <f>eDNA!C1299</f>
        <v>37.539645499999999</v>
      </c>
      <c r="M1299" s="10" t="str" cm="1">
        <f t="array" ref="M1299">IFERROR(_xlfn.XLOOKUP(1,('env Parameter'!$A:$A=$A1299)*('env Parameter'!$B:$B=$K1299)*('env Parameter'!$C:$C=$L1299),'env Parameter'!D:D,""),"")</f>
        <v>안양천-16</v>
      </c>
      <c r="N1299" s="10" t="str" cm="1">
        <f t="array" ref="N1299">IFERROR(_xlfn.XLOOKUP(1,('env Parameter'!$A:$A=$A1299)*('env Parameter'!$B:$B=$K1299)*('env Parameter'!$C:$C=$L1299),'env Parameter'!I:I,""),"")</f>
        <v>YR</v>
      </c>
    </row>
    <row r="1300" spans="1:14">
      <c r="A1300">
        <f>eDNA!A1300</f>
        <v>20201024</v>
      </c>
      <c r="B1300" s="10" t="str" cm="1">
        <f t="array" ref="B1300">IFERROR(_xlfn.XLOOKUP(1,('env Parameter'!$A:$A=$A1300)*('env Parameter'!$B:$B=$K1300)*('env Parameter'!$C:$C=$L1300),'env Parameter'!H:H,""),"")</f>
        <v>생물상 조사</v>
      </c>
      <c r="C1300" s="10" cm="1">
        <f t="array" ref="C1300">IFERROR(_xlfn.XLOOKUP(1,('env Parameter'!$A:$A=$A1300)*('env Parameter'!$B:$B=$K1300)*('env Parameter'!$C:$C=$L1300),'env Parameter'!E:E,""),"")</f>
        <v>2.14</v>
      </c>
      <c r="D1300" s="10" cm="1">
        <f t="array" ref="D1300">IFERROR(_xlfn.XLOOKUP(1,('env Parameter'!$A:$A=$A1300)*('env Parameter'!$B:$B=$K1300)*('env Parameter'!$C:$C=$L1300),'env Parameter'!F:F,""),"")</f>
        <v>478</v>
      </c>
      <c r="E1300" s="10" cm="1">
        <f t="array" ref="E1300">IFERROR(_xlfn.XLOOKUP(1,('env Parameter'!$A:$A=$A1300)*('env Parameter'!$B:$B=$K1300)*('env Parameter'!$C:$C=$L1300),'env Parameter'!G:G,""),"")</f>
        <v>7.6</v>
      </c>
      <c r="F1300" t="str">
        <f>eDNA!F1300</f>
        <v>MiFish</v>
      </c>
      <c r="G1300" t="str">
        <f>eDNA!D1300</f>
        <v>Channa argus</v>
      </c>
      <c r="H1300" t="str">
        <f>_xlfn.XLOOKUP(G1300,'Common name (master file)'!$B:$B,'Common name (master file)'!$A:$A,"-------------")</f>
        <v>가물치</v>
      </c>
      <c r="I1300">
        <f>eDNA!E1300</f>
        <v>1106</v>
      </c>
      <c r="J1300" t="str">
        <f>_xlfn.XLOOKUP(G1300,'Common name (master file)'!$B:$B,'Common name (master file)'!$C:$C,"")</f>
        <v>어류</v>
      </c>
      <c r="K1300">
        <f>eDNA!B1300</f>
        <v>126.887135</v>
      </c>
      <c r="L1300">
        <f>eDNA!C1300</f>
        <v>37.539645499999999</v>
      </c>
      <c r="M1300" s="10" t="str" cm="1">
        <f t="array" ref="M1300">IFERROR(_xlfn.XLOOKUP(1,('env Parameter'!$A:$A=$A1300)*('env Parameter'!$B:$B=$K1300)*('env Parameter'!$C:$C=$L1300),'env Parameter'!D:D,""),"")</f>
        <v>안양천-16</v>
      </c>
      <c r="N1300" s="10" t="str" cm="1">
        <f t="array" ref="N1300">IFERROR(_xlfn.XLOOKUP(1,('env Parameter'!$A:$A=$A1300)*('env Parameter'!$B:$B=$K1300)*('env Parameter'!$C:$C=$L1300),'env Parameter'!I:I,""),"")</f>
        <v>YR</v>
      </c>
    </row>
    <row r="1301" spans="1:14">
      <c r="A1301">
        <f>eDNA!A1301</f>
        <v>20201024</v>
      </c>
      <c r="B1301" s="10" t="str" cm="1">
        <f t="array" ref="B1301">IFERROR(_xlfn.XLOOKUP(1,('env Parameter'!$A:$A=$A1301)*('env Parameter'!$B:$B=$K1301)*('env Parameter'!$C:$C=$L1301),'env Parameter'!H:H,""),"")</f>
        <v>생물상 조사</v>
      </c>
      <c r="C1301" s="10" cm="1">
        <f t="array" ref="C1301">IFERROR(_xlfn.XLOOKUP(1,('env Parameter'!$A:$A=$A1301)*('env Parameter'!$B:$B=$K1301)*('env Parameter'!$C:$C=$L1301),'env Parameter'!E:E,""),"")</f>
        <v>2.14</v>
      </c>
      <c r="D1301" s="10" cm="1">
        <f t="array" ref="D1301">IFERROR(_xlfn.XLOOKUP(1,('env Parameter'!$A:$A=$A1301)*('env Parameter'!$B:$B=$K1301)*('env Parameter'!$C:$C=$L1301),'env Parameter'!F:F,""),"")</f>
        <v>478</v>
      </c>
      <c r="E1301" s="10" cm="1">
        <f t="array" ref="E1301">IFERROR(_xlfn.XLOOKUP(1,('env Parameter'!$A:$A=$A1301)*('env Parameter'!$B:$B=$K1301)*('env Parameter'!$C:$C=$L1301),'env Parameter'!G:G,""),"")</f>
        <v>7.6</v>
      </c>
      <c r="F1301" t="str">
        <f>eDNA!F1301</f>
        <v>MiFish</v>
      </c>
      <c r="G1301" t="str">
        <f>eDNA!D1301</f>
        <v>Pseudogobio esocinus</v>
      </c>
      <c r="H1301" t="str">
        <f>_xlfn.XLOOKUP(G1301,'Common name (master file)'!$B:$B,'Common name (master file)'!$A:$A,"-------------")</f>
        <v>모래무지</v>
      </c>
      <c r="I1301">
        <f>eDNA!E1301</f>
        <v>920</v>
      </c>
      <c r="J1301" t="str">
        <f>_xlfn.XLOOKUP(G1301,'Common name (master file)'!$B:$B,'Common name (master file)'!$C:$C,"")</f>
        <v>어류</v>
      </c>
      <c r="K1301">
        <f>eDNA!B1301</f>
        <v>126.887135</v>
      </c>
      <c r="L1301">
        <f>eDNA!C1301</f>
        <v>37.539645499999999</v>
      </c>
      <c r="M1301" s="10" t="str" cm="1">
        <f t="array" ref="M1301">IFERROR(_xlfn.XLOOKUP(1,('env Parameter'!$A:$A=$A1301)*('env Parameter'!$B:$B=$K1301)*('env Parameter'!$C:$C=$L1301),'env Parameter'!D:D,""),"")</f>
        <v>안양천-16</v>
      </c>
      <c r="N1301" s="10" t="str" cm="1">
        <f t="array" ref="N1301">IFERROR(_xlfn.XLOOKUP(1,('env Parameter'!$A:$A=$A1301)*('env Parameter'!$B:$B=$K1301)*('env Parameter'!$C:$C=$L1301),'env Parameter'!I:I,""),"")</f>
        <v>YR</v>
      </c>
    </row>
    <row r="1302" spans="1:14">
      <c r="A1302">
        <f>eDNA!A1302</f>
        <v>20201024</v>
      </c>
      <c r="B1302" s="10" t="str" cm="1">
        <f t="array" ref="B1302">IFERROR(_xlfn.XLOOKUP(1,('env Parameter'!$A:$A=$A1302)*('env Parameter'!$B:$B=$K1302)*('env Parameter'!$C:$C=$L1302),'env Parameter'!H:H,""),"")</f>
        <v>생물상 조사</v>
      </c>
      <c r="C1302" s="10" cm="1">
        <f t="array" ref="C1302">IFERROR(_xlfn.XLOOKUP(1,('env Parameter'!$A:$A=$A1302)*('env Parameter'!$B:$B=$K1302)*('env Parameter'!$C:$C=$L1302),'env Parameter'!E:E,""),"")</f>
        <v>2.14</v>
      </c>
      <c r="D1302" s="10" cm="1">
        <f t="array" ref="D1302">IFERROR(_xlfn.XLOOKUP(1,('env Parameter'!$A:$A=$A1302)*('env Parameter'!$B:$B=$K1302)*('env Parameter'!$C:$C=$L1302),'env Parameter'!F:F,""),"")</f>
        <v>478</v>
      </c>
      <c r="E1302" s="10" cm="1">
        <f t="array" ref="E1302">IFERROR(_xlfn.XLOOKUP(1,('env Parameter'!$A:$A=$A1302)*('env Parameter'!$B:$B=$K1302)*('env Parameter'!$C:$C=$L1302),'env Parameter'!G:G,""),"")</f>
        <v>7.6</v>
      </c>
      <c r="F1302" t="str">
        <f>eDNA!F1302</f>
        <v>MiFish</v>
      </c>
      <c r="G1302" t="str">
        <f>eDNA!D1302</f>
        <v>Synechogobius hasta</v>
      </c>
      <c r="H1302" t="str">
        <f>_xlfn.XLOOKUP(G1302,'Common name (master file)'!$B:$B,'Common name (master file)'!$A:$A,"-------------")</f>
        <v>풀망둑</v>
      </c>
      <c r="I1302">
        <f>eDNA!E1302</f>
        <v>1265</v>
      </c>
      <c r="J1302" t="str">
        <f>_xlfn.XLOOKUP(G1302,'Common name (master file)'!$B:$B,'Common name (master file)'!$C:$C,"")</f>
        <v>어류</v>
      </c>
      <c r="K1302">
        <f>eDNA!B1302</f>
        <v>126.887135</v>
      </c>
      <c r="L1302">
        <f>eDNA!C1302</f>
        <v>37.539645499999999</v>
      </c>
      <c r="M1302" s="10" t="str" cm="1">
        <f t="array" ref="M1302">IFERROR(_xlfn.XLOOKUP(1,('env Parameter'!$A:$A=$A1302)*('env Parameter'!$B:$B=$K1302)*('env Parameter'!$C:$C=$L1302),'env Parameter'!D:D,""),"")</f>
        <v>안양천-16</v>
      </c>
      <c r="N1302" s="10" t="str" cm="1">
        <f t="array" ref="N1302">IFERROR(_xlfn.XLOOKUP(1,('env Parameter'!$A:$A=$A1302)*('env Parameter'!$B:$B=$K1302)*('env Parameter'!$C:$C=$L1302),'env Parameter'!I:I,""),"")</f>
        <v>YR</v>
      </c>
    </row>
    <row r="1303" spans="1:14">
      <c r="A1303">
        <f>eDNA!A1303</f>
        <v>20201024</v>
      </c>
      <c r="B1303" s="10" t="str" cm="1">
        <f t="array" ref="B1303">IFERROR(_xlfn.XLOOKUP(1,('env Parameter'!$A:$A=$A1303)*('env Parameter'!$B:$B=$K1303)*('env Parameter'!$C:$C=$L1303),'env Parameter'!H:H,""),"")</f>
        <v>생물상 조사</v>
      </c>
      <c r="C1303" s="10" cm="1">
        <f t="array" ref="C1303">IFERROR(_xlfn.XLOOKUP(1,('env Parameter'!$A:$A=$A1303)*('env Parameter'!$B:$B=$K1303)*('env Parameter'!$C:$C=$L1303),'env Parameter'!E:E,""),"")</f>
        <v>2.14</v>
      </c>
      <c r="D1303" s="10" cm="1">
        <f t="array" ref="D1303">IFERROR(_xlfn.XLOOKUP(1,('env Parameter'!$A:$A=$A1303)*('env Parameter'!$B:$B=$K1303)*('env Parameter'!$C:$C=$L1303),'env Parameter'!F:F,""),"")</f>
        <v>478</v>
      </c>
      <c r="E1303" s="10" cm="1">
        <f t="array" ref="E1303">IFERROR(_xlfn.XLOOKUP(1,('env Parameter'!$A:$A=$A1303)*('env Parameter'!$B:$B=$K1303)*('env Parameter'!$C:$C=$L1303),'env Parameter'!G:G,""),"")</f>
        <v>7.6</v>
      </c>
      <c r="F1303" t="str">
        <f>eDNA!F1303</f>
        <v>MiFish</v>
      </c>
      <c r="G1303" t="str">
        <f>eDNA!D1303</f>
        <v>Mugil cephalus</v>
      </c>
      <c r="H1303" t="str">
        <f>_xlfn.XLOOKUP(G1303,'Common name (master file)'!$B:$B,'Common name (master file)'!$A:$A,"-------------")</f>
        <v>숭어</v>
      </c>
      <c r="I1303">
        <f>eDNA!E1303</f>
        <v>3491</v>
      </c>
      <c r="J1303" t="str">
        <f>_xlfn.XLOOKUP(G1303,'Common name (master file)'!$B:$B,'Common name (master file)'!$C:$C,"")</f>
        <v>어류</v>
      </c>
      <c r="K1303">
        <f>eDNA!B1303</f>
        <v>126.887135</v>
      </c>
      <c r="L1303">
        <f>eDNA!C1303</f>
        <v>37.539645499999999</v>
      </c>
      <c r="M1303" s="10" t="str" cm="1">
        <f t="array" ref="M1303">IFERROR(_xlfn.XLOOKUP(1,('env Parameter'!$A:$A=$A1303)*('env Parameter'!$B:$B=$K1303)*('env Parameter'!$C:$C=$L1303),'env Parameter'!D:D,""),"")</f>
        <v>안양천-16</v>
      </c>
      <c r="N1303" s="10" t="str" cm="1">
        <f t="array" ref="N1303">IFERROR(_xlfn.XLOOKUP(1,('env Parameter'!$A:$A=$A1303)*('env Parameter'!$B:$B=$K1303)*('env Parameter'!$C:$C=$L1303),'env Parameter'!I:I,""),"")</f>
        <v>YR</v>
      </c>
    </row>
    <row r="1304" spans="1:14">
      <c r="A1304">
        <f>eDNA!A1304</f>
        <v>20201024</v>
      </c>
      <c r="B1304" s="10" t="str" cm="1">
        <f t="array" ref="B1304">IFERROR(_xlfn.XLOOKUP(1,('env Parameter'!$A:$A=$A1304)*('env Parameter'!$B:$B=$K1304)*('env Parameter'!$C:$C=$L1304),'env Parameter'!H:H,""),"")</f>
        <v>생물상 조사</v>
      </c>
      <c r="C1304" s="10" cm="1">
        <f t="array" ref="C1304">IFERROR(_xlfn.XLOOKUP(1,('env Parameter'!$A:$A=$A1304)*('env Parameter'!$B:$B=$K1304)*('env Parameter'!$C:$C=$L1304),'env Parameter'!E:E,""),"")</f>
        <v>2.14</v>
      </c>
      <c r="D1304" s="10" cm="1">
        <f t="array" ref="D1304">IFERROR(_xlfn.XLOOKUP(1,('env Parameter'!$A:$A=$A1304)*('env Parameter'!$B:$B=$K1304)*('env Parameter'!$C:$C=$L1304),'env Parameter'!F:F,""),"")</f>
        <v>478</v>
      </c>
      <c r="E1304" s="10" cm="1">
        <f t="array" ref="E1304">IFERROR(_xlfn.XLOOKUP(1,('env Parameter'!$A:$A=$A1304)*('env Parameter'!$B:$B=$K1304)*('env Parameter'!$C:$C=$L1304),'env Parameter'!G:G,""),"")</f>
        <v>7.6</v>
      </c>
      <c r="F1304" t="str">
        <f>eDNA!F1304</f>
        <v>MiFish</v>
      </c>
      <c r="G1304" t="str">
        <f>eDNA!D1304</f>
        <v>Tridentiger trigonocephalus</v>
      </c>
      <c r="H1304" t="str">
        <f>_xlfn.XLOOKUP(G1304,'Common name (master file)'!$B:$B,'Common name (master file)'!$A:$A,"-------------")</f>
        <v>두줄망둑</v>
      </c>
      <c r="I1304">
        <f>eDNA!E1304</f>
        <v>4668</v>
      </c>
      <c r="J1304" t="str">
        <f>_xlfn.XLOOKUP(G1304,'Common name (master file)'!$B:$B,'Common name (master file)'!$C:$C,"")</f>
        <v>어류</v>
      </c>
      <c r="K1304">
        <f>eDNA!B1304</f>
        <v>126.887135</v>
      </c>
      <c r="L1304">
        <f>eDNA!C1304</f>
        <v>37.539645499999999</v>
      </c>
      <c r="M1304" s="10" t="str" cm="1">
        <f t="array" ref="M1304">IFERROR(_xlfn.XLOOKUP(1,('env Parameter'!$A:$A=$A1304)*('env Parameter'!$B:$B=$K1304)*('env Parameter'!$C:$C=$L1304),'env Parameter'!D:D,""),"")</f>
        <v>안양천-16</v>
      </c>
      <c r="N1304" s="10" t="str" cm="1">
        <f t="array" ref="N1304">IFERROR(_xlfn.XLOOKUP(1,('env Parameter'!$A:$A=$A1304)*('env Parameter'!$B:$B=$K1304)*('env Parameter'!$C:$C=$L1304),'env Parameter'!I:I,""),"")</f>
        <v>YR</v>
      </c>
    </row>
    <row r="1305" spans="1:14">
      <c r="A1305">
        <f>eDNA!A1305</f>
        <v>20201024</v>
      </c>
      <c r="B1305" s="10" t="str" cm="1">
        <f t="array" ref="B1305">IFERROR(_xlfn.XLOOKUP(1,('env Parameter'!$A:$A=$A1305)*('env Parameter'!$B:$B=$K1305)*('env Parameter'!$C:$C=$L1305),'env Parameter'!H:H,""),"")</f>
        <v>생물상 조사</v>
      </c>
      <c r="C1305" s="10" cm="1">
        <f t="array" ref="C1305">IFERROR(_xlfn.XLOOKUP(1,('env Parameter'!$A:$A=$A1305)*('env Parameter'!$B:$B=$K1305)*('env Parameter'!$C:$C=$L1305),'env Parameter'!E:E,""),"")</f>
        <v>2.14</v>
      </c>
      <c r="D1305" s="10" cm="1">
        <f t="array" ref="D1305">IFERROR(_xlfn.XLOOKUP(1,('env Parameter'!$A:$A=$A1305)*('env Parameter'!$B:$B=$K1305)*('env Parameter'!$C:$C=$L1305),'env Parameter'!F:F,""),"")</f>
        <v>478</v>
      </c>
      <c r="E1305" s="10" cm="1">
        <f t="array" ref="E1305">IFERROR(_xlfn.XLOOKUP(1,('env Parameter'!$A:$A=$A1305)*('env Parameter'!$B:$B=$K1305)*('env Parameter'!$C:$C=$L1305),'env Parameter'!G:G,""),"")</f>
        <v>7.6</v>
      </c>
      <c r="F1305" t="str">
        <f>eDNA!F1305</f>
        <v>MiFish</v>
      </c>
      <c r="G1305" t="str">
        <f>eDNA!D1305</f>
        <v>Hemibarbus sp.</v>
      </c>
      <c r="H1305" t="str">
        <f>_xlfn.XLOOKUP(G1305,'Common name (master file)'!$B:$B,'Common name (master file)'!$A:$A,"-------------")</f>
        <v>누치 속</v>
      </c>
      <c r="I1305">
        <f>eDNA!E1305</f>
        <v>6305</v>
      </c>
      <c r="J1305" t="str">
        <f>_xlfn.XLOOKUP(G1305,'Common name (master file)'!$B:$B,'Common name (master file)'!$C:$C,"")</f>
        <v>어류</v>
      </c>
      <c r="K1305">
        <f>eDNA!B1305</f>
        <v>126.887135</v>
      </c>
      <c r="L1305">
        <f>eDNA!C1305</f>
        <v>37.539645499999999</v>
      </c>
      <c r="M1305" s="10" t="str" cm="1">
        <f t="array" ref="M1305">IFERROR(_xlfn.XLOOKUP(1,('env Parameter'!$A:$A=$A1305)*('env Parameter'!$B:$B=$K1305)*('env Parameter'!$C:$C=$L1305),'env Parameter'!D:D,""),"")</f>
        <v>안양천-16</v>
      </c>
      <c r="N1305" s="10" t="str" cm="1">
        <f t="array" ref="N1305">IFERROR(_xlfn.XLOOKUP(1,('env Parameter'!$A:$A=$A1305)*('env Parameter'!$B:$B=$K1305)*('env Parameter'!$C:$C=$L1305),'env Parameter'!I:I,""),"")</f>
        <v>YR</v>
      </c>
    </row>
    <row r="1306" spans="1:14">
      <c r="A1306">
        <f>eDNA!A1306</f>
        <v>20201024</v>
      </c>
      <c r="B1306" s="10" t="str" cm="1">
        <f t="array" ref="B1306">IFERROR(_xlfn.XLOOKUP(1,('env Parameter'!$A:$A=$A1306)*('env Parameter'!$B:$B=$K1306)*('env Parameter'!$C:$C=$L1306),'env Parameter'!H:H,""),"")</f>
        <v>생물상 조사</v>
      </c>
      <c r="C1306" s="10" cm="1">
        <f t="array" ref="C1306">IFERROR(_xlfn.XLOOKUP(1,('env Parameter'!$A:$A=$A1306)*('env Parameter'!$B:$B=$K1306)*('env Parameter'!$C:$C=$L1306),'env Parameter'!E:E,""),"")</f>
        <v>2.14</v>
      </c>
      <c r="D1306" s="10" cm="1">
        <f t="array" ref="D1306">IFERROR(_xlfn.XLOOKUP(1,('env Parameter'!$A:$A=$A1306)*('env Parameter'!$B:$B=$K1306)*('env Parameter'!$C:$C=$L1306),'env Parameter'!F:F,""),"")</f>
        <v>478</v>
      </c>
      <c r="E1306" s="10" cm="1">
        <f t="array" ref="E1306">IFERROR(_xlfn.XLOOKUP(1,('env Parameter'!$A:$A=$A1306)*('env Parameter'!$B:$B=$K1306)*('env Parameter'!$C:$C=$L1306),'env Parameter'!G:G,""),"")</f>
        <v>7.6</v>
      </c>
      <c r="F1306" t="str">
        <f>eDNA!F1306</f>
        <v>MiFish</v>
      </c>
      <c r="G1306" t="str">
        <f>eDNA!D1306</f>
        <v>Carassius gibelio</v>
      </c>
      <c r="H1306" t="str">
        <f>_xlfn.XLOOKUP(G1306,'Common name (master file)'!$B:$B,'Common name (master file)'!$A:$A,"-------------")</f>
        <v>기벨리오 붕어</v>
      </c>
      <c r="I1306">
        <f>eDNA!E1306</f>
        <v>9301</v>
      </c>
      <c r="J1306" t="str">
        <f>_xlfn.XLOOKUP(G1306,'Common name (master file)'!$B:$B,'Common name (master file)'!$C:$C,"")</f>
        <v>어류</v>
      </c>
      <c r="K1306">
        <f>eDNA!B1306</f>
        <v>126.887135</v>
      </c>
      <c r="L1306">
        <f>eDNA!C1306</f>
        <v>37.539645499999999</v>
      </c>
      <c r="M1306" s="10" t="str" cm="1">
        <f t="array" ref="M1306">IFERROR(_xlfn.XLOOKUP(1,('env Parameter'!$A:$A=$A1306)*('env Parameter'!$B:$B=$K1306)*('env Parameter'!$C:$C=$L1306),'env Parameter'!D:D,""),"")</f>
        <v>안양천-16</v>
      </c>
      <c r="N1306" s="10" t="str" cm="1">
        <f t="array" ref="N1306">IFERROR(_xlfn.XLOOKUP(1,('env Parameter'!$A:$A=$A1306)*('env Parameter'!$B:$B=$K1306)*('env Parameter'!$C:$C=$L1306),'env Parameter'!I:I,""),"")</f>
        <v>YR</v>
      </c>
    </row>
    <row r="1307" spans="1:14">
      <c r="A1307">
        <f>eDNA!A1307</f>
        <v>20201024</v>
      </c>
      <c r="B1307" s="10" t="str" cm="1">
        <f t="array" ref="B1307">IFERROR(_xlfn.XLOOKUP(1,('env Parameter'!$A:$A=$A1307)*('env Parameter'!$B:$B=$K1307)*('env Parameter'!$C:$C=$L1307),'env Parameter'!H:H,""),"")</f>
        <v>생물상 조사</v>
      </c>
      <c r="C1307" s="10" cm="1">
        <f t="array" ref="C1307">IFERROR(_xlfn.XLOOKUP(1,('env Parameter'!$A:$A=$A1307)*('env Parameter'!$B:$B=$K1307)*('env Parameter'!$C:$C=$L1307),'env Parameter'!E:E,""),"")</f>
        <v>2.14</v>
      </c>
      <c r="D1307" s="10" cm="1">
        <f t="array" ref="D1307">IFERROR(_xlfn.XLOOKUP(1,('env Parameter'!$A:$A=$A1307)*('env Parameter'!$B:$B=$K1307)*('env Parameter'!$C:$C=$L1307),'env Parameter'!F:F,""),"")</f>
        <v>478</v>
      </c>
      <c r="E1307" s="10" cm="1">
        <f t="array" ref="E1307">IFERROR(_xlfn.XLOOKUP(1,('env Parameter'!$A:$A=$A1307)*('env Parameter'!$B:$B=$K1307)*('env Parameter'!$C:$C=$L1307),'env Parameter'!G:G,""),"")</f>
        <v>7.6</v>
      </c>
      <c r="F1307" t="str">
        <f>eDNA!F1307</f>
        <v>MiFish</v>
      </c>
      <c r="G1307" t="str">
        <f>eDNA!D1307</f>
        <v>Planiliza haematocheila</v>
      </c>
      <c r="H1307" t="str">
        <f>_xlfn.XLOOKUP(G1307,'Common name (master file)'!$B:$B,'Common name (master file)'!$A:$A,"-------------")</f>
        <v>가숭어</v>
      </c>
      <c r="I1307">
        <f>eDNA!E1307</f>
        <v>38483</v>
      </c>
      <c r="J1307" t="str">
        <f>_xlfn.XLOOKUP(G1307,'Common name (master file)'!$B:$B,'Common name (master file)'!$C:$C,"")</f>
        <v>어류</v>
      </c>
      <c r="K1307">
        <f>eDNA!B1307</f>
        <v>126.887135</v>
      </c>
      <c r="L1307">
        <f>eDNA!C1307</f>
        <v>37.539645499999999</v>
      </c>
      <c r="M1307" s="10" t="str" cm="1">
        <f t="array" ref="M1307">IFERROR(_xlfn.XLOOKUP(1,('env Parameter'!$A:$A=$A1307)*('env Parameter'!$B:$B=$K1307)*('env Parameter'!$C:$C=$L1307),'env Parameter'!D:D,""),"")</f>
        <v>안양천-16</v>
      </c>
      <c r="N1307" s="10" t="str" cm="1">
        <f t="array" ref="N1307">IFERROR(_xlfn.XLOOKUP(1,('env Parameter'!$A:$A=$A1307)*('env Parameter'!$B:$B=$K1307)*('env Parameter'!$C:$C=$L1307),'env Parameter'!I:I,""),"")</f>
        <v>YR</v>
      </c>
    </row>
    <row r="1308" spans="1:14">
      <c r="A1308">
        <f>eDNA!A1308</f>
        <v>20201024</v>
      </c>
      <c r="B1308" s="10" t="str" cm="1">
        <f t="array" ref="B1308">IFERROR(_xlfn.XLOOKUP(1,('env Parameter'!$A:$A=$A1308)*('env Parameter'!$B:$B=$K1308)*('env Parameter'!$C:$C=$L1308),'env Parameter'!H:H,""),"")</f>
        <v>생물상 조사</v>
      </c>
      <c r="C1308" s="10" cm="1">
        <f t="array" ref="C1308">IFERROR(_xlfn.XLOOKUP(1,('env Parameter'!$A:$A=$A1308)*('env Parameter'!$B:$B=$K1308)*('env Parameter'!$C:$C=$L1308),'env Parameter'!E:E,""),"")</f>
        <v>2.14</v>
      </c>
      <c r="D1308" s="10" cm="1">
        <f t="array" ref="D1308">IFERROR(_xlfn.XLOOKUP(1,('env Parameter'!$A:$A=$A1308)*('env Parameter'!$B:$B=$K1308)*('env Parameter'!$C:$C=$L1308),'env Parameter'!F:F,""),"")</f>
        <v>478</v>
      </c>
      <c r="E1308" s="10" cm="1">
        <f t="array" ref="E1308">IFERROR(_xlfn.XLOOKUP(1,('env Parameter'!$A:$A=$A1308)*('env Parameter'!$B:$B=$K1308)*('env Parameter'!$C:$C=$L1308),'env Parameter'!G:G,""),"")</f>
        <v>7.6</v>
      </c>
      <c r="F1308" t="str">
        <f>eDNA!F1308</f>
        <v>MiFish</v>
      </c>
      <c r="G1308" t="str">
        <f>eDNA!D1308</f>
        <v>Pseudorasbora parva</v>
      </c>
      <c r="H1308" t="str">
        <f>_xlfn.XLOOKUP(G1308,'Common name (master file)'!$B:$B,'Common name (master file)'!$A:$A,"-------------")</f>
        <v>참붕어</v>
      </c>
      <c r="I1308">
        <f>eDNA!E1308</f>
        <v>58852</v>
      </c>
      <c r="J1308" t="str">
        <f>_xlfn.XLOOKUP(G1308,'Common name (master file)'!$B:$B,'Common name (master file)'!$C:$C,"")</f>
        <v>어류</v>
      </c>
      <c r="K1308">
        <f>eDNA!B1308</f>
        <v>126.887135</v>
      </c>
      <c r="L1308">
        <f>eDNA!C1308</f>
        <v>37.539645499999999</v>
      </c>
      <c r="M1308" s="10" t="str" cm="1">
        <f t="array" ref="M1308">IFERROR(_xlfn.XLOOKUP(1,('env Parameter'!$A:$A=$A1308)*('env Parameter'!$B:$B=$K1308)*('env Parameter'!$C:$C=$L1308),'env Parameter'!D:D,""),"")</f>
        <v>안양천-16</v>
      </c>
      <c r="N1308" s="10" t="str" cm="1">
        <f t="array" ref="N1308">IFERROR(_xlfn.XLOOKUP(1,('env Parameter'!$A:$A=$A1308)*('env Parameter'!$B:$B=$K1308)*('env Parameter'!$C:$C=$L1308),'env Parameter'!I:I,""),"")</f>
        <v>YR</v>
      </c>
    </row>
    <row r="1309" spans="1:14">
      <c r="A1309">
        <f>eDNA!A1309</f>
        <v>20201024</v>
      </c>
      <c r="B1309" s="10" t="str" cm="1">
        <f t="array" ref="B1309">IFERROR(_xlfn.XLOOKUP(1,('env Parameter'!$A:$A=$A1309)*('env Parameter'!$B:$B=$K1309)*('env Parameter'!$C:$C=$L1309),'env Parameter'!H:H,""),"")</f>
        <v>생물상 조사</v>
      </c>
      <c r="C1309" s="10" cm="1">
        <f t="array" ref="C1309">IFERROR(_xlfn.XLOOKUP(1,('env Parameter'!$A:$A=$A1309)*('env Parameter'!$B:$B=$K1309)*('env Parameter'!$C:$C=$L1309),'env Parameter'!E:E,""),"")</f>
        <v>2.14</v>
      </c>
      <c r="D1309" s="10" cm="1">
        <f t="array" ref="D1309">IFERROR(_xlfn.XLOOKUP(1,('env Parameter'!$A:$A=$A1309)*('env Parameter'!$B:$B=$K1309)*('env Parameter'!$C:$C=$L1309),'env Parameter'!F:F,""),"")</f>
        <v>478</v>
      </c>
      <c r="E1309" s="10" cm="1">
        <f t="array" ref="E1309">IFERROR(_xlfn.XLOOKUP(1,('env Parameter'!$A:$A=$A1309)*('env Parameter'!$B:$B=$K1309)*('env Parameter'!$C:$C=$L1309),'env Parameter'!G:G,""),"")</f>
        <v>7.6</v>
      </c>
      <c r="F1309" t="str">
        <f>eDNA!F1309</f>
        <v>MiFish</v>
      </c>
      <c r="G1309" t="str">
        <f>eDNA!D1309</f>
        <v>Rhynchocypris oxycephalus</v>
      </c>
      <c r="H1309" t="str">
        <f>_xlfn.XLOOKUP(G1309,'Common name (master file)'!$B:$B,'Common name (master file)'!$A:$A,"-------------")</f>
        <v>버들치</v>
      </c>
      <c r="I1309">
        <f>eDNA!E1309</f>
        <v>15</v>
      </c>
      <c r="J1309" t="str">
        <f>_xlfn.XLOOKUP(G1309,'Common name (master file)'!$B:$B,'Common name (master file)'!$C:$C,"")</f>
        <v>어류</v>
      </c>
      <c r="K1309">
        <f>eDNA!B1309</f>
        <v>126.8771357</v>
      </c>
      <c r="L1309">
        <f>eDNA!C1309</f>
        <v>37.553306900000003</v>
      </c>
      <c r="M1309" s="10" t="str" cm="1">
        <f t="array" ref="M1309">IFERROR(_xlfn.XLOOKUP(1,('env Parameter'!$A:$A=$A1309)*('env Parameter'!$B:$B=$K1309)*('env Parameter'!$C:$C=$L1309),'env Parameter'!D:D,""),"")</f>
        <v>안양천-11</v>
      </c>
      <c r="N1309" s="10" t="str" cm="1">
        <f t="array" ref="N1309">IFERROR(_xlfn.XLOOKUP(1,('env Parameter'!$A:$A=$A1309)*('env Parameter'!$B:$B=$K1309)*('env Parameter'!$C:$C=$L1309),'env Parameter'!I:I,""),"")</f>
        <v>YR</v>
      </c>
    </row>
    <row r="1310" spans="1:14">
      <c r="A1310">
        <f>eDNA!A1310</f>
        <v>20201024</v>
      </c>
      <c r="B1310" s="10" t="str" cm="1">
        <f t="array" ref="B1310">IFERROR(_xlfn.XLOOKUP(1,('env Parameter'!$A:$A=$A1310)*('env Parameter'!$B:$B=$K1310)*('env Parameter'!$C:$C=$L1310),'env Parameter'!H:H,""),"")</f>
        <v>생물상 조사</v>
      </c>
      <c r="C1310" s="10" cm="1">
        <f t="array" ref="C1310">IFERROR(_xlfn.XLOOKUP(1,('env Parameter'!$A:$A=$A1310)*('env Parameter'!$B:$B=$K1310)*('env Parameter'!$C:$C=$L1310),'env Parameter'!E:E,""),"")</f>
        <v>2.14</v>
      </c>
      <c r="D1310" s="10" cm="1">
        <f t="array" ref="D1310">IFERROR(_xlfn.XLOOKUP(1,('env Parameter'!$A:$A=$A1310)*('env Parameter'!$B:$B=$K1310)*('env Parameter'!$C:$C=$L1310),'env Parameter'!F:F,""),"")</f>
        <v>478</v>
      </c>
      <c r="E1310" s="10" cm="1">
        <f t="array" ref="E1310">IFERROR(_xlfn.XLOOKUP(1,('env Parameter'!$A:$A=$A1310)*('env Parameter'!$B:$B=$K1310)*('env Parameter'!$C:$C=$L1310),'env Parameter'!G:G,""),"")</f>
        <v>7.6</v>
      </c>
      <c r="F1310" t="str">
        <f>eDNA!F1310</f>
        <v>MiFish</v>
      </c>
      <c r="G1310" t="str">
        <f>eDNA!D1310</f>
        <v>Hemibarbus umbrifer</v>
      </c>
      <c r="H1310" t="str">
        <f>_xlfn.XLOOKUP(G1310,'Common name (master file)'!$B:$B,'Common name (master file)'!$A:$A,"-------------")</f>
        <v>누치</v>
      </c>
      <c r="I1310">
        <f>eDNA!E1310</f>
        <v>33</v>
      </c>
      <c r="J1310" t="str">
        <f>_xlfn.XLOOKUP(G1310,'Common name (master file)'!$B:$B,'Common name (master file)'!$C:$C,"")</f>
        <v>어류</v>
      </c>
      <c r="K1310">
        <f>eDNA!B1310</f>
        <v>126.8771357</v>
      </c>
      <c r="L1310">
        <f>eDNA!C1310</f>
        <v>37.553306900000003</v>
      </c>
      <c r="M1310" s="10" t="str" cm="1">
        <f t="array" ref="M1310">IFERROR(_xlfn.XLOOKUP(1,('env Parameter'!$A:$A=$A1310)*('env Parameter'!$B:$B=$K1310)*('env Parameter'!$C:$C=$L1310),'env Parameter'!D:D,""),"")</f>
        <v>안양천-11</v>
      </c>
      <c r="N1310" s="10" t="str" cm="1">
        <f t="array" ref="N1310">IFERROR(_xlfn.XLOOKUP(1,('env Parameter'!$A:$A=$A1310)*('env Parameter'!$B:$B=$K1310)*('env Parameter'!$C:$C=$L1310),'env Parameter'!I:I,""),"")</f>
        <v>YR</v>
      </c>
    </row>
    <row r="1311" spans="1:14">
      <c r="A1311">
        <f>eDNA!A1311</f>
        <v>20201024</v>
      </c>
      <c r="B1311" s="10" t="str" cm="1">
        <f t="array" ref="B1311">IFERROR(_xlfn.XLOOKUP(1,('env Parameter'!$A:$A=$A1311)*('env Parameter'!$B:$B=$K1311)*('env Parameter'!$C:$C=$L1311),'env Parameter'!H:H,""),"")</f>
        <v>생물상 조사</v>
      </c>
      <c r="C1311" s="10" cm="1">
        <f t="array" ref="C1311">IFERROR(_xlfn.XLOOKUP(1,('env Parameter'!$A:$A=$A1311)*('env Parameter'!$B:$B=$K1311)*('env Parameter'!$C:$C=$L1311),'env Parameter'!E:E,""),"")</f>
        <v>2.14</v>
      </c>
      <c r="D1311" s="10" cm="1">
        <f t="array" ref="D1311">IFERROR(_xlfn.XLOOKUP(1,('env Parameter'!$A:$A=$A1311)*('env Parameter'!$B:$B=$K1311)*('env Parameter'!$C:$C=$L1311),'env Parameter'!F:F,""),"")</f>
        <v>478</v>
      </c>
      <c r="E1311" s="10" cm="1">
        <f t="array" ref="E1311">IFERROR(_xlfn.XLOOKUP(1,('env Parameter'!$A:$A=$A1311)*('env Parameter'!$B:$B=$K1311)*('env Parameter'!$C:$C=$L1311),'env Parameter'!G:G,""),"")</f>
        <v>7.6</v>
      </c>
      <c r="F1311" t="str">
        <f>eDNA!F1311</f>
        <v>MiFish</v>
      </c>
      <c r="G1311" t="str">
        <f>eDNA!D1311</f>
        <v>Tadorna tadorna</v>
      </c>
      <c r="H1311" t="str">
        <f>_xlfn.XLOOKUP(G1311,'Common name (master file)'!$B:$B,'Common name (master file)'!$A:$A,"-------------")</f>
        <v>혹부리오리</v>
      </c>
      <c r="I1311">
        <f>eDNA!E1311</f>
        <v>33</v>
      </c>
      <c r="J1311" t="str">
        <f>_xlfn.XLOOKUP(G1311,'Common name (master file)'!$B:$B,'Common name (master file)'!$C:$C,"")</f>
        <v>조류</v>
      </c>
      <c r="K1311">
        <f>eDNA!B1311</f>
        <v>126.8771357</v>
      </c>
      <c r="L1311">
        <f>eDNA!C1311</f>
        <v>37.553306900000003</v>
      </c>
      <c r="M1311" s="10" t="str" cm="1">
        <f t="array" ref="M1311">IFERROR(_xlfn.XLOOKUP(1,('env Parameter'!$A:$A=$A1311)*('env Parameter'!$B:$B=$K1311)*('env Parameter'!$C:$C=$L1311),'env Parameter'!D:D,""),"")</f>
        <v>안양천-11</v>
      </c>
      <c r="N1311" s="10" t="str" cm="1">
        <f t="array" ref="N1311">IFERROR(_xlfn.XLOOKUP(1,('env Parameter'!$A:$A=$A1311)*('env Parameter'!$B:$B=$K1311)*('env Parameter'!$C:$C=$L1311),'env Parameter'!I:I,""),"")</f>
        <v>YR</v>
      </c>
    </row>
    <row r="1312" spans="1:14">
      <c r="A1312">
        <f>eDNA!A1312</f>
        <v>20201024</v>
      </c>
      <c r="B1312" s="10" t="str" cm="1">
        <f t="array" ref="B1312">IFERROR(_xlfn.XLOOKUP(1,('env Parameter'!$A:$A=$A1312)*('env Parameter'!$B:$B=$K1312)*('env Parameter'!$C:$C=$L1312),'env Parameter'!H:H,""),"")</f>
        <v>생물상 조사</v>
      </c>
      <c r="C1312" s="10" cm="1">
        <f t="array" ref="C1312">IFERROR(_xlfn.XLOOKUP(1,('env Parameter'!$A:$A=$A1312)*('env Parameter'!$B:$B=$K1312)*('env Parameter'!$C:$C=$L1312),'env Parameter'!E:E,""),"")</f>
        <v>2.14</v>
      </c>
      <c r="D1312" s="10" cm="1">
        <f t="array" ref="D1312">IFERROR(_xlfn.XLOOKUP(1,('env Parameter'!$A:$A=$A1312)*('env Parameter'!$B:$B=$K1312)*('env Parameter'!$C:$C=$L1312),'env Parameter'!F:F,""),"")</f>
        <v>478</v>
      </c>
      <c r="E1312" s="10" cm="1">
        <f t="array" ref="E1312">IFERROR(_xlfn.XLOOKUP(1,('env Parameter'!$A:$A=$A1312)*('env Parameter'!$B:$B=$K1312)*('env Parameter'!$C:$C=$L1312),'env Parameter'!G:G,""),"")</f>
        <v>7.6</v>
      </c>
      <c r="F1312" t="str">
        <f>eDNA!F1312</f>
        <v>MiFish</v>
      </c>
      <c r="G1312" t="str">
        <f>eDNA!D1312</f>
        <v>Hemibarbus maculatus</v>
      </c>
      <c r="H1312" t="str">
        <f>_xlfn.XLOOKUP(G1312,'Common name (master file)'!$B:$B,'Common name (master file)'!$A:$A,"-------------")</f>
        <v>알락누치</v>
      </c>
      <c r="I1312">
        <f>eDNA!E1312</f>
        <v>81</v>
      </c>
      <c r="J1312" t="str">
        <f>_xlfn.XLOOKUP(G1312,'Common name (master file)'!$B:$B,'Common name (master file)'!$C:$C,"")</f>
        <v>어류</v>
      </c>
      <c r="K1312">
        <f>eDNA!B1312</f>
        <v>126.8771357</v>
      </c>
      <c r="L1312">
        <f>eDNA!C1312</f>
        <v>37.553306900000003</v>
      </c>
      <c r="M1312" s="10" t="str" cm="1">
        <f t="array" ref="M1312">IFERROR(_xlfn.XLOOKUP(1,('env Parameter'!$A:$A=$A1312)*('env Parameter'!$B:$B=$K1312)*('env Parameter'!$C:$C=$L1312),'env Parameter'!D:D,""),"")</f>
        <v>안양천-11</v>
      </c>
      <c r="N1312" s="10" t="str" cm="1">
        <f t="array" ref="N1312">IFERROR(_xlfn.XLOOKUP(1,('env Parameter'!$A:$A=$A1312)*('env Parameter'!$B:$B=$K1312)*('env Parameter'!$C:$C=$L1312),'env Parameter'!I:I,""),"")</f>
        <v>YR</v>
      </c>
    </row>
    <row r="1313" spans="1:14">
      <c r="A1313">
        <f>eDNA!A1313</f>
        <v>20201024</v>
      </c>
      <c r="B1313" s="10" t="str" cm="1">
        <f t="array" ref="B1313">IFERROR(_xlfn.XLOOKUP(1,('env Parameter'!$A:$A=$A1313)*('env Parameter'!$B:$B=$K1313)*('env Parameter'!$C:$C=$L1313),'env Parameter'!H:H,""),"")</f>
        <v>생물상 조사</v>
      </c>
      <c r="C1313" s="10" cm="1">
        <f t="array" ref="C1313">IFERROR(_xlfn.XLOOKUP(1,('env Parameter'!$A:$A=$A1313)*('env Parameter'!$B:$B=$K1313)*('env Parameter'!$C:$C=$L1313),'env Parameter'!E:E,""),"")</f>
        <v>2.14</v>
      </c>
      <c r="D1313" s="10" cm="1">
        <f t="array" ref="D1313">IFERROR(_xlfn.XLOOKUP(1,('env Parameter'!$A:$A=$A1313)*('env Parameter'!$B:$B=$K1313)*('env Parameter'!$C:$C=$L1313),'env Parameter'!F:F,""),"")</f>
        <v>478</v>
      </c>
      <c r="E1313" s="10" cm="1">
        <f t="array" ref="E1313">IFERROR(_xlfn.XLOOKUP(1,('env Parameter'!$A:$A=$A1313)*('env Parameter'!$B:$B=$K1313)*('env Parameter'!$C:$C=$L1313),'env Parameter'!G:G,""),"")</f>
        <v>7.6</v>
      </c>
      <c r="F1313" t="str">
        <f>eDNA!F1313</f>
        <v>MiFish</v>
      </c>
      <c r="G1313" t="str">
        <f>eDNA!D1313</f>
        <v>Homo sapiens</v>
      </c>
      <c r="H1313" t="str">
        <f>_xlfn.XLOOKUP(G1313,'Common name (master file)'!$B:$B,'Common name (master file)'!$A:$A,"-------------")</f>
        <v>사람</v>
      </c>
      <c r="I1313">
        <f>eDNA!E1313</f>
        <v>159</v>
      </c>
      <c r="J1313" t="str">
        <f>_xlfn.XLOOKUP(G1313,'Common name (master file)'!$B:$B,'Common name (master file)'!$C:$C,"")</f>
        <v>포유류</v>
      </c>
      <c r="K1313">
        <f>eDNA!B1313</f>
        <v>126.8771357</v>
      </c>
      <c r="L1313">
        <f>eDNA!C1313</f>
        <v>37.553306900000003</v>
      </c>
      <c r="M1313" s="10" t="str" cm="1">
        <f t="array" ref="M1313">IFERROR(_xlfn.XLOOKUP(1,('env Parameter'!$A:$A=$A1313)*('env Parameter'!$B:$B=$K1313)*('env Parameter'!$C:$C=$L1313),'env Parameter'!D:D,""),"")</f>
        <v>안양천-11</v>
      </c>
      <c r="N1313" s="10" t="str" cm="1">
        <f t="array" ref="N1313">IFERROR(_xlfn.XLOOKUP(1,('env Parameter'!$A:$A=$A1313)*('env Parameter'!$B:$B=$K1313)*('env Parameter'!$C:$C=$L1313),'env Parameter'!I:I,""),"")</f>
        <v>YR</v>
      </c>
    </row>
    <row r="1314" spans="1:14">
      <c r="A1314">
        <f>eDNA!A1314</f>
        <v>20201024</v>
      </c>
      <c r="B1314" s="10" t="str" cm="1">
        <f t="array" ref="B1314">IFERROR(_xlfn.XLOOKUP(1,('env Parameter'!$A:$A=$A1314)*('env Parameter'!$B:$B=$K1314)*('env Parameter'!$C:$C=$L1314),'env Parameter'!H:H,""),"")</f>
        <v>생물상 조사</v>
      </c>
      <c r="C1314" s="10" cm="1">
        <f t="array" ref="C1314">IFERROR(_xlfn.XLOOKUP(1,('env Parameter'!$A:$A=$A1314)*('env Parameter'!$B:$B=$K1314)*('env Parameter'!$C:$C=$L1314),'env Parameter'!E:E,""),"")</f>
        <v>2.14</v>
      </c>
      <c r="D1314" s="10" cm="1">
        <f t="array" ref="D1314">IFERROR(_xlfn.XLOOKUP(1,('env Parameter'!$A:$A=$A1314)*('env Parameter'!$B:$B=$K1314)*('env Parameter'!$C:$C=$L1314),'env Parameter'!F:F,""),"")</f>
        <v>478</v>
      </c>
      <c r="E1314" s="10" cm="1">
        <f t="array" ref="E1314">IFERROR(_xlfn.XLOOKUP(1,('env Parameter'!$A:$A=$A1314)*('env Parameter'!$B:$B=$K1314)*('env Parameter'!$C:$C=$L1314),'env Parameter'!G:G,""),"")</f>
        <v>7.6</v>
      </c>
      <c r="F1314" t="str">
        <f>eDNA!F1314</f>
        <v>MiFish</v>
      </c>
      <c r="G1314" t="str">
        <f>eDNA!D1314</f>
        <v>Tachysurus fulvidraco</v>
      </c>
      <c r="H1314" t="str">
        <f>_xlfn.XLOOKUP(G1314,'Common name (master file)'!$B:$B,'Common name (master file)'!$A:$A,"-------------")</f>
        <v>동자개</v>
      </c>
      <c r="I1314">
        <f>eDNA!E1314</f>
        <v>205</v>
      </c>
      <c r="J1314" t="str">
        <f>_xlfn.XLOOKUP(G1314,'Common name (master file)'!$B:$B,'Common name (master file)'!$C:$C,"")</f>
        <v>어류</v>
      </c>
      <c r="K1314">
        <f>eDNA!B1314</f>
        <v>126.8771357</v>
      </c>
      <c r="L1314">
        <f>eDNA!C1314</f>
        <v>37.553306900000003</v>
      </c>
      <c r="M1314" s="10" t="str" cm="1">
        <f t="array" ref="M1314">IFERROR(_xlfn.XLOOKUP(1,('env Parameter'!$A:$A=$A1314)*('env Parameter'!$B:$B=$K1314)*('env Parameter'!$C:$C=$L1314),'env Parameter'!D:D,""),"")</f>
        <v>안양천-11</v>
      </c>
      <c r="N1314" s="10" t="str" cm="1">
        <f t="array" ref="N1314">IFERROR(_xlfn.XLOOKUP(1,('env Parameter'!$A:$A=$A1314)*('env Parameter'!$B:$B=$K1314)*('env Parameter'!$C:$C=$L1314),'env Parameter'!I:I,""),"")</f>
        <v>YR</v>
      </c>
    </row>
    <row r="1315" spans="1:14">
      <c r="A1315">
        <f>eDNA!A1315</f>
        <v>20201024</v>
      </c>
      <c r="B1315" s="10" t="str" cm="1">
        <f t="array" ref="B1315">IFERROR(_xlfn.XLOOKUP(1,('env Parameter'!$A:$A=$A1315)*('env Parameter'!$B:$B=$K1315)*('env Parameter'!$C:$C=$L1315),'env Parameter'!H:H,""),"")</f>
        <v>생물상 조사</v>
      </c>
      <c r="C1315" s="10" cm="1">
        <f t="array" ref="C1315">IFERROR(_xlfn.XLOOKUP(1,('env Parameter'!$A:$A=$A1315)*('env Parameter'!$B:$B=$K1315)*('env Parameter'!$C:$C=$L1315),'env Parameter'!E:E,""),"")</f>
        <v>2.14</v>
      </c>
      <c r="D1315" s="10" cm="1">
        <f t="array" ref="D1315">IFERROR(_xlfn.XLOOKUP(1,('env Parameter'!$A:$A=$A1315)*('env Parameter'!$B:$B=$K1315)*('env Parameter'!$C:$C=$L1315),'env Parameter'!F:F,""),"")</f>
        <v>478</v>
      </c>
      <c r="E1315" s="10" cm="1">
        <f t="array" ref="E1315">IFERROR(_xlfn.XLOOKUP(1,('env Parameter'!$A:$A=$A1315)*('env Parameter'!$B:$B=$K1315)*('env Parameter'!$C:$C=$L1315),'env Parameter'!G:G,""),"")</f>
        <v>7.6</v>
      </c>
      <c r="F1315" t="str">
        <f>eDNA!F1315</f>
        <v>MiFish</v>
      </c>
      <c r="G1315" t="str">
        <f>eDNA!D1315</f>
        <v>Carassius sp.</v>
      </c>
      <c r="H1315" t="str">
        <f>_xlfn.XLOOKUP(G1315,'Common name (master file)'!$B:$B,'Common name (master file)'!$A:$A,"-------------")</f>
        <v>붕어 속</v>
      </c>
      <c r="I1315">
        <f>eDNA!E1315</f>
        <v>214</v>
      </c>
      <c r="J1315" t="str">
        <f>_xlfn.XLOOKUP(G1315,'Common name (master file)'!$B:$B,'Common name (master file)'!$C:$C,"")</f>
        <v>어류</v>
      </c>
      <c r="K1315">
        <f>eDNA!B1315</f>
        <v>126.8771357</v>
      </c>
      <c r="L1315">
        <f>eDNA!C1315</f>
        <v>37.553306900000003</v>
      </c>
      <c r="M1315" s="10" t="str" cm="1">
        <f t="array" ref="M1315">IFERROR(_xlfn.XLOOKUP(1,('env Parameter'!$A:$A=$A1315)*('env Parameter'!$B:$B=$K1315)*('env Parameter'!$C:$C=$L1315),'env Parameter'!D:D,""),"")</f>
        <v>안양천-11</v>
      </c>
      <c r="N1315" s="10" t="str" cm="1">
        <f t="array" ref="N1315">IFERROR(_xlfn.XLOOKUP(1,('env Parameter'!$A:$A=$A1315)*('env Parameter'!$B:$B=$K1315)*('env Parameter'!$C:$C=$L1315),'env Parameter'!I:I,""),"")</f>
        <v>YR</v>
      </c>
    </row>
    <row r="1316" spans="1:14">
      <c r="A1316">
        <f>eDNA!A1316</f>
        <v>20201024</v>
      </c>
      <c r="B1316" s="10" t="str" cm="1">
        <f t="array" ref="B1316">IFERROR(_xlfn.XLOOKUP(1,('env Parameter'!$A:$A=$A1316)*('env Parameter'!$B:$B=$K1316)*('env Parameter'!$C:$C=$L1316),'env Parameter'!H:H,""),"")</f>
        <v>생물상 조사</v>
      </c>
      <c r="C1316" s="10" cm="1">
        <f t="array" ref="C1316">IFERROR(_xlfn.XLOOKUP(1,('env Parameter'!$A:$A=$A1316)*('env Parameter'!$B:$B=$K1316)*('env Parameter'!$C:$C=$L1316),'env Parameter'!E:E,""),"")</f>
        <v>2.14</v>
      </c>
      <c r="D1316" s="10" cm="1">
        <f t="array" ref="D1316">IFERROR(_xlfn.XLOOKUP(1,('env Parameter'!$A:$A=$A1316)*('env Parameter'!$B:$B=$K1316)*('env Parameter'!$C:$C=$L1316),'env Parameter'!F:F,""),"")</f>
        <v>478</v>
      </c>
      <c r="E1316" s="10" cm="1">
        <f t="array" ref="E1316">IFERROR(_xlfn.XLOOKUP(1,('env Parameter'!$A:$A=$A1316)*('env Parameter'!$B:$B=$K1316)*('env Parameter'!$C:$C=$L1316),'env Parameter'!G:G,""),"")</f>
        <v>7.6</v>
      </c>
      <c r="F1316" t="str">
        <f>eDNA!F1316</f>
        <v>MiFish</v>
      </c>
      <c r="G1316" t="str">
        <f>eDNA!D1316</f>
        <v>Silurus soldatovi</v>
      </c>
      <c r="H1316" t="str">
        <f>_xlfn.XLOOKUP(G1316,'Common name (master file)'!$B:$B,'Common name (master file)'!$A:$A,"-------------")</f>
        <v>솔다토비 메기</v>
      </c>
      <c r="I1316">
        <f>eDNA!E1316</f>
        <v>311</v>
      </c>
      <c r="J1316" t="str">
        <f>_xlfn.XLOOKUP(G1316,'Common name (master file)'!$B:$B,'Common name (master file)'!$C:$C,"")</f>
        <v>어류</v>
      </c>
      <c r="K1316">
        <f>eDNA!B1316</f>
        <v>126.8771357</v>
      </c>
      <c r="L1316">
        <f>eDNA!C1316</f>
        <v>37.553306900000003</v>
      </c>
      <c r="M1316" s="10" t="str" cm="1">
        <f t="array" ref="M1316">IFERROR(_xlfn.XLOOKUP(1,('env Parameter'!$A:$A=$A1316)*('env Parameter'!$B:$B=$K1316)*('env Parameter'!$C:$C=$L1316),'env Parameter'!D:D,""),"")</f>
        <v>안양천-11</v>
      </c>
      <c r="N1316" s="10" t="str" cm="1">
        <f t="array" ref="N1316">IFERROR(_xlfn.XLOOKUP(1,('env Parameter'!$A:$A=$A1316)*('env Parameter'!$B:$B=$K1316)*('env Parameter'!$C:$C=$L1316),'env Parameter'!I:I,""),"")</f>
        <v>YR</v>
      </c>
    </row>
    <row r="1317" spans="1:14">
      <c r="A1317">
        <f>eDNA!A1317</f>
        <v>20201024</v>
      </c>
      <c r="B1317" s="10" t="str" cm="1">
        <f t="array" ref="B1317">IFERROR(_xlfn.XLOOKUP(1,('env Parameter'!$A:$A=$A1317)*('env Parameter'!$B:$B=$K1317)*('env Parameter'!$C:$C=$L1317),'env Parameter'!H:H,""),"")</f>
        <v>생물상 조사</v>
      </c>
      <c r="C1317" s="10" cm="1">
        <f t="array" ref="C1317">IFERROR(_xlfn.XLOOKUP(1,('env Parameter'!$A:$A=$A1317)*('env Parameter'!$B:$B=$K1317)*('env Parameter'!$C:$C=$L1317),'env Parameter'!E:E,""),"")</f>
        <v>2.14</v>
      </c>
      <c r="D1317" s="10" cm="1">
        <f t="array" ref="D1317">IFERROR(_xlfn.XLOOKUP(1,('env Parameter'!$A:$A=$A1317)*('env Parameter'!$B:$B=$K1317)*('env Parameter'!$C:$C=$L1317),'env Parameter'!F:F,""),"")</f>
        <v>478</v>
      </c>
      <c r="E1317" s="10" cm="1">
        <f t="array" ref="E1317">IFERROR(_xlfn.XLOOKUP(1,('env Parameter'!$A:$A=$A1317)*('env Parameter'!$B:$B=$K1317)*('env Parameter'!$C:$C=$L1317),'env Parameter'!G:G,""),"")</f>
        <v>7.6</v>
      </c>
      <c r="F1317" t="str">
        <f>eDNA!F1317</f>
        <v>MiFish</v>
      </c>
      <c r="G1317" t="str">
        <f>eDNA!D1317</f>
        <v>Sus scrofa</v>
      </c>
      <c r="H1317" t="str">
        <f>_xlfn.XLOOKUP(G1317,'Common name (master file)'!$B:$B,'Common name (master file)'!$A:$A,"-------------")</f>
        <v>멧돼지</v>
      </c>
      <c r="I1317">
        <f>eDNA!E1317</f>
        <v>517</v>
      </c>
      <c r="J1317" t="str">
        <f>_xlfn.XLOOKUP(G1317,'Common name (master file)'!$B:$B,'Common name (master file)'!$C:$C,"")</f>
        <v>포유류</v>
      </c>
      <c r="K1317">
        <f>eDNA!B1317</f>
        <v>126.8771357</v>
      </c>
      <c r="L1317">
        <f>eDNA!C1317</f>
        <v>37.553306900000003</v>
      </c>
      <c r="M1317" s="10" t="str" cm="1">
        <f t="array" ref="M1317">IFERROR(_xlfn.XLOOKUP(1,('env Parameter'!$A:$A=$A1317)*('env Parameter'!$B:$B=$K1317)*('env Parameter'!$C:$C=$L1317),'env Parameter'!D:D,""),"")</f>
        <v>안양천-11</v>
      </c>
      <c r="N1317" s="10" t="str" cm="1">
        <f t="array" ref="N1317">IFERROR(_xlfn.XLOOKUP(1,('env Parameter'!$A:$A=$A1317)*('env Parameter'!$B:$B=$K1317)*('env Parameter'!$C:$C=$L1317),'env Parameter'!I:I,""),"")</f>
        <v>YR</v>
      </c>
    </row>
    <row r="1318" spans="1:14">
      <c r="A1318">
        <f>eDNA!A1318</f>
        <v>20201024</v>
      </c>
      <c r="B1318" s="10" t="str" cm="1">
        <f t="array" ref="B1318">IFERROR(_xlfn.XLOOKUP(1,('env Parameter'!$A:$A=$A1318)*('env Parameter'!$B:$B=$K1318)*('env Parameter'!$C:$C=$L1318),'env Parameter'!H:H,""),"")</f>
        <v>생물상 조사</v>
      </c>
      <c r="C1318" s="10" cm="1">
        <f t="array" ref="C1318">IFERROR(_xlfn.XLOOKUP(1,('env Parameter'!$A:$A=$A1318)*('env Parameter'!$B:$B=$K1318)*('env Parameter'!$C:$C=$L1318),'env Parameter'!E:E,""),"")</f>
        <v>2.14</v>
      </c>
      <c r="D1318" s="10" cm="1">
        <f t="array" ref="D1318">IFERROR(_xlfn.XLOOKUP(1,('env Parameter'!$A:$A=$A1318)*('env Parameter'!$B:$B=$K1318)*('env Parameter'!$C:$C=$L1318),'env Parameter'!F:F,""),"")</f>
        <v>478</v>
      </c>
      <c r="E1318" s="10" cm="1">
        <f t="array" ref="E1318">IFERROR(_xlfn.XLOOKUP(1,('env Parameter'!$A:$A=$A1318)*('env Parameter'!$B:$B=$K1318)*('env Parameter'!$C:$C=$L1318),'env Parameter'!G:G,""),"")</f>
        <v>7.6</v>
      </c>
      <c r="F1318" t="str">
        <f>eDNA!F1318</f>
        <v>MiFish</v>
      </c>
      <c r="G1318" t="str">
        <f>eDNA!D1318</f>
        <v>Bos taurus</v>
      </c>
      <c r="H1318" t="str">
        <f>_xlfn.XLOOKUP(G1318,'Common name (master file)'!$B:$B,'Common name (master file)'!$A:$A,"-------------")</f>
        <v>소</v>
      </c>
      <c r="I1318">
        <f>eDNA!E1318</f>
        <v>435</v>
      </c>
      <c r="J1318" t="str">
        <f>_xlfn.XLOOKUP(G1318,'Common name (master file)'!$B:$B,'Common name (master file)'!$C:$C,"")</f>
        <v>포유류</v>
      </c>
      <c r="K1318">
        <f>eDNA!B1318</f>
        <v>126.8771357</v>
      </c>
      <c r="L1318">
        <f>eDNA!C1318</f>
        <v>37.553306900000003</v>
      </c>
      <c r="M1318" s="10" t="str" cm="1">
        <f t="array" ref="M1318">IFERROR(_xlfn.XLOOKUP(1,('env Parameter'!$A:$A=$A1318)*('env Parameter'!$B:$B=$K1318)*('env Parameter'!$C:$C=$L1318),'env Parameter'!D:D,""),"")</f>
        <v>안양천-11</v>
      </c>
      <c r="N1318" s="10" t="str" cm="1">
        <f t="array" ref="N1318">IFERROR(_xlfn.XLOOKUP(1,('env Parameter'!$A:$A=$A1318)*('env Parameter'!$B:$B=$K1318)*('env Parameter'!$C:$C=$L1318),'env Parameter'!I:I,""),"")</f>
        <v>YR</v>
      </c>
    </row>
    <row r="1319" spans="1:14">
      <c r="A1319">
        <f>eDNA!A1319</f>
        <v>20201024</v>
      </c>
      <c r="B1319" s="10" t="str" cm="1">
        <f t="array" ref="B1319">IFERROR(_xlfn.XLOOKUP(1,('env Parameter'!$A:$A=$A1319)*('env Parameter'!$B:$B=$K1319)*('env Parameter'!$C:$C=$L1319),'env Parameter'!H:H,""),"")</f>
        <v>생물상 조사</v>
      </c>
      <c r="C1319" s="10" cm="1">
        <f t="array" ref="C1319">IFERROR(_xlfn.XLOOKUP(1,('env Parameter'!$A:$A=$A1319)*('env Parameter'!$B:$B=$K1319)*('env Parameter'!$C:$C=$L1319),'env Parameter'!E:E,""),"")</f>
        <v>2.14</v>
      </c>
      <c r="D1319" s="10" cm="1">
        <f t="array" ref="D1319">IFERROR(_xlfn.XLOOKUP(1,('env Parameter'!$A:$A=$A1319)*('env Parameter'!$B:$B=$K1319)*('env Parameter'!$C:$C=$L1319),'env Parameter'!F:F,""),"")</f>
        <v>478</v>
      </c>
      <c r="E1319" s="10" cm="1">
        <f t="array" ref="E1319">IFERROR(_xlfn.XLOOKUP(1,('env Parameter'!$A:$A=$A1319)*('env Parameter'!$B:$B=$K1319)*('env Parameter'!$C:$C=$L1319),'env Parameter'!G:G,""),"")</f>
        <v>7.6</v>
      </c>
      <c r="F1319" t="str">
        <f>eDNA!F1319</f>
        <v>MiFish</v>
      </c>
      <c r="G1319" t="str">
        <f>eDNA!D1319</f>
        <v>Acheilognathus lanceolata</v>
      </c>
      <c r="H1319" t="str">
        <f>_xlfn.XLOOKUP(G1319,'Common name (master file)'!$B:$B,'Common name (master file)'!$A:$A,"-------------")</f>
        <v>납자루</v>
      </c>
      <c r="I1319">
        <f>eDNA!E1319</f>
        <v>641</v>
      </c>
      <c r="J1319" t="str">
        <f>_xlfn.XLOOKUP(G1319,'Common name (master file)'!$B:$B,'Common name (master file)'!$C:$C,"")</f>
        <v>어류</v>
      </c>
      <c r="K1319">
        <f>eDNA!B1319</f>
        <v>126.8771357</v>
      </c>
      <c r="L1319">
        <f>eDNA!C1319</f>
        <v>37.553306900000003</v>
      </c>
      <c r="M1319" s="10" t="str" cm="1">
        <f t="array" ref="M1319">IFERROR(_xlfn.XLOOKUP(1,('env Parameter'!$A:$A=$A1319)*('env Parameter'!$B:$B=$K1319)*('env Parameter'!$C:$C=$L1319),'env Parameter'!D:D,""),"")</f>
        <v>안양천-11</v>
      </c>
      <c r="N1319" s="10" t="str" cm="1">
        <f t="array" ref="N1319">IFERROR(_xlfn.XLOOKUP(1,('env Parameter'!$A:$A=$A1319)*('env Parameter'!$B:$B=$K1319)*('env Parameter'!$C:$C=$L1319),'env Parameter'!I:I,""),"")</f>
        <v>YR</v>
      </c>
    </row>
    <row r="1320" spans="1:14">
      <c r="A1320">
        <f>eDNA!A1320</f>
        <v>20201024</v>
      </c>
      <c r="B1320" s="10" t="str" cm="1">
        <f t="array" ref="B1320">IFERROR(_xlfn.XLOOKUP(1,('env Parameter'!$A:$A=$A1320)*('env Parameter'!$B:$B=$K1320)*('env Parameter'!$C:$C=$L1320),'env Parameter'!H:H,""),"")</f>
        <v>생물상 조사</v>
      </c>
      <c r="C1320" s="10" cm="1">
        <f t="array" ref="C1320">IFERROR(_xlfn.XLOOKUP(1,('env Parameter'!$A:$A=$A1320)*('env Parameter'!$B:$B=$K1320)*('env Parameter'!$C:$C=$L1320),'env Parameter'!E:E,""),"")</f>
        <v>2.14</v>
      </c>
      <c r="D1320" s="10" cm="1">
        <f t="array" ref="D1320">IFERROR(_xlfn.XLOOKUP(1,('env Parameter'!$A:$A=$A1320)*('env Parameter'!$B:$B=$K1320)*('env Parameter'!$C:$C=$L1320),'env Parameter'!F:F,""),"")</f>
        <v>478</v>
      </c>
      <c r="E1320" s="10" cm="1">
        <f t="array" ref="E1320">IFERROR(_xlfn.XLOOKUP(1,('env Parameter'!$A:$A=$A1320)*('env Parameter'!$B:$B=$K1320)*('env Parameter'!$C:$C=$L1320),'env Parameter'!G:G,""),"")</f>
        <v>7.6</v>
      </c>
      <c r="F1320" t="str">
        <f>eDNA!F1320</f>
        <v>MiFish</v>
      </c>
      <c r="G1320" t="str">
        <f>eDNA!D1320</f>
        <v>Synechogobius hasta</v>
      </c>
      <c r="H1320" t="str">
        <f>_xlfn.XLOOKUP(G1320,'Common name (master file)'!$B:$B,'Common name (master file)'!$A:$A,"-------------")</f>
        <v>풀망둑</v>
      </c>
      <c r="I1320">
        <f>eDNA!E1320</f>
        <v>659</v>
      </c>
      <c r="J1320" t="str">
        <f>_xlfn.XLOOKUP(G1320,'Common name (master file)'!$B:$B,'Common name (master file)'!$C:$C,"")</f>
        <v>어류</v>
      </c>
      <c r="K1320">
        <f>eDNA!B1320</f>
        <v>126.8771357</v>
      </c>
      <c r="L1320">
        <f>eDNA!C1320</f>
        <v>37.553306900000003</v>
      </c>
      <c r="M1320" s="10" t="str" cm="1">
        <f t="array" ref="M1320">IFERROR(_xlfn.XLOOKUP(1,('env Parameter'!$A:$A=$A1320)*('env Parameter'!$B:$B=$K1320)*('env Parameter'!$C:$C=$L1320),'env Parameter'!D:D,""),"")</f>
        <v>안양천-11</v>
      </c>
      <c r="N1320" s="10" t="str" cm="1">
        <f t="array" ref="N1320">IFERROR(_xlfn.XLOOKUP(1,('env Parameter'!$A:$A=$A1320)*('env Parameter'!$B:$B=$K1320)*('env Parameter'!$C:$C=$L1320),'env Parameter'!I:I,""),"")</f>
        <v>YR</v>
      </c>
    </row>
    <row r="1321" spans="1:14">
      <c r="A1321">
        <f>eDNA!A1321</f>
        <v>20201024</v>
      </c>
      <c r="B1321" s="10" t="str" cm="1">
        <f t="array" ref="B1321">IFERROR(_xlfn.XLOOKUP(1,('env Parameter'!$A:$A=$A1321)*('env Parameter'!$B:$B=$K1321)*('env Parameter'!$C:$C=$L1321),'env Parameter'!H:H,""),"")</f>
        <v>생물상 조사</v>
      </c>
      <c r="C1321" s="10" cm="1">
        <f t="array" ref="C1321">IFERROR(_xlfn.XLOOKUP(1,('env Parameter'!$A:$A=$A1321)*('env Parameter'!$B:$B=$K1321)*('env Parameter'!$C:$C=$L1321),'env Parameter'!E:E,""),"")</f>
        <v>2.14</v>
      </c>
      <c r="D1321" s="10" cm="1">
        <f t="array" ref="D1321">IFERROR(_xlfn.XLOOKUP(1,('env Parameter'!$A:$A=$A1321)*('env Parameter'!$B:$B=$K1321)*('env Parameter'!$C:$C=$L1321),'env Parameter'!F:F,""),"")</f>
        <v>478</v>
      </c>
      <c r="E1321" s="10" cm="1">
        <f t="array" ref="E1321">IFERROR(_xlfn.XLOOKUP(1,('env Parameter'!$A:$A=$A1321)*('env Parameter'!$B:$B=$K1321)*('env Parameter'!$C:$C=$L1321),'env Parameter'!G:G,""),"")</f>
        <v>7.6</v>
      </c>
      <c r="F1321" t="str">
        <f>eDNA!F1321</f>
        <v>MiFish</v>
      </c>
      <c r="G1321" t="str">
        <f>eDNA!D1321</f>
        <v>Cyprinus carpio</v>
      </c>
      <c r="H1321" t="str">
        <f>_xlfn.XLOOKUP(G1321,'Common name (master file)'!$B:$B,'Common name (master file)'!$A:$A,"-------------")</f>
        <v>잉어</v>
      </c>
      <c r="I1321">
        <f>eDNA!E1321</f>
        <v>686</v>
      </c>
      <c r="J1321" t="str">
        <f>_xlfn.XLOOKUP(G1321,'Common name (master file)'!$B:$B,'Common name (master file)'!$C:$C,"")</f>
        <v>어류</v>
      </c>
      <c r="K1321">
        <f>eDNA!B1321</f>
        <v>126.8771357</v>
      </c>
      <c r="L1321">
        <f>eDNA!C1321</f>
        <v>37.553306900000003</v>
      </c>
      <c r="M1321" s="10" t="str" cm="1">
        <f t="array" ref="M1321">IFERROR(_xlfn.XLOOKUP(1,('env Parameter'!$A:$A=$A1321)*('env Parameter'!$B:$B=$K1321)*('env Parameter'!$C:$C=$L1321),'env Parameter'!D:D,""),"")</f>
        <v>안양천-11</v>
      </c>
      <c r="N1321" s="10" t="str" cm="1">
        <f t="array" ref="N1321">IFERROR(_xlfn.XLOOKUP(1,('env Parameter'!$A:$A=$A1321)*('env Parameter'!$B:$B=$K1321)*('env Parameter'!$C:$C=$L1321),'env Parameter'!I:I,""),"")</f>
        <v>YR</v>
      </c>
    </row>
    <row r="1322" spans="1:14">
      <c r="A1322">
        <f>eDNA!A1322</f>
        <v>20201024</v>
      </c>
      <c r="B1322" s="10" t="str" cm="1">
        <f t="array" ref="B1322">IFERROR(_xlfn.XLOOKUP(1,('env Parameter'!$A:$A=$A1322)*('env Parameter'!$B:$B=$K1322)*('env Parameter'!$C:$C=$L1322),'env Parameter'!H:H,""),"")</f>
        <v>생물상 조사</v>
      </c>
      <c r="C1322" s="10" cm="1">
        <f t="array" ref="C1322">IFERROR(_xlfn.XLOOKUP(1,('env Parameter'!$A:$A=$A1322)*('env Parameter'!$B:$B=$K1322)*('env Parameter'!$C:$C=$L1322),'env Parameter'!E:E,""),"")</f>
        <v>2.14</v>
      </c>
      <c r="D1322" s="10" cm="1">
        <f t="array" ref="D1322">IFERROR(_xlfn.XLOOKUP(1,('env Parameter'!$A:$A=$A1322)*('env Parameter'!$B:$B=$K1322)*('env Parameter'!$C:$C=$L1322),'env Parameter'!F:F,""),"")</f>
        <v>478</v>
      </c>
      <c r="E1322" s="10" cm="1">
        <f t="array" ref="E1322">IFERROR(_xlfn.XLOOKUP(1,('env Parameter'!$A:$A=$A1322)*('env Parameter'!$B:$B=$K1322)*('env Parameter'!$C:$C=$L1322),'env Parameter'!G:G,""),"")</f>
        <v>7.6</v>
      </c>
      <c r="F1322" t="str">
        <f>eDNA!F1322</f>
        <v>MiFish</v>
      </c>
      <c r="G1322" t="str">
        <f>eDNA!D1322</f>
        <v>Micropterus salmoides</v>
      </c>
      <c r="H1322" t="str">
        <f>_xlfn.XLOOKUP(G1322,'Common name (master file)'!$B:$B,'Common name (master file)'!$A:$A,"-------------")</f>
        <v>큰입배스</v>
      </c>
      <c r="I1322">
        <f>eDNA!E1322</f>
        <v>722</v>
      </c>
      <c r="J1322" t="str">
        <f>_xlfn.XLOOKUP(G1322,'Common name (master file)'!$B:$B,'Common name (master file)'!$C:$C,"")</f>
        <v>어류</v>
      </c>
      <c r="K1322">
        <f>eDNA!B1322</f>
        <v>126.8771357</v>
      </c>
      <c r="L1322">
        <f>eDNA!C1322</f>
        <v>37.553306900000003</v>
      </c>
      <c r="M1322" s="10" t="str" cm="1">
        <f t="array" ref="M1322">IFERROR(_xlfn.XLOOKUP(1,('env Parameter'!$A:$A=$A1322)*('env Parameter'!$B:$B=$K1322)*('env Parameter'!$C:$C=$L1322),'env Parameter'!D:D,""),"")</f>
        <v>안양천-11</v>
      </c>
      <c r="N1322" s="10" t="str" cm="1">
        <f t="array" ref="N1322">IFERROR(_xlfn.XLOOKUP(1,('env Parameter'!$A:$A=$A1322)*('env Parameter'!$B:$B=$K1322)*('env Parameter'!$C:$C=$L1322),'env Parameter'!I:I,""),"")</f>
        <v>YR</v>
      </c>
    </row>
    <row r="1323" spans="1:14">
      <c r="A1323">
        <f>eDNA!A1323</f>
        <v>20201024</v>
      </c>
      <c r="B1323" s="10" t="str" cm="1">
        <f t="array" ref="B1323">IFERROR(_xlfn.XLOOKUP(1,('env Parameter'!$A:$A=$A1323)*('env Parameter'!$B:$B=$K1323)*('env Parameter'!$C:$C=$L1323),'env Parameter'!H:H,""),"")</f>
        <v>생물상 조사</v>
      </c>
      <c r="C1323" s="10" cm="1">
        <f t="array" ref="C1323">IFERROR(_xlfn.XLOOKUP(1,('env Parameter'!$A:$A=$A1323)*('env Parameter'!$B:$B=$K1323)*('env Parameter'!$C:$C=$L1323),'env Parameter'!E:E,""),"")</f>
        <v>2.14</v>
      </c>
      <c r="D1323" s="10" cm="1">
        <f t="array" ref="D1323">IFERROR(_xlfn.XLOOKUP(1,('env Parameter'!$A:$A=$A1323)*('env Parameter'!$B:$B=$K1323)*('env Parameter'!$C:$C=$L1323),'env Parameter'!F:F,""),"")</f>
        <v>478</v>
      </c>
      <c r="E1323" s="10" cm="1">
        <f t="array" ref="E1323">IFERROR(_xlfn.XLOOKUP(1,('env Parameter'!$A:$A=$A1323)*('env Parameter'!$B:$B=$K1323)*('env Parameter'!$C:$C=$L1323),'env Parameter'!G:G,""),"")</f>
        <v>7.6</v>
      </c>
      <c r="F1323" t="str">
        <f>eDNA!F1323</f>
        <v>MiFish</v>
      </c>
      <c r="G1323" t="str">
        <f>eDNA!D1323</f>
        <v>Acheilognathus macropterus</v>
      </c>
      <c r="H1323" t="str">
        <f>_xlfn.XLOOKUP(G1323,'Common name (master file)'!$B:$B,'Common name (master file)'!$A:$A,"-------------")</f>
        <v>큰납지리</v>
      </c>
      <c r="I1323">
        <f>eDNA!E1323</f>
        <v>942</v>
      </c>
      <c r="J1323" t="str">
        <f>_xlfn.XLOOKUP(G1323,'Common name (master file)'!$B:$B,'Common name (master file)'!$C:$C,"")</f>
        <v>어류</v>
      </c>
      <c r="K1323">
        <f>eDNA!B1323</f>
        <v>126.8771357</v>
      </c>
      <c r="L1323">
        <f>eDNA!C1323</f>
        <v>37.553306900000003</v>
      </c>
      <c r="M1323" s="10" t="str" cm="1">
        <f t="array" ref="M1323">IFERROR(_xlfn.XLOOKUP(1,('env Parameter'!$A:$A=$A1323)*('env Parameter'!$B:$B=$K1323)*('env Parameter'!$C:$C=$L1323),'env Parameter'!D:D,""),"")</f>
        <v>안양천-11</v>
      </c>
      <c r="N1323" s="10" t="str" cm="1">
        <f t="array" ref="N1323">IFERROR(_xlfn.XLOOKUP(1,('env Parameter'!$A:$A=$A1323)*('env Parameter'!$B:$B=$K1323)*('env Parameter'!$C:$C=$L1323),'env Parameter'!I:I,""),"")</f>
        <v>YR</v>
      </c>
    </row>
    <row r="1324" spans="1:14">
      <c r="A1324">
        <f>eDNA!A1324</f>
        <v>20201024</v>
      </c>
      <c r="B1324" s="10" t="str" cm="1">
        <f t="array" ref="B1324">IFERROR(_xlfn.XLOOKUP(1,('env Parameter'!$A:$A=$A1324)*('env Parameter'!$B:$B=$K1324)*('env Parameter'!$C:$C=$L1324),'env Parameter'!H:H,""),"")</f>
        <v>생물상 조사</v>
      </c>
      <c r="C1324" s="10" cm="1">
        <f t="array" ref="C1324">IFERROR(_xlfn.XLOOKUP(1,('env Parameter'!$A:$A=$A1324)*('env Parameter'!$B:$B=$K1324)*('env Parameter'!$C:$C=$L1324),'env Parameter'!E:E,""),"")</f>
        <v>2.14</v>
      </c>
      <c r="D1324" s="10" cm="1">
        <f t="array" ref="D1324">IFERROR(_xlfn.XLOOKUP(1,('env Parameter'!$A:$A=$A1324)*('env Parameter'!$B:$B=$K1324)*('env Parameter'!$C:$C=$L1324),'env Parameter'!F:F,""),"")</f>
        <v>478</v>
      </c>
      <c r="E1324" s="10" cm="1">
        <f t="array" ref="E1324">IFERROR(_xlfn.XLOOKUP(1,('env Parameter'!$A:$A=$A1324)*('env Parameter'!$B:$B=$K1324)*('env Parameter'!$C:$C=$L1324),'env Parameter'!G:G,""),"")</f>
        <v>7.6</v>
      </c>
      <c r="F1324" t="str">
        <f>eDNA!F1324</f>
        <v>MiFish</v>
      </c>
      <c r="G1324" t="str">
        <f>eDNA!D1324</f>
        <v>Squalidus gracilis majimae</v>
      </c>
      <c r="H1324" t="str">
        <f>_xlfn.XLOOKUP(G1324,'Common name (master file)'!$B:$B,'Common name (master file)'!$A:$A,"-------------")</f>
        <v>긴몰개</v>
      </c>
      <c r="I1324">
        <f>eDNA!E1324</f>
        <v>1508</v>
      </c>
      <c r="J1324" t="str">
        <f>_xlfn.XLOOKUP(G1324,'Common name (master file)'!$B:$B,'Common name (master file)'!$C:$C,"")</f>
        <v>어류</v>
      </c>
      <c r="K1324">
        <f>eDNA!B1324</f>
        <v>126.8771357</v>
      </c>
      <c r="L1324">
        <f>eDNA!C1324</f>
        <v>37.553306900000003</v>
      </c>
      <c r="M1324" s="10" t="str" cm="1">
        <f t="array" ref="M1324">IFERROR(_xlfn.XLOOKUP(1,('env Parameter'!$A:$A=$A1324)*('env Parameter'!$B:$B=$K1324)*('env Parameter'!$C:$C=$L1324),'env Parameter'!D:D,""),"")</f>
        <v>안양천-11</v>
      </c>
      <c r="N1324" s="10" t="str" cm="1">
        <f t="array" ref="N1324">IFERROR(_xlfn.XLOOKUP(1,('env Parameter'!$A:$A=$A1324)*('env Parameter'!$B:$B=$K1324)*('env Parameter'!$C:$C=$L1324),'env Parameter'!I:I,""),"")</f>
        <v>YR</v>
      </c>
    </row>
    <row r="1325" spans="1:14">
      <c r="A1325">
        <f>eDNA!A1325</f>
        <v>20201024</v>
      </c>
      <c r="B1325" s="10" t="str" cm="1">
        <f t="array" ref="B1325">IFERROR(_xlfn.XLOOKUP(1,('env Parameter'!$A:$A=$A1325)*('env Parameter'!$B:$B=$K1325)*('env Parameter'!$C:$C=$L1325),'env Parameter'!H:H,""),"")</f>
        <v>생물상 조사</v>
      </c>
      <c r="C1325" s="10" cm="1">
        <f t="array" ref="C1325">IFERROR(_xlfn.XLOOKUP(1,('env Parameter'!$A:$A=$A1325)*('env Parameter'!$B:$B=$K1325)*('env Parameter'!$C:$C=$L1325),'env Parameter'!E:E,""),"")</f>
        <v>2.14</v>
      </c>
      <c r="D1325" s="10" cm="1">
        <f t="array" ref="D1325">IFERROR(_xlfn.XLOOKUP(1,('env Parameter'!$A:$A=$A1325)*('env Parameter'!$B:$B=$K1325)*('env Parameter'!$C:$C=$L1325),'env Parameter'!F:F,""),"")</f>
        <v>478</v>
      </c>
      <c r="E1325" s="10" cm="1">
        <f t="array" ref="E1325">IFERROR(_xlfn.XLOOKUP(1,('env Parameter'!$A:$A=$A1325)*('env Parameter'!$B:$B=$K1325)*('env Parameter'!$C:$C=$L1325),'env Parameter'!G:G,""),"")</f>
        <v>7.6</v>
      </c>
      <c r="F1325" t="str">
        <f>eDNA!F1325</f>
        <v>MiFish</v>
      </c>
      <c r="G1325" t="str">
        <f>eDNA!D1325</f>
        <v>Acanthorhodeus chankaensis</v>
      </c>
      <c r="H1325" t="str">
        <f>_xlfn.XLOOKUP(G1325,'Common name (master file)'!$B:$B,'Common name (master file)'!$A:$A,"-------------")</f>
        <v>가시납지리</v>
      </c>
      <c r="I1325">
        <f>eDNA!E1325</f>
        <v>1537</v>
      </c>
      <c r="J1325" t="str">
        <f>_xlfn.XLOOKUP(G1325,'Common name (master file)'!$B:$B,'Common name (master file)'!$C:$C,"")</f>
        <v>어류</v>
      </c>
      <c r="K1325">
        <f>eDNA!B1325</f>
        <v>126.8771357</v>
      </c>
      <c r="L1325">
        <f>eDNA!C1325</f>
        <v>37.553306900000003</v>
      </c>
      <c r="M1325" s="10" t="str" cm="1">
        <f t="array" ref="M1325">IFERROR(_xlfn.XLOOKUP(1,('env Parameter'!$A:$A=$A1325)*('env Parameter'!$B:$B=$K1325)*('env Parameter'!$C:$C=$L1325),'env Parameter'!D:D,""),"")</f>
        <v>안양천-11</v>
      </c>
      <c r="N1325" s="10" t="str" cm="1">
        <f t="array" ref="N1325">IFERROR(_xlfn.XLOOKUP(1,('env Parameter'!$A:$A=$A1325)*('env Parameter'!$B:$B=$K1325)*('env Parameter'!$C:$C=$L1325),'env Parameter'!I:I,""),"")</f>
        <v>YR</v>
      </c>
    </row>
    <row r="1326" spans="1:14">
      <c r="A1326">
        <f>eDNA!A1326</f>
        <v>20201024</v>
      </c>
      <c r="B1326" s="10" t="str" cm="1">
        <f t="array" ref="B1326">IFERROR(_xlfn.XLOOKUP(1,('env Parameter'!$A:$A=$A1326)*('env Parameter'!$B:$B=$K1326)*('env Parameter'!$C:$C=$L1326),'env Parameter'!H:H,""),"")</f>
        <v>생물상 조사</v>
      </c>
      <c r="C1326" s="10" cm="1">
        <f t="array" ref="C1326">IFERROR(_xlfn.XLOOKUP(1,('env Parameter'!$A:$A=$A1326)*('env Parameter'!$B:$B=$K1326)*('env Parameter'!$C:$C=$L1326),'env Parameter'!E:E,""),"")</f>
        <v>2.14</v>
      </c>
      <c r="D1326" s="10" cm="1">
        <f t="array" ref="D1326">IFERROR(_xlfn.XLOOKUP(1,('env Parameter'!$A:$A=$A1326)*('env Parameter'!$B:$B=$K1326)*('env Parameter'!$C:$C=$L1326),'env Parameter'!F:F,""),"")</f>
        <v>478</v>
      </c>
      <c r="E1326" s="10" cm="1">
        <f t="array" ref="E1326">IFERROR(_xlfn.XLOOKUP(1,('env Parameter'!$A:$A=$A1326)*('env Parameter'!$B:$B=$K1326)*('env Parameter'!$C:$C=$L1326),'env Parameter'!G:G,""),"")</f>
        <v>7.6</v>
      </c>
      <c r="F1326" t="str">
        <f>eDNA!F1326</f>
        <v>MiFish</v>
      </c>
      <c r="G1326" t="str">
        <f>eDNA!D1326</f>
        <v>Mugil cephalus</v>
      </c>
      <c r="H1326" t="str">
        <f>_xlfn.XLOOKUP(G1326,'Common name (master file)'!$B:$B,'Common name (master file)'!$A:$A,"-------------")</f>
        <v>숭어</v>
      </c>
      <c r="I1326">
        <f>eDNA!E1326</f>
        <v>1670</v>
      </c>
      <c r="J1326" t="str">
        <f>_xlfn.XLOOKUP(G1326,'Common name (master file)'!$B:$B,'Common name (master file)'!$C:$C,"")</f>
        <v>어류</v>
      </c>
      <c r="K1326">
        <f>eDNA!B1326</f>
        <v>126.8771357</v>
      </c>
      <c r="L1326">
        <f>eDNA!C1326</f>
        <v>37.553306900000003</v>
      </c>
      <c r="M1326" s="10" t="str" cm="1">
        <f t="array" ref="M1326">IFERROR(_xlfn.XLOOKUP(1,('env Parameter'!$A:$A=$A1326)*('env Parameter'!$B:$B=$K1326)*('env Parameter'!$C:$C=$L1326),'env Parameter'!D:D,""),"")</f>
        <v>안양천-11</v>
      </c>
      <c r="N1326" s="10" t="str" cm="1">
        <f t="array" ref="N1326">IFERROR(_xlfn.XLOOKUP(1,('env Parameter'!$A:$A=$A1326)*('env Parameter'!$B:$B=$K1326)*('env Parameter'!$C:$C=$L1326),'env Parameter'!I:I,""),"")</f>
        <v>YR</v>
      </c>
    </row>
    <row r="1327" spans="1:14">
      <c r="A1327">
        <f>eDNA!A1327</f>
        <v>20201024</v>
      </c>
      <c r="B1327" s="10" t="str" cm="1">
        <f t="array" ref="B1327">IFERROR(_xlfn.XLOOKUP(1,('env Parameter'!$A:$A=$A1327)*('env Parameter'!$B:$B=$K1327)*('env Parameter'!$C:$C=$L1327),'env Parameter'!H:H,""),"")</f>
        <v>생물상 조사</v>
      </c>
      <c r="C1327" s="10" cm="1">
        <f t="array" ref="C1327">IFERROR(_xlfn.XLOOKUP(1,('env Parameter'!$A:$A=$A1327)*('env Parameter'!$B:$B=$K1327)*('env Parameter'!$C:$C=$L1327),'env Parameter'!E:E,""),"")</f>
        <v>2.14</v>
      </c>
      <c r="D1327" s="10" cm="1">
        <f t="array" ref="D1327">IFERROR(_xlfn.XLOOKUP(1,('env Parameter'!$A:$A=$A1327)*('env Parameter'!$B:$B=$K1327)*('env Parameter'!$C:$C=$L1327),'env Parameter'!F:F,""),"")</f>
        <v>478</v>
      </c>
      <c r="E1327" s="10" cm="1">
        <f t="array" ref="E1327">IFERROR(_xlfn.XLOOKUP(1,('env Parameter'!$A:$A=$A1327)*('env Parameter'!$B:$B=$K1327)*('env Parameter'!$C:$C=$L1327),'env Parameter'!G:G,""),"")</f>
        <v>7.6</v>
      </c>
      <c r="F1327" t="str">
        <f>eDNA!F1327</f>
        <v>MiFish</v>
      </c>
      <c r="G1327" t="str">
        <f>eDNA!D1327</f>
        <v>Zacco platypus</v>
      </c>
      <c r="H1327" t="str">
        <f>_xlfn.XLOOKUP(G1327,'Common name (master file)'!$B:$B,'Common name (master file)'!$A:$A,"-------------")</f>
        <v>피라미</v>
      </c>
      <c r="I1327">
        <f>eDNA!E1327</f>
        <v>2359</v>
      </c>
      <c r="J1327" t="str">
        <f>_xlfn.XLOOKUP(G1327,'Common name (master file)'!$B:$B,'Common name (master file)'!$C:$C,"")</f>
        <v>어류</v>
      </c>
      <c r="K1327">
        <f>eDNA!B1327</f>
        <v>126.8771357</v>
      </c>
      <c r="L1327">
        <f>eDNA!C1327</f>
        <v>37.553306900000003</v>
      </c>
      <c r="M1327" s="10" t="str" cm="1">
        <f t="array" ref="M1327">IFERROR(_xlfn.XLOOKUP(1,('env Parameter'!$A:$A=$A1327)*('env Parameter'!$B:$B=$K1327)*('env Parameter'!$C:$C=$L1327),'env Parameter'!D:D,""),"")</f>
        <v>안양천-11</v>
      </c>
      <c r="N1327" s="10" t="str" cm="1">
        <f t="array" ref="N1327">IFERROR(_xlfn.XLOOKUP(1,('env Parameter'!$A:$A=$A1327)*('env Parameter'!$B:$B=$K1327)*('env Parameter'!$C:$C=$L1327),'env Parameter'!I:I,""),"")</f>
        <v>YR</v>
      </c>
    </row>
    <row r="1328" spans="1:14">
      <c r="A1328">
        <f>eDNA!A1328</f>
        <v>20201024</v>
      </c>
      <c r="B1328" s="10" t="str" cm="1">
        <f t="array" ref="B1328">IFERROR(_xlfn.XLOOKUP(1,('env Parameter'!$A:$A=$A1328)*('env Parameter'!$B:$B=$K1328)*('env Parameter'!$C:$C=$L1328),'env Parameter'!H:H,""),"")</f>
        <v>생물상 조사</v>
      </c>
      <c r="C1328" s="10" cm="1">
        <f t="array" ref="C1328">IFERROR(_xlfn.XLOOKUP(1,('env Parameter'!$A:$A=$A1328)*('env Parameter'!$B:$B=$K1328)*('env Parameter'!$C:$C=$L1328),'env Parameter'!E:E,""),"")</f>
        <v>2.14</v>
      </c>
      <c r="D1328" s="10" cm="1">
        <f t="array" ref="D1328">IFERROR(_xlfn.XLOOKUP(1,('env Parameter'!$A:$A=$A1328)*('env Parameter'!$B:$B=$K1328)*('env Parameter'!$C:$C=$L1328),'env Parameter'!F:F,""),"")</f>
        <v>478</v>
      </c>
      <c r="E1328" s="10" cm="1">
        <f t="array" ref="E1328">IFERROR(_xlfn.XLOOKUP(1,('env Parameter'!$A:$A=$A1328)*('env Parameter'!$B:$B=$K1328)*('env Parameter'!$C:$C=$L1328),'env Parameter'!G:G,""),"")</f>
        <v>7.6</v>
      </c>
      <c r="F1328" t="str">
        <f>eDNA!F1328</f>
        <v>MiFish</v>
      </c>
      <c r="G1328" t="str">
        <f>eDNA!D1328</f>
        <v>Channa argus</v>
      </c>
      <c r="H1328" t="str">
        <f>_xlfn.XLOOKUP(G1328,'Common name (master file)'!$B:$B,'Common name (master file)'!$A:$A,"-------------")</f>
        <v>가물치</v>
      </c>
      <c r="I1328">
        <f>eDNA!E1328</f>
        <v>3721</v>
      </c>
      <c r="J1328" t="str">
        <f>_xlfn.XLOOKUP(G1328,'Common name (master file)'!$B:$B,'Common name (master file)'!$C:$C,"")</f>
        <v>어류</v>
      </c>
      <c r="K1328">
        <f>eDNA!B1328</f>
        <v>126.8771357</v>
      </c>
      <c r="L1328">
        <f>eDNA!C1328</f>
        <v>37.553306900000003</v>
      </c>
      <c r="M1328" s="10" t="str" cm="1">
        <f t="array" ref="M1328">IFERROR(_xlfn.XLOOKUP(1,('env Parameter'!$A:$A=$A1328)*('env Parameter'!$B:$B=$K1328)*('env Parameter'!$C:$C=$L1328),'env Parameter'!D:D,""),"")</f>
        <v>안양천-11</v>
      </c>
      <c r="N1328" s="10" t="str" cm="1">
        <f t="array" ref="N1328">IFERROR(_xlfn.XLOOKUP(1,('env Parameter'!$A:$A=$A1328)*('env Parameter'!$B:$B=$K1328)*('env Parameter'!$C:$C=$L1328),'env Parameter'!I:I,""),"")</f>
        <v>YR</v>
      </c>
    </row>
    <row r="1329" spans="1:14">
      <c r="A1329">
        <f>eDNA!A1329</f>
        <v>20201024</v>
      </c>
      <c r="B1329" s="10" t="str" cm="1">
        <f t="array" ref="B1329">IFERROR(_xlfn.XLOOKUP(1,('env Parameter'!$A:$A=$A1329)*('env Parameter'!$B:$B=$K1329)*('env Parameter'!$C:$C=$L1329),'env Parameter'!H:H,""),"")</f>
        <v>생물상 조사</v>
      </c>
      <c r="C1329" s="10" cm="1">
        <f t="array" ref="C1329">IFERROR(_xlfn.XLOOKUP(1,('env Parameter'!$A:$A=$A1329)*('env Parameter'!$B:$B=$K1329)*('env Parameter'!$C:$C=$L1329),'env Parameter'!E:E,""),"")</f>
        <v>2.14</v>
      </c>
      <c r="D1329" s="10" cm="1">
        <f t="array" ref="D1329">IFERROR(_xlfn.XLOOKUP(1,('env Parameter'!$A:$A=$A1329)*('env Parameter'!$B:$B=$K1329)*('env Parameter'!$C:$C=$L1329),'env Parameter'!F:F,""),"")</f>
        <v>478</v>
      </c>
      <c r="E1329" s="10" cm="1">
        <f t="array" ref="E1329">IFERROR(_xlfn.XLOOKUP(1,('env Parameter'!$A:$A=$A1329)*('env Parameter'!$B:$B=$K1329)*('env Parameter'!$C:$C=$L1329),'env Parameter'!G:G,""),"")</f>
        <v>7.6</v>
      </c>
      <c r="F1329" t="str">
        <f>eDNA!F1329</f>
        <v>MiFish</v>
      </c>
      <c r="G1329" t="str">
        <f>eDNA!D1329</f>
        <v>Hemibarbus sp.</v>
      </c>
      <c r="H1329" t="str">
        <f>_xlfn.XLOOKUP(G1329,'Common name (master file)'!$B:$B,'Common name (master file)'!$A:$A,"-------------")</f>
        <v>누치 속</v>
      </c>
      <c r="I1329">
        <f>eDNA!E1329</f>
        <v>5507</v>
      </c>
      <c r="J1329" t="str">
        <f>_xlfn.XLOOKUP(G1329,'Common name (master file)'!$B:$B,'Common name (master file)'!$C:$C,"")</f>
        <v>어류</v>
      </c>
      <c r="K1329">
        <f>eDNA!B1329</f>
        <v>126.8771357</v>
      </c>
      <c r="L1329">
        <f>eDNA!C1329</f>
        <v>37.553306900000003</v>
      </c>
      <c r="M1329" s="10" t="str" cm="1">
        <f t="array" ref="M1329">IFERROR(_xlfn.XLOOKUP(1,('env Parameter'!$A:$A=$A1329)*('env Parameter'!$B:$B=$K1329)*('env Parameter'!$C:$C=$L1329),'env Parameter'!D:D,""),"")</f>
        <v>안양천-11</v>
      </c>
      <c r="N1329" s="10" t="str" cm="1">
        <f t="array" ref="N1329">IFERROR(_xlfn.XLOOKUP(1,('env Parameter'!$A:$A=$A1329)*('env Parameter'!$B:$B=$K1329)*('env Parameter'!$C:$C=$L1329),'env Parameter'!I:I,""),"")</f>
        <v>YR</v>
      </c>
    </row>
    <row r="1330" spans="1:14">
      <c r="A1330">
        <f>eDNA!A1330</f>
        <v>20201024</v>
      </c>
      <c r="B1330" s="10" t="str" cm="1">
        <f t="array" ref="B1330">IFERROR(_xlfn.XLOOKUP(1,('env Parameter'!$A:$A=$A1330)*('env Parameter'!$B:$B=$K1330)*('env Parameter'!$C:$C=$L1330),'env Parameter'!H:H,""),"")</f>
        <v>생물상 조사</v>
      </c>
      <c r="C1330" s="10" cm="1">
        <f t="array" ref="C1330">IFERROR(_xlfn.XLOOKUP(1,('env Parameter'!$A:$A=$A1330)*('env Parameter'!$B:$B=$K1330)*('env Parameter'!$C:$C=$L1330),'env Parameter'!E:E,""),"")</f>
        <v>2.14</v>
      </c>
      <c r="D1330" s="10" cm="1">
        <f t="array" ref="D1330">IFERROR(_xlfn.XLOOKUP(1,('env Parameter'!$A:$A=$A1330)*('env Parameter'!$B:$B=$K1330)*('env Parameter'!$C:$C=$L1330),'env Parameter'!F:F,""),"")</f>
        <v>478</v>
      </c>
      <c r="E1330" s="10" cm="1">
        <f t="array" ref="E1330">IFERROR(_xlfn.XLOOKUP(1,('env Parameter'!$A:$A=$A1330)*('env Parameter'!$B:$B=$K1330)*('env Parameter'!$C:$C=$L1330),'env Parameter'!G:G,""),"")</f>
        <v>7.6</v>
      </c>
      <c r="F1330" t="str">
        <f>eDNA!F1330</f>
        <v>MiFish</v>
      </c>
      <c r="G1330" t="str">
        <f>eDNA!D1330</f>
        <v>Carassius gibelio</v>
      </c>
      <c r="H1330" t="str">
        <f>_xlfn.XLOOKUP(G1330,'Common name (master file)'!$B:$B,'Common name (master file)'!$A:$A,"-------------")</f>
        <v>기벨리오 붕어</v>
      </c>
      <c r="I1330">
        <f>eDNA!E1330</f>
        <v>10029</v>
      </c>
      <c r="J1330" t="str">
        <f>_xlfn.XLOOKUP(G1330,'Common name (master file)'!$B:$B,'Common name (master file)'!$C:$C,"")</f>
        <v>어류</v>
      </c>
      <c r="K1330">
        <f>eDNA!B1330</f>
        <v>126.8771357</v>
      </c>
      <c r="L1330">
        <f>eDNA!C1330</f>
        <v>37.553306900000003</v>
      </c>
      <c r="M1330" s="10" t="str" cm="1">
        <f t="array" ref="M1330">IFERROR(_xlfn.XLOOKUP(1,('env Parameter'!$A:$A=$A1330)*('env Parameter'!$B:$B=$K1330)*('env Parameter'!$C:$C=$L1330),'env Parameter'!D:D,""),"")</f>
        <v>안양천-11</v>
      </c>
      <c r="N1330" s="10" t="str" cm="1">
        <f t="array" ref="N1330">IFERROR(_xlfn.XLOOKUP(1,('env Parameter'!$A:$A=$A1330)*('env Parameter'!$B:$B=$K1330)*('env Parameter'!$C:$C=$L1330),'env Parameter'!I:I,""),"")</f>
        <v>YR</v>
      </c>
    </row>
    <row r="1331" spans="1:14">
      <c r="A1331">
        <f>eDNA!A1331</f>
        <v>20201024</v>
      </c>
      <c r="B1331" s="10" t="str" cm="1">
        <f t="array" ref="B1331">IFERROR(_xlfn.XLOOKUP(1,('env Parameter'!$A:$A=$A1331)*('env Parameter'!$B:$B=$K1331)*('env Parameter'!$C:$C=$L1331),'env Parameter'!H:H,""),"")</f>
        <v>생물상 조사</v>
      </c>
      <c r="C1331" s="10" cm="1">
        <f t="array" ref="C1331">IFERROR(_xlfn.XLOOKUP(1,('env Parameter'!$A:$A=$A1331)*('env Parameter'!$B:$B=$K1331)*('env Parameter'!$C:$C=$L1331),'env Parameter'!E:E,""),"")</f>
        <v>2.14</v>
      </c>
      <c r="D1331" s="10" cm="1">
        <f t="array" ref="D1331">IFERROR(_xlfn.XLOOKUP(1,('env Parameter'!$A:$A=$A1331)*('env Parameter'!$B:$B=$K1331)*('env Parameter'!$C:$C=$L1331),'env Parameter'!F:F,""),"")</f>
        <v>478</v>
      </c>
      <c r="E1331" s="10" cm="1">
        <f t="array" ref="E1331">IFERROR(_xlfn.XLOOKUP(1,('env Parameter'!$A:$A=$A1331)*('env Parameter'!$B:$B=$K1331)*('env Parameter'!$C:$C=$L1331),'env Parameter'!G:G,""),"")</f>
        <v>7.6</v>
      </c>
      <c r="F1331" t="str">
        <f>eDNA!F1331</f>
        <v>MiFish</v>
      </c>
      <c r="G1331" t="str">
        <f>eDNA!D1331</f>
        <v>Tridentiger trigonocephalus</v>
      </c>
      <c r="H1331" t="str">
        <f>_xlfn.XLOOKUP(G1331,'Common name (master file)'!$B:$B,'Common name (master file)'!$A:$A,"-------------")</f>
        <v>두줄망둑</v>
      </c>
      <c r="I1331">
        <f>eDNA!E1331</f>
        <v>10493</v>
      </c>
      <c r="J1331" t="str">
        <f>_xlfn.XLOOKUP(G1331,'Common name (master file)'!$B:$B,'Common name (master file)'!$C:$C,"")</f>
        <v>어류</v>
      </c>
      <c r="K1331">
        <f>eDNA!B1331</f>
        <v>126.8771357</v>
      </c>
      <c r="L1331">
        <f>eDNA!C1331</f>
        <v>37.553306900000003</v>
      </c>
      <c r="M1331" s="10" t="str" cm="1">
        <f t="array" ref="M1331">IFERROR(_xlfn.XLOOKUP(1,('env Parameter'!$A:$A=$A1331)*('env Parameter'!$B:$B=$K1331)*('env Parameter'!$C:$C=$L1331),'env Parameter'!D:D,""),"")</f>
        <v>안양천-11</v>
      </c>
      <c r="N1331" s="10" t="str" cm="1">
        <f t="array" ref="N1331">IFERROR(_xlfn.XLOOKUP(1,('env Parameter'!$A:$A=$A1331)*('env Parameter'!$B:$B=$K1331)*('env Parameter'!$C:$C=$L1331),'env Parameter'!I:I,""),"")</f>
        <v>YR</v>
      </c>
    </row>
    <row r="1332" spans="1:14">
      <c r="A1332">
        <f>eDNA!A1332</f>
        <v>20201024</v>
      </c>
      <c r="B1332" s="10" t="str" cm="1">
        <f t="array" ref="B1332">IFERROR(_xlfn.XLOOKUP(1,('env Parameter'!$A:$A=$A1332)*('env Parameter'!$B:$B=$K1332)*('env Parameter'!$C:$C=$L1332),'env Parameter'!H:H,""),"")</f>
        <v>생물상 조사</v>
      </c>
      <c r="C1332" s="10" cm="1">
        <f t="array" ref="C1332">IFERROR(_xlfn.XLOOKUP(1,('env Parameter'!$A:$A=$A1332)*('env Parameter'!$B:$B=$K1332)*('env Parameter'!$C:$C=$L1332),'env Parameter'!E:E,""),"")</f>
        <v>2.14</v>
      </c>
      <c r="D1332" s="10" cm="1">
        <f t="array" ref="D1332">IFERROR(_xlfn.XLOOKUP(1,('env Parameter'!$A:$A=$A1332)*('env Parameter'!$B:$B=$K1332)*('env Parameter'!$C:$C=$L1332),'env Parameter'!F:F,""),"")</f>
        <v>478</v>
      </c>
      <c r="E1332" s="10" cm="1">
        <f t="array" ref="E1332">IFERROR(_xlfn.XLOOKUP(1,('env Parameter'!$A:$A=$A1332)*('env Parameter'!$B:$B=$K1332)*('env Parameter'!$C:$C=$L1332),'env Parameter'!G:G,""),"")</f>
        <v>7.6</v>
      </c>
      <c r="F1332" t="str">
        <f>eDNA!F1332</f>
        <v>MiFish</v>
      </c>
      <c r="G1332" t="str">
        <f>eDNA!D1332</f>
        <v>Pseudorasbora parva</v>
      </c>
      <c r="H1332" t="str">
        <f>_xlfn.XLOOKUP(G1332,'Common name (master file)'!$B:$B,'Common name (master file)'!$A:$A,"-------------")</f>
        <v>참붕어</v>
      </c>
      <c r="I1332">
        <f>eDNA!E1332</f>
        <v>32523</v>
      </c>
      <c r="J1332" t="str">
        <f>_xlfn.XLOOKUP(G1332,'Common name (master file)'!$B:$B,'Common name (master file)'!$C:$C,"")</f>
        <v>어류</v>
      </c>
      <c r="K1332">
        <f>eDNA!B1332</f>
        <v>126.8771357</v>
      </c>
      <c r="L1332">
        <f>eDNA!C1332</f>
        <v>37.553306900000003</v>
      </c>
      <c r="M1332" s="10" t="str" cm="1">
        <f t="array" ref="M1332">IFERROR(_xlfn.XLOOKUP(1,('env Parameter'!$A:$A=$A1332)*('env Parameter'!$B:$B=$K1332)*('env Parameter'!$C:$C=$L1332),'env Parameter'!D:D,""),"")</f>
        <v>안양천-11</v>
      </c>
      <c r="N1332" s="10" t="str" cm="1">
        <f t="array" ref="N1332">IFERROR(_xlfn.XLOOKUP(1,('env Parameter'!$A:$A=$A1332)*('env Parameter'!$B:$B=$K1332)*('env Parameter'!$C:$C=$L1332),'env Parameter'!I:I,""),"")</f>
        <v>YR</v>
      </c>
    </row>
    <row r="1333" spans="1:14">
      <c r="A1333">
        <f>eDNA!A1333</f>
        <v>20201024</v>
      </c>
      <c r="B1333" s="10" t="str" cm="1">
        <f t="array" ref="B1333">IFERROR(_xlfn.XLOOKUP(1,('env Parameter'!$A:$A=$A1333)*('env Parameter'!$B:$B=$K1333)*('env Parameter'!$C:$C=$L1333),'env Parameter'!H:H,""),"")</f>
        <v>생물상 조사</v>
      </c>
      <c r="C1333" s="10" cm="1">
        <f t="array" ref="C1333">IFERROR(_xlfn.XLOOKUP(1,('env Parameter'!$A:$A=$A1333)*('env Parameter'!$B:$B=$K1333)*('env Parameter'!$C:$C=$L1333),'env Parameter'!E:E,""),"")</f>
        <v>2.14</v>
      </c>
      <c r="D1333" s="10" cm="1">
        <f t="array" ref="D1333">IFERROR(_xlfn.XLOOKUP(1,('env Parameter'!$A:$A=$A1333)*('env Parameter'!$B:$B=$K1333)*('env Parameter'!$C:$C=$L1333),'env Parameter'!F:F,""),"")</f>
        <v>478</v>
      </c>
      <c r="E1333" s="10" cm="1">
        <f t="array" ref="E1333">IFERROR(_xlfn.XLOOKUP(1,('env Parameter'!$A:$A=$A1333)*('env Parameter'!$B:$B=$K1333)*('env Parameter'!$C:$C=$L1333),'env Parameter'!G:G,""),"")</f>
        <v>7.6</v>
      </c>
      <c r="F1333" t="str">
        <f>eDNA!F1333</f>
        <v>MiFish</v>
      </c>
      <c r="G1333" t="str">
        <f>eDNA!D1333</f>
        <v>Planiliza haematocheila</v>
      </c>
      <c r="H1333" t="str">
        <f>_xlfn.XLOOKUP(G1333,'Common name (master file)'!$B:$B,'Common name (master file)'!$A:$A,"-------------")</f>
        <v>가숭어</v>
      </c>
      <c r="I1333">
        <f>eDNA!E1333</f>
        <v>52008</v>
      </c>
      <c r="J1333" t="str">
        <f>_xlfn.XLOOKUP(G1333,'Common name (master file)'!$B:$B,'Common name (master file)'!$C:$C,"")</f>
        <v>어류</v>
      </c>
      <c r="K1333">
        <f>eDNA!B1333</f>
        <v>126.8771357</v>
      </c>
      <c r="L1333">
        <f>eDNA!C1333</f>
        <v>37.553306900000003</v>
      </c>
      <c r="M1333" s="10" t="str" cm="1">
        <f t="array" ref="M1333">IFERROR(_xlfn.XLOOKUP(1,('env Parameter'!$A:$A=$A1333)*('env Parameter'!$B:$B=$K1333)*('env Parameter'!$C:$C=$L1333),'env Parameter'!D:D,""),"")</f>
        <v>안양천-11</v>
      </c>
      <c r="N1333" s="10" t="str" cm="1">
        <f t="array" ref="N1333">IFERROR(_xlfn.XLOOKUP(1,('env Parameter'!$A:$A=$A1333)*('env Parameter'!$B:$B=$K1333)*('env Parameter'!$C:$C=$L1333),'env Parameter'!I:I,""),"")</f>
        <v>YR</v>
      </c>
    </row>
    <row r="1334" spans="1:14">
      <c r="A1334">
        <f>eDNA!A1334</f>
        <v>20201024</v>
      </c>
      <c r="B1334" s="10" t="str" cm="1">
        <f t="array" ref="B1334">IFERROR(_xlfn.XLOOKUP(1,('env Parameter'!$A:$A=$A1334)*('env Parameter'!$B:$B=$K1334)*('env Parameter'!$C:$C=$L1334),'env Parameter'!H:H,""),"")</f>
        <v>생물상 조사</v>
      </c>
      <c r="C1334" s="10" cm="1">
        <f t="array" ref="C1334">IFERROR(_xlfn.XLOOKUP(1,('env Parameter'!$A:$A=$A1334)*('env Parameter'!$B:$B=$K1334)*('env Parameter'!$C:$C=$L1334),'env Parameter'!E:E,""),"")</f>
        <v>2.14</v>
      </c>
      <c r="D1334" s="10" cm="1">
        <f t="array" ref="D1334">IFERROR(_xlfn.XLOOKUP(1,('env Parameter'!$A:$A=$A1334)*('env Parameter'!$B:$B=$K1334)*('env Parameter'!$C:$C=$L1334),'env Parameter'!F:F,""),"")</f>
        <v>478</v>
      </c>
      <c r="E1334" s="10" cm="1">
        <f t="array" ref="E1334">IFERROR(_xlfn.XLOOKUP(1,('env Parameter'!$A:$A=$A1334)*('env Parameter'!$B:$B=$K1334)*('env Parameter'!$C:$C=$L1334),'env Parameter'!G:G,""),"")</f>
        <v>7.6</v>
      </c>
      <c r="F1334" t="str">
        <f>eDNA!F1334</f>
        <v>MiFish</v>
      </c>
      <c r="G1334" t="str">
        <f>eDNA!D1334</f>
        <v>Rhinogobius giurinus</v>
      </c>
      <c r="H1334" t="str">
        <f>_xlfn.XLOOKUP(G1334,'Common name (master file)'!$B:$B,'Common name (master file)'!$A:$A,"-------------")</f>
        <v>갈문망둑</v>
      </c>
      <c r="I1334">
        <f>eDNA!E1334</f>
        <v>17</v>
      </c>
      <c r="J1334" t="str">
        <f>_xlfn.XLOOKUP(G1334,'Common name (master file)'!$B:$B,'Common name (master file)'!$C:$C,"")</f>
        <v>어류</v>
      </c>
      <c r="K1334">
        <f>eDNA!B1334</f>
        <v>126.85185540000001</v>
      </c>
      <c r="L1334">
        <f>eDNA!C1334</f>
        <v>37.406578799999998</v>
      </c>
      <c r="M1334" s="10" t="str" cm="1">
        <f t="array" ref="M1334">IFERROR(_xlfn.XLOOKUP(1,('env Parameter'!$A:$A=$A1334)*('env Parameter'!$B:$B=$K1334)*('env Parameter'!$C:$C=$L1334),'env Parameter'!D:D,""),"")</f>
        <v>목감천-4</v>
      </c>
      <c r="N1334" s="10" t="str" cm="1">
        <f t="array" ref="N1334">IFERROR(_xlfn.XLOOKUP(1,('env Parameter'!$A:$A=$A1334)*('env Parameter'!$B:$B=$K1334)*('env Parameter'!$C:$C=$L1334),'env Parameter'!I:I,""),"")</f>
        <v>YR</v>
      </c>
    </row>
    <row r="1335" spans="1:14">
      <c r="A1335">
        <f>eDNA!A1335</f>
        <v>20201024</v>
      </c>
      <c r="B1335" s="10" t="str" cm="1">
        <f t="array" ref="B1335">IFERROR(_xlfn.XLOOKUP(1,('env Parameter'!$A:$A=$A1335)*('env Parameter'!$B:$B=$K1335)*('env Parameter'!$C:$C=$L1335),'env Parameter'!H:H,""),"")</f>
        <v>생물상 조사</v>
      </c>
      <c r="C1335" s="10" cm="1">
        <f t="array" ref="C1335">IFERROR(_xlfn.XLOOKUP(1,('env Parameter'!$A:$A=$A1335)*('env Parameter'!$B:$B=$K1335)*('env Parameter'!$C:$C=$L1335),'env Parameter'!E:E,""),"")</f>
        <v>2.14</v>
      </c>
      <c r="D1335" s="10" cm="1">
        <f t="array" ref="D1335">IFERROR(_xlfn.XLOOKUP(1,('env Parameter'!$A:$A=$A1335)*('env Parameter'!$B:$B=$K1335)*('env Parameter'!$C:$C=$L1335),'env Parameter'!F:F,""),"")</f>
        <v>478</v>
      </c>
      <c r="E1335" s="10" cm="1">
        <f t="array" ref="E1335">IFERROR(_xlfn.XLOOKUP(1,('env Parameter'!$A:$A=$A1335)*('env Parameter'!$B:$B=$K1335)*('env Parameter'!$C:$C=$L1335),'env Parameter'!G:G,""),"")</f>
        <v>7.6</v>
      </c>
      <c r="F1335" t="str">
        <f>eDNA!F1335</f>
        <v>MiFish</v>
      </c>
      <c r="G1335" t="str">
        <f>eDNA!D1335</f>
        <v>Mus musculus</v>
      </c>
      <c r="H1335" t="str">
        <f>_xlfn.XLOOKUP(G1335,'Common name (master file)'!$B:$B,'Common name (master file)'!$A:$A,"-------------")</f>
        <v>생쥐</v>
      </c>
      <c r="I1335">
        <f>eDNA!E1335</f>
        <v>18</v>
      </c>
      <c r="J1335" t="str">
        <f>_xlfn.XLOOKUP(G1335,'Common name (master file)'!$B:$B,'Common name (master file)'!$C:$C,"")</f>
        <v>포유류</v>
      </c>
      <c r="K1335">
        <f>eDNA!B1335</f>
        <v>126.85185540000001</v>
      </c>
      <c r="L1335">
        <f>eDNA!C1335</f>
        <v>37.406578799999998</v>
      </c>
      <c r="M1335" s="10" t="str" cm="1">
        <f t="array" ref="M1335">IFERROR(_xlfn.XLOOKUP(1,('env Parameter'!$A:$A=$A1335)*('env Parameter'!$B:$B=$K1335)*('env Parameter'!$C:$C=$L1335),'env Parameter'!D:D,""),"")</f>
        <v>목감천-4</v>
      </c>
      <c r="N1335" s="10" t="str" cm="1">
        <f t="array" ref="N1335">IFERROR(_xlfn.XLOOKUP(1,('env Parameter'!$A:$A=$A1335)*('env Parameter'!$B:$B=$K1335)*('env Parameter'!$C:$C=$L1335),'env Parameter'!I:I,""),"")</f>
        <v>YR</v>
      </c>
    </row>
    <row r="1336" spans="1:14">
      <c r="A1336">
        <f>eDNA!A1336</f>
        <v>20201024</v>
      </c>
      <c r="B1336" s="10" t="str" cm="1">
        <f t="array" ref="B1336">IFERROR(_xlfn.XLOOKUP(1,('env Parameter'!$A:$A=$A1336)*('env Parameter'!$B:$B=$K1336)*('env Parameter'!$C:$C=$L1336),'env Parameter'!H:H,""),"")</f>
        <v>생물상 조사</v>
      </c>
      <c r="C1336" s="10" cm="1">
        <f t="array" ref="C1336">IFERROR(_xlfn.XLOOKUP(1,('env Parameter'!$A:$A=$A1336)*('env Parameter'!$B:$B=$K1336)*('env Parameter'!$C:$C=$L1336),'env Parameter'!E:E,""),"")</f>
        <v>2.14</v>
      </c>
      <c r="D1336" s="10" cm="1">
        <f t="array" ref="D1336">IFERROR(_xlfn.XLOOKUP(1,('env Parameter'!$A:$A=$A1336)*('env Parameter'!$B:$B=$K1336)*('env Parameter'!$C:$C=$L1336),'env Parameter'!F:F,""),"")</f>
        <v>478</v>
      </c>
      <c r="E1336" s="10" cm="1">
        <f t="array" ref="E1336">IFERROR(_xlfn.XLOOKUP(1,('env Parameter'!$A:$A=$A1336)*('env Parameter'!$B:$B=$K1336)*('env Parameter'!$C:$C=$L1336),'env Parameter'!G:G,""),"")</f>
        <v>7.6</v>
      </c>
      <c r="F1336" t="str">
        <f>eDNA!F1336</f>
        <v>MiFish</v>
      </c>
      <c r="G1336" t="str">
        <f>eDNA!D1336</f>
        <v>Carassius sp.</v>
      </c>
      <c r="H1336" t="str">
        <f>_xlfn.XLOOKUP(G1336,'Common name (master file)'!$B:$B,'Common name (master file)'!$A:$A,"-------------")</f>
        <v>붕어 속</v>
      </c>
      <c r="I1336">
        <f>eDNA!E1336</f>
        <v>235</v>
      </c>
      <c r="J1336" t="str">
        <f>_xlfn.XLOOKUP(G1336,'Common name (master file)'!$B:$B,'Common name (master file)'!$C:$C,"")</f>
        <v>어류</v>
      </c>
      <c r="K1336">
        <f>eDNA!B1336</f>
        <v>126.85185540000001</v>
      </c>
      <c r="L1336">
        <f>eDNA!C1336</f>
        <v>37.406578799999998</v>
      </c>
      <c r="M1336" s="10" t="str" cm="1">
        <f t="array" ref="M1336">IFERROR(_xlfn.XLOOKUP(1,('env Parameter'!$A:$A=$A1336)*('env Parameter'!$B:$B=$K1336)*('env Parameter'!$C:$C=$L1336),'env Parameter'!D:D,""),"")</f>
        <v>목감천-4</v>
      </c>
      <c r="N1336" s="10" t="str" cm="1">
        <f t="array" ref="N1336">IFERROR(_xlfn.XLOOKUP(1,('env Parameter'!$A:$A=$A1336)*('env Parameter'!$B:$B=$K1336)*('env Parameter'!$C:$C=$L1336),'env Parameter'!I:I,""),"")</f>
        <v>YR</v>
      </c>
    </row>
    <row r="1337" spans="1:14">
      <c r="A1337">
        <f>eDNA!A1337</f>
        <v>20201024</v>
      </c>
      <c r="B1337" s="10" t="str" cm="1">
        <f t="array" ref="B1337">IFERROR(_xlfn.XLOOKUP(1,('env Parameter'!$A:$A=$A1337)*('env Parameter'!$B:$B=$K1337)*('env Parameter'!$C:$C=$L1337),'env Parameter'!H:H,""),"")</f>
        <v>생물상 조사</v>
      </c>
      <c r="C1337" s="10" cm="1">
        <f t="array" ref="C1337">IFERROR(_xlfn.XLOOKUP(1,('env Parameter'!$A:$A=$A1337)*('env Parameter'!$B:$B=$K1337)*('env Parameter'!$C:$C=$L1337),'env Parameter'!E:E,""),"")</f>
        <v>2.14</v>
      </c>
      <c r="D1337" s="10" cm="1">
        <f t="array" ref="D1337">IFERROR(_xlfn.XLOOKUP(1,('env Parameter'!$A:$A=$A1337)*('env Parameter'!$B:$B=$K1337)*('env Parameter'!$C:$C=$L1337),'env Parameter'!F:F,""),"")</f>
        <v>478</v>
      </c>
      <c r="E1337" s="10" cm="1">
        <f t="array" ref="E1337">IFERROR(_xlfn.XLOOKUP(1,('env Parameter'!$A:$A=$A1337)*('env Parameter'!$B:$B=$K1337)*('env Parameter'!$C:$C=$L1337),'env Parameter'!G:G,""),"")</f>
        <v>7.6</v>
      </c>
      <c r="F1337" t="str">
        <f>eDNA!F1337</f>
        <v>MiFish</v>
      </c>
      <c r="G1337" t="str">
        <f>eDNA!D1337</f>
        <v>Bos taurus</v>
      </c>
      <c r="H1337" t="str">
        <f>_xlfn.XLOOKUP(G1337,'Common name (master file)'!$B:$B,'Common name (master file)'!$A:$A,"-------------")</f>
        <v>소</v>
      </c>
      <c r="I1337">
        <f>eDNA!E1337</f>
        <v>248</v>
      </c>
      <c r="J1337" t="str">
        <f>_xlfn.XLOOKUP(G1337,'Common name (master file)'!$B:$B,'Common name (master file)'!$C:$C,"")</f>
        <v>포유류</v>
      </c>
      <c r="K1337">
        <f>eDNA!B1337</f>
        <v>126.85185540000001</v>
      </c>
      <c r="L1337">
        <f>eDNA!C1337</f>
        <v>37.406578799999998</v>
      </c>
      <c r="M1337" s="10" t="str" cm="1">
        <f t="array" ref="M1337">IFERROR(_xlfn.XLOOKUP(1,('env Parameter'!$A:$A=$A1337)*('env Parameter'!$B:$B=$K1337)*('env Parameter'!$C:$C=$L1337),'env Parameter'!D:D,""),"")</f>
        <v>목감천-4</v>
      </c>
      <c r="N1337" s="10" t="str" cm="1">
        <f t="array" ref="N1337">IFERROR(_xlfn.XLOOKUP(1,('env Parameter'!$A:$A=$A1337)*('env Parameter'!$B:$B=$K1337)*('env Parameter'!$C:$C=$L1337),'env Parameter'!I:I,""),"")</f>
        <v>YR</v>
      </c>
    </row>
    <row r="1338" spans="1:14">
      <c r="A1338">
        <f>eDNA!A1338</f>
        <v>20201024</v>
      </c>
      <c r="B1338" s="10" t="str" cm="1">
        <f t="array" ref="B1338">IFERROR(_xlfn.XLOOKUP(1,('env Parameter'!$A:$A=$A1338)*('env Parameter'!$B:$B=$K1338)*('env Parameter'!$C:$C=$L1338),'env Parameter'!H:H,""),"")</f>
        <v>생물상 조사</v>
      </c>
      <c r="C1338" s="10" cm="1">
        <f t="array" ref="C1338">IFERROR(_xlfn.XLOOKUP(1,('env Parameter'!$A:$A=$A1338)*('env Parameter'!$B:$B=$K1338)*('env Parameter'!$C:$C=$L1338),'env Parameter'!E:E,""),"")</f>
        <v>2.14</v>
      </c>
      <c r="D1338" s="10" cm="1">
        <f t="array" ref="D1338">IFERROR(_xlfn.XLOOKUP(1,('env Parameter'!$A:$A=$A1338)*('env Parameter'!$B:$B=$K1338)*('env Parameter'!$C:$C=$L1338),'env Parameter'!F:F,""),"")</f>
        <v>478</v>
      </c>
      <c r="E1338" s="10" cm="1">
        <f t="array" ref="E1338">IFERROR(_xlfn.XLOOKUP(1,('env Parameter'!$A:$A=$A1338)*('env Parameter'!$B:$B=$K1338)*('env Parameter'!$C:$C=$L1338),'env Parameter'!G:G,""),"")</f>
        <v>7.6</v>
      </c>
      <c r="F1338" t="str">
        <f>eDNA!F1338</f>
        <v>MiFish</v>
      </c>
      <c r="G1338" t="str">
        <f>eDNA!D1338</f>
        <v>Homo sapiens</v>
      </c>
      <c r="H1338" t="str">
        <f>_xlfn.XLOOKUP(G1338,'Common name (master file)'!$B:$B,'Common name (master file)'!$A:$A,"-------------")</f>
        <v>사람</v>
      </c>
      <c r="I1338">
        <f>eDNA!E1338</f>
        <v>326</v>
      </c>
      <c r="J1338" t="str">
        <f>_xlfn.XLOOKUP(G1338,'Common name (master file)'!$B:$B,'Common name (master file)'!$C:$C,"")</f>
        <v>포유류</v>
      </c>
      <c r="K1338">
        <f>eDNA!B1338</f>
        <v>126.85185540000001</v>
      </c>
      <c r="L1338">
        <f>eDNA!C1338</f>
        <v>37.406578799999998</v>
      </c>
      <c r="M1338" s="10" t="str" cm="1">
        <f t="array" ref="M1338">IFERROR(_xlfn.XLOOKUP(1,('env Parameter'!$A:$A=$A1338)*('env Parameter'!$B:$B=$K1338)*('env Parameter'!$C:$C=$L1338),'env Parameter'!D:D,""),"")</f>
        <v>목감천-4</v>
      </c>
      <c r="N1338" s="10" t="str" cm="1">
        <f t="array" ref="N1338">IFERROR(_xlfn.XLOOKUP(1,('env Parameter'!$A:$A=$A1338)*('env Parameter'!$B:$B=$K1338)*('env Parameter'!$C:$C=$L1338),'env Parameter'!I:I,""),"")</f>
        <v>YR</v>
      </c>
    </row>
    <row r="1339" spans="1:14">
      <c r="A1339">
        <f>eDNA!A1339</f>
        <v>20201024</v>
      </c>
      <c r="B1339" s="10" t="str" cm="1">
        <f t="array" ref="B1339">IFERROR(_xlfn.XLOOKUP(1,('env Parameter'!$A:$A=$A1339)*('env Parameter'!$B:$B=$K1339)*('env Parameter'!$C:$C=$L1339),'env Parameter'!H:H,""),"")</f>
        <v>생물상 조사</v>
      </c>
      <c r="C1339" s="10" cm="1">
        <f t="array" ref="C1339">IFERROR(_xlfn.XLOOKUP(1,('env Parameter'!$A:$A=$A1339)*('env Parameter'!$B:$B=$K1339)*('env Parameter'!$C:$C=$L1339),'env Parameter'!E:E,""),"")</f>
        <v>2.14</v>
      </c>
      <c r="D1339" s="10" cm="1">
        <f t="array" ref="D1339">IFERROR(_xlfn.XLOOKUP(1,('env Parameter'!$A:$A=$A1339)*('env Parameter'!$B:$B=$K1339)*('env Parameter'!$C:$C=$L1339),'env Parameter'!F:F,""),"")</f>
        <v>478</v>
      </c>
      <c r="E1339" s="10" cm="1">
        <f t="array" ref="E1339">IFERROR(_xlfn.XLOOKUP(1,('env Parameter'!$A:$A=$A1339)*('env Parameter'!$B:$B=$K1339)*('env Parameter'!$C:$C=$L1339),'env Parameter'!G:G,""),"")</f>
        <v>7.6</v>
      </c>
      <c r="F1339" t="str">
        <f>eDNA!F1339</f>
        <v>MiFish</v>
      </c>
      <c r="G1339" t="str">
        <f>eDNA!D1339</f>
        <v>Tadorna tadorna</v>
      </c>
      <c r="H1339" t="str">
        <f>_xlfn.XLOOKUP(G1339,'Common name (master file)'!$B:$B,'Common name (master file)'!$A:$A,"-------------")</f>
        <v>혹부리오리</v>
      </c>
      <c r="I1339">
        <f>eDNA!E1339</f>
        <v>366</v>
      </c>
      <c r="J1339" t="str">
        <f>_xlfn.XLOOKUP(G1339,'Common name (master file)'!$B:$B,'Common name (master file)'!$C:$C,"")</f>
        <v>조류</v>
      </c>
      <c r="K1339">
        <f>eDNA!B1339</f>
        <v>126.85185540000001</v>
      </c>
      <c r="L1339">
        <f>eDNA!C1339</f>
        <v>37.406578799999998</v>
      </c>
      <c r="M1339" s="10" t="str" cm="1">
        <f t="array" ref="M1339">IFERROR(_xlfn.XLOOKUP(1,('env Parameter'!$A:$A=$A1339)*('env Parameter'!$B:$B=$K1339)*('env Parameter'!$C:$C=$L1339),'env Parameter'!D:D,""),"")</f>
        <v>목감천-4</v>
      </c>
      <c r="N1339" s="10" t="str" cm="1">
        <f t="array" ref="N1339">IFERROR(_xlfn.XLOOKUP(1,('env Parameter'!$A:$A=$A1339)*('env Parameter'!$B:$B=$K1339)*('env Parameter'!$C:$C=$L1339),'env Parameter'!I:I,""),"")</f>
        <v>YR</v>
      </c>
    </row>
    <row r="1340" spans="1:14">
      <c r="A1340">
        <f>eDNA!A1340</f>
        <v>20201024</v>
      </c>
      <c r="B1340" s="10" t="str" cm="1">
        <f t="array" ref="B1340">IFERROR(_xlfn.XLOOKUP(1,('env Parameter'!$A:$A=$A1340)*('env Parameter'!$B:$B=$K1340)*('env Parameter'!$C:$C=$L1340),'env Parameter'!H:H,""),"")</f>
        <v>생물상 조사</v>
      </c>
      <c r="C1340" s="10" cm="1">
        <f t="array" ref="C1340">IFERROR(_xlfn.XLOOKUP(1,('env Parameter'!$A:$A=$A1340)*('env Parameter'!$B:$B=$K1340)*('env Parameter'!$C:$C=$L1340),'env Parameter'!E:E,""),"")</f>
        <v>2.14</v>
      </c>
      <c r="D1340" s="10" cm="1">
        <f t="array" ref="D1340">IFERROR(_xlfn.XLOOKUP(1,('env Parameter'!$A:$A=$A1340)*('env Parameter'!$B:$B=$K1340)*('env Parameter'!$C:$C=$L1340),'env Parameter'!F:F,""),"")</f>
        <v>478</v>
      </c>
      <c r="E1340" s="10" cm="1">
        <f t="array" ref="E1340">IFERROR(_xlfn.XLOOKUP(1,('env Parameter'!$A:$A=$A1340)*('env Parameter'!$B:$B=$K1340)*('env Parameter'!$C:$C=$L1340),'env Parameter'!G:G,""),"")</f>
        <v>7.6</v>
      </c>
      <c r="F1340" t="str">
        <f>eDNA!F1340</f>
        <v>MiFish</v>
      </c>
      <c r="G1340" t="str">
        <f>eDNA!D1340</f>
        <v>Capra hircus</v>
      </c>
      <c r="H1340" t="str">
        <f>_xlfn.XLOOKUP(G1340,'Common name (master file)'!$B:$B,'Common name (master file)'!$A:$A,"-------------")</f>
        <v>염소</v>
      </c>
      <c r="I1340">
        <f>eDNA!E1340</f>
        <v>485</v>
      </c>
      <c r="J1340" t="str">
        <f>_xlfn.XLOOKUP(G1340,'Common name (master file)'!$B:$B,'Common name (master file)'!$C:$C,"")</f>
        <v>포유류</v>
      </c>
      <c r="K1340">
        <f>eDNA!B1340</f>
        <v>126.85185540000001</v>
      </c>
      <c r="L1340">
        <f>eDNA!C1340</f>
        <v>37.406578799999998</v>
      </c>
      <c r="M1340" s="10" t="str" cm="1">
        <f t="array" ref="M1340">IFERROR(_xlfn.XLOOKUP(1,('env Parameter'!$A:$A=$A1340)*('env Parameter'!$B:$B=$K1340)*('env Parameter'!$C:$C=$L1340),'env Parameter'!D:D,""),"")</f>
        <v>목감천-4</v>
      </c>
      <c r="N1340" s="10" t="str" cm="1">
        <f t="array" ref="N1340">IFERROR(_xlfn.XLOOKUP(1,('env Parameter'!$A:$A=$A1340)*('env Parameter'!$B:$B=$K1340)*('env Parameter'!$C:$C=$L1340),'env Parameter'!I:I,""),"")</f>
        <v>YR</v>
      </c>
    </row>
    <row r="1341" spans="1:14">
      <c r="A1341">
        <f>eDNA!A1341</f>
        <v>20201024</v>
      </c>
      <c r="B1341" s="10" t="str" cm="1">
        <f t="array" ref="B1341">IFERROR(_xlfn.XLOOKUP(1,('env Parameter'!$A:$A=$A1341)*('env Parameter'!$B:$B=$K1341)*('env Parameter'!$C:$C=$L1341),'env Parameter'!H:H,""),"")</f>
        <v>생물상 조사</v>
      </c>
      <c r="C1341" s="10" cm="1">
        <f t="array" ref="C1341">IFERROR(_xlfn.XLOOKUP(1,('env Parameter'!$A:$A=$A1341)*('env Parameter'!$B:$B=$K1341)*('env Parameter'!$C:$C=$L1341),'env Parameter'!E:E,""),"")</f>
        <v>2.14</v>
      </c>
      <c r="D1341" s="10" cm="1">
        <f t="array" ref="D1341">IFERROR(_xlfn.XLOOKUP(1,('env Parameter'!$A:$A=$A1341)*('env Parameter'!$B:$B=$K1341)*('env Parameter'!$C:$C=$L1341),'env Parameter'!F:F,""),"")</f>
        <v>478</v>
      </c>
      <c r="E1341" s="10" cm="1">
        <f t="array" ref="E1341">IFERROR(_xlfn.XLOOKUP(1,('env Parameter'!$A:$A=$A1341)*('env Parameter'!$B:$B=$K1341)*('env Parameter'!$C:$C=$L1341),'env Parameter'!G:G,""),"")</f>
        <v>7.6</v>
      </c>
      <c r="F1341" t="str">
        <f>eDNA!F1341</f>
        <v>MiFish</v>
      </c>
      <c r="G1341" t="str">
        <f>eDNA!D1341</f>
        <v>Sus scrofa</v>
      </c>
      <c r="H1341" t="str">
        <f>_xlfn.XLOOKUP(G1341,'Common name (master file)'!$B:$B,'Common name (master file)'!$A:$A,"-------------")</f>
        <v>멧돼지</v>
      </c>
      <c r="I1341">
        <f>eDNA!E1341</f>
        <v>747</v>
      </c>
      <c r="J1341" t="str">
        <f>_xlfn.XLOOKUP(G1341,'Common name (master file)'!$B:$B,'Common name (master file)'!$C:$C,"")</f>
        <v>포유류</v>
      </c>
      <c r="K1341">
        <f>eDNA!B1341</f>
        <v>126.85185540000001</v>
      </c>
      <c r="L1341">
        <f>eDNA!C1341</f>
        <v>37.406578799999998</v>
      </c>
      <c r="M1341" s="10" t="str" cm="1">
        <f t="array" ref="M1341">IFERROR(_xlfn.XLOOKUP(1,('env Parameter'!$A:$A=$A1341)*('env Parameter'!$B:$B=$K1341)*('env Parameter'!$C:$C=$L1341),'env Parameter'!D:D,""),"")</f>
        <v>목감천-4</v>
      </c>
      <c r="N1341" s="10" t="str" cm="1">
        <f t="array" ref="N1341">IFERROR(_xlfn.XLOOKUP(1,('env Parameter'!$A:$A=$A1341)*('env Parameter'!$B:$B=$K1341)*('env Parameter'!$C:$C=$L1341),'env Parameter'!I:I,""),"")</f>
        <v>YR</v>
      </c>
    </row>
    <row r="1342" spans="1:14">
      <c r="A1342">
        <f>eDNA!A1342</f>
        <v>20201024</v>
      </c>
      <c r="B1342" s="10" t="str" cm="1">
        <f t="array" ref="B1342">IFERROR(_xlfn.XLOOKUP(1,('env Parameter'!$A:$A=$A1342)*('env Parameter'!$B:$B=$K1342)*('env Parameter'!$C:$C=$L1342),'env Parameter'!H:H,""),"")</f>
        <v>생물상 조사</v>
      </c>
      <c r="C1342" s="10" cm="1">
        <f t="array" ref="C1342">IFERROR(_xlfn.XLOOKUP(1,('env Parameter'!$A:$A=$A1342)*('env Parameter'!$B:$B=$K1342)*('env Parameter'!$C:$C=$L1342),'env Parameter'!E:E,""),"")</f>
        <v>2.14</v>
      </c>
      <c r="D1342" s="10" cm="1">
        <f t="array" ref="D1342">IFERROR(_xlfn.XLOOKUP(1,('env Parameter'!$A:$A=$A1342)*('env Parameter'!$B:$B=$K1342)*('env Parameter'!$C:$C=$L1342),'env Parameter'!F:F,""),"")</f>
        <v>478</v>
      </c>
      <c r="E1342" s="10" cm="1">
        <f t="array" ref="E1342">IFERROR(_xlfn.XLOOKUP(1,('env Parameter'!$A:$A=$A1342)*('env Parameter'!$B:$B=$K1342)*('env Parameter'!$C:$C=$L1342),'env Parameter'!G:G,""),"")</f>
        <v>7.6</v>
      </c>
      <c r="F1342" t="str">
        <f>eDNA!F1342</f>
        <v>MiFish</v>
      </c>
      <c r="G1342" t="str">
        <f>eDNA!D1342</f>
        <v>Oryzias sinensis</v>
      </c>
      <c r="H1342" t="str">
        <f>_xlfn.XLOOKUP(G1342,'Common name (master file)'!$B:$B,'Common name (master file)'!$A:$A,"-------------")</f>
        <v>대륙송사리</v>
      </c>
      <c r="I1342">
        <f>eDNA!E1342</f>
        <v>1571</v>
      </c>
      <c r="J1342" t="str">
        <f>_xlfn.XLOOKUP(G1342,'Common name (master file)'!$B:$B,'Common name (master file)'!$C:$C,"")</f>
        <v>어류</v>
      </c>
      <c r="K1342">
        <f>eDNA!B1342</f>
        <v>126.85185540000001</v>
      </c>
      <c r="L1342">
        <f>eDNA!C1342</f>
        <v>37.406578799999998</v>
      </c>
      <c r="M1342" s="10" t="str" cm="1">
        <f t="array" ref="M1342">IFERROR(_xlfn.XLOOKUP(1,('env Parameter'!$A:$A=$A1342)*('env Parameter'!$B:$B=$K1342)*('env Parameter'!$C:$C=$L1342),'env Parameter'!D:D,""),"")</f>
        <v>목감천-4</v>
      </c>
      <c r="N1342" s="10" t="str" cm="1">
        <f t="array" ref="N1342">IFERROR(_xlfn.XLOOKUP(1,('env Parameter'!$A:$A=$A1342)*('env Parameter'!$B:$B=$K1342)*('env Parameter'!$C:$C=$L1342),'env Parameter'!I:I,""),"")</f>
        <v>YR</v>
      </c>
    </row>
    <row r="1343" spans="1:14">
      <c r="A1343">
        <f>eDNA!A1343</f>
        <v>20201024</v>
      </c>
      <c r="B1343" s="10" t="str" cm="1">
        <f t="array" ref="B1343">IFERROR(_xlfn.XLOOKUP(1,('env Parameter'!$A:$A=$A1343)*('env Parameter'!$B:$B=$K1343)*('env Parameter'!$C:$C=$L1343),'env Parameter'!H:H,""),"")</f>
        <v>생물상 조사</v>
      </c>
      <c r="C1343" s="10" cm="1">
        <f t="array" ref="C1343">IFERROR(_xlfn.XLOOKUP(1,('env Parameter'!$A:$A=$A1343)*('env Parameter'!$B:$B=$K1343)*('env Parameter'!$C:$C=$L1343),'env Parameter'!E:E,""),"")</f>
        <v>2.14</v>
      </c>
      <c r="D1343" s="10" cm="1">
        <f t="array" ref="D1343">IFERROR(_xlfn.XLOOKUP(1,('env Parameter'!$A:$A=$A1343)*('env Parameter'!$B:$B=$K1343)*('env Parameter'!$C:$C=$L1343),'env Parameter'!F:F,""),"")</f>
        <v>478</v>
      </c>
      <c r="E1343" s="10" cm="1">
        <f t="array" ref="E1343">IFERROR(_xlfn.XLOOKUP(1,('env Parameter'!$A:$A=$A1343)*('env Parameter'!$B:$B=$K1343)*('env Parameter'!$C:$C=$L1343),'env Parameter'!G:G,""),"")</f>
        <v>7.6</v>
      </c>
      <c r="F1343" t="str">
        <f>eDNA!F1343</f>
        <v>MiFish</v>
      </c>
      <c r="G1343" t="str">
        <f>eDNA!D1343</f>
        <v>Misgurnus anguillicaudatus</v>
      </c>
      <c r="H1343" t="str">
        <f>_xlfn.XLOOKUP(G1343,'Common name (master file)'!$B:$B,'Common name (master file)'!$A:$A,"-------------")</f>
        <v>미꾸리</v>
      </c>
      <c r="I1343">
        <f>eDNA!E1343</f>
        <v>1855</v>
      </c>
      <c r="J1343" t="str">
        <f>_xlfn.XLOOKUP(G1343,'Common name (master file)'!$B:$B,'Common name (master file)'!$C:$C,"")</f>
        <v>어류</v>
      </c>
      <c r="K1343">
        <f>eDNA!B1343</f>
        <v>126.85185540000001</v>
      </c>
      <c r="L1343">
        <f>eDNA!C1343</f>
        <v>37.406578799999998</v>
      </c>
      <c r="M1343" s="10" t="str" cm="1">
        <f t="array" ref="M1343">IFERROR(_xlfn.XLOOKUP(1,('env Parameter'!$A:$A=$A1343)*('env Parameter'!$B:$B=$K1343)*('env Parameter'!$C:$C=$L1343),'env Parameter'!D:D,""),"")</f>
        <v>목감천-4</v>
      </c>
      <c r="N1343" s="10" t="str" cm="1">
        <f t="array" ref="N1343">IFERROR(_xlfn.XLOOKUP(1,('env Parameter'!$A:$A=$A1343)*('env Parameter'!$B:$B=$K1343)*('env Parameter'!$C:$C=$L1343),'env Parameter'!I:I,""),"")</f>
        <v>YR</v>
      </c>
    </row>
    <row r="1344" spans="1:14">
      <c r="A1344">
        <f>eDNA!A1344</f>
        <v>20201024</v>
      </c>
      <c r="B1344" s="10" t="str" cm="1">
        <f t="array" ref="B1344">IFERROR(_xlfn.XLOOKUP(1,('env Parameter'!$A:$A=$A1344)*('env Parameter'!$B:$B=$K1344)*('env Parameter'!$C:$C=$L1344),'env Parameter'!H:H,""),"")</f>
        <v>생물상 조사</v>
      </c>
      <c r="C1344" s="10" cm="1">
        <f t="array" ref="C1344">IFERROR(_xlfn.XLOOKUP(1,('env Parameter'!$A:$A=$A1344)*('env Parameter'!$B:$B=$K1344)*('env Parameter'!$C:$C=$L1344),'env Parameter'!E:E,""),"")</f>
        <v>2.14</v>
      </c>
      <c r="D1344" s="10" cm="1">
        <f t="array" ref="D1344">IFERROR(_xlfn.XLOOKUP(1,('env Parameter'!$A:$A=$A1344)*('env Parameter'!$B:$B=$K1344)*('env Parameter'!$C:$C=$L1344),'env Parameter'!F:F,""),"")</f>
        <v>478</v>
      </c>
      <c r="E1344" s="10" cm="1">
        <f t="array" ref="E1344">IFERROR(_xlfn.XLOOKUP(1,('env Parameter'!$A:$A=$A1344)*('env Parameter'!$B:$B=$K1344)*('env Parameter'!$C:$C=$L1344),'env Parameter'!G:G,""),"")</f>
        <v>7.6</v>
      </c>
      <c r="F1344" t="str">
        <f>eDNA!F1344</f>
        <v>MiFish</v>
      </c>
      <c r="G1344" t="str">
        <f>eDNA!D1344</f>
        <v>Gallus gallus domesticus</v>
      </c>
      <c r="H1344" t="str">
        <f>_xlfn.XLOOKUP(G1344,'Common name (master file)'!$B:$B,'Common name (master file)'!$A:$A,"-------------")</f>
        <v>닭</v>
      </c>
      <c r="I1344">
        <f>eDNA!E1344</f>
        <v>1952</v>
      </c>
      <c r="J1344" t="str">
        <f>_xlfn.XLOOKUP(G1344,'Common name (master file)'!$B:$B,'Common name (master file)'!$C:$C,"")</f>
        <v>조류</v>
      </c>
      <c r="K1344">
        <f>eDNA!B1344</f>
        <v>126.85185540000001</v>
      </c>
      <c r="L1344">
        <f>eDNA!C1344</f>
        <v>37.406578799999998</v>
      </c>
      <c r="M1344" s="10" t="str" cm="1">
        <f t="array" ref="M1344">IFERROR(_xlfn.XLOOKUP(1,('env Parameter'!$A:$A=$A1344)*('env Parameter'!$B:$B=$K1344)*('env Parameter'!$C:$C=$L1344),'env Parameter'!D:D,""),"")</f>
        <v>목감천-4</v>
      </c>
      <c r="N1344" s="10" t="str" cm="1">
        <f t="array" ref="N1344">IFERROR(_xlfn.XLOOKUP(1,('env Parameter'!$A:$A=$A1344)*('env Parameter'!$B:$B=$K1344)*('env Parameter'!$C:$C=$L1344),'env Parameter'!I:I,""),"")</f>
        <v>YR</v>
      </c>
    </row>
    <row r="1345" spans="1:14">
      <c r="A1345">
        <f>eDNA!A1345</f>
        <v>20201024</v>
      </c>
      <c r="B1345" s="10" t="str" cm="1">
        <f t="array" ref="B1345">IFERROR(_xlfn.XLOOKUP(1,('env Parameter'!$A:$A=$A1345)*('env Parameter'!$B:$B=$K1345)*('env Parameter'!$C:$C=$L1345),'env Parameter'!H:H,""),"")</f>
        <v>생물상 조사</v>
      </c>
      <c r="C1345" s="10" cm="1">
        <f t="array" ref="C1345">IFERROR(_xlfn.XLOOKUP(1,('env Parameter'!$A:$A=$A1345)*('env Parameter'!$B:$B=$K1345)*('env Parameter'!$C:$C=$L1345),'env Parameter'!E:E,""),"")</f>
        <v>2.14</v>
      </c>
      <c r="D1345" s="10" cm="1">
        <f t="array" ref="D1345">IFERROR(_xlfn.XLOOKUP(1,('env Parameter'!$A:$A=$A1345)*('env Parameter'!$B:$B=$K1345)*('env Parameter'!$C:$C=$L1345),'env Parameter'!F:F,""),"")</f>
        <v>478</v>
      </c>
      <c r="E1345" s="10" cm="1">
        <f t="array" ref="E1345">IFERROR(_xlfn.XLOOKUP(1,('env Parameter'!$A:$A=$A1345)*('env Parameter'!$B:$B=$K1345)*('env Parameter'!$C:$C=$L1345),'env Parameter'!G:G,""),"")</f>
        <v>7.6</v>
      </c>
      <c r="F1345" t="str">
        <f>eDNA!F1345</f>
        <v>MiFish</v>
      </c>
      <c r="G1345" t="str">
        <f>eDNA!D1345</f>
        <v>Pseudorasbora parva</v>
      </c>
      <c r="H1345" t="str">
        <f>_xlfn.XLOOKUP(G1345,'Common name (master file)'!$B:$B,'Common name (master file)'!$A:$A,"-------------")</f>
        <v>참붕어</v>
      </c>
      <c r="I1345">
        <f>eDNA!E1345</f>
        <v>3586</v>
      </c>
      <c r="J1345" t="str">
        <f>_xlfn.XLOOKUP(G1345,'Common name (master file)'!$B:$B,'Common name (master file)'!$C:$C,"")</f>
        <v>어류</v>
      </c>
      <c r="K1345">
        <f>eDNA!B1345</f>
        <v>126.85185540000001</v>
      </c>
      <c r="L1345">
        <f>eDNA!C1345</f>
        <v>37.406578799999998</v>
      </c>
      <c r="M1345" s="10" t="str" cm="1">
        <f t="array" ref="M1345">IFERROR(_xlfn.XLOOKUP(1,('env Parameter'!$A:$A=$A1345)*('env Parameter'!$B:$B=$K1345)*('env Parameter'!$C:$C=$L1345),'env Parameter'!D:D,""),"")</f>
        <v>목감천-4</v>
      </c>
      <c r="N1345" s="10" t="str" cm="1">
        <f t="array" ref="N1345">IFERROR(_xlfn.XLOOKUP(1,('env Parameter'!$A:$A=$A1345)*('env Parameter'!$B:$B=$K1345)*('env Parameter'!$C:$C=$L1345),'env Parameter'!I:I,""),"")</f>
        <v>YR</v>
      </c>
    </row>
    <row r="1346" spans="1:14">
      <c r="A1346">
        <f>eDNA!A1346</f>
        <v>20201024</v>
      </c>
      <c r="B1346" s="10" t="str" cm="1">
        <f t="array" ref="B1346">IFERROR(_xlfn.XLOOKUP(1,('env Parameter'!$A:$A=$A1346)*('env Parameter'!$B:$B=$K1346)*('env Parameter'!$C:$C=$L1346),'env Parameter'!H:H,""),"")</f>
        <v>생물상 조사</v>
      </c>
      <c r="C1346" s="10" cm="1">
        <f t="array" ref="C1346">IFERROR(_xlfn.XLOOKUP(1,('env Parameter'!$A:$A=$A1346)*('env Parameter'!$B:$B=$K1346)*('env Parameter'!$C:$C=$L1346),'env Parameter'!E:E,""),"")</f>
        <v>2.14</v>
      </c>
      <c r="D1346" s="10" cm="1">
        <f t="array" ref="D1346">IFERROR(_xlfn.XLOOKUP(1,('env Parameter'!$A:$A=$A1346)*('env Parameter'!$B:$B=$K1346)*('env Parameter'!$C:$C=$L1346),'env Parameter'!F:F,""),"")</f>
        <v>478</v>
      </c>
      <c r="E1346" s="10" cm="1">
        <f t="array" ref="E1346">IFERROR(_xlfn.XLOOKUP(1,('env Parameter'!$A:$A=$A1346)*('env Parameter'!$B:$B=$K1346)*('env Parameter'!$C:$C=$L1346),'env Parameter'!G:G,""),"")</f>
        <v>7.6</v>
      </c>
      <c r="F1346" t="str">
        <f>eDNA!F1346</f>
        <v>MiFish</v>
      </c>
      <c r="G1346" t="str">
        <f>eDNA!D1346</f>
        <v>Silurus soldatovi</v>
      </c>
      <c r="H1346" t="str">
        <f>_xlfn.XLOOKUP(G1346,'Common name (master file)'!$B:$B,'Common name (master file)'!$A:$A,"-------------")</f>
        <v>솔다토비 메기</v>
      </c>
      <c r="I1346">
        <f>eDNA!E1346</f>
        <v>3451</v>
      </c>
      <c r="J1346" t="str">
        <f>_xlfn.XLOOKUP(G1346,'Common name (master file)'!$B:$B,'Common name (master file)'!$C:$C,"")</f>
        <v>어류</v>
      </c>
      <c r="K1346">
        <f>eDNA!B1346</f>
        <v>126.85185540000001</v>
      </c>
      <c r="L1346">
        <f>eDNA!C1346</f>
        <v>37.406578799999998</v>
      </c>
      <c r="M1346" s="10" t="str" cm="1">
        <f t="array" ref="M1346">IFERROR(_xlfn.XLOOKUP(1,('env Parameter'!$A:$A=$A1346)*('env Parameter'!$B:$B=$K1346)*('env Parameter'!$C:$C=$L1346),'env Parameter'!D:D,""),"")</f>
        <v>목감천-4</v>
      </c>
      <c r="N1346" s="10" t="str" cm="1">
        <f t="array" ref="N1346">IFERROR(_xlfn.XLOOKUP(1,('env Parameter'!$A:$A=$A1346)*('env Parameter'!$B:$B=$K1346)*('env Parameter'!$C:$C=$L1346),'env Parameter'!I:I,""),"")</f>
        <v>YR</v>
      </c>
    </row>
    <row r="1347" spans="1:14">
      <c r="A1347">
        <f>eDNA!A1347</f>
        <v>20201024</v>
      </c>
      <c r="B1347" s="10" t="str" cm="1">
        <f t="array" ref="B1347">IFERROR(_xlfn.XLOOKUP(1,('env Parameter'!$A:$A=$A1347)*('env Parameter'!$B:$B=$K1347)*('env Parameter'!$C:$C=$L1347),'env Parameter'!H:H,""),"")</f>
        <v>생물상 조사</v>
      </c>
      <c r="C1347" s="10" cm="1">
        <f t="array" ref="C1347">IFERROR(_xlfn.XLOOKUP(1,('env Parameter'!$A:$A=$A1347)*('env Parameter'!$B:$B=$K1347)*('env Parameter'!$C:$C=$L1347),'env Parameter'!E:E,""),"")</f>
        <v>2.14</v>
      </c>
      <c r="D1347" s="10" cm="1">
        <f t="array" ref="D1347">IFERROR(_xlfn.XLOOKUP(1,('env Parameter'!$A:$A=$A1347)*('env Parameter'!$B:$B=$K1347)*('env Parameter'!$C:$C=$L1347),'env Parameter'!F:F,""),"")</f>
        <v>478</v>
      </c>
      <c r="E1347" s="10" cm="1">
        <f t="array" ref="E1347">IFERROR(_xlfn.XLOOKUP(1,('env Parameter'!$A:$A=$A1347)*('env Parameter'!$B:$B=$K1347)*('env Parameter'!$C:$C=$L1347),'env Parameter'!G:G,""),"")</f>
        <v>7.6</v>
      </c>
      <c r="F1347" t="str">
        <f>eDNA!F1347</f>
        <v>MiFish</v>
      </c>
      <c r="G1347" t="str">
        <f>eDNA!D1347</f>
        <v>Canis lupus familiaris</v>
      </c>
      <c r="H1347" t="str">
        <f>_xlfn.XLOOKUP(G1347,'Common name (master file)'!$B:$B,'Common name (master file)'!$A:$A,"-------------")</f>
        <v>개</v>
      </c>
      <c r="I1347">
        <f>eDNA!E1347</f>
        <v>4622</v>
      </c>
      <c r="J1347" t="str">
        <f>_xlfn.XLOOKUP(G1347,'Common name (master file)'!$B:$B,'Common name (master file)'!$C:$C,"")</f>
        <v>포유류</v>
      </c>
      <c r="K1347">
        <f>eDNA!B1347</f>
        <v>126.85185540000001</v>
      </c>
      <c r="L1347">
        <f>eDNA!C1347</f>
        <v>37.406578799999998</v>
      </c>
      <c r="M1347" s="10" t="str" cm="1">
        <f t="array" ref="M1347">IFERROR(_xlfn.XLOOKUP(1,('env Parameter'!$A:$A=$A1347)*('env Parameter'!$B:$B=$K1347)*('env Parameter'!$C:$C=$L1347),'env Parameter'!D:D,""),"")</f>
        <v>목감천-4</v>
      </c>
      <c r="N1347" s="10" t="str" cm="1">
        <f t="array" ref="N1347">IFERROR(_xlfn.XLOOKUP(1,('env Parameter'!$A:$A=$A1347)*('env Parameter'!$B:$B=$K1347)*('env Parameter'!$C:$C=$L1347),'env Parameter'!I:I,""),"")</f>
        <v>YR</v>
      </c>
    </row>
    <row r="1348" spans="1:14">
      <c r="A1348">
        <f>eDNA!A1348</f>
        <v>20201024</v>
      </c>
      <c r="B1348" s="10" t="str" cm="1">
        <f t="array" ref="B1348">IFERROR(_xlfn.XLOOKUP(1,('env Parameter'!$A:$A=$A1348)*('env Parameter'!$B:$B=$K1348)*('env Parameter'!$C:$C=$L1348),'env Parameter'!H:H,""),"")</f>
        <v>생물상 조사</v>
      </c>
      <c r="C1348" s="10" cm="1">
        <f t="array" ref="C1348">IFERROR(_xlfn.XLOOKUP(1,('env Parameter'!$A:$A=$A1348)*('env Parameter'!$B:$B=$K1348)*('env Parameter'!$C:$C=$L1348),'env Parameter'!E:E,""),"")</f>
        <v>2.14</v>
      </c>
      <c r="D1348" s="10" cm="1">
        <f t="array" ref="D1348">IFERROR(_xlfn.XLOOKUP(1,('env Parameter'!$A:$A=$A1348)*('env Parameter'!$B:$B=$K1348)*('env Parameter'!$C:$C=$L1348),'env Parameter'!F:F,""),"")</f>
        <v>478</v>
      </c>
      <c r="E1348" s="10" cm="1">
        <f t="array" ref="E1348">IFERROR(_xlfn.XLOOKUP(1,('env Parameter'!$A:$A=$A1348)*('env Parameter'!$B:$B=$K1348)*('env Parameter'!$C:$C=$L1348),'env Parameter'!G:G,""),"")</f>
        <v>7.6</v>
      </c>
      <c r="F1348" t="str">
        <f>eDNA!F1348</f>
        <v>MiFish</v>
      </c>
      <c r="G1348" t="str">
        <f>eDNA!D1348</f>
        <v>Misgurnus mizolepis</v>
      </c>
      <c r="H1348" t="str">
        <f>_xlfn.XLOOKUP(G1348,'Common name (master file)'!$B:$B,'Common name (master file)'!$A:$A,"-------------")</f>
        <v>미꾸라지</v>
      </c>
      <c r="I1348">
        <f>eDNA!E1348</f>
        <v>27324</v>
      </c>
      <c r="J1348" t="str">
        <f>_xlfn.XLOOKUP(G1348,'Common name (master file)'!$B:$B,'Common name (master file)'!$C:$C,"")</f>
        <v>어류</v>
      </c>
      <c r="K1348">
        <f>eDNA!B1348</f>
        <v>126.85185540000001</v>
      </c>
      <c r="L1348">
        <f>eDNA!C1348</f>
        <v>37.406578799999998</v>
      </c>
      <c r="M1348" s="10" t="str" cm="1">
        <f t="array" ref="M1348">IFERROR(_xlfn.XLOOKUP(1,('env Parameter'!$A:$A=$A1348)*('env Parameter'!$B:$B=$K1348)*('env Parameter'!$C:$C=$L1348),'env Parameter'!D:D,""),"")</f>
        <v>목감천-4</v>
      </c>
      <c r="N1348" s="10" t="str" cm="1">
        <f t="array" ref="N1348">IFERROR(_xlfn.XLOOKUP(1,('env Parameter'!$A:$A=$A1348)*('env Parameter'!$B:$B=$K1348)*('env Parameter'!$C:$C=$L1348),'env Parameter'!I:I,""),"")</f>
        <v>YR</v>
      </c>
    </row>
    <row r="1349" spans="1:14">
      <c r="A1349">
        <f>eDNA!A1349</f>
        <v>20201024</v>
      </c>
      <c r="B1349" s="10" t="str" cm="1">
        <f t="array" ref="B1349">IFERROR(_xlfn.XLOOKUP(1,('env Parameter'!$A:$A=$A1349)*('env Parameter'!$B:$B=$K1349)*('env Parameter'!$C:$C=$L1349),'env Parameter'!H:H,""),"")</f>
        <v>생물상 조사</v>
      </c>
      <c r="C1349" s="10" cm="1">
        <f t="array" ref="C1349">IFERROR(_xlfn.XLOOKUP(1,('env Parameter'!$A:$A=$A1349)*('env Parameter'!$B:$B=$K1349)*('env Parameter'!$C:$C=$L1349),'env Parameter'!E:E,""),"")</f>
        <v>2.14</v>
      </c>
      <c r="D1349" s="10" cm="1">
        <f t="array" ref="D1349">IFERROR(_xlfn.XLOOKUP(1,('env Parameter'!$A:$A=$A1349)*('env Parameter'!$B:$B=$K1349)*('env Parameter'!$C:$C=$L1349),'env Parameter'!F:F,""),"")</f>
        <v>478</v>
      </c>
      <c r="E1349" s="10" cm="1">
        <f t="array" ref="E1349">IFERROR(_xlfn.XLOOKUP(1,('env Parameter'!$A:$A=$A1349)*('env Parameter'!$B:$B=$K1349)*('env Parameter'!$C:$C=$L1349),'env Parameter'!G:G,""),"")</f>
        <v>7.6</v>
      </c>
      <c r="F1349" t="str">
        <f>eDNA!F1349</f>
        <v>MiFish</v>
      </c>
      <c r="G1349" t="str">
        <f>eDNA!D1349</f>
        <v>Carassius gibelio</v>
      </c>
      <c r="H1349" t="str">
        <f>_xlfn.XLOOKUP(G1349,'Common name (master file)'!$B:$B,'Common name (master file)'!$A:$A,"-------------")</f>
        <v>기벨리오 붕어</v>
      </c>
      <c r="I1349">
        <f>eDNA!E1349</f>
        <v>62897</v>
      </c>
      <c r="J1349" t="str">
        <f>_xlfn.XLOOKUP(G1349,'Common name (master file)'!$B:$B,'Common name (master file)'!$C:$C,"")</f>
        <v>어류</v>
      </c>
      <c r="K1349">
        <f>eDNA!B1349</f>
        <v>126.85185540000001</v>
      </c>
      <c r="L1349">
        <f>eDNA!C1349</f>
        <v>37.406578799999998</v>
      </c>
      <c r="M1349" s="10" t="str" cm="1">
        <f t="array" ref="M1349">IFERROR(_xlfn.XLOOKUP(1,('env Parameter'!$A:$A=$A1349)*('env Parameter'!$B:$B=$K1349)*('env Parameter'!$C:$C=$L1349),'env Parameter'!D:D,""),"")</f>
        <v>목감천-4</v>
      </c>
      <c r="N1349" s="10" t="str" cm="1">
        <f t="array" ref="N1349">IFERROR(_xlfn.XLOOKUP(1,('env Parameter'!$A:$A=$A1349)*('env Parameter'!$B:$B=$K1349)*('env Parameter'!$C:$C=$L1349),'env Parameter'!I:I,""),"")</f>
        <v>YR</v>
      </c>
    </row>
    <row r="1350" spans="1:14">
      <c r="A1350">
        <f>eDNA!A1350</f>
        <v>20201024</v>
      </c>
      <c r="B1350" s="10" t="str" cm="1">
        <f t="array" ref="B1350">IFERROR(_xlfn.XLOOKUP(1,('env Parameter'!$A:$A=$A1350)*('env Parameter'!$B:$B=$K1350)*('env Parameter'!$C:$C=$L1350),'env Parameter'!H:H,""),"")</f>
        <v>생물상 조사</v>
      </c>
      <c r="C1350" s="10" cm="1">
        <f t="array" ref="C1350">IFERROR(_xlfn.XLOOKUP(1,('env Parameter'!$A:$A=$A1350)*('env Parameter'!$B:$B=$K1350)*('env Parameter'!$C:$C=$L1350),'env Parameter'!E:E,""),"")</f>
        <v>2.14</v>
      </c>
      <c r="D1350" s="10" cm="1">
        <f t="array" ref="D1350">IFERROR(_xlfn.XLOOKUP(1,('env Parameter'!$A:$A=$A1350)*('env Parameter'!$B:$B=$K1350)*('env Parameter'!$C:$C=$L1350),'env Parameter'!F:F,""),"")</f>
        <v>478</v>
      </c>
      <c r="E1350" s="10" cm="1">
        <f t="array" ref="E1350">IFERROR(_xlfn.XLOOKUP(1,('env Parameter'!$A:$A=$A1350)*('env Parameter'!$B:$B=$K1350)*('env Parameter'!$C:$C=$L1350),'env Parameter'!G:G,""),"")</f>
        <v>7.6</v>
      </c>
      <c r="F1350" t="str">
        <f>eDNA!F1350</f>
        <v>MiFish</v>
      </c>
      <c r="G1350" t="str">
        <f>eDNA!D1350</f>
        <v>Capra hircus</v>
      </c>
      <c r="H1350" t="str">
        <f>_xlfn.XLOOKUP(G1350,'Common name (master file)'!$B:$B,'Common name (master file)'!$A:$A,"-------------")</f>
        <v>염소</v>
      </c>
      <c r="I1350">
        <f>eDNA!E1350</f>
        <v>16</v>
      </c>
      <c r="J1350" t="str">
        <f>_xlfn.XLOOKUP(G1350,'Common name (master file)'!$B:$B,'Common name (master file)'!$C:$C,"")</f>
        <v>포유류</v>
      </c>
      <c r="K1350">
        <f>eDNA!B1350</f>
        <v>126.8446659</v>
      </c>
      <c r="L1350">
        <f>eDNA!C1350</f>
        <v>37.420618699999999</v>
      </c>
      <c r="M1350" s="10" t="str" cm="1">
        <f t="array" ref="M1350">IFERROR(_xlfn.XLOOKUP(1,('env Parameter'!$A:$A=$A1350)*('env Parameter'!$B:$B=$K1350)*('env Parameter'!$C:$C=$L1350),'env Parameter'!D:D,""),"")</f>
        <v>목감천-3</v>
      </c>
      <c r="N1350" s="10" t="str" cm="1">
        <f t="array" ref="N1350">IFERROR(_xlfn.XLOOKUP(1,('env Parameter'!$A:$A=$A1350)*('env Parameter'!$B:$B=$K1350)*('env Parameter'!$C:$C=$L1350),'env Parameter'!I:I,""),"")</f>
        <v>YR</v>
      </c>
    </row>
    <row r="1351" spans="1:14">
      <c r="A1351">
        <f>eDNA!A1351</f>
        <v>20201024</v>
      </c>
      <c r="B1351" s="10" t="str" cm="1">
        <f t="array" ref="B1351">IFERROR(_xlfn.XLOOKUP(1,('env Parameter'!$A:$A=$A1351)*('env Parameter'!$B:$B=$K1351)*('env Parameter'!$C:$C=$L1351),'env Parameter'!H:H,""),"")</f>
        <v>생물상 조사</v>
      </c>
      <c r="C1351" s="10" cm="1">
        <f t="array" ref="C1351">IFERROR(_xlfn.XLOOKUP(1,('env Parameter'!$A:$A=$A1351)*('env Parameter'!$B:$B=$K1351)*('env Parameter'!$C:$C=$L1351),'env Parameter'!E:E,""),"")</f>
        <v>2.14</v>
      </c>
      <c r="D1351" s="10" cm="1">
        <f t="array" ref="D1351">IFERROR(_xlfn.XLOOKUP(1,('env Parameter'!$A:$A=$A1351)*('env Parameter'!$B:$B=$K1351)*('env Parameter'!$C:$C=$L1351),'env Parameter'!F:F,""),"")</f>
        <v>478</v>
      </c>
      <c r="E1351" s="10" cm="1">
        <f t="array" ref="E1351">IFERROR(_xlfn.XLOOKUP(1,('env Parameter'!$A:$A=$A1351)*('env Parameter'!$B:$B=$K1351)*('env Parameter'!$C:$C=$L1351),'env Parameter'!G:G,""),"")</f>
        <v>7.6</v>
      </c>
      <c r="F1351" t="str">
        <f>eDNA!F1351</f>
        <v>MiFish</v>
      </c>
      <c r="G1351" t="str">
        <f>eDNA!D1351</f>
        <v>Carassius auratus</v>
      </c>
      <c r="H1351" t="str">
        <f>_xlfn.XLOOKUP(G1351,'Common name (master file)'!$B:$B,'Common name (master file)'!$A:$A,"-------------")</f>
        <v>붕어</v>
      </c>
      <c r="I1351">
        <f>eDNA!E1351</f>
        <v>19</v>
      </c>
      <c r="J1351" t="str">
        <f>_xlfn.XLOOKUP(G1351,'Common name (master file)'!$B:$B,'Common name (master file)'!$C:$C,"")</f>
        <v>어류</v>
      </c>
      <c r="K1351">
        <f>eDNA!B1351</f>
        <v>126.8446659</v>
      </c>
      <c r="L1351">
        <f>eDNA!C1351</f>
        <v>37.420618699999999</v>
      </c>
      <c r="M1351" s="10" t="str" cm="1">
        <f t="array" ref="M1351">IFERROR(_xlfn.XLOOKUP(1,('env Parameter'!$A:$A=$A1351)*('env Parameter'!$B:$B=$K1351)*('env Parameter'!$C:$C=$L1351),'env Parameter'!D:D,""),"")</f>
        <v>목감천-3</v>
      </c>
      <c r="N1351" s="10" t="str" cm="1">
        <f t="array" ref="N1351">IFERROR(_xlfn.XLOOKUP(1,('env Parameter'!$A:$A=$A1351)*('env Parameter'!$B:$B=$K1351)*('env Parameter'!$C:$C=$L1351),'env Parameter'!I:I,""),"")</f>
        <v>YR</v>
      </c>
    </row>
    <row r="1352" spans="1:14">
      <c r="A1352">
        <f>eDNA!A1352</f>
        <v>20201024</v>
      </c>
      <c r="B1352" s="10" t="str" cm="1">
        <f t="array" ref="B1352">IFERROR(_xlfn.XLOOKUP(1,('env Parameter'!$A:$A=$A1352)*('env Parameter'!$B:$B=$K1352)*('env Parameter'!$C:$C=$L1352),'env Parameter'!H:H,""),"")</f>
        <v>생물상 조사</v>
      </c>
      <c r="C1352" s="10" cm="1">
        <f t="array" ref="C1352">IFERROR(_xlfn.XLOOKUP(1,('env Parameter'!$A:$A=$A1352)*('env Parameter'!$B:$B=$K1352)*('env Parameter'!$C:$C=$L1352),'env Parameter'!E:E,""),"")</f>
        <v>2.14</v>
      </c>
      <c r="D1352" s="10" cm="1">
        <f t="array" ref="D1352">IFERROR(_xlfn.XLOOKUP(1,('env Parameter'!$A:$A=$A1352)*('env Parameter'!$B:$B=$K1352)*('env Parameter'!$C:$C=$L1352),'env Parameter'!F:F,""),"")</f>
        <v>478</v>
      </c>
      <c r="E1352" s="10" cm="1">
        <f t="array" ref="E1352">IFERROR(_xlfn.XLOOKUP(1,('env Parameter'!$A:$A=$A1352)*('env Parameter'!$B:$B=$K1352)*('env Parameter'!$C:$C=$L1352),'env Parameter'!G:G,""),"")</f>
        <v>7.6</v>
      </c>
      <c r="F1352" t="str">
        <f>eDNA!F1352</f>
        <v>MiFish</v>
      </c>
      <c r="G1352" t="str">
        <f>eDNA!D1352</f>
        <v>Bos taurus</v>
      </c>
      <c r="H1352" t="str">
        <f>_xlfn.XLOOKUP(G1352,'Common name (master file)'!$B:$B,'Common name (master file)'!$A:$A,"-------------")</f>
        <v>소</v>
      </c>
      <c r="I1352">
        <f>eDNA!E1352</f>
        <v>25</v>
      </c>
      <c r="J1352" t="str">
        <f>_xlfn.XLOOKUP(G1352,'Common name (master file)'!$B:$B,'Common name (master file)'!$C:$C,"")</f>
        <v>포유류</v>
      </c>
      <c r="K1352">
        <f>eDNA!B1352</f>
        <v>126.8446659</v>
      </c>
      <c r="L1352">
        <f>eDNA!C1352</f>
        <v>37.420618699999999</v>
      </c>
      <c r="M1352" s="10" t="str" cm="1">
        <f t="array" ref="M1352">IFERROR(_xlfn.XLOOKUP(1,('env Parameter'!$A:$A=$A1352)*('env Parameter'!$B:$B=$K1352)*('env Parameter'!$C:$C=$L1352),'env Parameter'!D:D,""),"")</f>
        <v>목감천-3</v>
      </c>
      <c r="N1352" s="10" t="str" cm="1">
        <f t="array" ref="N1352">IFERROR(_xlfn.XLOOKUP(1,('env Parameter'!$A:$A=$A1352)*('env Parameter'!$B:$B=$K1352)*('env Parameter'!$C:$C=$L1352),'env Parameter'!I:I,""),"")</f>
        <v>YR</v>
      </c>
    </row>
    <row r="1353" spans="1:14">
      <c r="A1353">
        <f>eDNA!A1353</f>
        <v>20201024</v>
      </c>
      <c r="B1353" s="10" t="str" cm="1">
        <f t="array" ref="B1353">IFERROR(_xlfn.XLOOKUP(1,('env Parameter'!$A:$A=$A1353)*('env Parameter'!$B:$B=$K1353)*('env Parameter'!$C:$C=$L1353),'env Parameter'!H:H,""),"")</f>
        <v>생물상 조사</v>
      </c>
      <c r="C1353" s="10" cm="1">
        <f t="array" ref="C1353">IFERROR(_xlfn.XLOOKUP(1,('env Parameter'!$A:$A=$A1353)*('env Parameter'!$B:$B=$K1353)*('env Parameter'!$C:$C=$L1353),'env Parameter'!E:E,""),"")</f>
        <v>2.14</v>
      </c>
      <c r="D1353" s="10" cm="1">
        <f t="array" ref="D1353">IFERROR(_xlfn.XLOOKUP(1,('env Parameter'!$A:$A=$A1353)*('env Parameter'!$B:$B=$K1353)*('env Parameter'!$C:$C=$L1353),'env Parameter'!F:F,""),"")</f>
        <v>478</v>
      </c>
      <c r="E1353" s="10" cm="1">
        <f t="array" ref="E1353">IFERROR(_xlfn.XLOOKUP(1,('env Parameter'!$A:$A=$A1353)*('env Parameter'!$B:$B=$K1353)*('env Parameter'!$C:$C=$L1353),'env Parameter'!G:G,""),"")</f>
        <v>7.6</v>
      </c>
      <c r="F1353" t="str">
        <f>eDNA!F1353</f>
        <v>MiFish</v>
      </c>
      <c r="G1353" t="str">
        <f>eDNA!D1353</f>
        <v>Pelodiscus sinensis</v>
      </c>
      <c r="H1353" t="str">
        <f>_xlfn.XLOOKUP(G1353,'Common name (master file)'!$B:$B,'Common name (master file)'!$A:$A,"-------------")</f>
        <v>중국자라</v>
      </c>
      <c r="I1353">
        <f>eDNA!E1353</f>
        <v>30</v>
      </c>
      <c r="J1353" t="str">
        <f>_xlfn.XLOOKUP(G1353,'Common name (master file)'!$B:$B,'Common name (master file)'!$C:$C,"")</f>
        <v>양서파충류</v>
      </c>
      <c r="K1353">
        <f>eDNA!B1353</f>
        <v>126.8446659</v>
      </c>
      <c r="L1353">
        <f>eDNA!C1353</f>
        <v>37.420618699999999</v>
      </c>
      <c r="M1353" s="10" t="str" cm="1">
        <f t="array" ref="M1353">IFERROR(_xlfn.XLOOKUP(1,('env Parameter'!$A:$A=$A1353)*('env Parameter'!$B:$B=$K1353)*('env Parameter'!$C:$C=$L1353),'env Parameter'!D:D,""),"")</f>
        <v>목감천-3</v>
      </c>
      <c r="N1353" s="10" t="str" cm="1">
        <f t="array" ref="N1353">IFERROR(_xlfn.XLOOKUP(1,('env Parameter'!$A:$A=$A1353)*('env Parameter'!$B:$B=$K1353)*('env Parameter'!$C:$C=$L1353),'env Parameter'!I:I,""),"")</f>
        <v>YR</v>
      </c>
    </row>
    <row r="1354" spans="1:14">
      <c r="A1354">
        <f>eDNA!A1354</f>
        <v>20201024</v>
      </c>
      <c r="B1354" s="10" t="str" cm="1">
        <f t="array" ref="B1354">IFERROR(_xlfn.XLOOKUP(1,('env Parameter'!$A:$A=$A1354)*('env Parameter'!$B:$B=$K1354)*('env Parameter'!$C:$C=$L1354),'env Parameter'!H:H,""),"")</f>
        <v>생물상 조사</v>
      </c>
      <c r="C1354" s="10" cm="1">
        <f t="array" ref="C1354">IFERROR(_xlfn.XLOOKUP(1,('env Parameter'!$A:$A=$A1354)*('env Parameter'!$B:$B=$K1354)*('env Parameter'!$C:$C=$L1354),'env Parameter'!E:E,""),"")</f>
        <v>2.14</v>
      </c>
      <c r="D1354" s="10" cm="1">
        <f t="array" ref="D1354">IFERROR(_xlfn.XLOOKUP(1,('env Parameter'!$A:$A=$A1354)*('env Parameter'!$B:$B=$K1354)*('env Parameter'!$C:$C=$L1354),'env Parameter'!F:F,""),"")</f>
        <v>478</v>
      </c>
      <c r="E1354" s="10" cm="1">
        <f t="array" ref="E1354">IFERROR(_xlfn.XLOOKUP(1,('env Parameter'!$A:$A=$A1354)*('env Parameter'!$B:$B=$K1354)*('env Parameter'!$C:$C=$L1354),'env Parameter'!G:G,""),"")</f>
        <v>7.6</v>
      </c>
      <c r="F1354" t="str">
        <f>eDNA!F1354</f>
        <v>MiFish</v>
      </c>
      <c r="G1354" t="str">
        <f>eDNA!D1354</f>
        <v>Paramisgurnus dabryanus</v>
      </c>
      <c r="H1354" t="str">
        <f>_xlfn.XLOOKUP(G1354,'Common name (master file)'!$B:$B,'Common name (master file)'!$A:$A,"-------------")</f>
        <v>중국미꾸라지</v>
      </c>
      <c r="I1354">
        <f>eDNA!E1354</f>
        <v>36</v>
      </c>
      <c r="J1354" t="str">
        <f>_xlfn.XLOOKUP(G1354,'Common name (master file)'!$B:$B,'Common name (master file)'!$C:$C,"")</f>
        <v>어류</v>
      </c>
      <c r="K1354">
        <f>eDNA!B1354</f>
        <v>126.8446659</v>
      </c>
      <c r="L1354">
        <f>eDNA!C1354</f>
        <v>37.420618699999999</v>
      </c>
      <c r="M1354" s="10" t="str" cm="1">
        <f t="array" ref="M1354">IFERROR(_xlfn.XLOOKUP(1,('env Parameter'!$A:$A=$A1354)*('env Parameter'!$B:$B=$K1354)*('env Parameter'!$C:$C=$L1354),'env Parameter'!D:D,""),"")</f>
        <v>목감천-3</v>
      </c>
      <c r="N1354" s="10" t="str" cm="1">
        <f t="array" ref="N1354">IFERROR(_xlfn.XLOOKUP(1,('env Parameter'!$A:$A=$A1354)*('env Parameter'!$B:$B=$K1354)*('env Parameter'!$C:$C=$L1354),'env Parameter'!I:I,""),"")</f>
        <v>YR</v>
      </c>
    </row>
    <row r="1355" spans="1:14">
      <c r="A1355">
        <f>eDNA!A1355</f>
        <v>20201024</v>
      </c>
      <c r="B1355" s="10" t="str" cm="1">
        <f t="array" ref="B1355">IFERROR(_xlfn.XLOOKUP(1,('env Parameter'!$A:$A=$A1355)*('env Parameter'!$B:$B=$K1355)*('env Parameter'!$C:$C=$L1355),'env Parameter'!H:H,""),"")</f>
        <v>생물상 조사</v>
      </c>
      <c r="C1355" s="10" cm="1">
        <f t="array" ref="C1355">IFERROR(_xlfn.XLOOKUP(1,('env Parameter'!$A:$A=$A1355)*('env Parameter'!$B:$B=$K1355)*('env Parameter'!$C:$C=$L1355),'env Parameter'!E:E,""),"")</f>
        <v>2.14</v>
      </c>
      <c r="D1355" s="10" cm="1">
        <f t="array" ref="D1355">IFERROR(_xlfn.XLOOKUP(1,('env Parameter'!$A:$A=$A1355)*('env Parameter'!$B:$B=$K1355)*('env Parameter'!$C:$C=$L1355),'env Parameter'!F:F,""),"")</f>
        <v>478</v>
      </c>
      <c r="E1355" s="10" cm="1">
        <f t="array" ref="E1355">IFERROR(_xlfn.XLOOKUP(1,('env Parameter'!$A:$A=$A1355)*('env Parameter'!$B:$B=$K1355)*('env Parameter'!$C:$C=$L1355),'env Parameter'!G:G,""),"")</f>
        <v>7.6</v>
      </c>
      <c r="F1355" t="str">
        <f>eDNA!F1355</f>
        <v>MiFish</v>
      </c>
      <c r="G1355" t="str">
        <f>eDNA!D1355</f>
        <v>Carassius cuvieri</v>
      </c>
      <c r="H1355" t="str">
        <f>_xlfn.XLOOKUP(G1355,'Common name (master file)'!$B:$B,'Common name (master file)'!$A:$A,"-------------")</f>
        <v>떡붕어</v>
      </c>
      <c r="I1355">
        <f>eDNA!E1355</f>
        <v>65</v>
      </c>
      <c r="J1355" t="str">
        <f>_xlfn.XLOOKUP(G1355,'Common name (master file)'!$B:$B,'Common name (master file)'!$C:$C,"")</f>
        <v>어류</v>
      </c>
      <c r="K1355">
        <f>eDNA!B1355</f>
        <v>126.8446659</v>
      </c>
      <c r="L1355">
        <f>eDNA!C1355</f>
        <v>37.420618699999999</v>
      </c>
      <c r="M1355" s="10" t="str" cm="1">
        <f t="array" ref="M1355">IFERROR(_xlfn.XLOOKUP(1,('env Parameter'!$A:$A=$A1355)*('env Parameter'!$B:$B=$K1355)*('env Parameter'!$C:$C=$L1355),'env Parameter'!D:D,""),"")</f>
        <v>목감천-3</v>
      </c>
      <c r="N1355" s="10" t="str" cm="1">
        <f t="array" ref="N1355">IFERROR(_xlfn.XLOOKUP(1,('env Parameter'!$A:$A=$A1355)*('env Parameter'!$B:$B=$K1355)*('env Parameter'!$C:$C=$L1355),'env Parameter'!I:I,""),"")</f>
        <v>YR</v>
      </c>
    </row>
    <row r="1356" spans="1:14">
      <c r="A1356">
        <f>eDNA!A1356</f>
        <v>20201024</v>
      </c>
      <c r="B1356" s="10" t="str" cm="1">
        <f t="array" ref="B1356">IFERROR(_xlfn.XLOOKUP(1,('env Parameter'!$A:$A=$A1356)*('env Parameter'!$B:$B=$K1356)*('env Parameter'!$C:$C=$L1356),'env Parameter'!H:H,""),"")</f>
        <v>생물상 조사</v>
      </c>
      <c r="C1356" s="10" cm="1">
        <f t="array" ref="C1356">IFERROR(_xlfn.XLOOKUP(1,('env Parameter'!$A:$A=$A1356)*('env Parameter'!$B:$B=$K1356)*('env Parameter'!$C:$C=$L1356),'env Parameter'!E:E,""),"")</f>
        <v>2.14</v>
      </c>
      <c r="D1356" s="10" cm="1">
        <f t="array" ref="D1356">IFERROR(_xlfn.XLOOKUP(1,('env Parameter'!$A:$A=$A1356)*('env Parameter'!$B:$B=$K1356)*('env Parameter'!$C:$C=$L1356),'env Parameter'!F:F,""),"")</f>
        <v>478</v>
      </c>
      <c r="E1356" s="10" cm="1">
        <f t="array" ref="E1356">IFERROR(_xlfn.XLOOKUP(1,('env Parameter'!$A:$A=$A1356)*('env Parameter'!$B:$B=$K1356)*('env Parameter'!$C:$C=$L1356),'env Parameter'!G:G,""),"")</f>
        <v>7.6</v>
      </c>
      <c r="F1356" t="str">
        <f>eDNA!F1356</f>
        <v>MiFish</v>
      </c>
      <c r="G1356" t="str">
        <f>eDNA!D1356</f>
        <v>Lefua costata</v>
      </c>
      <c r="H1356" t="str">
        <f>_xlfn.XLOOKUP(G1356,'Common name (master file)'!$B:$B,'Common name (master file)'!$A:$A,"-------------")</f>
        <v>쌀미꾸리</v>
      </c>
      <c r="I1356">
        <f>eDNA!E1356</f>
        <v>28</v>
      </c>
      <c r="J1356" t="str">
        <f>_xlfn.XLOOKUP(G1356,'Common name (master file)'!$B:$B,'Common name (master file)'!$C:$C,"")</f>
        <v>어류</v>
      </c>
      <c r="K1356">
        <f>eDNA!B1356</f>
        <v>126.8772417</v>
      </c>
      <c r="L1356">
        <f>eDNA!C1356</f>
        <v>37.474826299999997</v>
      </c>
      <c r="M1356" s="10" t="str" cm="1">
        <f t="array" ref="M1356">IFERROR(_xlfn.XLOOKUP(1,('env Parameter'!$A:$A=$A1356)*('env Parameter'!$B:$B=$K1356)*('env Parameter'!$C:$C=$L1356),'env Parameter'!D:D,""),"")</f>
        <v>안양천-10</v>
      </c>
      <c r="N1356" s="10" t="str" cm="1">
        <f t="array" ref="N1356">IFERROR(_xlfn.XLOOKUP(1,('env Parameter'!$A:$A=$A1356)*('env Parameter'!$B:$B=$K1356)*('env Parameter'!$C:$C=$L1356),'env Parameter'!I:I,""),"")</f>
        <v>YR</v>
      </c>
    </row>
    <row r="1357" spans="1:14">
      <c r="A1357">
        <f>eDNA!A1357</f>
        <v>20201024</v>
      </c>
      <c r="B1357" s="10" t="str" cm="1">
        <f t="array" ref="B1357">IFERROR(_xlfn.XLOOKUP(1,('env Parameter'!$A:$A=$A1357)*('env Parameter'!$B:$B=$K1357)*('env Parameter'!$C:$C=$L1357),'env Parameter'!H:H,""),"")</f>
        <v>생물상 조사</v>
      </c>
      <c r="C1357" s="10" cm="1">
        <f t="array" ref="C1357">IFERROR(_xlfn.XLOOKUP(1,('env Parameter'!$A:$A=$A1357)*('env Parameter'!$B:$B=$K1357)*('env Parameter'!$C:$C=$L1357),'env Parameter'!E:E,""),"")</f>
        <v>2.14</v>
      </c>
      <c r="D1357" s="10" cm="1">
        <f t="array" ref="D1357">IFERROR(_xlfn.XLOOKUP(1,('env Parameter'!$A:$A=$A1357)*('env Parameter'!$B:$B=$K1357)*('env Parameter'!$C:$C=$L1357),'env Parameter'!F:F,""),"")</f>
        <v>478</v>
      </c>
      <c r="E1357" s="10" cm="1">
        <f t="array" ref="E1357">IFERROR(_xlfn.XLOOKUP(1,('env Parameter'!$A:$A=$A1357)*('env Parameter'!$B:$B=$K1357)*('env Parameter'!$C:$C=$L1357),'env Parameter'!G:G,""),"")</f>
        <v>7.6</v>
      </c>
      <c r="F1357" t="str">
        <f>eDNA!F1357</f>
        <v>MiFish</v>
      </c>
      <c r="G1357" t="str">
        <f>eDNA!D1357</f>
        <v>Conger myriaster</v>
      </c>
      <c r="H1357" t="str">
        <f>_xlfn.XLOOKUP(G1357,'Common name (master file)'!$B:$B,'Common name (master file)'!$A:$A,"-------------")</f>
        <v>붕장어</v>
      </c>
      <c r="I1357">
        <f>eDNA!E1357</f>
        <v>58</v>
      </c>
      <c r="J1357" t="str">
        <f>_xlfn.XLOOKUP(G1357,'Common name (master file)'!$B:$B,'Common name (master file)'!$C:$C,"")</f>
        <v>어류</v>
      </c>
      <c r="K1357">
        <f>eDNA!B1357</f>
        <v>126.8446659</v>
      </c>
      <c r="L1357">
        <f>eDNA!C1357</f>
        <v>37.420618699999999</v>
      </c>
      <c r="M1357" s="10" t="str" cm="1">
        <f t="array" ref="M1357">IFERROR(_xlfn.XLOOKUP(1,('env Parameter'!$A:$A=$A1357)*('env Parameter'!$B:$B=$K1357)*('env Parameter'!$C:$C=$L1357),'env Parameter'!D:D,""),"")</f>
        <v>목감천-3</v>
      </c>
      <c r="N1357" s="10" t="str" cm="1">
        <f t="array" ref="N1357">IFERROR(_xlfn.XLOOKUP(1,('env Parameter'!$A:$A=$A1357)*('env Parameter'!$B:$B=$K1357)*('env Parameter'!$C:$C=$L1357),'env Parameter'!I:I,""),"")</f>
        <v>YR</v>
      </c>
    </row>
    <row r="1358" spans="1:14">
      <c r="A1358">
        <f>eDNA!A1358</f>
        <v>20201024</v>
      </c>
      <c r="B1358" s="10" t="str" cm="1">
        <f t="array" ref="B1358">IFERROR(_xlfn.XLOOKUP(1,('env Parameter'!$A:$A=$A1358)*('env Parameter'!$B:$B=$K1358)*('env Parameter'!$C:$C=$L1358),'env Parameter'!H:H,""),"")</f>
        <v>생물상 조사</v>
      </c>
      <c r="C1358" s="10" cm="1">
        <f t="array" ref="C1358">IFERROR(_xlfn.XLOOKUP(1,('env Parameter'!$A:$A=$A1358)*('env Parameter'!$B:$B=$K1358)*('env Parameter'!$C:$C=$L1358),'env Parameter'!E:E,""),"")</f>
        <v>2.14</v>
      </c>
      <c r="D1358" s="10" cm="1">
        <f t="array" ref="D1358">IFERROR(_xlfn.XLOOKUP(1,('env Parameter'!$A:$A=$A1358)*('env Parameter'!$B:$B=$K1358)*('env Parameter'!$C:$C=$L1358),'env Parameter'!F:F,""),"")</f>
        <v>478</v>
      </c>
      <c r="E1358" s="10" cm="1">
        <f t="array" ref="E1358">IFERROR(_xlfn.XLOOKUP(1,('env Parameter'!$A:$A=$A1358)*('env Parameter'!$B:$B=$K1358)*('env Parameter'!$C:$C=$L1358),'env Parameter'!G:G,""),"")</f>
        <v>7.6</v>
      </c>
      <c r="F1358" t="str">
        <f>eDNA!F1358</f>
        <v>MiFish</v>
      </c>
      <c r="G1358" t="str">
        <f>eDNA!D1358</f>
        <v>Lefua costata</v>
      </c>
      <c r="H1358" t="str">
        <f>_xlfn.XLOOKUP(G1358,'Common name (master file)'!$B:$B,'Common name (master file)'!$A:$A,"-------------")</f>
        <v>쌀미꾸리</v>
      </c>
      <c r="I1358">
        <f>eDNA!E1358</f>
        <v>281</v>
      </c>
      <c r="J1358" t="str">
        <f>_xlfn.XLOOKUP(G1358,'Common name (master file)'!$B:$B,'Common name (master file)'!$C:$C,"")</f>
        <v>어류</v>
      </c>
      <c r="K1358">
        <f>eDNA!B1358</f>
        <v>126.99657019999999</v>
      </c>
      <c r="L1358">
        <f>eDNA!C1358</f>
        <v>37.389118600000003</v>
      </c>
      <c r="M1358" s="10" t="str" cm="1">
        <f t="array" ref="M1358">IFERROR(_xlfn.XLOOKUP(1,('env Parameter'!$A:$A=$A1358)*('env Parameter'!$B:$B=$K1358)*('env Parameter'!$C:$C=$L1358),'env Parameter'!D:D,""),"")</f>
        <v>안양천-19</v>
      </c>
      <c r="N1358" s="10" t="str" cm="1">
        <f t="array" ref="N1358">IFERROR(_xlfn.XLOOKUP(1,('env Parameter'!$A:$A=$A1358)*('env Parameter'!$B:$B=$K1358)*('env Parameter'!$C:$C=$L1358),'env Parameter'!I:I,""),"")</f>
        <v>YR</v>
      </c>
    </row>
    <row r="1359" spans="1:14">
      <c r="A1359">
        <f>eDNA!A1359</f>
        <v>20201024</v>
      </c>
      <c r="B1359" s="10" t="str" cm="1">
        <f t="array" ref="B1359">IFERROR(_xlfn.XLOOKUP(1,('env Parameter'!$A:$A=$A1359)*('env Parameter'!$B:$B=$K1359)*('env Parameter'!$C:$C=$L1359),'env Parameter'!H:H,""),"")</f>
        <v>생물상 조사</v>
      </c>
      <c r="C1359" s="10" cm="1">
        <f t="array" ref="C1359">IFERROR(_xlfn.XLOOKUP(1,('env Parameter'!$A:$A=$A1359)*('env Parameter'!$B:$B=$K1359)*('env Parameter'!$C:$C=$L1359),'env Parameter'!E:E,""),"")</f>
        <v>2.14</v>
      </c>
      <c r="D1359" s="10" cm="1">
        <f t="array" ref="D1359">IFERROR(_xlfn.XLOOKUP(1,('env Parameter'!$A:$A=$A1359)*('env Parameter'!$B:$B=$K1359)*('env Parameter'!$C:$C=$L1359),'env Parameter'!F:F,""),"")</f>
        <v>478</v>
      </c>
      <c r="E1359" s="10" cm="1">
        <f t="array" ref="E1359">IFERROR(_xlfn.XLOOKUP(1,('env Parameter'!$A:$A=$A1359)*('env Parameter'!$B:$B=$K1359)*('env Parameter'!$C:$C=$L1359),'env Parameter'!G:G,""),"")</f>
        <v>7.6</v>
      </c>
      <c r="F1359" t="str">
        <f>eDNA!F1359</f>
        <v>MiFish</v>
      </c>
      <c r="G1359" t="str">
        <f>eDNA!D1359</f>
        <v>Lefua costata</v>
      </c>
      <c r="H1359" t="str">
        <f>_xlfn.XLOOKUP(G1359,'Common name (master file)'!$B:$B,'Common name (master file)'!$A:$A,"-------------")</f>
        <v>쌀미꾸리</v>
      </c>
      <c r="I1359">
        <f>eDNA!E1359</f>
        <v>1310</v>
      </c>
      <c r="J1359" t="str">
        <f>_xlfn.XLOOKUP(G1359,'Common name (master file)'!$B:$B,'Common name (master file)'!$C:$C,"")</f>
        <v>어류</v>
      </c>
      <c r="K1359">
        <f>eDNA!B1359</f>
        <v>126.92050639999999</v>
      </c>
      <c r="L1359">
        <f>eDNA!C1359</f>
        <v>37.418606500000003</v>
      </c>
      <c r="M1359" s="10" t="str" cm="1">
        <f t="array" ref="M1359">IFERROR(_xlfn.XLOOKUP(1,('env Parameter'!$A:$A=$A1359)*('env Parameter'!$B:$B=$K1359)*('env Parameter'!$C:$C=$L1359),'env Parameter'!D:D,""),"")</f>
        <v>삼성천-1</v>
      </c>
      <c r="N1359" s="10" t="str" cm="1">
        <f t="array" ref="N1359">IFERROR(_xlfn.XLOOKUP(1,('env Parameter'!$A:$A=$A1359)*('env Parameter'!$B:$B=$K1359)*('env Parameter'!$C:$C=$L1359),'env Parameter'!I:I,""),"")</f>
        <v>YR</v>
      </c>
    </row>
    <row r="1360" spans="1:14">
      <c r="A1360">
        <f>eDNA!A1360</f>
        <v>20201024</v>
      </c>
      <c r="B1360" s="10" t="str" cm="1">
        <f t="array" ref="B1360">IFERROR(_xlfn.XLOOKUP(1,('env Parameter'!$A:$A=$A1360)*('env Parameter'!$B:$B=$K1360)*('env Parameter'!$C:$C=$L1360),'env Parameter'!H:H,""),"")</f>
        <v>생물상 조사</v>
      </c>
      <c r="C1360" s="10" cm="1">
        <f t="array" ref="C1360">IFERROR(_xlfn.XLOOKUP(1,('env Parameter'!$A:$A=$A1360)*('env Parameter'!$B:$B=$K1360)*('env Parameter'!$C:$C=$L1360),'env Parameter'!E:E,""),"")</f>
        <v>2.14</v>
      </c>
      <c r="D1360" s="10" cm="1">
        <f t="array" ref="D1360">IFERROR(_xlfn.XLOOKUP(1,('env Parameter'!$A:$A=$A1360)*('env Parameter'!$B:$B=$K1360)*('env Parameter'!$C:$C=$L1360),'env Parameter'!F:F,""),"")</f>
        <v>478</v>
      </c>
      <c r="E1360" s="10" cm="1">
        <f t="array" ref="E1360">IFERROR(_xlfn.XLOOKUP(1,('env Parameter'!$A:$A=$A1360)*('env Parameter'!$B:$B=$K1360)*('env Parameter'!$C:$C=$L1360),'env Parameter'!G:G,""),"")</f>
        <v>7.6</v>
      </c>
      <c r="F1360" t="str">
        <f>eDNA!F1360</f>
        <v>MiFish</v>
      </c>
      <c r="G1360" t="str">
        <f>eDNA!D1360</f>
        <v>Zacco platypus</v>
      </c>
      <c r="H1360" t="str">
        <f>_xlfn.XLOOKUP(G1360,'Common name (master file)'!$B:$B,'Common name (master file)'!$A:$A,"-------------")</f>
        <v>피라미</v>
      </c>
      <c r="I1360">
        <f>eDNA!E1360</f>
        <v>155</v>
      </c>
      <c r="J1360" t="str">
        <f>_xlfn.XLOOKUP(G1360,'Common name (master file)'!$B:$B,'Common name (master file)'!$C:$C,"")</f>
        <v>어류</v>
      </c>
      <c r="K1360">
        <f>eDNA!B1360</f>
        <v>126.8446659</v>
      </c>
      <c r="L1360">
        <f>eDNA!C1360</f>
        <v>37.420618699999999</v>
      </c>
      <c r="M1360" s="10" t="str" cm="1">
        <f t="array" ref="M1360">IFERROR(_xlfn.XLOOKUP(1,('env Parameter'!$A:$A=$A1360)*('env Parameter'!$B:$B=$K1360)*('env Parameter'!$C:$C=$L1360),'env Parameter'!D:D,""),"")</f>
        <v>목감천-3</v>
      </c>
      <c r="N1360" s="10" t="str" cm="1">
        <f t="array" ref="N1360">IFERROR(_xlfn.XLOOKUP(1,('env Parameter'!$A:$A=$A1360)*('env Parameter'!$B:$B=$K1360)*('env Parameter'!$C:$C=$L1360),'env Parameter'!I:I,""),"")</f>
        <v>YR</v>
      </c>
    </row>
    <row r="1361" spans="1:14">
      <c r="A1361">
        <f>eDNA!A1361</f>
        <v>20201024</v>
      </c>
      <c r="B1361" s="10" t="str" cm="1">
        <f t="array" ref="B1361">IFERROR(_xlfn.XLOOKUP(1,('env Parameter'!$A:$A=$A1361)*('env Parameter'!$B:$B=$K1361)*('env Parameter'!$C:$C=$L1361),'env Parameter'!H:H,""),"")</f>
        <v>생물상 조사</v>
      </c>
      <c r="C1361" s="10" cm="1">
        <f t="array" ref="C1361">IFERROR(_xlfn.XLOOKUP(1,('env Parameter'!$A:$A=$A1361)*('env Parameter'!$B:$B=$K1361)*('env Parameter'!$C:$C=$L1361),'env Parameter'!E:E,""),"")</f>
        <v>2.14</v>
      </c>
      <c r="D1361" s="10" cm="1">
        <f t="array" ref="D1361">IFERROR(_xlfn.XLOOKUP(1,('env Parameter'!$A:$A=$A1361)*('env Parameter'!$B:$B=$K1361)*('env Parameter'!$C:$C=$L1361),'env Parameter'!F:F,""),"")</f>
        <v>478</v>
      </c>
      <c r="E1361" s="10" cm="1">
        <f t="array" ref="E1361">IFERROR(_xlfn.XLOOKUP(1,('env Parameter'!$A:$A=$A1361)*('env Parameter'!$B:$B=$K1361)*('env Parameter'!$C:$C=$L1361),'env Parameter'!G:G,""),"")</f>
        <v>7.6</v>
      </c>
      <c r="F1361" t="str">
        <f>eDNA!F1361</f>
        <v>MiFish</v>
      </c>
      <c r="G1361" t="str">
        <f>eDNA!D1361</f>
        <v>Tadorna tadorna</v>
      </c>
      <c r="H1361" t="str">
        <f>_xlfn.XLOOKUP(G1361,'Common name (master file)'!$B:$B,'Common name (master file)'!$A:$A,"-------------")</f>
        <v>혹부리오리</v>
      </c>
      <c r="I1361">
        <f>eDNA!E1361</f>
        <v>104</v>
      </c>
      <c r="J1361" t="str">
        <f>_xlfn.XLOOKUP(G1361,'Common name (master file)'!$B:$B,'Common name (master file)'!$C:$C,"")</f>
        <v>조류</v>
      </c>
      <c r="K1361">
        <f>eDNA!B1361</f>
        <v>126.8446659</v>
      </c>
      <c r="L1361">
        <f>eDNA!C1361</f>
        <v>37.420618699999999</v>
      </c>
      <c r="M1361" s="10" t="str" cm="1">
        <f t="array" ref="M1361">IFERROR(_xlfn.XLOOKUP(1,('env Parameter'!$A:$A=$A1361)*('env Parameter'!$B:$B=$K1361)*('env Parameter'!$C:$C=$L1361),'env Parameter'!D:D,""),"")</f>
        <v>목감천-3</v>
      </c>
      <c r="N1361" s="10" t="str" cm="1">
        <f t="array" ref="N1361">IFERROR(_xlfn.XLOOKUP(1,('env Parameter'!$A:$A=$A1361)*('env Parameter'!$B:$B=$K1361)*('env Parameter'!$C:$C=$L1361),'env Parameter'!I:I,""),"")</f>
        <v>YR</v>
      </c>
    </row>
    <row r="1362" spans="1:14">
      <c r="A1362">
        <f>eDNA!A1362</f>
        <v>20201024</v>
      </c>
      <c r="B1362" s="10" t="str" cm="1">
        <f t="array" ref="B1362">IFERROR(_xlfn.XLOOKUP(1,('env Parameter'!$A:$A=$A1362)*('env Parameter'!$B:$B=$K1362)*('env Parameter'!$C:$C=$L1362),'env Parameter'!H:H,""),"")</f>
        <v>생물상 조사</v>
      </c>
      <c r="C1362" s="10" cm="1">
        <f t="array" ref="C1362">IFERROR(_xlfn.XLOOKUP(1,('env Parameter'!$A:$A=$A1362)*('env Parameter'!$B:$B=$K1362)*('env Parameter'!$C:$C=$L1362),'env Parameter'!E:E,""),"")</f>
        <v>2.14</v>
      </c>
      <c r="D1362" s="10" cm="1">
        <f t="array" ref="D1362">IFERROR(_xlfn.XLOOKUP(1,('env Parameter'!$A:$A=$A1362)*('env Parameter'!$B:$B=$K1362)*('env Parameter'!$C:$C=$L1362),'env Parameter'!F:F,""),"")</f>
        <v>478</v>
      </c>
      <c r="E1362" s="10" cm="1">
        <f t="array" ref="E1362">IFERROR(_xlfn.XLOOKUP(1,('env Parameter'!$A:$A=$A1362)*('env Parameter'!$B:$B=$K1362)*('env Parameter'!$C:$C=$L1362),'env Parameter'!G:G,""),"")</f>
        <v>7.6</v>
      </c>
      <c r="F1362" t="str">
        <f>eDNA!F1362</f>
        <v>MiFish</v>
      </c>
      <c r="G1362" t="str">
        <f>eDNA!D1362</f>
        <v>Oncorhynchus keta</v>
      </c>
      <c r="H1362" t="str">
        <f>_xlfn.XLOOKUP(G1362,'Common name (master file)'!$B:$B,'Common name (master file)'!$A:$A,"-------------")</f>
        <v>연어</v>
      </c>
      <c r="I1362">
        <f>eDNA!E1362</f>
        <v>220</v>
      </c>
      <c r="J1362" t="str">
        <f>_xlfn.XLOOKUP(G1362,'Common name (master file)'!$B:$B,'Common name (master file)'!$C:$C,"")</f>
        <v>어류</v>
      </c>
      <c r="K1362">
        <f>eDNA!B1362</f>
        <v>126.8960105</v>
      </c>
      <c r="L1362">
        <f>eDNA!C1362</f>
        <v>37.403669399999998</v>
      </c>
      <c r="M1362" s="10" t="str" cm="1">
        <f t="array" ref="M1362">IFERROR(_xlfn.XLOOKUP(1,('env Parameter'!$A:$A=$A1362)*('env Parameter'!$B:$B=$K1362)*('env Parameter'!$C:$C=$L1362),'env Parameter'!D:D,""),"")</f>
        <v>안양천-6</v>
      </c>
      <c r="N1362" s="10" t="str" cm="1">
        <f t="array" ref="N1362">IFERROR(_xlfn.XLOOKUP(1,('env Parameter'!$A:$A=$A1362)*('env Parameter'!$B:$B=$K1362)*('env Parameter'!$C:$C=$L1362),'env Parameter'!I:I,""),"")</f>
        <v>YR</v>
      </c>
    </row>
    <row r="1363" spans="1:14">
      <c r="A1363">
        <f>eDNA!A1363</f>
        <v>20201024</v>
      </c>
      <c r="B1363" s="10" t="str" cm="1">
        <f t="array" ref="B1363">IFERROR(_xlfn.XLOOKUP(1,('env Parameter'!$A:$A=$A1363)*('env Parameter'!$B:$B=$K1363)*('env Parameter'!$C:$C=$L1363),'env Parameter'!H:H,""),"")</f>
        <v>생물상 조사</v>
      </c>
      <c r="C1363" s="10" cm="1">
        <f t="array" ref="C1363">IFERROR(_xlfn.XLOOKUP(1,('env Parameter'!$A:$A=$A1363)*('env Parameter'!$B:$B=$K1363)*('env Parameter'!$C:$C=$L1363),'env Parameter'!E:E,""),"")</f>
        <v>2.14</v>
      </c>
      <c r="D1363" s="10" cm="1">
        <f t="array" ref="D1363">IFERROR(_xlfn.XLOOKUP(1,('env Parameter'!$A:$A=$A1363)*('env Parameter'!$B:$B=$K1363)*('env Parameter'!$C:$C=$L1363),'env Parameter'!F:F,""),"")</f>
        <v>478</v>
      </c>
      <c r="E1363" s="10" cm="1">
        <f t="array" ref="E1363">IFERROR(_xlfn.XLOOKUP(1,('env Parameter'!$A:$A=$A1363)*('env Parameter'!$B:$B=$K1363)*('env Parameter'!$C:$C=$L1363),'env Parameter'!G:G,""),"")</f>
        <v>7.6</v>
      </c>
      <c r="F1363" t="str">
        <f>eDNA!F1363</f>
        <v>MiFish</v>
      </c>
      <c r="G1363" t="str">
        <f>eDNA!D1363</f>
        <v>Plagiognathops microlepis</v>
      </c>
      <c r="H1363" t="str">
        <f>_xlfn.XLOOKUP(G1363,'Common name (master file)'!$B:$B,'Common name (master file)'!$A:$A,"-------------")</f>
        <v>왜몰개</v>
      </c>
      <c r="I1363">
        <f>eDNA!E1363</f>
        <v>122</v>
      </c>
      <c r="J1363" t="str">
        <f>_xlfn.XLOOKUP(G1363,'Common name (master file)'!$B:$B,'Common name (master file)'!$C:$C,"")</f>
        <v>어류</v>
      </c>
      <c r="K1363">
        <f>eDNA!B1363</f>
        <v>126.8446659</v>
      </c>
      <c r="L1363">
        <f>eDNA!C1363</f>
        <v>37.420618699999999</v>
      </c>
      <c r="M1363" s="10" t="str" cm="1">
        <f t="array" ref="M1363">IFERROR(_xlfn.XLOOKUP(1,('env Parameter'!$A:$A=$A1363)*('env Parameter'!$B:$B=$K1363)*('env Parameter'!$C:$C=$L1363),'env Parameter'!D:D,""),"")</f>
        <v>목감천-3</v>
      </c>
      <c r="N1363" s="10" t="str" cm="1">
        <f t="array" ref="N1363">IFERROR(_xlfn.XLOOKUP(1,('env Parameter'!$A:$A=$A1363)*('env Parameter'!$B:$B=$K1363)*('env Parameter'!$C:$C=$L1363),'env Parameter'!I:I,""),"")</f>
        <v>YR</v>
      </c>
    </row>
    <row r="1364" spans="1:14">
      <c r="A1364">
        <f>eDNA!A1364</f>
        <v>20201024</v>
      </c>
      <c r="B1364" s="10" t="str" cm="1">
        <f t="array" ref="B1364">IFERROR(_xlfn.XLOOKUP(1,('env Parameter'!$A:$A=$A1364)*('env Parameter'!$B:$B=$K1364)*('env Parameter'!$C:$C=$L1364),'env Parameter'!H:H,""),"")</f>
        <v>생물상 조사</v>
      </c>
      <c r="C1364" s="10" cm="1">
        <f t="array" ref="C1364">IFERROR(_xlfn.XLOOKUP(1,('env Parameter'!$A:$A=$A1364)*('env Parameter'!$B:$B=$K1364)*('env Parameter'!$C:$C=$L1364),'env Parameter'!E:E,""),"")</f>
        <v>2.14</v>
      </c>
      <c r="D1364" s="10" cm="1">
        <f t="array" ref="D1364">IFERROR(_xlfn.XLOOKUP(1,('env Parameter'!$A:$A=$A1364)*('env Parameter'!$B:$B=$K1364)*('env Parameter'!$C:$C=$L1364),'env Parameter'!F:F,""),"")</f>
        <v>478</v>
      </c>
      <c r="E1364" s="10" cm="1">
        <f t="array" ref="E1364">IFERROR(_xlfn.XLOOKUP(1,('env Parameter'!$A:$A=$A1364)*('env Parameter'!$B:$B=$K1364)*('env Parameter'!$C:$C=$L1364),'env Parameter'!G:G,""),"")</f>
        <v>7.6</v>
      </c>
      <c r="F1364" t="str">
        <f>eDNA!F1364</f>
        <v>MiFish</v>
      </c>
      <c r="G1364" t="str">
        <f>eDNA!D1364</f>
        <v>Misgurnus anguillicaudatus</v>
      </c>
      <c r="H1364" t="str">
        <f>_xlfn.XLOOKUP(G1364,'Common name (master file)'!$B:$B,'Common name (master file)'!$A:$A,"-------------")</f>
        <v>미꾸리</v>
      </c>
      <c r="I1364">
        <f>eDNA!E1364</f>
        <v>132</v>
      </c>
      <c r="J1364" t="str">
        <f>_xlfn.XLOOKUP(G1364,'Common name (master file)'!$B:$B,'Common name (master file)'!$C:$C,"")</f>
        <v>어류</v>
      </c>
      <c r="K1364">
        <f>eDNA!B1364</f>
        <v>126.8446659</v>
      </c>
      <c r="L1364">
        <f>eDNA!C1364</f>
        <v>37.420618699999999</v>
      </c>
      <c r="M1364" s="10" t="str" cm="1">
        <f t="array" ref="M1364">IFERROR(_xlfn.XLOOKUP(1,('env Parameter'!$A:$A=$A1364)*('env Parameter'!$B:$B=$K1364)*('env Parameter'!$C:$C=$L1364),'env Parameter'!D:D,""),"")</f>
        <v>목감천-3</v>
      </c>
      <c r="N1364" s="10" t="str" cm="1">
        <f t="array" ref="N1364">IFERROR(_xlfn.XLOOKUP(1,('env Parameter'!$A:$A=$A1364)*('env Parameter'!$B:$B=$K1364)*('env Parameter'!$C:$C=$L1364),'env Parameter'!I:I,""),"")</f>
        <v>YR</v>
      </c>
    </row>
    <row r="1365" spans="1:14">
      <c r="A1365">
        <f>eDNA!A1365</f>
        <v>20201024</v>
      </c>
      <c r="B1365" s="10" t="str" cm="1">
        <f t="array" ref="B1365">IFERROR(_xlfn.XLOOKUP(1,('env Parameter'!$A:$A=$A1365)*('env Parameter'!$B:$B=$K1365)*('env Parameter'!$C:$C=$L1365),'env Parameter'!H:H,""),"")</f>
        <v>생물상 조사</v>
      </c>
      <c r="C1365" s="10" cm="1">
        <f t="array" ref="C1365">IFERROR(_xlfn.XLOOKUP(1,('env Parameter'!$A:$A=$A1365)*('env Parameter'!$B:$B=$K1365)*('env Parameter'!$C:$C=$L1365),'env Parameter'!E:E,""),"")</f>
        <v>2.14</v>
      </c>
      <c r="D1365" s="10" cm="1">
        <f t="array" ref="D1365">IFERROR(_xlfn.XLOOKUP(1,('env Parameter'!$A:$A=$A1365)*('env Parameter'!$B:$B=$K1365)*('env Parameter'!$C:$C=$L1365),'env Parameter'!F:F,""),"")</f>
        <v>478</v>
      </c>
      <c r="E1365" s="10" cm="1">
        <f t="array" ref="E1365">IFERROR(_xlfn.XLOOKUP(1,('env Parameter'!$A:$A=$A1365)*('env Parameter'!$B:$B=$K1365)*('env Parameter'!$C:$C=$L1365),'env Parameter'!G:G,""),"")</f>
        <v>7.6</v>
      </c>
      <c r="F1365" t="str">
        <f>eDNA!F1365</f>
        <v>MiFish</v>
      </c>
      <c r="G1365" t="str">
        <f>eDNA!D1365</f>
        <v>Sebastes babcocki</v>
      </c>
      <c r="H1365" t="str">
        <f>_xlfn.XLOOKUP(G1365,'Common name (master file)'!$B:$B,'Common name (master file)'!$A:$A,"-------------")</f>
        <v>Redbanded 뽈락</v>
      </c>
      <c r="I1365">
        <f>eDNA!E1365</f>
        <v>249</v>
      </c>
      <c r="J1365" t="str">
        <f>_xlfn.XLOOKUP(G1365,'Common name (master file)'!$B:$B,'Common name (master file)'!$C:$C,"")</f>
        <v>어류</v>
      </c>
      <c r="K1365">
        <f>eDNA!B1365</f>
        <v>126.8446659</v>
      </c>
      <c r="L1365">
        <f>eDNA!C1365</f>
        <v>37.420618699999999</v>
      </c>
      <c r="M1365" s="10" t="str" cm="1">
        <f t="array" ref="M1365">IFERROR(_xlfn.XLOOKUP(1,('env Parameter'!$A:$A=$A1365)*('env Parameter'!$B:$B=$K1365)*('env Parameter'!$C:$C=$L1365),'env Parameter'!D:D,""),"")</f>
        <v>목감천-3</v>
      </c>
      <c r="N1365" s="10" t="str" cm="1">
        <f t="array" ref="N1365">IFERROR(_xlfn.XLOOKUP(1,('env Parameter'!$A:$A=$A1365)*('env Parameter'!$B:$B=$K1365)*('env Parameter'!$C:$C=$L1365),'env Parameter'!I:I,""),"")</f>
        <v>YR</v>
      </c>
    </row>
    <row r="1366" spans="1:14">
      <c r="A1366">
        <f>eDNA!A1366</f>
        <v>20201024</v>
      </c>
      <c r="B1366" s="10" t="str" cm="1">
        <f t="array" ref="B1366">IFERROR(_xlfn.XLOOKUP(1,('env Parameter'!$A:$A=$A1366)*('env Parameter'!$B:$B=$K1366)*('env Parameter'!$C:$C=$L1366),'env Parameter'!H:H,""),"")</f>
        <v>생물상 조사</v>
      </c>
      <c r="C1366" s="10" cm="1">
        <f t="array" ref="C1366">IFERROR(_xlfn.XLOOKUP(1,('env Parameter'!$A:$A=$A1366)*('env Parameter'!$B:$B=$K1366)*('env Parameter'!$C:$C=$L1366),'env Parameter'!E:E,""),"")</f>
        <v>2.14</v>
      </c>
      <c r="D1366" s="10" cm="1">
        <f t="array" ref="D1366">IFERROR(_xlfn.XLOOKUP(1,('env Parameter'!$A:$A=$A1366)*('env Parameter'!$B:$B=$K1366)*('env Parameter'!$C:$C=$L1366),'env Parameter'!F:F,""),"")</f>
        <v>478</v>
      </c>
      <c r="E1366" s="10" cm="1">
        <f t="array" ref="E1366">IFERROR(_xlfn.XLOOKUP(1,('env Parameter'!$A:$A=$A1366)*('env Parameter'!$B:$B=$K1366)*('env Parameter'!$C:$C=$L1366),'env Parameter'!G:G,""),"")</f>
        <v>7.6</v>
      </c>
      <c r="F1366" t="str">
        <f>eDNA!F1366</f>
        <v>MiFish</v>
      </c>
      <c r="G1366" t="str">
        <f>eDNA!D1366</f>
        <v>Rhinogobius giurinus</v>
      </c>
      <c r="H1366" t="str">
        <f>_xlfn.XLOOKUP(G1366,'Common name (master file)'!$B:$B,'Common name (master file)'!$A:$A,"-------------")</f>
        <v>갈문망둑</v>
      </c>
      <c r="I1366">
        <f>eDNA!E1366</f>
        <v>145</v>
      </c>
      <c r="J1366" t="str">
        <f>_xlfn.XLOOKUP(G1366,'Common name (master file)'!$B:$B,'Common name (master file)'!$C:$C,"")</f>
        <v>어류</v>
      </c>
      <c r="K1366">
        <f>eDNA!B1366</f>
        <v>126.8446659</v>
      </c>
      <c r="L1366">
        <f>eDNA!C1366</f>
        <v>37.420618699999999</v>
      </c>
      <c r="M1366" s="10" t="str" cm="1">
        <f t="array" ref="M1366">IFERROR(_xlfn.XLOOKUP(1,('env Parameter'!$A:$A=$A1366)*('env Parameter'!$B:$B=$K1366)*('env Parameter'!$C:$C=$L1366),'env Parameter'!D:D,""),"")</f>
        <v>목감천-3</v>
      </c>
      <c r="N1366" s="10" t="str" cm="1">
        <f t="array" ref="N1366">IFERROR(_xlfn.XLOOKUP(1,('env Parameter'!$A:$A=$A1366)*('env Parameter'!$B:$B=$K1366)*('env Parameter'!$C:$C=$L1366),'env Parameter'!I:I,""),"")</f>
        <v>YR</v>
      </c>
    </row>
    <row r="1367" spans="1:14">
      <c r="A1367">
        <f>eDNA!A1367</f>
        <v>20201024</v>
      </c>
      <c r="B1367" s="10" t="str" cm="1">
        <f t="array" ref="B1367">IFERROR(_xlfn.XLOOKUP(1,('env Parameter'!$A:$A=$A1367)*('env Parameter'!$B:$B=$K1367)*('env Parameter'!$C:$C=$L1367),'env Parameter'!H:H,""),"")</f>
        <v>생물상 조사</v>
      </c>
      <c r="C1367" s="10" cm="1">
        <f t="array" ref="C1367">IFERROR(_xlfn.XLOOKUP(1,('env Parameter'!$A:$A=$A1367)*('env Parameter'!$B:$B=$K1367)*('env Parameter'!$C:$C=$L1367),'env Parameter'!E:E,""),"")</f>
        <v>2.14</v>
      </c>
      <c r="D1367" s="10" cm="1">
        <f t="array" ref="D1367">IFERROR(_xlfn.XLOOKUP(1,('env Parameter'!$A:$A=$A1367)*('env Parameter'!$B:$B=$K1367)*('env Parameter'!$C:$C=$L1367),'env Parameter'!F:F,""),"")</f>
        <v>478</v>
      </c>
      <c r="E1367" s="10" cm="1">
        <f t="array" ref="E1367">IFERROR(_xlfn.XLOOKUP(1,('env Parameter'!$A:$A=$A1367)*('env Parameter'!$B:$B=$K1367)*('env Parameter'!$C:$C=$L1367),'env Parameter'!G:G,""),"")</f>
        <v>7.6</v>
      </c>
      <c r="F1367" t="str">
        <f>eDNA!F1367</f>
        <v>MiFish</v>
      </c>
      <c r="G1367" t="str">
        <f>eDNA!D1367</f>
        <v>Scomber japonicus</v>
      </c>
      <c r="H1367" t="str">
        <f>_xlfn.XLOOKUP(G1367,'Common name (master file)'!$B:$B,'Common name (master file)'!$A:$A,"-------------")</f>
        <v>참고등어</v>
      </c>
      <c r="I1367">
        <f>eDNA!E1367</f>
        <v>173</v>
      </c>
      <c r="J1367" t="str">
        <f>_xlfn.XLOOKUP(G1367,'Common name (master file)'!$B:$B,'Common name (master file)'!$C:$C,"")</f>
        <v>어류</v>
      </c>
      <c r="K1367">
        <f>eDNA!B1367</f>
        <v>126.8446659</v>
      </c>
      <c r="L1367">
        <f>eDNA!C1367</f>
        <v>37.420618699999999</v>
      </c>
      <c r="M1367" s="10" t="str" cm="1">
        <f t="array" ref="M1367">IFERROR(_xlfn.XLOOKUP(1,('env Parameter'!$A:$A=$A1367)*('env Parameter'!$B:$B=$K1367)*('env Parameter'!$C:$C=$L1367),'env Parameter'!D:D,""),"")</f>
        <v>목감천-3</v>
      </c>
      <c r="N1367" s="10" t="str" cm="1">
        <f t="array" ref="N1367">IFERROR(_xlfn.XLOOKUP(1,('env Parameter'!$A:$A=$A1367)*('env Parameter'!$B:$B=$K1367)*('env Parameter'!$C:$C=$L1367),'env Parameter'!I:I,""),"")</f>
        <v>YR</v>
      </c>
    </row>
    <row r="1368" spans="1:14">
      <c r="A1368">
        <f>eDNA!A1368</f>
        <v>20201024</v>
      </c>
      <c r="B1368" s="10" t="str" cm="1">
        <f t="array" ref="B1368">IFERROR(_xlfn.XLOOKUP(1,('env Parameter'!$A:$A=$A1368)*('env Parameter'!$B:$B=$K1368)*('env Parameter'!$C:$C=$L1368),'env Parameter'!H:H,""),"")</f>
        <v>생물상 조사</v>
      </c>
      <c r="C1368" s="10" cm="1">
        <f t="array" ref="C1368">IFERROR(_xlfn.XLOOKUP(1,('env Parameter'!$A:$A=$A1368)*('env Parameter'!$B:$B=$K1368)*('env Parameter'!$C:$C=$L1368),'env Parameter'!E:E,""),"")</f>
        <v>2.14</v>
      </c>
      <c r="D1368" s="10" cm="1">
        <f t="array" ref="D1368">IFERROR(_xlfn.XLOOKUP(1,('env Parameter'!$A:$A=$A1368)*('env Parameter'!$B:$B=$K1368)*('env Parameter'!$C:$C=$L1368),'env Parameter'!F:F,""),"")</f>
        <v>478</v>
      </c>
      <c r="E1368" s="10" cm="1">
        <f t="array" ref="E1368">IFERROR(_xlfn.XLOOKUP(1,('env Parameter'!$A:$A=$A1368)*('env Parameter'!$B:$B=$K1368)*('env Parameter'!$C:$C=$L1368),'env Parameter'!G:G,""),"")</f>
        <v>7.6</v>
      </c>
      <c r="F1368" t="str">
        <f>eDNA!F1368</f>
        <v>MiFish</v>
      </c>
      <c r="G1368" t="str">
        <f>eDNA!D1368</f>
        <v>Odontobutis interrupta</v>
      </c>
      <c r="H1368" t="str">
        <f>_xlfn.XLOOKUP(G1368,'Common name (master file)'!$B:$B,'Common name (master file)'!$A:$A,"-------------")</f>
        <v>얼록동사리</v>
      </c>
      <c r="I1368">
        <f>eDNA!E1368</f>
        <v>174</v>
      </c>
      <c r="J1368" t="str">
        <f>_xlfn.XLOOKUP(G1368,'Common name (master file)'!$B:$B,'Common name (master file)'!$C:$C,"")</f>
        <v>어류</v>
      </c>
      <c r="K1368">
        <f>eDNA!B1368</f>
        <v>126.8446659</v>
      </c>
      <c r="L1368">
        <f>eDNA!C1368</f>
        <v>37.420618699999999</v>
      </c>
      <c r="M1368" s="10" t="str" cm="1">
        <f t="array" ref="M1368">IFERROR(_xlfn.XLOOKUP(1,('env Parameter'!$A:$A=$A1368)*('env Parameter'!$B:$B=$K1368)*('env Parameter'!$C:$C=$L1368),'env Parameter'!D:D,""),"")</f>
        <v>목감천-3</v>
      </c>
      <c r="N1368" s="10" t="str" cm="1">
        <f t="array" ref="N1368">IFERROR(_xlfn.XLOOKUP(1,('env Parameter'!$A:$A=$A1368)*('env Parameter'!$B:$B=$K1368)*('env Parameter'!$C:$C=$L1368),'env Parameter'!I:I,""),"")</f>
        <v>YR</v>
      </c>
    </row>
    <row r="1369" spans="1:14">
      <c r="A1369">
        <f>eDNA!A1369</f>
        <v>20201024</v>
      </c>
      <c r="B1369" s="10" t="str" cm="1">
        <f t="array" ref="B1369">IFERROR(_xlfn.XLOOKUP(1,('env Parameter'!$A:$A=$A1369)*('env Parameter'!$B:$B=$K1369)*('env Parameter'!$C:$C=$L1369),'env Parameter'!H:H,""),"")</f>
        <v>생물상 조사</v>
      </c>
      <c r="C1369" s="10" cm="1">
        <f t="array" ref="C1369">IFERROR(_xlfn.XLOOKUP(1,('env Parameter'!$A:$A=$A1369)*('env Parameter'!$B:$B=$K1369)*('env Parameter'!$C:$C=$L1369),'env Parameter'!E:E,""),"")</f>
        <v>2.14</v>
      </c>
      <c r="D1369" s="10" cm="1">
        <f t="array" ref="D1369">IFERROR(_xlfn.XLOOKUP(1,('env Parameter'!$A:$A=$A1369)*('env Parameter'!$B:$B=$K1369)*('env Parameter'!$C:$C=$L1369),'env Parameter'!F:F,""),"")</f>
        <v>478</v>
      </c>
      <c r="E1369" s="10" cm="1">
        <f t="array" ref="E1369">IFERROR(_xlfn.XLOOKUP(1,('env Parameter'!$A:$A=$A1369)*('env Parameter'!$B:$B=$K1369)*('env Parameter'!$C:$C=$L1369),'env Parameter'!G:G,""),"")</f>
        <v>7.6</v>
      </c>
      <c r="F1369" t="str">
        <f>eDNA!F1369</f>
        <v>MiFish</v>
      </c>
      <c r="G1369" t="str">
        <f>eDNA!D1369</f>
        <v>Planiliza haematocheila</v>
      </c>
      <c r="H1369" t="str">
        <f>_xlfn.XLOOKUP(G1369,'Common name (master file)'!$B:$B,'Common name (master file)'!$A:$A,"-------------")</f>
        <v>가숭어</v>
      </c>
      <c r="I1369">
        <f>eDNA!E1369</f>
        <v>183</v>
      </c>
      <c r="J1369" t="str">
        <f>_xlfn.XLOOKUP(G1369,'Common name (master file)'!$B:$B,'Common name (master file)'!$C:$C,"")</f>
        <v>어류</v>
      </c>
      <c r="K1369">
        <f>eDNA!B1369</f>
        <v>126.8446659</v>
      </c>
      <c r="L1369">
        <f>eDNA!C1369</f>
        <v>37.420618699999999</v>
      </c>
      <c r="M1369" s="10" t="str" cm="1">
        <f t="array" ref="M1369">IFERROR(_xlfn.XLOOKUP(1,('env Parameter'!$A:$A=$A1369)*('env Parameter'!$B:$B=$K1369)*('env Parameter'!$C:$C=$L1369),'env Parameter'!D:D,""),"")</f>
        <v>목감천-3</v>
      </c>
      <c r="N1369" s="10" t="str" cm="1">
        <f t="array" ref="N1369">IFERROR(_xlfn.XLOOKUP(1,('env Parameter'!$A:$A=$A1369)*('env Parameter'!$B:$B=$K1369)*('env Parameter'!$C:$C=$L1369),'env Parameter'!I:I,""),"")</f>
        <v>YR</v>
      </c>
    </row>
    <row r="1370" spans="1:14">
      <c r="A1370">
        <f>eDNA!A1370</f>
        <v>20201024</v>
      </c>
      <c r="B1370" s="10" t="str" cm="1">
        <f t="array" ref="B1370">IFERROR(_xlfn.XLOOKUP(1,('env Parameter'!$A:$A=$A1370)*('env Parameter'!$B:$B=$K1370)*('env Parameter'!$C:$C=$L1370),'env Parameter'!H:H,""),"")</f>
        <v>생물상 조사</v>
      </c>
      <c r="C1370" s="10" cm="1">
        <f t="array" ref="C1370">IFERROR(_xlfn.XLOOKUP(1,('env Parameter'!$A:$A=$A1370)*('env Parameter'!$B:$B=$K1370)*('env Parameter'!$C:$C=$L1370),'env Parameter'!E:E,""),"")</f>
        <v>2.14</v>
      </c>
      <c r="D1370" s="10" cm="1">
        <f t="array" ref="D1370">IFERROR(_xlfn.XLOOKUP(1,('env Parameter'!$A:$A=$A1370)*('env Parameter'!$B:$B=$K1370)*('env Parameter'!$C:$C=$L1370),'env Parameter'!F:F,""),"")</f>
        <v>478</v>
      </c>
      <c r="E1370" s="10" cm="1">
        <f t="array" ref="E1370">IFERROR(_xlfn.XLOOKUP(1,('env Parameter'!$A:$A=$A1370)*('env Parameter'!$B:$B=$K1370)*('env Parameter'!$C:$C=$L1370),'env Parameter'!G:G,""),"")</f>
        <v>7.6</v>
      </c>
      <c r="F1370" t="str">
        <f>eDNA!F1370</f>
        <v>MiFish</v>
      </c>
      <c r="G1370" t="str">
        <f>eDNA!D1370</f>
        <v>Pleuronectes yokohamae</v>
      </c>
      <c r="H1370" t="str">
        <f>_xlfn.XLOOKUP(G1370,'Common name (master file)'!$B:$B,'Common name (master file)'!$A:$A,"-------------")</f>
        <v>가자미</v>
      </c>
      <c r="I1370">
        <f>eDNA!E1370</f>
        <v>201</v>
      </c>
      <c r="J1370" t="str">
        <f>_xlfn.XLOOKUP(G1370,'Common name (master file)'!$B:$B,'Common name (master file)'!$C:$C,"")</f>
        <v>어류</v>
      </c>
      <c r="K1370">
        <f>eDNA!B1370</f>
        <v>126.8446659</v>
      </c>
      <c r="L1370">
        <f>eDNA!C1370</f>
        <v>37.420618699999999</v>
      </c>
      <c r="M1370" s="10" t="str" cm="1">
        <f t="array" ref="M1370">IFERROR(_xlfn.XLOOKUP(1,('env Parameter'!$A:$A=$A1370)*('env Parameter'!$B:$B=$K1370)*('env Parameter'!$C:$C=$L1370),'env Parameter'!D:D,""),"")</f>
        <v>목감천-3</v>
      </c>
      <c r="N1370" s="10" t="str" cm="1">
        <f t="array" ref="N1370">IFERROR(_xlfn.XLOOKUP(1,('env Parameter'!$A:$A=$A1370)*('env Parameter'!$B:$B=$K1370)*('env Parameter'!$C:$C=$L1370),'env Parameter'!I:I,""),"")</f>
        <v>YR</v>
      </c>
    </row>
    <row r="1371" spans="1:14">
      <c r="A1371">
        <f>eDNA!A1371</f>
        <v>20201024</v>
      </c>
      <c r="B1371" s="10" t="str" cm="1">
        <f t="array" ref="B1371">IFERROR(_xlfn.XLOOKUP(1,('env Parameter'!$A:$A=$A1371)*('env Parameter'!$B:$B=$K1371)*('env Parameter'!$C:$C=$L1371),'env Parameter'!H:H,""),"")</f>
        <v>생물상 조사</v>
      </c>
      <c r="C1371" s="10" cm="1">
        <f t="array" ref="C1371">IFERROR(_xlfn.XLOOKUP(1,('env Parameter'!$A:$A=$A1371)*('env Parameter'!$B:$B=$K1371)*('env Parameter'!$C:$C=$L1371),'env Parameter'!E:E,""),"")</f>
        <v>2.14</v>
      </c>
      <c r="D1371" s="10" cm="1">
        <f t="array" ref="D1371">IFERROR(_xlfn.XLOOKUP(1,('env Parameter'!$A:$A=$A1371)*('env Parameter'!$B:$B=$K1371)*('env Parameter'!$C:$C=$L1371),'env Parameter'!F:F,""),"")</f>
        <v>478</v>
      </c>
      <c r="E1371" s="10" cm="1">
        <f t="array" ref="E1371">IFERROR(_xlfn.XLOOKUP(1,('env Parameter'!$A:$A=$A1371)*('env Parameter'!$B:$B=$K1371)*('env Parameter'!$C:$C=$L1371),'env Parameter'!G:G,""),"")</f>
        <v>7.6</v>
      </c>
      <c r="F1371" t="str">
        <f>eDNA!F1371</f>
        <v>MiFish</v>
      </c>
      <c r="G1371" t="str">
        <f>eDNA!D1371</f>
        <v>Branchiostegus japonicus</v>
      </c>
      <c r="H1371" t="str">
        <f>_xlfn.XLOOKUP(G1371,'Common name (master file)'!$B:$B,'Common name (master file)'!$A:$A,"-------------")</f>
        <v>옥돔</v>
      </c>
      <c r="I1371">
        <f>eDNA!E1371</f>
        <v>27</v>
      </c>
      <c r="J1371" t="str">
        <f>_xlfn.XLOOKUP(G1371,'Common name (master file)'!$B:$B,'Common name (master file)'!$C:$C,"")</f>
        <v>어류</v>
      </c>
      <c r="K1371">
        <f>eDNA!B1371</f>
        <v>126.8343934</v>
      </c>
      <c r="L1371">
        <f>eDNA!C1371</f>
        <v>37.4648574</v>
      </c>
      <c r="M1371" s="10" t="str" cm="1">
        <f t="array" ref="M1371">IFERROR(_xlfn.XLOOKUP(1,('env Parameter'!$A:$A=$A1371)*('env Parameter'!$B:$B=$K1371)*('env Parameter'!$C:$C=$L1371),'env Parameter'!D:D,""),"")</f>
        <v>옥길천-2</v>
      </c>
      <c r="N1371" s="10" t="str" cm="1">
        <f t="array" ref="N1371">IFERROR(_xlfn.XLOOKUP(1,('env Parameter'!$A:$A=$A1371)*('env Parameter'!$B:$B=$K1371)*('env Parameter'!$C:$C=$L1371),'env Parameter'!I:I,""),"")</f>
        <v>YR</v>
      </c>
    </row>
    <row r="1372" spans="1:14">
      <c r="A1372">
        <f>eDNA!A1372</f>
        <v>20201024</v>
      </c>
      <c r="B1372" s="10" t="str" cm="1">
        <f t="array" ref="B1372">IFERROR(_xlfn.XLOOKUP(1,('env Parameter'!$A:$A=$A1372)*('env Parameter'!$B:$B=$K1372)*('env Parameter'!$C:$C=$L1372),'env Parameter'!H:H,""),"")</f>
        <v>생물상 조사</v>
      </c>
      <c r="C1372" s="10" cm="1">
        <f t="array" ref="C1372">IFERROR(_xlfn.XLOOKUP(1,('env Parameter'!$A:$A=$A1372)*('env Parameter'!$B:$B=$K1372)*('env Parameter'!$C:$C=$L1372),'env Parameter'!E:E,""),"")</f>
        <v>2.14</v>
      </c>
      <c r="D1372" s="10" cm="1">
        <f t="array" ref="D1372">IFERROR(_xlfn.XLOOKUP(1,('env Parameter'!$A:$A=$A1372)*('env Parameter'!$B:$B=$K1372)*('env Parameter'!$C:$C=$L1372),'env Parameter'!F:F,""),"")</f>
        <v>478</v>
      </c>
      <c r="E1372" s="10" cm="1">
        <f t="array" ref="E1372">IFERROR(_xlfn.XLOOKUP(1,('env Parameter'!$A:$A=$A1372)*('env Parameter'!$B:$B=$K1372)*('env Parameter'!$C:$C=$L1372),'env Parameter'!G:G,""),"")</f>
        <v>7.6</v>
      </c>
      <c r="F1372" t="str">
        <f>eDNA!F1372</f>
        <v>MiFish</v>
      </c>
      <c r="G1372" t="str">
        <f>eDNA!D1372</f>
        <v>Rhinogobius sp.</v>
      </c>
      <c r="H1372" t="str">
        <f>_xlfn.XLOOKUP(G1372,'Common name (master file)'!$B:$B,'Common name (master file)'!$A:$A,"-------------")</f>
        <v>밀어</v>
      </c>
      <c r="I1372">
        <f>eDNA!E1372</f>
        <v>218</v>
      </c>
      <c r="J1372" t="str">
        <f>_xlfn.XLOOKUP(G1372,'Common name (master file)'!$B:$B,'Common name (master file)'!$C:$C,"")</f>
        <v>어류</v>
      </c>
      <c r="K1372">
        <f>eDNA!B1372</f>
        <v>126.8446659</v>
      </c>
      <c r="L1372">
        <f>eDNA!C1372</f>
        <v>37.420618699999999</v>
      </c>
      <c r="M1372" s="10" t="str" cm="1">
        <f t="array" ref="M1372">IFERROR(_xlfn.XLOOKUP(1,('env Parameter'!$A:$A=$A1372)*('env Parameter'!$B:$B=$K1372)*('env Parameter'!$C:$C=$L1372),'env Parameter'!D:D,""),"")</f>
        <v>목감천-3</v>
      </c>
      <c r="N1372" s="10" t="str" cm="1">
        <f t="array" ref="N1372">IFERROR(_xlfn.XLOOKUP(1,('env Parameter'!$A:$A=$A1372)*('env Parameter'!$B:$B=$K1372)*('env Parameter'!$C:$C=$L1372),'env Parameter'!I:I,""),"")</f>
        <v>YR</v>
      </c>
    </row>
    <row r="1373" spans="1:14">
      <c r="A1373">
        <f>eDNA!A1373</f>
        <v>20201024</v>
      </c>
      <c r="B1373" s="10" t="str" cm="1">
        <f t="array" ref="B1373">IFERROR(_xlfn.XLOOKUP(1,('env Parameter'!$A:$A=$A1373)*('env Parameter'!$B:$B=$K1373)*('env Parameter'!$C:$C=$L1373),'env Parameter'!H:H,""),"")</f>
        <v>생물상 조사</v>
      </c>
      <c r="C1373" s="10" cm="1">
        <f t="array" ref="C1373">IFERROR(_xlfn.XLOOKUP(1,('env Parameter'!$A:$A=$A1373)*('env Parameter'!$B:$B=$K1373)*('env Parameter'!$C:$C=$L1373),'env Parameter'!E:E,""),"")</f>
        <v>2.14</v>
      </c>
      <c r="D1373" s="10" cm="1">
        <f t="array" ref="D1373">IFERROR(_xlfn.XLOOKUP(1,('env Parameter'!$A:$A=$A1373)*('env Parameter'!$B:$B=$K1373)*('env Parameter'!$C:$C=$L1373),'env Parameter'!F:F,""),"")</f>
        <v>478</v>
      </c>
      <c r="E1373" s="10" cm="1">
        <f t="array" ref="E1373">IFERROR(_xlfn.XLOOKUP(1,('env Parameter'!$A:$A=$A1373)*('env Parameter'!$B:$B=$K1373)*('env Parameter'!$C:$C=$L1373),'env Parameter'!G:G,""),"")</f>
        <v>7.6</v>
      </c>
      <c r="F1373" t="str">
        <f>eDNA!F1373</f>
        <v>MiFish</v>
      </c>
      <c r="G1373" t="str">
        <f>eDNA!D1373</f>
        <v>Bos taurus</v>
      </c>
      <c r="H1373" t="str">
        <f>_xlfn.XLOOKUP(G1373,'Common name (master file)'!$B:$B,'Common name (master file)'!$A:$A,"-------------")</f>
        <v>소</v>
      </c>
      <c r="I1373">
        <f>eDNA!E1373</f>
        <v>240</v>
      </c>
      <c r="J1373" t="str">
        <f>_xlfn.XLOOKUP(G1373,'Common name (master file)'!$B:$B,'Common name (master file)'!$C:$C,"")</f>
        <v>포유류</v>
      </c>
      <c r="K1373">
        <f>eDNA!B1373</f>
        <v>126.8446659</v>
      </c>
      <c r="L1373">
        <f>eDNA!C1373</f>
        <v>37.420618699999999</v>
      </c>
      <c r="M1373" s="10" t="str" cm="1">
        <f t="array" ref="M1373">IFERROR(_xlfn.XLOOKUP(1,('env Parameter'!$A:$A=$A1373)*('env Parameter'!$B:$B=$K1373)*('env Parameter'!$C:$C=$L1373),'env Parameter'!D:D,""),"")</f>
        <v>목감천-3</v>
      </c>
      <c r="N1373" s="10" t="str" cm="1">
        <f t="array" ref="N1373">IFERROR(_xlfn.XLOOKUP(1,('env Parameter'!$A:$A=$A1373)*('env Parameter'!$B:$B=$K1373)*('env Parameter'!$C:$C=$L1373),'env Parameter'!I:I,""),"")</f>
        <v>YR</v>
      </c>
    </row>
    <row r="1374" spans="1:14">
      <c r="A1374">
        <f>eDNA!A1374</f>
        <v>20201024</v>
      </c>
      <c r="B1374" s="10" t="str" cm="1">
        <f t="array" ref="B1374">IFERROR(_xlfn.XLOOKUP(1,('env Parameter'!$A:$A=$A1374)*('env Parameter'!$B:$B=$K1374)*('env Parameter'!$C:$C=$L1374),'env Parameter'!H:H,""),"")</f>
        <v>생물상 조사</v>
      </c>
      <c r="C1374" s="10" cm="1">
        <f t="array" ref="C1374">IFERROR(_xlfn.XLOOKUP(1,('env Parameter'!$A:$A=$A1374)*('env Parameter'!$B:$B=$K1374)*('env Parameter'!$C:$C=$L1374),'env Parameter'!E:E,""),"")</f>
        <v>2.14</v>
      </c>
      <c r="D1374" s="10" cm="1">
        <f t="array" ref="D1374">IFERROR(_xlfn.XLOOKUP(1,('env Parameter'!$A:$A=$A1374)*('env Parameter'!$B:$B=$K1374)*('env Parameter'!$C:$C=$L1374),'env Parameter'!F:F,""),"")</f>
        <v>478</v>
      </c>
      <c r="E1374" s="10" cm="1">
        <f t="array" ref="E1374">IFERROR(_xlfn.XLOOKUP(1,('env Parameter'!$A:$A=$A1374)*('env Parameter'!$B:$B=$K1374)*('env Parameter'!$C:$C=$L1374),'env Parameter'!G:G,""),"")</f>
        <v>7.6</v>
      </c>
      <c r="F1374" t="str">
        <f>eDNA!F1374</f>
        <v>MiFish</v>
      </c>
      <c r="G1374" t="str">
        <f>eDNA!D1374</f>
        <v>Trachurus mediterraneus</v>
      </c>
      <c r="H1374" t="str">
        <f>_xlfn.XLOOKUP(G1374,'Common name (master file)'!$B:$B,'Common name (master file)'!$A:$A,"-------------")</f>
        <v>지중해전갱이</v>
      </c>
      <c r="I1374">
        <f>eDNA!E1374</f>
        <v>255</v>
      </c>
      <c r="J1374" t="str">
        <f>_xlfn.XLOOKUP(G1374,'Common name (master file)'!$B:$B,'Common name (master file)'!$C:$C,"")</f>
        <v>어류</v>
      </c>
      <c r="K1374">
        <f>eDNA!B1374</f>
        <v>126.8446659</v>
      </c>
      <c r="L1374">
        <f>eDNA!C1374</f>
        <v>37.420618699999999</v>
      </c>
      <c r="M1374" s="10" t="str" cm="1">
        <f t="array" ref="M1374">IFERROR(_xlfn.XLOOKUP(1,('env Parameter'!$A:$A=$A1374)*('env Parameter'!$B:$B=$K1374)*('env Parameter'!$C:$C=$L1374),'env Parameter'!D:D,""),"")</f>
        <v>목감천-3</v>
      </c>
      <c r="N1374" s="10" t="str" cm="1">
        <f t="array" ref="N1374">IFERROR(_xlfn.XLOOKUP(1,('env Parameter'!$A:$A=$A1374)*('env Parameter'!$B:$B=$K1374)*('env Parameter'!$C:$C=$L1374),'env Parameter'!I:I,""),"")</f>
        <v>YR</v>
      </c>
    </row>
    <row r="1375" spans="1:14">
      <c r="A1375">
        <f>eDNA!A1375</f>
        <v>20201024</v>
      </c>
      <c r="B1375" s="10" t="str" cm="1">
        <f t="array" ref="B1375">IFERROR(_xlfn.XLOOKUP(1,('env Parameter'!$A:$A=$A1375)*('env Parameter'!$B:$B=$K1375)*('env Parameter'!$C:$C=$L1375),'env Parameter'!H:H,""),"")</f>
        <v>생물상 조사</v>
      </c>
      <c r="C1375" s="10" cm="1">
        <f t="array" ref="C1375">IFERROR(_xlfn.XLOOKUP(1,('env Parameter'!$A:$A=$A1375)*('env Parameter'!$B:$B=$K1375)*('env Parameter'!$C:$C=$L1375),'env Parameter'!E:E,""),"")</f>
        <v>2.14</v>
      </c>
      <c r="D1375" s="10" cm="1">
        <f t="array" ref="D1375">IFERROR(_xlfn.XLOOKUP(1,('env Parameter'!$A:$A=$A1375)*('env Parameter'!$B:$B=$K1375)*('env Parameter'!$C:$C=$L1375),'env Parameter'!F:F,""),"")</f>
        <v>478</v>
      </c>
      <c r="E1375" s="10" cm="1">
        <f t="array" ref="E1375">IFERROR(_xlfn.XLOOKUP(1,('env Parameter'!$A:$A=$A1375)*('env Parameter'!$B:$B=$K1375)*('env Parameter'!$C:$C=$L1375),'env Parameter'!G:G,""),"")</f>
        <v>7.6</v>
      </c>
      <c r="F1375" t="str">
        <f>eDNA!F1375</f>
        <v>MiFish</v>
      </c>
      <c r="G1375" t="str">
        <f>eDNA!D1375</f>
        <v>Homo sapiens</v>
      </c>
      <c r="H1375" t="str">
        <f>_xlfn.XLOOKUP(G1375,'Common name (master file)'!$B:$B,'Common name (master file)'!$A:$A,"-------------")</f>
        <v>사람</v>
      </c>
      <c r="I1375">
        <f>eDNA!E1375</f>
        <v>321</v>
      </c>
      <c r="J1375" t="str">
        <f>_xlfn.XLOOKUP(G1375,'Common name (master file)'!$B:$B,'Common name (master file)'!$C:$C,"")</f>
        <v>포유류</v>
      </c>
      <c r="K1375">
        <f>eDNA!B1375</f>
        <v>126.8446659</v>
      </c>
      <c r="L1375">
        <f>eDNA!C1375</f>
        <v>37.420618699999999</v>
      </c>
      <c r="M1375" s="10" t="str" cm="1">
        <f t="array" ref="M1375">IFERROR(_xlfn.XLOOKUP(1,('env Parameter'!$A:$A=$A1375)*('env Parameter'!$B:$B=$K1375)*('env Parameter'!$C:$C=$L1375),'env Parameter'!D:D,""),"")</f>
        <v>목감천-3</v>
      </c>
      <c r="N1375" s="10" t="str" cm="1">
        <f t="array" ref="N1375">IFERROR(_xlfn.XLOOKUP(1,('env Parameter'!$A:$A=$A1375)*('env Parameter'!$B:$B=$K1375)*('env Parameter'!$C:$C=$L1375),'env Parameter'!I:I,""),"")</f>
        <v>YR</v>
      </c>
    </row>
    <row r="1376" spans="1:14">
      <c r="A1376">
        <f>eDNA!A1376</f>
        <v>20201024</v>
      </c>
      <c r="B1376" s="10" t="str" cm="1">
        <f t="array" ref="B1376">IFERROR(_xlfn.XLOOKUP(1,('env Parameter'!$A:$A=$A1376)*('env Parameter'!$B:$B=$K1376)*('env Parameter'!$C:$C=$L1376),'env Parameter'!H:H,""),"")</f>
        <v>생물상 조사</v>
      </c>
      <c r="C1376" s="10" cm="1">
        <f t="array" ref="C1376">IFERROR(_xlfn.XLOOKUP(1,('env Parameter'!$A:$A=$A1376)*('env Parameter'!$B:$B=$K1376)*('env Parameter'!$C:$C=$L1376),'env Parameter'!E:E,""),"")</f>
        <v>2.14</v>
      </c>
      <c r="D1376" s="10" cm="1">
        <f t="array" ref="D1376">IFERROR(_xlfn.XLOOKUP(1,('env Parameter'!$A:$A=$A1376)*('env Parameter'!$B:$B=$K1376)*('env Parameter'!$C:$C=$L1376),'env Parameter'!F:F,""),"")</f>
        <v>478</v>
      </c>
      <c r="E1376" s="10" cm="1">
        <f t="array" ref="E1376">IFERROR(_xlfn.XLOOKUP(1,('env Parameter'!$A:$A=$A1376)*('env Parameter'!$B:$B=$K1376)*('env Parameter'!$C:$C=$L1376),'env Parameter'!G:G,""),"")</f>
        <v>7.6</v>
      </c>
      <c r="F1376" t="str">
        <f>eDNA!F1376</f>
        <v>MiFish</v>
      </c>
      <c r="G1376" t="str">
        <f>eDNA!D1376</f>
        <v>Plecoglossus altivelis</v>
      </c>
      <c r="H1376" t="str">
        <f>_xlfn.XLOOKUP(G1376,'Common name (master file)'!$B:$B,'Common name (master file)'!$A:$A,"-------------")</f>
        <v>은어</v>
      </c>
      <c r="I1376">
        <f>eDNA!E1376</f>
        <v>20</v>
      </c>
      <c r="J1376" t="str">
        <f>_xlfn.XLOOKUP(G1376,'Common name (master file)'!$B:$B,'Common name (master file)'!$C:$C,"")</f>
        <v>어류</v>
      </c>
      <c r="K1376">
        <f>eDNA!B1376</f>
        <v>126.82462289999999</v>
      </c>
      <c r="L1376">
        <f>eDNA!C1376</f>
        <v>37.470256399999997</v>
      </c>
      <c r="M1376" s="10" t="str" cm="1">
        <f t="array" ref="M1376">IFERROR(_xlfn.XLOOKUP(1,('env Parameter'!$A:$A=$A1376)*('env Parameter'!$B:$B=$K1376)*('env Parameter'!$C:$C=$L1376),'env Parameter'!D:D,""),"")</f>
        <v>옥길천</v>
      </c>
      <c r="N1376" s="10" t="str" cm="1">
        <f t="array" ref="N1376">IFERROR(_xlfn.XLOOKUP(1,('env Parameter'!$A:$A=$A1376)*('env Parameter'!$B:$B=$K1376)*('env Parameter'!$C:$C=$L1376),'env Parameter'!I:I,""),"")</f>
        <v>YR</v>
      </c>
    </row>
    <row r="1377" spans="1:14">
      <c r="A1377">
        <f>eDNA!A1377</f>
        <v>20201024</v>
      </c>
      <c r="B1377" s="10" t="str" cm="1">
        <f t="array" ref="B1377">IFERROR(_xlfn.XLOOKUP(1,('env Parameter'!$A:$A=$A1377)*('env Parameter'!$B:$B=$K1377)*('env Parameter'!$C:$C=$L1377),'env Parameter'!H:H,""),"")</f>
        <v>생물상 조사</v>
      </c>
      <c r="C1377" s="10" cm="1">
        <f t="array" ref="C1377">IFERROR(_xlfn.XLOOKUP(1,('env Parameter'!$A:$A=$A1377)*('env Parameter'!$B:$B=$K1377)*('env Parameter'!$C:$C=$L1377),'env Parameter'!E:E,""),"")</f>
        <v>2.14</v>
      </c>
      <c r="D1377" s="10" cm="1">
        <f t="array" ref="D1377">IFERROR(_xlfn.XLOOKUP(1,('env Parameter'!$A:$A=$A1377)*('env Parameter'!$B:$B=$K1377)*('env Parameter'!$C:$C=$L1377),'env Parameter'!F:F,""),"")</f>
        <v>478</v>
      </c>
      <c r="E1377" s="10" cm="1">
        <f t="array" ref="E1377">IFERROR(_xlfn.XLOOKUP(1,('env Parameter'!$A:$A=$A1377)*('env Parameter'!$B:$B=$K1377)*('env Parameter'!$C:$C=$L1377),'env Parameter'!G:G,""),"")</f>
        <v>7.6</v>
      </c>
      <c r="F1377" t="str">
        <f>eDNA!F1377</f>
        <v>MiFish</v>
      </c>
      <c r="G1377" t="str">
        <f>eDNA!D1377</f>
        <v>Oryzias sinensis</v>
      </c>
      <c r="H1377" t="str">
        <f>_xlfn.XLOOKUP(G1377,'Common name (master file)'!$B:$B,'Common name (master file)'!$A:$A,"-------------")</f>
        <v>대륙송사리</v>
      </c>
      <c r="I1377">
        <f>eDNA!E1377</f>
        <v>425</v>
      </c>
      <c r="J1377" t="str">
        <f>_xlfn.XLOOKUP(G1377,'Common name (master file)'!$B:$B,'Common name (master file)'!$C:$C,"")</f>
        <v>어류</v>
      </c>
      <c r="K1377">
        <f>eDNA!B1377</f>
        <v>126.8446659</v>
      </c>
      <c r="L1377">
        <f>eDNA!C1377</f>
        <v>37.420618699999999</v>
      </c>
      <c r="M1377" s="10" t="str" cm="1">
        <f t="array" ref="M1377">IFERROR(_xlfn.XLOOKUP(1,('env Parameter'!$A:$A=$A1377)*('env Parameter'!$B:$B=$K1377)*('env Parameter'!$C:$C=$L1377),'env Parameter'!D:D,""),"")</f>
        <v>목감천-3</v>
      </c>
      <c r="N1377" s="10" t="str" cm="1">
        <f t="array" ref="N1377">IFERROR(_xlfn.XLOOKUP(1,('env Parameter'!$A:$A=$A1377)*('env Parameter'!$B:$B=$K1377)*('env Parameter'!$C:$C=$L1377),'env Parameter'!I:I,""),"")</f>
        <v>YR</v>
      </c>
    </row>
    <row r="1378" spans="1:14">
      <c r="A1378">
        <f>eDNA!A1378</f>
        <v>20201024</v>
      </c>
      <c r="B1378" s="10" t="str" cm="1">
        <f t="array" ref="B1378">IFERROR(_xlfn.XLOOKUP(1,('env Parameter'!$A:$A=$A1378)*('env Parameter'!$B:$B=$K1378)*('env Parameter'!$C:$C=$L1378),'env Parameter'!H:H,""),"")</f>
        <v>생물상 조사</v>
      </c>
      <c r="C1378" s="10" cm="1">
        <f t="array" ref="C1378">IFERROR(_xlfn.XLOOKUP(1,('env Parameter'!$A:$A=$A1378)*('env Parameter'!$B:$B=$K1378)*('env Parameter'!$C:$C=$L1378),'env Parameter'!E:E,""),"")</f>
        <v>2.14</v>
      </c>
      <c r="D1378" s="10" cm="1">
        <f t="array" ref="D1378">IFERROR(_xlfn.XLOOKUP(1,('env Parameter'!$A:$A=$A1378)*('env Parameter'!$B:$B=$K1378)*('env Parameter'!$C:$C=$L1378),'env Parameter'!F:F,""),"")</f>
        <v>478</v>
      </c>
      <c r="E1378" s="10" cm="1">
        <f t="array" ref="E1378">IFERROR(_xlfn.XLOOKUP(1,('env Parameter'!$A:$A=$A1378)*('env Parameter'!$B:$B=$K1378)*('env Parameter'!$C:$C=$L1378),'env Parameter'!G:G,""),"")</f>
        <v>7.6</v>
      </c>
      <c r="F1378" t="str">
        <f>eDNA!F1378</f>
        <v>MiFish</v>
      </c>
      <c r="G1378" t="str">
        <f>eDNA!D1378</f>
        <v>Plecoglossus altivelis</v>
      </c>
      <c r="H1378" t="str">
        <f>_xlfn.XLOOKUP(G1378,'Common name (master file)'!$B:$B,'Common name (master file)'!$A:$A,"-------------")</f>
        <v>은어</v>
      </c>
      <c r="I1378">
        <f>eDNA!E1378</f>
        <v>246</v>
      </c>
      <c r="J1378" t="str">
        <f>_xlfn.XLOOKUP(G1378,'Common name (master file)'!$B:$B,'Common name (master file)'!$C:$C,"")</f>
        <v>어류</v>
      </c>
      <c r="K1378">
        <f>eDNA!B1378</f>
        <v>126.8772417</v>
      </c>
      <c r="L1378">
        <f>eDNA!C1378</f>
        <v>37.474826299999997</v>
      </c>
      <c r="M1378" s="10" t="str" cm="1">
        <f t="array" ref="M1378">IFERROR(_xlfn.XLOOKUP(1,('env Parameter'!$A:$A=$A1378)*('env Parameter'!$B:$B=$K1378)*('env Parameter'!$C:$C=$L1378),'env Parameter'!D:D,""),"")</f>
        <v>안양천-10</v>
      </c>
      <c r="N1378" s="10" t="str" cm="1">
        <f t="array" ref="N1378">IFERROR(_xlfn.XLOOKUP(1,('env Parameter'!$A:$A=$A1378)*('env Parameter'!$B:$B=$K1378)*('env Parameter'!$C:$C=$L1378),'env Parameter'!I:I,""),"")</f>
        <v>YR</v>
      </c>
    </row>
    <row r="1379" spans="1:14">
      <c r="A1379">
        <f>eDNA!A1379</f>
        <v>20201024</v>
      </c>
      <c r="B1379" s="10" t="str" cm="1">
        <f t="array" ref="B1379">IFERROR(_xlfn.XLOOKUP(1,('env Parameter'!$A:$A=$A1379)*('env Parameter'!$B:$B=$K1379)*('env Parameter'!$C:$C=$L1379),'env Parameter'!H:H,""),"")</f>
        <v>생물상 조사</v>
      </c>
      <c r="C1379" s="10" cm="1">
        <f t="array" ref="C1379">IFERROR(_xlfn.XLOOKUP(1,('env Parameter'!$A:$A=$A1379)*('env Parameter'!$B:$B=$K1379)*('env Parameter'!$C:$C=$L1379),'env Parameter'!E:E,""),"")</f>
        <v>2.14</v>
      </c>
      <c r="D1379" s="10" cm="1">
        <f t="array" ref="D1379">IFERROR(_xlfn.XLOOKUP(1,('env Parameter'!$A:$A=$A1379)*('env Parameter'!$B:$B=$K1379)*('env Parameter'!$C:$C=$L1379),'env Parameter'!F:F,""),"")</f>
        <v>478</v>
      </c>
      <c r="E1379" s="10" cm="1">
        <f t="array" ref="E1379">IFERROR(_xlfn.XLOOKUP(1,('env Parameter'!$A:$A=$A1379)*('env Parameter'!$B:$B=$K1379)*('env Parameter'!$C:$C=$L1379),'env Parameter'!G:G,""),"")</f>
        <v>7.6</v>
      </c>
      <c r="F1379" t="str">
        <f>eDNA!F1379</f>
        <v>MiFish</v>
      </c>
      <c r="G1379" t="str">
        <f>eDNA!D1379</f>
        <v>Sus scrofa</v>
      </c>
      <c r="H1379" t="str">
        <f>_xlfn.XLOOKUP(G1379,'Common name (master file)'!$B:$B,'Common name (master file)'!$A:$A,"-------------")</f>
        <v>멧돼지</v>
      </c>
      <c r="I1379">
        <f>eDNA!E1379</f>
        <v>2037</v>
      </c>
      <c r="J1379" t="str">
        <f>_xlfn.XLOOKUP(G1379,'Common name (master file)'!$B:$B,'Common name (master file)'!$C:$C,"")</f>
        <v>포유류</v>
      </c>
      <c r="K1379">
        <f>eDNA!B1379</f>
        <v>126.8446659</v>
      </c>
      <c r="L1379">
        <f>eDNA!C1379</f>
        <v>37.420618699999999</v>
      </c>
      <c r="M1379" s="10" t="str" cm="1">
        <f t="array" ref="M1379">IFERROR(_xlfn.XLOOKUP(1,('env Parameter'!$A:$A=$A1379)*('env Parameter'!$B:$B=$K1379)*('env Parameter'!$C:$C=$L1379),'env Parameter'!D:D,""),"")</f>
        <v>목감천-3</v>
      </c>
      <c r="N1379" s="10" t="str" cm="1">
        <f t="array" ref="N1379">IFERROR(_xlfn.XLOOKUP(1,('env Parameter'!$A:$A=$A1379)*('env Parameter'!$B:$B=$K1379)*('env Parameter'!$C:$C=$L1379),'env Parameter'!I:I,""),"")</f>
        <v>YR</v>
      </c>
    </row>
    <row r="1380" spans="1:14">
      <c r="A1380">
        <f>eDNA!A1380</f>
        <v>20201024</v>
      </c>
      <c r="B1380" s="10" t="str" cm="1">
        <f t="array" ref="B1380">IFERROR(_xlfn.XLOOKUP(1,('env Parameter'!$A:$A=$A1380)*('env Parameter'!$B:$B=$K1380)*('env Parameter'!$C:$C=$L1380),'env Parameter'!H:H,""),"")</f>
        <v>생물상 조사</v>
      </c>
      <c r="C1380" s="10" cm="1">
        <f t="array" ref="C1380">IFERROR(_xlfn.XLOOKUP(1,('env Parameter'!$A:$A=$A1380)*('env Parameter'!$B:$B=$K1380)*('env Parameter'!$C:$C=$L1380),'env Parameter'!E:E,""),"")</f>
        <v>2.14</v>
      </c>
      <c r="D1380" s="10" cm="1">
        <f t="array" ref="D1380">IFERROR(_xlfn.XLOOKUP(1,('env Parameter'!$A:$A=$A1380)*('env Parameter'!$B:$B=$K1380)*('env Parameter'!$C:$C=$L1380),'env Parameter'!F:F,""),"")</f>
        <v>478</v>
      </c>
      <c r="E1380" s="10" cm="1">
        <f t="array" ref="E1380">IFERROR(_xlfn.XLOOKUP(1,('env Parameter'!$A:$A=$A1380)*('env Parameter'!$B:$B=$K1380)*('env Parameter'!$C:$C=$L1380),'env Parameter'!G:G,""),"")</f>
        <v>7.6</v>
      </c>
      <c r="F1380" t="str">
        <f>eDNA!F1380</f>
        <v>MiFish</v>
      </c>
      <c r="G1380" t="str">
        <f>eDNA!D1380</f>
        <v>Pagrus major</v>
      </c>
      <c r="H1380" t="str">
        <f>_xlfn.XLOOKUP(G1380,'Common name (master file)'!$B:$B,'Common name (master file)'!$A:$A,"-------------")</f>
        <v>참돔</v>
      </c>
      <c r="I1380">
        <f>eDNA!E1380</f>
        <v>628</v>
      </c>
      <c r="J1380" t="str">
        <f>_xlfn.XLOOKUP(G1380,'Common name (master file)'!$B:$B,'Common name (master file)'!$C:$C,"")</f>
        <v>어류</v>
      </c>
      <c r="K1380">
        <f>eDNA!B1380</f>
        <v>126.8446659</v>
      </c>
      <c r="L1380">
        <f>eDNA!C1380</f>
        <v>37.420618699999999</v>
      </c>
      <c r="M1380" s="10" t="str" cm="1">
        <f t="array" ref="M1380">IFERROR(_xlfn.XLOOKUP(1,('env Parameter'!$A:$A=$A1380)*('env Parameter'!$B:$B=$K1380)*('env Parameter'!$C:$C=$L1380),'env Parameter'!D:D,""),"")</f>
        <v>목감천-3</v>
      </c>
      <c r="N1380" s="10" t="str" cm="1">
        <f t="array" ref="N1380">IFERROR(_xlfn.XLOOKUP(1,('env Parameter'!$A:$A=$A1380)*('env Parameter'!$B:$B=$K1380)*('env Parameter'!$C:$C=$L1380),'env Parameter'!I:I,""),"")</f>
        <v>YR</v>
      </c>
    </row>
    <row r="1381" spans="1:14">
      <c r="A1381">
        <f>eDNA!A1381</f>
        <v>20201024</v>
      </c>
      <c r="B1381" s="10" t="str" cm="1">
        <f t="array" ref="B1381">IFERROR(_xlfn.XLOOKUP(1,('env Parameter'!$A:$A=$A1381)*('env Parameter'!$B:$B=$K1381)*('env Parameter'!$C:$C=$L1381),'env Parameter'!H:H,""),"")</f>
        <v>생물상 조사</v>
      </c>
      <c r="C1381" s="10" cm="1">
        <f t="array" ref="C1381">IFERROR(_xlfn.XLOOKUP(1,('env Parameter'!$A:$A=$A1381)*('env Parameter'!$B:$B=$K1381)*('env Parameter'!$C:$C=$L1381),'env Parameter'!E:E,""),"")</f>
        <v>2.14</v>
      </c>
      <c r="D1381" s="10" cm="1">
        <f t="array" ref="D1381">IFERROR(_xlfn.XLOOKUP(1,('env Parameter'!$A:$A=$A1381)*('env Parameter'!$B:$B=$K1381)*('env Parameter'!$C:$C=$L1381),'env Parameter'!F:F,""),"")</f>
        <v>478</v>
      </c>
      <c r="E1381" s="10" cm="1">
        <f t="array" ref="E1381">IFERROR(_xlfn.XLOOKUP(1,('env Parameter'!$A:$A=$A1381)*('env Parameter'!$B:$B=$K1381)*('env Parameter'!$C:$C=$L1381),'env Parameter'!G:G,""),"")</f>
        <v>7.6</v>
      </c>
      <c r="F1381" t="str">
        <f>eDNA!F1381</f>
        <v>MiFish</v>
      </c>
      <c r="G1381" t="str">
        <f>eDNA!D1381</f>
        <v>Mugil cephalus</v>
      </c>
      <c r="H1381" t="str">
        <f>_xlfn.XLOOKUP(G1381,'Common name (master file)'!$B:$B,'Common name (master file)'!$A:$A,"-------------")</f>
        <v>숭어</v>
      </c>
      <c r="I1381">
        <f>eDNA!E1381</f>
        <v>715</v>
      </c>
      <c r="J1381" t="str">
        <f>_xlfn.XLOOKUP(G1381,'Common name (master file)'!$B:$B,'Common name (master file)'!$C:$C,"")</f>
        <v>어류</v>
      </c>
      <c r="K1381">
        <f>eDNA!B1381</f>
        <v>126.8446659</v>
      </c>
      <c r="L1381">
        <f>eDNA!C1381</f>
        <v>37.420618699999999</v>
      </c>
      <c r="M1381" s="10" t="str" cm="1">
        <f t="array" ref="M1381">IFERROR(_xlfn.XLOOKUP(1,('env Parameter'!$A:$A=$A1381)*('env Parameter'!$B:$B=$K1381)*('env Parameter'!$C:$C=$L1381),'env Parameter'!D:D,""),"")</f>
        <v>목감천-3</v>
      </c>
      <c r="N1381" s="10" t="str" cm="1">
        <f t="array" ref="N1381">IFERROR(_xlfn.XLOOKUP(1,('env Parameter'!$A:$A=$A1381)*('env Parameter'!$B:$B=$K1381)*('env Parameter'!$C:$C=$L1381),'env Parameter'!I:I,""),"")</f>
        <v>YR</v>
      </c>
    </row>
    <row r="1382" spans="1:14">
      <c r="A1382">
        <f>eDNA!A1382</f>
        <v>20201024</v>
      </c>
      <c r="B1382" s="10" t="str" cm="1">
        <f t="array" ref="B1382">IFERROR(_xlfn.XLOOKUP(1,('env Parameter'!$A:$A=$A1382)*('env Parameter'!$B:$B=$K1382)*('env Parameter'!$C:$C=$L1382),'env Parameter'!H:H,""),"")</f>
        <v>생물상 조사</v>
      </c>
      <c r="C1382" s="10" cm="1">
        <f t="array" ref="C1382">IFERROR(_xlfn.XLOOKUP(1,('env Parameter'!$A:$A=$A1382)*('env Parameter'!$B:$B=$K1382)*('env Parameter'!$C:$C=$L1382),'env Parameter'!E:E,""),"")</f>
        <v>2.14</v>
      </c>
      <c r="D1382" s="10" cm="1">
        <f t="array" ref="D1382">IFERROR(_xlfn.XLOOKUP(1,('env Parameter'!$A:$A=$A1382)*('env Parameter'!$B:$B=$K1382)*('env Parameter'!$C:$C=$L1382),'env Parameter'!F:F,""),"")</f>
        <v>478</v>
      </c>
      <c r="E1382" s="10" cm="1">
        <f t="array" ref="E1382">IFERROR(_xlfn.XLOOKUP(1,('env Parameter'!$A:$A=$A1382)*('env Parameter'!$B:$B=$K1382)*('env Parameter'!$C:$C=$L1382),'env Parameter'!G:G,""),"")</f>
        <v>7.6</v>
      </c>
      <c r="F1382" t="str">
        <f>eDNA!F1382</f>
        <v>MiFish</v>
      </c>
      <c r="G1382" t="str">
        <f>eDNA!D1382</f>
        <v>Carassius sp.</v>
      </c>
      <c r="H1382" t="str">
        <f>_xlfn.XLOOKUP(G1382,'Common name (master file)'!$B:$B,'Common name (master file)'!$A:$A,"-------------")</f>
        <v>붕어 속</v>
      </c>
      <c r="I1382">
        <f>eDNA!E1382</f>
        <v>847</v>
      </c>
      <c r="J1382" t="str">
        <f>_xlfn.XLOOKUP(G1382,'Common name (master file)'!$B:$B,'Common name (master file)'!$C:$C,"")</f>
        <v>어류</v>
      </c>
      <c r="K1382">
        <f>eDNA!B1382</f>
        <v>126.8446659</v>
      </c>
      <c r="L1382">
        <f>eDNA!C1382</f>
        <v>37.420618699999999</v>
      </c>
      <c r="M1382" s="10" t="str" cm="1">
        <f t="array" ref="M1382">IFERROR(_xlfn.XLOOKUP(1,('env Parameter'!$A:$A=$A1382)*('env Parameter'!$B:$B=$K1382)*('env Parameter'!$C:$C=$L1382),'env Parameter'!D:D,""),"")</f>
        <v>목감천-3</v>
      </c>
      <c r="N1382" s="10" t="str" cm="1">
        <f t="array" ref="N1382">IFERROR(_xlfn.XLOOKUP(1,('env Parameter'!$A:$A=$A1382)*('env Parameter'!$B:$B=$K1382)*('env Parameter'!$C:$C=$L1382),'env Parameter'!I:I,""),"")</f>
        <v>YR</v>
      </c>
    </row>
    <row r="1383" spans="1:14">
      <c r="A1383">
        <f>eDNA!A1383</f>
        <v>20201024</v>
      </c>
      <c r="B1383" s="10" t="str" cm="1">
        <f t="array" ref="B1383">IFERROR(_xlfn.XLOOKUP(1,('env Parameter'!$A:$A=$A1383)*('env Parameter'!$B:$B=$K1383)*('env Parameter'!$C:$C=$L1383),'env Parameter'!H:H,""),"")</f>
        <v>생물상 조사</v>
      </c>
      <c r="C1383" s="10" cm="1">
        <f t="array" ref="C1383">IFERROR(_xlfn.XLOOKUP(1,('env Parameter'!$A:$A=$A1383)*('env Parameter'!$B:$B=$K1383)*('env Parameter'!$C:$C=$L1383),'env Parameter'!E:E,""),"")</f>
        <v>2.14</v>
      </c>
      <c r="D1383" s="10" cm="1">
        <f t="array" ref="D1383">IFERROR(_xlfn.XLOOKUP(1,('env Parameter'!$A:$A=$A1383)*('env Parameter'!$B:$B=$K1383)*('env Parameter'!$C:$C=$L1383),'env Parameter'!F:F,""),"")</f>
        <v>478</v>
      </c>
      <c r="E1383" s="10" cm="1">
        <f t="array" ref="E1383">IFERROR(_xlfn.XLOOKUP(1,('env Parameter'!$A:$A=$A1383)*('env Parameter'!$B:$B=$K1383)*('env Parameter'!$C:$C=$L1383),'env Parameter'!G:G,""),"")</f>
        <v>7.6</v>
      </c>
      <c r="F1383" t="str">
        <f>eDNA!F1383</f>
        <v>MiFish</v>
      </c>
      <c r="G1383" t="str">
        <f>eDNA!D1383</f>
        <v>Plecoglossus altivelis</v>
      </c>
      <c r="H1383" t="str">
        <f>_xlfn.XLOOKUP(G1383,'Common name (master file)'!$B:$B,'Common name (master file)'!$A:$A,"-------------")</f>
        <v>은어</v>
      </c>
      <c r="I1383">
        <f>eDNA!E1383</f>
        <v>96</v>
      </c>
      <c r="J1383" t="str">
        <f>_xlfn.XLOOKUP(G1383,'Common name (master file)'!$B:$B,'Common name (master file)'!$C:$C,"")</f>
        <v>어류</v>
      </c>
      <c r="K1383">
        <f>eDNA!B1383</f>
        <v>126.8446659</v>
      </c>
      <c r="L1383">
        <f>eDNA!C1383</f>
        <v>37.420618699999999</v>
      </c>
      <c r="M1383" s="10" t="str" cm="1">
        <f t="array" ref="M1383">IFERROR(_xlfn.XLOOKUP(1,('env Parameter'!$A:$A=$A1383)*('env Parameter'!$B:$B=$K1383)*('env Parameter'!$C:$C=$L1383),'env Parameter'!D:D,""),"")</f>
        <v>목감천-3</v>
      </c>
      <c r="N1383" s="10" t="str" cm="1">
        <f t="array" ref="N1383">IFERROR(_xlfn.XLOOKUP(1,('env Parameter'!$A:$A=$A1383)*('env Parameter'!$B:$B=$K1383)*('env Parameter'!$C:$C=$L1383),'env Parameter'!I:I,""),"")</f>
        <v>YR</v>
      </c>
    </row>
    <row r="1384" spans="1:14">
      <c r="A1384">
        <f>eDNA!A1384</f>
        <v>20201024</v>
      </c>
      <c r="B1384" s="10" t="str" cm="1">
        <f t="array" ref="B1384">IFERROR(_xlfn.XLOOKUP(1,('env Parameter'!$A:$A=$A1384)*('env Parameter'!$B:$B=$K1384)*('env Parameter'!$C:$C=$L1384),'env Parameter'!H:H,""),"")</f>
        <v>생물상 조사</v>
      </c>
      <c r="C1384" s="10" cm="1">
        <f t="array" ref="C1384">IFERROR(_xlfn.XLOOKUP(1,('env Parameter'!$A:$A=$A1384)*('env Parameter'!$B:$B=$K1384)*('env Parameter'!$C:$C=$L1384),'env Parameter'!E:E,""),"")</f>
        <v>2.14</v>
      </c>
      <c r="D1384" s="10" cm="1">
        <f t="array" ref="D1384">IFERROR(_xlfn.XLOOKUP(1,('env Parameter'!$A:$A=$A1384)*('env Parameter'!$B:$B=$K1384)*('env Parameter'!$C:$C=$L1384),'env Parameter'!F:F,""),"")</f>
        <v>478</v>
      </c>
      <c r="E1384" s="10" cm="1">
        <f t="array" ref="E1384">IFERROR(_xlfn.XLOOKUP(1,('env Parameter'!$A:$A=$A1384)*('env Parameter'!$B:$B=$K1384)*('env Parameter'!$C:$C=$L1384),'env Parameter'!G:G,""),"")</f>
        <v>7.6</v>
      </c>
      <c r="F1384" t="str">
        <f>eDNA!F1384</f>
        <v>MiFish</v>
      </c>
      <c r="G1384" t="str">
        <f>eDNA!D1384</f>
        <v>Lateolabrax maculatus</v>
      </c>
      <c r="H1384" t="str">
        <f>_xlfn.XLOOKUP(G1384,'Common name (master file)'!$B:$B,'Common name (master file)'!$A:$A,"-------------")</f>
        <v>점농어</v>
      </c>
      <c r="I1384">
        <f>eDNA!E1384</f>
        <v>3138</v>
      </c>
      <c r="J1384" t="str">
        <f>_xlfn.XLOOKUP(G1384,'Common name (master file)'!$B:$B,'Common name (master file)'!$C:$C,"")</f>
        <v>어류</v>
      </c>
      <c r="K1384">
        <f>eDNA!B1384</f>
        <v>126.8446659</v>
      </c>
      <c r="L1384">
        <f>eDNA!C1384</f>
        <v>37.420618699999999</v>
      </c>
      <c r="M1384" s="10" t="str" cm="1">
        <f t="array" ref="M1384">IFERROR(_xlfn.XLOOKUP(1,('env Parameter'!$A:$A=$A1384)*('env Parameter'!$B:$B=$K1384)*('env Parameter'!$C:$C=$L1384),'env Parameter'!D:D,""),"")</f>
        <v>목감천-3</v>
      </c>
      <c r="N1384" s="10" t="str" cm="1">
        <f t="array" ref="N1384">IFERROR(_xlfn.XLOOKUP(1,('env Parameter'!$A:$A=$A1384)*('env Parameter'!$B:$B=$K1384)*('env Parameter'!$C:$C=$L1384),'env Parameter'!I:I,""),"")</f>
        <v>YR</v>
      </c>
    </row>
    <row r="1385" spans="1:14">
      <c r="A1385">
        <f>eDNA!A1385</f>
        <v>20201024</v>
      </c>
      <c r="B1385" s="10" t="str" cm="1">
        <f t="array" ref="B1385">IFERROR(_xlfn.XLOOKUP(1,('env Parameter'!$A:$A=$A1385)*('env Parameter'!$B:$B=$K1385)*('env Parameter'!$C:$C=$L1385),'env Parameter'!H:H,""),"")</f>
        <v>생물상 조사</v>
      </c>
      <c r="C1385" s="10" cm="1">
        <f t="array" ref="C1385">IFERROR(_xlfn.XLOOKUP(1,('env Parameter'!$A:$A=$A1385)*('env Parameter'!$B:$B=$K1385)*('env Parameter'!$C:$C=$L1385),'env Parameter'!E:E,""),"")</f>
        <v>2.14</v>
      </c>
      <c r="D1385" s="10" cm="1">
        <f t="array" ref="D1385">IFERROR(_xlfn.XLOOKUP(1,('env Parameter'!$A:$A=$A1385)*('env Parameter'!$B:$B=$K1385)*('env Parameter'!$C:$C=$L1385),'env Parameter'!F:F,""),"")</f>
        <v>478</v>
      </c>
      <c r="E1385" s="10" cm="1">
        <f t="array" ref="E1385">IFERROR(_xlfn.XLOOKUP(1,('env Parameter'!$A:$A=$A1385)*('env Parameter'!$B:$B=$K1385)*('env Parameter'!$C:$C=$L1385),'env Parameter'!G:G,""),"")</f>
        <v>7.6</v>
      </c>
      <c r="F1385" t="str">
        <f>eDNA!F1385</f>
        <v>MiFish</v>
      </c>
      <c r="G1385" t="str">
        <f>eDNA!D1385</f>
        <v>Silurus soldatovi</v>
      </c>
      <c r="H1385" t="str">
        <f>_xlfn.XLOOKUP(G1385,'Common name (master file)'!$B:$B,'Common name (master file)'!$A:$A,"-------------")</f>
        <v>솔다토비 메기</v>
      </c>
      <c r="I1385">
        <f>eDNA!E1385</f>
        <v>2606</v>
      </c>
      <c r="J1385" t="str">
        <f>_xlfn.XLOOKUP(G1385,'Common name (master file)'!$B:$B,'Common name (master file)'!$C:$C,"")</f>
        <v>어류</v>
      </c>
      <c r="K1385">
        <f>eDNA!B1385</f>
        <v>126.8446659</v>
      </c>
      <c r="L1385">
        <f>eDNA!C1385</f>
        <v>37.420618699999999</v>
      </c>
      <c r="M1385" s="10" t="str" cm="1">
        <f t="array" ref="M1385">IFERROR(_xlfn.XLOOKUP(1,('env Parameter'!$A:$A=$A1385)*('env Parameter'!$B:$B=$K1385)*('env Parameter'!$C:$C=$L1385),'env Parameter'!D:D,""),"")</f>
        <v>목감천-3</v>
      </c>
      <c r="N1385" s="10" t="str" cm="1">
        <f t="array" ref="N1385">IFERROR(_xlfn.XLOOKUP(1,('env Parameter'!$A:$A=$A1385)*('env Parameter'!$B:$B=$K1385)*('env Parameter'!$C:$C=$L1385),'env Parameter'!I:I,""),"")</f>
        <v>YR</v>
      </c>
    </row>
    <row r="1386" spans="1:14">
      <c r="A1386">
        <f>eDNA!A1386</f>
        <v>20201024</v>
      </c>
      <c r="B1386" s="10" t="str" cm="1">
        <f t="array" ref="B1386">IFERROR(_xlfn.XLOOKUP(1,('env Parameter'!$A:$A=$A1386)*('env Parameter'!$B:$B=$K1386)*('env Parameter'!$C:$C=$L1386),'env Parameter'!H:H,""),"")</f>
        <v>생물상 조사</v>
      </c>
      <c r="C1386" s="10" cm="1">
        <f t="array" ref="C1386">IFERROR(_xlfn.XLOOKUP(1,('env Parameter'!$A:$A=$A1386)*('env Parameter'!$B:$B=$K1386)*('env Parameter'!$C:$C=$L1386),'env Parameter'!E:E,""),"")</f>
        <v>2.14</v>
      </c>
      <c r="D1386" s="10" cm="1">
        <f t="array" ref="D1386">IFERROR(_xlfn.XLOOKUP(1,('env Parameter'!$A:$A=$A1386)*('env Parameter'!$B:$B=$K1386)*('env Parameter'!$C:$C=$L1386),'env Parameter'!F:F,""),"")</f>
        <v>478</v>
      </c>
      <c r="E1386" s="10" cm="1">
        <f t="array" ref="E1386">IFERROR(_xlfn.XLOOKUP(1,('env Parameter'!$A:$A=$A1386)*('env Parameter'!$B:$B=$K1386)*('env Parameter'!$C:$C=$L1386),'env Parameter'!G:G,""),"")</f>
        <v>7.6</v>
      </c>
      <c r="F1386" t="str">
        <f>eDNA!F1386</f>
        <v>MiFish</v>
      </c>
      <c r="G1386" t="str">
        <f>eDNA!D1386</f>
        <v>Misgurnus mizolepis</v>
      </c>
      <c r="H1386" t="str">
        <f>_xlfn.XLOOKUP(G1386,'Common name (master file)'!$B:$B,'Common name (master file)'!$A:$A,"-------------")</f>
        <v>미꾸라지</v>
      </c>
      <c r="I1386">
        <f>eDNA!E1386</f>
        <v>3408</v>
      </c>
      <c r="J1386" t="str">
        <f>_xlfn.XLOOKUP(G1386,'Common name (master file)'!$B:$B,'Common name (master file)'!$C:$C,"")</f>
        <v>어류</v>
      </c>
      <c r="K1386">
        <f>eDNA!B1386</f>
        <v>126.8446659</v>
      </c>
      <c r="L1386">
        <f>eDNA!C1386</f>
        <v>37.420618699999999</v>
      </c>
      <c r="M1386" s="10" t="str" cm="1">
        <f t="array" ref="M1386">IFERROR(_xlfn.XLOOKUP(1,('env Parameter'!$A:$A=$A1386)*('env Parameter'!$B:$B=$K1386)*('env Parameter'!$C:$C=$L1386),'env Parameter'!D:D,""),"")</f>
        <v>목감천-3</v>
      </c>
      <c r="N1386" s="10" t="str" cm="1">
        <f t="array" ref="N1386">IFERROR(_xlfn.XLOOKUP(1,('env Parameter'!$A:$A=$A1386)*('env Parameter'!$B:$B=$K1386)*('env Parameter'!$C:$C=$L1386),'env Parameter'!I:I,""),"")</f>
        <v>YR</v>
      </c>
    </row>
    <row r="1387" spans="1:14">
      <c r="A1387">
        <f>eDNA!A1387</f>
        <v>20201024</v>
      </c>
      <c r="B1387" s="10" t="str" cm="1">
        <f t="array" ref="B1387">IFERROR(_xlfn.XLOOKUP(1,('env Parameter'!$A:$A=$A1387)*('env Parameter'!$B:$B=$K1387)*('env Parameter'!$C:$C=$L1387),'env Parameter'!H:H,""),"")</f>
        <v>생물상 조사</v>
      </c>
      <c r="C1387" s="10" cm="1">
        <f t="array" ref="C1387">IFERROR(_xlfn.XLOOKUP(1,('env Parameter'!$A:$A=$A1387)*('env Parameter'!$B:$B=$K1387)*('env Parameter'!$C:$C=$L1387),'env Parameter'!E:E,""),"")</f>
        <v>2.14</v>
      </c>
      <c r="D1387" s="10" cm="1">
        <f t="array" ref="D1387">IFERROR(_xlfn.XLOOKUP(1,('env Parameter'!$A:$A=$A1387)*('env Parameter'!$B:$B=$K1387)*('env Parameter'!$C:$C=$L1387),'env Parameter'!F:F,""),"")</f>
        <v>478</v>
      </c>
      <c r="E1387" s="10" cm="1">
        <f t="array" ref="E1387">IFERROR(_xlfn.XLOOKUP(1,('env Parameter'!$A:$A=$A1387)*('env Parameter'!$B:$B=$K1387)*('env Parameter'!$C:$C=$L1387),'env Parameter'!G:G,""),"")</f>
        <v>7.6</v>
      </c>
      <c r="F1387" t="str">
        <f>eDNA!F1387</f>
        <v>MiFish</v>
      </c>
      <c r="G1387" t="str">
        <f>eDNA!D1387</f>
        <v>Paralichthys olivaceus</v>
      </c>
      <c r="H1387" t="str">
        <f>_xlfn.XLOOKUP(G1387,'Common name (master file)'!$B:$B,'Common name (master file)'!$A:$A,"-------------")</f>
        <v>남해산 넙치</v>
      </c>
      <c r="I1387">
        <f>eDNA!E1387</f>
        <v>6302</v>
      </c>
      <c r="J1387" t="str">
        <f>_xlfn.XLOOKUP(G1387,'Common name (master file)'!$B:$B,'Common name (master file)'!$C:$C,"")</f>
        <v>어류</v>
      </c>
      <c r="K1387">
        <f>eDNA!B1387</f>
        <v>126.8446659</v>
      </c>
      <c r="L1387">
        <f>eDNA!C1387</f>
        <v>37.420618699999999</v>
      </c>
      <c r="M1387" s="10" t="str" cm="1">
        <f t="array" ref="M1387">IFERROR(_xlfn.XLOOKUP(1,('env Parameter'!$A:$A=$A1387)*('env Parameter'!$B:$B=$K1387)*('env Parameter'!$C:$C=$L1387),'env Parameter'!D:D,""),"")</f>
        <v>목감천-3</v>
      </c>
      <c r="N1387" s="10" t="str" cm="1">
        <f t="array" ref="N1387">IFERROR(_xlfn.XLOOKUP(1,('env Parameter'!$A:$A=$A1387)*('env Parameter'!$B:$B=$K1387)*('env Parameter'!$C:$C=$L1387),'env Parameter'!I:I,""),"")</f>
        <v>YR</v>
      </c>
    </row>
    <row r="1388" spans="1:14">
      <c r="A1388">
        <f>eDNA!A1388</f>
        <v>20201024</v>
      </c>
      <c r="B1388" s="10" t="str" cm="1">
        <f t="array" ref="B1388">IFERROR(_xlfn.XLOOKUP(1,('env Parameter'!$A:$A=$A1388)*('env Parameter'!$B:$B=$K1388)*('env Parameter'!$C:$C=$L1388),'env Parameter'!H:H,""),"")</f>
        <v>생물상 조사</v>
      </c>
      <c r="C1388" s="10" cm="1">
        <f t="array" ref="C1388">IFERROR(_xlfn.XLOOKUP(1,('env Parameter'!$A:$A=$A1388)*('env Parameter'!$B:$B=$K1388)*('env Parameter'!$C:$C=$L1388),'env Parameter'!E:E,""),"")</f>
        <v>2.14</v>
      </c>
      <c r="D1388" s="10" cm="1">
        <f t="array" ref="D1388">IFERROR(_xlfn.XLOOKUP(1,('env Parameter'!$A:$A=$A1388)*('env Parameter'!$B:$B=$K1388)*('env Parameter'!$C:$C=$L1388),'env Parameter'!F:F,""),"")</f>
        <v>478</v>
      </c>
      <c r="E1388" s="10" cm="1">
        <f t="array" ref="E1388">IFERROR(_xlfn.XLOOKUP(1,('env Parameter'!$A:$A=$A1388)*('env Parameter'!$B:$B=$K1388)*('env Parameter'!$C:$C=$L1388),'env Parameter'!G:G,""),"")</f>
        <v>7.6</v>
      </c>
      <c r="F1388" t="str">
        <f>eDNA!F1388</f>
        <v>MiFish</v>
      </c>
      <c r="G1388" t="str">
        <f>eDNA!D1388</f>
        <v>Oncorhynchus keta</v>
      </c>
      <c r="H1388" t="str">
        <f>_xlfn.XLOOKUP(G1388,'Common name (master file)'!$B:$B,'Common name (master file)'!$A:$A,"-------------")</f>
        <v>연어</v>
      </c>
      <c r="I1388">
        <f>eDNA!E1388</f>
        <v>7835</v>
      </c>
      <c r="J1388" t="str">
        <f>_xlfn.XLOOKUP(G1388,'Common name (master file)'!$B:$B,'Common name (master file)'!$C:$C,"")</f>
        <v>어류</v>
      </c>
      <c r="K1388">
        <f>eDNA!B1388</f>
        <v>126.8446659</v>
      </c>
      <c r="L1388">
        <f>eDNA!C1388</f>
        <v>37.420618699999999</v>
      </c>
      <c r="M1388" s="10" t="str" cm="1">
        <f t="array" ref="M1388">IFERROR(_xlfn.XLOOKUP(1,('env Parameter'!$A:$A=$A1388)*('env Parameter'!$B:$B=$K1388)*('env Parameter'!$C:$C=$L1388),'env Parameter'!D:D,""),"")</f>
        <v>목감천-3</v>
      </c>
      <c r="N1388" s="10" t="str" cm="1">
        <f t="array" ref="N1388">IFERROR(_xlfn.XLOOKUP(1,('env Parameter'!$A:$A=$A1388)*('env Parameter'!$B:$B=$K1388)*('env Parameter'!$C:$C=$L1388),'env Parameter'!I:I,""),"")</f>
        <v>YR</v>
      </c>
    </row>
    <row r="1389" spans="1:14">
      <c r="A1389">
        <f>eDNA!A1389</f>
        <v>20201024</v>
      </c>
      <c r="B1389" s="10" t="str" cm="1">
        <f t="array" ref="B1389">IFERROR(_xlfn.XLOOKUP(1,('env Parameter'!$A:$A=$A1389)*('env Parameter'!$B:$B=$K1389)*('env Parameter'!$C:$C=$L1389),'env Parameter'!H:H,""),"")</f>
        <v>생물상 조사</v>
      </c>
      <c r="C1389" s="10" cm="1">
        <f t="array" ref="C1389">IFERROR(_xlfn.XLOOKUP(1,('env Parameter'!$A:$A=$A1389)*('env Parameter'!$B:$B=$K1389)*('env Parameter'!$C:$C=$L1389),'env Parameter'!E:E,""),"")</f>
        <v>2.14</v>
      </c>
      <c r="D1389" s="10" cm="1">
        <f t="array" ref="D1389">IFERROR(_xlfn.XLOOKUP(1,('env Parameter'!$A:$A=$A1389)*('env Parameter'!$B:$B=$K1389)*('env Parameter'!$C:$C=$L1389),'env Parameter'!F:F,""),"")</f>
        <v>478</v>
      </c>
      <c r="E1389" s="10" cm="1">
        <f t="array" ref="E1389">IFERROR(_xlfn.XLOOKUP(1,('env Parameter'!$A:$A=$A1389)*('env Parameter'!$B:$B=$K1389)*('env Parameter'!$C:$C=$L1389),'env Parameter'!G:G,""),"")</f>
        <v>7.6</v>
      </c>
      <c r="F1389" t="str">
        <f>eDNA!F1389</f>
        <v>MiFish</v>
      </c>
      <c r="G1389" t="str">
        <f>eDNA!D1389</f>
        <v>Pseudorasbora parva</v>
      </c>
      <c r="H1389" t="str">
        <f>_xlfn.XLOOKUP(G1389,'Common name (master file)'!$B:$B,'Common name (master file)'!$A:$A,"-------------")</f>
        <v>참붕어</v>
      </c>
      <c r="I1389">
        <f>eDNA!E1389</f>
        <v>15657</v>
      </c>
      <c r="J1389" t="str">
        <f>_xlfn.XLOOKUP(G1389,'Common name (master file)'!$B:$B,'Common name (master file)'!$C:$C,"")</f>
        <v>어류</v>
      </c>
      <c r="K1389">
        <f>eDNA!B1389</f>
        <v>126.8446659</v>
      </c>
      <c r="L1389">
        <f>eDNA!C1389</f>
        <v>37.420618699999999</v>
      </c>
      <c r="M1389" s="10" t="str" cm="1">
        <f t="array" ref="M1389">IFERROR(_xlfn.XLOOKUP(1,('env Parameter'!$A:$A=$A1389)*('env Parameter'!$B:$B=$K1389)*('env Parameter'!$C:$C=$L1389),'env Parameter'!D:D,""),"")</f>
        <v>목감천-3</v>
      </c>
      <c r="N1389" s="10" t="str" cm="1">
        <f t="array" ref="N1389">IFERROR(_xlfn.XLOOKUP(1,('env Parameter'!$A:$A=$A1389)*('env Parameter'!$B:$B=$K1389)*('env Parameter'!$C:$C=$L1389),'env Parameter'!I:I,""),"")</f>
        <v>YR</v>
      </c>
    </row>
    <row r="1390" spans="1:14">
      <c r="A1390">
        <f>eDNA!A1390</f>
        <v>20201024</v>
      </c>
      <c r="B1390" s="10" t="str" cm="1">
        <f t="array" ref="B1390">IFERROR(_xlfn.XLOOKUP(1,('env Parameter'!$A:$A=$A1390)*('env Parameter'!$B:$B=$K1390)*('env Parameter'!$C:$C=$L1390),'env Parameter'!H:H,""),"")</f>
        <v>생물상 조사</v>
      </c>
      <c r="C1390" s="10" cm="1">
        <f t="array" ref="C1390">IFERROR(_xlfn.XLOOKUP(1,('env Parameter'!$A:$A=$A1390)*('env Parameter'!$B:$B=$K1390)*('env Parameter'!$C:$C=$L1390),'env Parameter'!E:E,""),"")</f>
        <v>2.14</v>
      </c>
      <c r="D1390" s="10" cm="1">
        <f t="array" ref="D1390">IFERROR(_xlfn.XLOOKUP(1,('env Parameter'!$A:$A=$A1390)*('env Parameter'!$B:$B=$K1390)*('env Parameter'!$C:$C=$L1390),'env Parameter'!F:F,""),"")</f>
        <v>478</v>
      </c>
      <c r="E1390" s="10" cm="1">
        <f t="array" ref="E1390">IFERROR(_xlfn.XLOOKUP(1,('env Parameter'!$A:$A=$A1390)*('env Parameter'!$B:$B=$K1390)*('env Parameter'!$C:$C=$L1390),'env Parameter'!G:G,""),"")</f>
        <v>7.6</v>
      </c>
      <c r="F1390" t="str">
        <f>eDNA!F1390</f>
        <v>MiFish</v>
      </c>
      <c r="G1390" t="str">
        <f>eDNA!D1390</f>
        <v>Konosirus punctatus</v>
      </c>
      <c r="H1390" t="str">
        <f>_xlfn.XLOOKUP(G1390,'Common name (master file)'!$B:$B,'Common name (master file)'!$A:$A,"-------------")</f>
        <v>전어</v>
      </c>
      <c r="I1390">
        <f>eDNA!E1390</f>
        <v>25007</v>
      </c>
      <c r="J1390" t="str">
        <f>_xlfn.XLOOKUP(G1390,'Common name (master file)'!$B:$B,'Common name (master file)'!$C:$C,"")</f>
        <v>어류</v>
      </c>
      <c r="K1390">
        <f>eDNA!B1390</f>
        <v>126.8446659</v>
      </c>
      <c r="L1390">
        <f>eDNA!C1390</f>
        <v>37.420618699999999</v>
      </c>
      <c r="M1390" s="10" t="str" cm="1">
        <f t="array" ref="M1390">IFERROR(_xlfn.XLOOKUP(1,('env Parameter'!$A:$A=$A1390)*('env Parameter'!$B:$B=$K1390)*('env Parameter'!$C:$C=$L1390),'env Parameter'!D:D,""),"")</f>
        <v>목감천-3</v>
      </c>
      <c r="N1390" s="10" t="str" cm="1">
        <f t="array" ref="N1390">IFERROR(_xlfn.XLOOKUP(1,('env Parameter'!$A:$A=$A1390)*('env Parameter'!$B:$B=$K1390)*('env Parameter'!$C:$C=$L1390),'env Parameter'!I:I,""),"")</f>
        <v>YR</v>
      </c>
    </row>
    <row r="1391" spans="1:14">
      <c r="A1391">
        <f>eDNA!A1391</f>
        <v>20201024</v>
      </c>
      <c r="B1391" s="10" t="str" cm="1">
        <f t="array" ref="B1391">IFERROR(_xlfn.XLOOKUP(1,('env Parameter'!$A:$A=$A1391)*('env Parameter'!$B:$B=$K1391)*('env Parameter'!$C:$C=$L1391),'env Parameter'!H:H,""),"")</f>
        <v>생물상 조사</v>
      </c>
      <c r="C1391" s="10" cm="1">
        <f t="array" ref="C1391">IFERROR(_xlfn.XLOOKUP(1,('env Parameter'!$A:$A=$A1391)*('env Parameter'!$B:$B=$K1391)*('env Parameter'!$C:$C=$L1391),'env Parameter'!E:E,""),"")</f>
        <v>2.14</v>
      </c>
      <c r="D1391" s="10" cm="1">
        <f t="array" ref="D1391">IFERROR(_xlfn.XLOOKUP(1,('env Parameter'!$A:$A=$A1391)*('env Parameter'!$B:$B=$K1391)*('env Parameter'!$C:$C=$L1391),'env Parameter'!F:F,""),"")</f>
        <v>478</v>
      </c>
      <c r="E1391" s="10" cm="1">
        <f t="array" ref="E1391">IFERROR(_xlfn.XLOOKUP(1,('env Parameter'!$A:$A=$A1391)*('env Parameter'!$B:$B=$K1391)*('env Parameter'!$C:$C=$L1391),'env Parameter'!G:G,""),"")</f>
        <v>7.6</v>
      </c>
      <c r="F1391" t="str">
        <f>eDNA!F1391</f>
        <v>MiFish</v>
      </c>
      <c r="G1391" t="str">
        <f>eDNA!D1391</f>
        <v>Sebastes zacentrus</v>
      </c>
      <c r="H1391" t="str">
        <f>_xlfn.XLOOKUP(G1391,'Common name (master file)'!$B:$B,'Common name (master file)'!$A:$A,"-------------")</f>
        <v>쏨뱅이</v>
      </c>
      <c r="I1391">
        <f>eDNA!E1391</f>
        <v>24778</v>
      </c>
      <c r="J1391" t="str">
        <f>_xlfn.XLOOKUP(G1391,'Common name (master file)'!$B:$B,'Common name (master file)'!$C:$C,"")</f>
        <v>어류</v>
      </c>
      <c r="K1391">
        <f>eDNA!B1391</f>
        <v>126.8446659</v>
      </c>
      <c r="L1391">
        <f>eDNA!C1391</f>
        <v>37.420618699999999</v>
      </c>
      <c r="M1391" s="10" t="str" cm="1">
        <f t="array" ref="M1391">IFERROR(_xlfn.XLOOKUP(1,('env Parameter'!$A:$A=$A1391)*('env Parameter'!$B:$B=$K1391)*('env Parameter'!$C:$C=$L1391),'env Parameter'!D:D,""),"")</f>
        <v>목감천-3</v>
      </c>
      <c r="N1391" s="10" t="str" cm="1">
        <f t="array" ref="N1391">IFERROR(_xlfn.XLOOKUP(1,('env Parameter'!$A:$A=$A1391)*('env Parameter'!$B:$B=$K1391)*('env Parameter'!$C:$C=$L1391),'env Parameter'!I:I,""),"")</f>
        <v>YR</v>
      </c>
    </row>
    <row r="1392" spans="1:14">
      <c r="A1392">
        <f>eDNA!A1392</f>
        <v>20201024</v>
      </c>
      <c r="B1392" s="10" t="str" cm="1">
        <f t="array" ref="B1392">IFERROR(_xlfn.XLOOKUP(1,('env Parameter'!$A:$A=$A1392)*('env Parameter'!$B:$B=$K1392)*('env Parameter'!$C:$C=$L1392),'env Parameter'!H:H,""),"")</f>
        <v>생물상 조사</v>
      </c>
      <c r="C1392" s="10" cm="1">
        <f t="array" ref="C1392">IFERROR(_xlfn.XLOOKUP(1,('env Parameter'!$A:$A=$A1392)*('env Parameter'!$B:$B=$K1392)*('env Parameter'!$C:$C=$L1392),'env Parameter'!E:E,""),"")</f>
        <v>2.14</v>
      </c>
      <c r="D1392" s="10" cm="1">
        <f t="array" ref="D1392">IFERROR(_xlfn.XLOOKUP(1,('env Parameter'!$A:$A=$A1392)*('env Parameter'!$B:$B=$K1392)*('env Parameter'!$C:$C=$L1392),'env Parameter'!F:F,""),"")</f>
        <v>478</v>
      </c>
      <c r="E1392" s="10" cm="1">
        <f t="array" ref="E1392">IFERROR(_xlfn.XLOOKUP(1,('env Parameter'!$A:$A=$A1392)*('env Parameter'!$B:$B=$K1392)*('env Parameter'!$C:$C=$L1392),'env Parameter'!G:G,""),"")</f>
        <v>7.6</v>
      </c>
      <c r="F1392" t="str">
        <f>eDNA!F1392</f>
        <v>MiFish</v>
      </c>
      <c r="G1392" t="str">
        <f>eDNA!D1392</f>
        <v>Carassius gibelio</v>
      </c>
      <c r="H1392" t="str">
        <f>_xlfn.XLOOKUP(G1392,'Common name (master file)'!$B:$B,'Common name (master file)'!$A:$A,"-------------")</f>
        <v>기벨리오 붕어</v>
      </c>
      <c r="I1392">
        <f>eDNA!E1392</f>
        <v>56477</v>
      </c>
      <c r="J1392" t="str">
        <f>_xlfn.XLOOKUP(G1392,'Common name (master file)'!$B:$B,'Common name (master file)'!$C:$C,"")</f>
        <v>어류</v>
      </c>
      <c r="K1392">
        <f>eDNA!B1392</f>
        <v>126.8446659</v>
      </c>
      <c r="L1392">
        <f>eDNA!C1392</f>
        <v>37.420618699999999</v>
      </c>
      <c r="M1392" s="10" t="str" cm="1">
        <f t="array" ref="M1392">IFERROR(_xlfn.XLOOKUP(1,('env Parameter'!$A:$A=$A1392)*('env Parameter'!$B:$B=$K1392)*('env Parameter'!$C:$C=$L1392),'env Parameter'!D:D,""),"")</f>
        <v>목감천-3</v>
      </c>
      <c r="N1392" s="10" t="str" cm="1">
        <f t="array" ref="N1392">IFERROR(_xlfn.XLOOKUP(1,('env Parameter'!$A:$A=$A1392)*('env Parameter'!$B:$B=$K1392)*('env Parameter'!$C:$C=$L1392),'env Parameter'!I:I,""),"")</f>
        <v>YR</v>
      </c>
    </row>
    <row r="1393" spans="1:14">
      <c r="A1393">
        <f>eDNA!A1393</f>
        <v>20201024</v>
      </c>
      <c r="B1393" s="10" t="str" cm="1">
        <f t="array" ref="B1393">IFERROR(_xlfn.XLOOKUP(1,('env Parameter'!$A:$A=$A1393)*('env Parameter'!$B:$B=$K1393)*('env Parameter'!$C:$C=$L1393),'env Parameter'!H:H,""),"")</f>
        <v>생물상 조사</v>
      </c>
      <c r="C1393" s="10" cm="1">
        <f t="array" ref="C1393">IFERROR(_xlfn.XLOOKUP(1,('env Parameter'!$A:$A=$A1393)*('env Parameter'!$B:$B=$K1393)*('env Parameter'!$C:$C=$L1393),'env Parameter'!E:E,""),"")</f>
        <v>2.14</v>
      </c>
      <c r="D1393" s="10" cm="1">
        <f t="array" ref="D1393">IFERROR(_xlfn.XLOOKUP(1,('env Parameter'!$A:$A=$A1393)*('env Parameter'!$B:$B=$K1393)*('env Parameter'!$C:$C=$L1393),'env Parameter'!F:F,""),"")</f>
        <v>478</v>
      </c>
      <c r="E1393" s="10" cm="1">
        <f t="array" ref="E1393">IFERROR(_xlfn.XLOOKUP(1,('env Parameter'!$A:$A=$A1393)*('env Parameter'!$B:$B=$K1393)*('env Parameter'!$C:$C=$L1393),'env Parameter'!G:G,""),"")</f>
        <v>7.6</v>
      </c>
      <c r="F1393" t="str">
        <f>eDNA!F1393</f>
        <v>MiFish</v>
      </c>
      <c r="G1393" t="str">
        <f>eDNA!D1393</f>
        <v>Carassius cuvieri</v>
      </c>
      <c r="H1393" t="str">
        <f>_xlfn.XLOOKUP(G1393,'Common name (master file)'!$B:$B,'Common name (master file)'!$A:$A,"-------------")</f>
        <v>떡붕어</v>
      </c>
      <c r="I1393">
        <f>eDNA!E1393</f>
        <v>17</v>
      </c>
      <c r="J1393" t="str">
        <f>_xlfn.XLOOKUP(G1393,'Common name (master file)'!$B:$B,'Common name (master file)'!$C:$C,"")</f>
        <v>어류</v>
      </c>
      <c r="K1393">
        <f>eDNA!B1393</f>
        <v>126.83793110000001</v>
      </c>
      <c r="L1393">
        <f>eDNA!C1393</f>
        <v>37.441797600000001</v>
      </c>
      <c r="M1393" s="10" t="str" cm="1">
        <f t="array" ref="M1393">IFERROR(_xlfn.XLOOKUP(1,('env Parameter'!$A:$A=$A1393)*('env Parameter'!$B:$B=$K1393)*('env Parameter'!$C:$C=$L1393),'env Parameter'!D:D,""),"")</f>
        <v>목감천-2</v>
      </c>
      <c r="N1393" s="10" t="str" cm="1">
        <f t="array" ref="N1393">IFERROR(_xlfn.XLOOKUP(1,('env Parameter'!$A:$A=$A1393)*('env Parameter'!$B:$B=$K1393)*('env Parameter'!$C:$C=$L1393),'env Parameter'!I:I,""),"")</f>
        <v>YR</v>
      </c>
    </row>
    <row r="1394" spans="1:14">
      <c r="A1394">
        <f>eDNA!A1394</f>
        <v>20201024</v>
      </c>
      <c r="B1394" s="10" t="str" cm="1">
        <f t="array" ref="B1394">IFERROR(_xlfn.XLOOKUP(1,('env Parameter'!$A:$A=$A1394)*('env Parameter'!$B:$B=$K1394)*('env Parameter'!$C:$C=$L1394),'env Parameter'!H:H,""),"")</f>
        <v>생물상 조사</v>
      </c>
      <c r="C1394" s="10" cm="1">
        <f t="array" ref="C1394">IFERROR(_xlfn.XLOOKUP(1,('env Parameter'!$A:$A=$A1394)*('env Parameter'!$B:$B=$K1394)*('env Parameter'!$C:$C=$L1394),'env Parameter'!E:E,""),"")</f>
        <v>2.14</v>
      </c>
      <c r="D1394" s="10" cm="1">
        <f t="array" ref="D1394">IFERROR(_xlfn.XLOOKUP(1,('env Parameter'!$A:$A=$A1394)*('env Parameter'!$B:$B=$K1394)*('env Parameter'!$C:$C=$L1394),'env Parameter'!F:F,""),"")</f>
        <v>478</v>
      </c>
      <c r="E1394" s="10" cm="1">
        <f t="array" ref="E1394">IFERROR(_xlfn.XLOOKUP(1,('env Parameter'!$A:$A=$A1394)*('env Parameter'!$B:$B=$K1394)*('env Parameter'!$C:$C=$L1394),'env Parameter'!G:G,""),"")</f>
        <v>7.6</v>
      </c>
      <c r="F1394" t="str">
        <f>eDNA!F1394</f>
        <v>MiFish</v>
      </c>
      <c r="G1394" t="str">
        <f>eDNA!D1394</f>
        <v>Tadorna tadorna</v>
      </c>
      <c r="H1394" t="str">
        <f>_xlfn.XLOOKUP(G1394,'Common name (master file)'!$B:$B,'Common name (master file)'!$A:$A,"-------------")</f>
        <v>혹부리오리</v>
      </c>
      <c r="I1394">
        <f>eDNA!E1394</f>
        <v>39</v>
      </c>
      <c r="J1394" t="str">
        <f>_xlfn.XLOOKUP(G1394,'Common name (master file)'!$B:$B,'Common name (master file)'!$C:$C,"")</f>
        <v>조류</v>
      </c>
      <c r="K1394">
        <f>eDNA!B1394</f>
        <v>126.83793110000001</v>
      </c>
      <c r="L1394">
        <f>eDNA!C1394</f>
        <v>37.441797600000001</v>
      </c>
      <c r="M1394" s="10" t="str" cm="1">
        <f t="array" ref="M1394">IFERROR(_xlfn.XLOOKUP(1,('env Parameter'!$A:$A=$A1394)*('env Parameter'!$B:$B=$K1394)*('env Parameter'!$C:$C=$L1394),'env Parameter'!D:D,""),"")</f>
        <v>목감천-2</v>
      </c>
      <c r="N1394" s="10" t="str" cm="1">
        <f t="array" ref="N1394">IFERROR(_xlfn.XLOOKUP(1,('env Parameter'!$A:$A=$A1394)*('env Parameter'!$B:$B=$K1394)*('env Parameter'!$C:$C=$L1394),'env Parameter'!I:I,""),"")</f>
        <v>YR</v>
      </c>
    </row>
    <row r="1395" spans="1:14">
      <c r="A1395">
        <f>eDNA!A1395</f>
        <v>20201024</v>
      </c>
      <c r="B1395" s="10" t="str" cm="1">
        <f t="array" ref="B1395">IFERROR(_xlfn.XLOOKUP(1,('env Parameter'!$A:$A=$A1395)*('env Parameter'!$B:$B=$K1395)*('env Parameter'!$C:$C=$L1395),'env Parameter'!H:H,""),"")</f>
        <v>생물상 조사</v>
      </c>
      <c r="C1395" s="10" cm="1">
        <f t="array" ref="C1395">IFERROR(_xlfn.XLOOKUP(1,('env Parameter'!$A:$A=$A1395)*('env Parameter'!$B:$B=$K1395)*('env Parameter'!$C:$C=$L1395),'env Parameter'!E:E,""),"")</f>
        <v>2.14</v>
      </c>
      <c r="D1395" s="10" cm="1">
        <f t="array" ref="D1395">IFERROR(_xlfn.XLOOKUP(1,('env Parameter'!$A:$A=$A1395)*('env Parameter'!$B:$B=$K1395)*('env Parameter'!$C:$C=$L1395),'env Parameter'!F:F,""),"")</f>
        <v>478</v>
      </c>
      <c r="E1395" s="10" cm="1">
        <f t="array" ref="E1395">IFERROR(_xlfn.XLOOKUP(1,('env Parameter'!$A:$A=$A1395)*('env Parameter'!$B:$B=$K1395)*('env Parameter'!$C:$C=$L1395),'env Parameter'!G:G,""),"")</f>
        <v>7.6</v>
      </c>
      <c r="F1395" t="str">
        <f>eDNA!F1395</f>
        <v>MiFish</v>
      </c>
      <c r="G1395" t="str">
        <f>eDNA!D1395</f>
        <v>Misgurnus anguillicaudatus</v>
      </c>
      <c r="H1395" t="str">
        <f>_xlfn.XLOOKUP(G1395,'Common name (master file)'!$B:$B,'Common name (master file)'!$A:$A,"-------------")</f>
        <v>미꾸리</v>
      </c>
      <c r="I1395">
        <f>eDNA!E1395</f>
        <v>58</v>
      </c>
      <c r="J1395" t="str">
        <f>_xlfn.XLOOKUP(G1395,'Common name (master file)'!$B:$B,'Common name (master file)'!$C:$C,"")</f>
        <v>어류</v>
      </c>
      <c r="K1395">
        <f>eDNA!B1395</f>
        <v>126.83793110000001</v>
      </c>
      <c r="L1395">
        <f>eDNA!C1395</f>
        <v>37.441797600000001</v>
      </c>
      <c r="M1395" s="10" t="str" cm="1">
        <f t="array" ref="M1395">IFERROR(_xlfn.XLOOKUP(1,('env Parameter'!$A:$A=$A1395)*('env Parameter'!$B:$B=$K1395)*('env Parameter'!$C:$C=$L1395),'env Parameter'!D:D,""),"")</f>
        <v>목감천-2</v>
      </c>
      <c r="N1395" s="10" t="str" cm="1">
        <f t="array" ref="N1395">IFERROR(_xlfn.XLOOKUP(1,('env Parameter'!$A:$A=$A1395)*('env Parameter'!$B:$B=$K1395)*('env Parameter'!$C:$C=$L1395),'env Parameter'!I:I,""),"")</f>
        <v>YR</v>
      </c>
    </row>
    <row r="1396" spans="1:14">
      <c r="A1396">
        <f>eDNA!A1396</f>
        <v>20201024</v>
      </c>
      <c r="B1396" s="10" t="str" cm="1">
        <f t="array" ref="B1396">IFERROR(_xlfn.XLOOKUP(1,('env Parameter'!$A:$A=$A1396)*('env Parameter'!$B:$B=$K1396)*('env Parameter'!$C:$C=$L1396),'env Parameter'!H:H,""),"")</f>
        <v>생물상 조사</v>
      </c>
      <c r="C1396" s="10" cm="1">
        <f t="array" ref="C1396">IFERROR(_xlfn.XLOOKUP(1,('env Parameter'!$A:$A=$A1396)*('env Parameter'!$B:$B=$K1396)*('env Parameter'!$C:$C=$L1396),'env Parameter'!E:E,""),"")</f>
        <v>2.14</v>
      </c>
      <c r="D1396" s="10" cm="1">
        <f t="array" ref="D1396">IFERROR(_xlfn.XLOOKUP(1,('env Parameter'!$A:$A=$A1396)*('env Parameter'!$B:$B=$K1396)*('env Parameter'!$C:$C=$L1396),'env Parameter'!F:F,""),"")</f>
        <v>478</v>
      </c>
      <c r="E1396" s="10" cm="1">
        <f t="array" ref="E1396">IFERROR(_xlfn.XLOOKUP(1,('env Parameter'!$A:$A=$A1396)*('env Parameter'!$B:$B=$K1396)*('env Parameter'!$C:$C=$L1396),'env Parameter'!G:G,""),"")</f>
        <v>7.6</v>
      </c>
      <c r="F1396" t="str">
        <f>eDNA!F1396</f>
        <v>MiFish</v>
      </c>
      <c r="G1396" t="str">
        <f>eDNA!D1396</f>
        <v>Sebastes babcocki</v>
      </c>
      <c r="H1396" t="str">
        <f>_xlfn.XLOOKUP(G1396,'Common name (master file)'!$B:$B,'Common name (master file)'!$A:$A,"-------------")</f>
        <v>Redbanded 뽈락</v>
      </c>
      <c r="I1396">
        <f>eDNA!E1396</f>
        <v>106</v>
      </c>
      <c r="J1396" t="str">
        <f>_xlfn.XLOOKUP(G1396,'Common name (master file)'!$B:$B,'Common name (master file)'!$C:$C,"")</f>
        <v>어류</v>
      </c>
      <c r="K1396">
        <f>eDNA!B1396</f>
        <v>126.83793110000001</v>
      </c>
      <c r="L1396">
        <f>eDNA!C1396</f>
        <v>37.441797600000001</v>
      </c>
      <c r="M1396" s="10" t="str" cm="1">
        <f t="array" ref="M1396">IFERROR(_xlfn.XLOOKUP(1,('env Parameter'!$A:$A=$A1396)*('env Parameter'!$B:$B=$K1396)*('env Parameter'!$C:$C=$L1396),'env Parameter'!D:D,""),"")</f>
        <v>목감천-2</v>
      </c>
      <c r="N1396" s="10" t="str" cm="1">
        <f t="array" ref="N1396">IFERROR(_xlfn.XLOOKUP(1,('env Parameter'!$A:$A=$A1396)*('env Parameter'!$B:$B=$K1396)*('env Parameter'!$C:$C=$L1396),'env Parameter'!I:I,""),"")</f>
        <v>YR</v>
      </c>
    </row>
    <row r="1397" spans="1:14">
      <c r="A1397">
        <f>eDNA!A1397</f>
        <v>20201024</v>
      </c>
      <c r="B1397" s="10" t="str" cm="1">
        <f t="array" ref="B1397">IFERROR(_xlfn.XLOOKUP(1,('env Parameter'!$A:$A=$A1397)*('env Parameter'!$B:$B=$K1397)*('env Parameter'!$C:$C=$L1397),'env Parameter'!H:H,""),"")</f>
        <v>생물상 조사</v>
      </c>
      <c r="C1397" s="10" cm="1">
        <f t="array" ref="C1397">IFERROR(_xlfn.XLOOKUP(1,('env Parameter'!$A:$A=$A1397)*('env Parameter'!$B:$B=$K1397)*('env Parameter'!$C:$C=$L1397),'env Parameter'!E:E,""),"")</f>
        <v>2.14</v>
      </c>
      <c r="D1397" s="10" cm="1">
        <f t="array" ref="D1397">IFERROR(_xlfn.XLOOKUP(1,('env Parameter'!$A:$A=$A1397)*('env Parameter'!$B:$B=$K1397)*('env Parameter'!$C:$C=$L1397),'env Parameter'!F:F,""),"")</f>
        <v>478</v>
      </c>
      <c r="E1397" s="10" cm="1">
        <f t="array" ref="E1397">IFERROR(_xlfn.XLOOKUP(1,('env Parameter'!$A:$A=$A1397)*('env Parameter'!$B:$B=$K1397)*('env Parameter'!$C:$C=$L1397),'env Parameter'!G:G,""),"")</f>
        <v>7.6</v>
      </c>
      <c r="F1397" t="str">
        <f>eDNA!F1397</f>
        <v>MiFish</v>
      </c>
      <c r="G1397" t="str">
        <f>eDNA!D1397</f>
        <v>Chirolophis saitone</v>
      </c>
      <c r="H1397" t="str">
        <f>_xlfn.XLOOKUP(G1397,'Common name (master file)'!$B:$B,'Common name (master file)'!$A:$A,"-------------")</f>
        <v>작은괴도라치</v>
      </c>
      <c r="I1397">
        <f>eDNA!E1397</f>
        <v>121</v>
      </c>
      <c r="J1397" t="str">
        <f>_xlfn.XLOOKUP(G1397,'Common name (master file)'!$B:$B,'Common name (master file)'!$C:$C,"")</f>
        <v>어류</v>
      </c>
      <c r="K1397">
        <f>eDNA!B1397</f>
        <v>126.8446659</v>
      </c>
      <c r="L1397">
        <f>eDNA!C1397</f>
        <v>37.420618699999999</v>
      </c>
      <c r="M1397" s="10" t="str" cm="1">
        <f t="array" ref="M1397">IFERROR(_xlfn.XLOOKUP(1,('env Parameter'!$A:$A=$A1397)*('env Parameter'!$B:$B=$K1397)*('env Parameter'!$C:$C=$L1397),'env Parameter'!D:D,""),"")</f>
        <v>목감천-3</v>
      </c>
      <c r="N1397" s="10" t="str" cm="1">
        <f t="array" ref="N1397">IFERROR(_xlfn.XLOOKUP(1,('env Parameter'!$A:$A=$A1397)*('env Parameter'!$B:$B=$K1397)*('env Parameter'!$C:$C=$L1397),'env Parameter'!I:I,""),"")</f>
        <v>YR</v>
      </c>
    </row>
    <row r="1398" spans="1:14">
      <c r="A1398">
        <f>eDNA!A1398</f>
        <v>20201024</v>
      </c>
      <c r="B1398" s="10" t="str" cm="1">
        <f t="array" ref="B1398">IFERROR(_xlfn.XLOOKUP(1,('env Parameter'!$A:$A=$A1398)*('env Parameter'!$B:$B=$K1398)*('env Parameter'!$C:$C=$L1398),'env Parameter'!H:H,""),"")</f>
        <v>생물상 조사</v>
      </c>
      <c r="C1398" s="10" cm="1">
        <f t="array" ref="C1398">IFERROR(_xlfn.XLOOKUP(1,('env Parameter'!$A:$A=$A1398)*('env Parameter'!$B:$B=$K1398)*('env Parameter'!$C:$C=$L1398),'env Parameter'!E:E,""),"")</f>
        <v>2.14</v>
      </c>
      <c r="D1398" s="10" cm="1">
        <f t="array" ref="D1398">IFERROR(_xlfn.XLOOKUP(1,('env Parameter'!$A:$A=$A1398)*('env Parameter'!$B:$B=$K1398)*('env Parameter'!$C:$C=$L1398),'env Parameter'!F:F,""),"")</f>
        <v>478</v>
      </c>
      <c r="E1398" s="10" cm="1">
        <f t="array" ref="E1398">IFERROR(_xlfn.XLOOKUP(1,('env Parameter'!$A:$A=$A1398)*('env Parameter'!$B:$B=$K1398)*('env Parameter'!$C:$C=$L1398),'env Parameter'!G:G,""),"")</f>
        <v>7.6</v>
      </c>
      <c r="F1398" t="str">
        <f>eDNA!F1398</f>
        <v>MiFish</v>
      </c>
      <c r="G1398" t="str">
        <f>eDNA!D1398</f>
        <v>Micropterus salmoides</v>
      </c>
      <c r="H1398" t="str">
        <f>_xlfn.XLOOKUP(G1398,'Common name (master file)'!$B:$B,'Common name (master file)'!$A:$A,"-------------")</f>
        <v>큰입배스</v>
      </c>
      <c r="I1398">
        <f>eDNA!E1398</f>
        <v>92</v>
      </c>
      <c r="J1398" t="str">
        <f>_xlfn.XLOOKUP(G1398,'Common name (master file)'!$B:$B,'Common name (master file)'!$C:$C,"")</f>
        <v>어류</v>
      </c>
      <c r="K1398">
        <f>eDNA!B1398</f>
        <v>126.83793110000001</v>
      </c>
      <c r="L1398">
        <f>eDNA!C1398</f>
        <v>37.441797600000001</v>
      </c>
      <c r="M1398" s="10" t="str" cm="1">
        <f t="array" ref="M1398">IFERROR(_xlfn.XLOOKUP(1,('env Parameter'!$A:$A=$A1398)*('env Parameter'!$B:$B=$K1398)*('env Parameter'!$C:$C=$L1398),'env Parameter'!D:D,""),"")</f>
        <v>목감천-2</v>
      </c>
      <c r="N1398" s="10" t="str" cm="1">
        <f t="array" ref="N1398">IFERROR(_xlfn.XLOOKUP(1,('env Parameter'!$A:$A=$A1398)*('env Parameter'!$B:$B=$K1398)*('env Parameter'!$C:$C=$L1398),'env Parameter'!I:I,""),"")</f>
        <v>YR</v>
      </c>
    </row>
    <row r="1399" spans="1:14">
      <c r="A1399">
        <f>eDNA!A1399</f>
        <v>20201024</v>
      </c>
      <c r="B1399" s="10" t="str" cm="1">
        <f t="array" ref="B1399">IFERROR(_xlfn.XLOOKUP(1,('env Parameter'!$A:$A=$A1399)*('env Parameter'!$B:$B=$K1399)*('env Parameter'!$C:$C=$L1399),'env Parameter'!H:H,""),"")</f>
        <v>생물상 조사</v>
      </c>
      <c r="C1399" s="10" cm="1">
        <f t="array" ref="C1399">IFERROR(_xlfn.XLOOKUP(1,('env Parameter'!$A:$A=$A1399)*('env Parameter'!$B:$B=$K1399)*('env Parameter'!$C:$C=$L1399),'env Parameter'!E:E,""),"")</f>
        <v>2.14</v>
      </c>
      <c r="D1399" s="10" cm="1">
        <f t="array" ref="D1399">IFERROR(_xlfn.XLOOKUP(1,('env Parameter'!$A:$A=$A1399)*('env Parameter'!$B:$B=$K1399)*('env Parameter'!$C:$C=$L1399),'env Parameter'!F:F,""),"")</f>
        <v>478</v>
      </c>
      <c r="E1399" s="10" cm="1">
        <f t="array" ref="E1399">IFERROR(_xlfn.XLOOKUP(1,('env Parameter'!$A:$A=$A1399)*('env Parameter'!$B:$B=$K1399)*('env Parameter'!$C:$C=$L1399),'env Parameter'!G:G,""),"")</f>
        <v>7.6</v>
      </c>
      <c r="F1399" t="str">
        <f>eDNA!F1399</f>
        <v>MiFish</v>
      </c>
      <c r="G1399" t="str">
        <f>eDNA!D1399</f>
        <v>Pagrus major</v>
      </c>
      <c r="H1399" t="str">
        <f>_xlfn.XLOOKUP(G1399,'Common name (master file)'!$B:$B,'Common name (master file)'!$A:$A,"-------------")</f>
        <v>참돔</v>
      </c>
      <c r="I1399">
        <f>eDNA!E1399</f>
        <v>110</v>
      </c>
      <c r="J1399" t="str">
        <f>_xlfn.XLOOKUP(G1399,'Common name (master file)'!$B:$B,'Common name (master file)'!$C:$C,"")</f>
        <v>어류</v>
      </c>
      <c r="K1399">
        <f>eDNA!B1399</f>
        <v>126.83793110000001</v>
      </c>
      <c r="L1399">
        <f>eDNA!C1399</f>
        <v>37.441797600000001</v>
      </c>
      <c r="M1399" s="10" t="str" cm="1">
        <f t="array" ref="M1399">IFERROR(_xlfn.XLOOKUP(1,('env Parameter'!$A:$A=$A1399)*('env Parameter'!$B:$B=$K1399)*('env Parameter'!$C:$C=$L1399),'env Parameter'!D:D,""),"")</f>
        <v>목감천-2</v>
      </c>
      <c r="N1399" s="10" t="str" cm="1">
        <f t="array" ref="N1399">IFERROR(_xlfn.XLOOKUP(1,('env Parameter'!$A:$A=$A1399)*('env Parameter'!$B:$B=$K1399)*('env Parameter'!$C:$C=$L1399),'env Parameter'!I:I,""),"")</f>
        <v>YR</v>
      </c>
    </row>
    <row r="1400" spans="1:14">
      <c r="A1400">
        <f>eDNA!A1400</f>
        <v>20201024</v>
      </c>
      <c r="B1400" s="10" t="str" cm="1">
        <f t="array" ref="B1400">IFERROR(_xlfn.XLOOKUP(1,('env Parameter'!$A:$A=$A1400)*('env Parameter'!$B:$B=$K1400)*('env Parameter'!$C:$C=$L1400),'env Parameter'!H:H,""),"")</f>
        <v>생물상 조사</v>
      </c>
      <c r="C1400" s="10" cm="1">
        <f t="array" ref="C1400">IFERROR(_xlfn.XLOOKUP(1,('env Parameter'!$A:$A=$A1400)*('env Parameter'!$B:$B=$K1400)*('env Parameter'!$C:$C=$L1400),'env Parameter'!E:E,""),"")</f>
        <v>2.14</v>
      </c>
      <c r="D1400" s="10" cm="1">
        <f t="array" ref="D1400">IFERROR(_xlfn.XLOOKUP(1,('env Parameter'!$A:$A=$A1400)*('env Parameter'!$B:$B=$K1400)*('env Parameter'!$C:$C=$L1400),'env Parameter'!F:F,""),"")</f>
        <v>478</v>
      </c>
      <c r="E1400" s="10" cm="1">
        <f t="array" ref="E1400">IFERROR(_xlfn.XLOOKUP(1,('env Parameter'!$A:$A=$A1400)*('env Parameter'!$B:$B=$K1400)*('env Parameter'!$C:$C=$L1400),'env Parameter'!G:G,""),"")</f>
        <v>7.6</v>
      </c>
      <c r="F1400" t="str">
        <f>eDNA!F1400</f>
        <v>MiFish</v>
      </c>
      <c r="G1400" t="str">
        <f>eDNA!D1400</f>
        <v>Lateolabrax maculatus</v>
      </c>
      <c r="H1400" t="str">
        <f>_xlfn.XLOOKUP(G1400,'Common name (master file)'!$B:$B,'Common name (master file)'!$A:$A,"-------------")</f>
        <v>점농어</v>
      </c>
      <c r="I1400">
        <f>eDNA!E1400</f>
        <v>128</v>
      </c>
      <c r="J1400" t="str">
        <f>_xlfn.XLOOKUP(G1400,'Common name (master file)'!$B:$B,'Common name (master file)'!$C:$C,"")</f>
        <v>어류</v>
      </c>
      <c r="K1400">
        <f>eDNA!B1400</f>
        <v>126.83793110000001</v>
      </c>
      <c r="L1400">
        <f>eDNA!C1400</f>
        <v>37.441797600000001</v>
      </c>
      <c r="M1400" s="10" t="str" cm="1">
        <f t="array" ref="M1400">IFERROR(_xlfn.XLOOKUP(1,('env Parameter'!$A:$A=$A1400)*('env Parameter'!$B:$B=$K1400)*('env Parameter'!$C:$C=$L1400),'env Parameter'!D:D,""),"")</f>
        <v>목감천-2</v>
      </c>
      <c r="N1400" s="10" t="str" cm="1">
        <f t="array" ref="N1400">IFERROR(_xlfn.XLOOKUP(1,('env Parameter'!$A:$A=$A1400)*('env Parameter'!$B:$B=$K1400)*('env Parameter'!$C:$C=$L1400),'env Parameter'!I:I,""),"")</f>
        <v>YR</v>
      </c>
    </row>
    <row r="1401" spans="1:14">
      <c r="A1401">
        <f>eDNA!A1401</f>
        <v>20201024</v>
      </c>
      <c r="B1401" s="10" t="str" cm="1">
        <f t="array" ref="B1401">IFERROR(_xlfn.XLOOKUP(1,('env Parameter'!$A:$A=$A1401)*('env Parameter'!$B:$B=$K1401)*('env Parameter'!$C:$C=$L1401),'env Parameter'!H:H,""),"")</f>
        <v>생물상 조사</v>
      </c>
      <c r="C1401" s="10" cm="1">
        <f t="array" ref="C1401">IFERROR(_xlfn.XLOOKUP(1,('env Parameter'!$A:$A=$A1401)*('env Parameter'!$B:$B=$K1401)*('env Parameter'!$C:$C=$L1401),'env Parameter'!E:E,""),"")</f>
        <v>2.14</v>
      </c>
      <c r="D1401" s="10" cm="1">
        <f t="array" ref="D1401">IFERROR(_xlfn.XLOOKUP(1,('env Parameter'!$A:$A=$A1401)*('env Parameter'!$B:$B=$K1401)*('env Parameter'!$C:$C=$L1401),'env Parameter'!F:F,""),"")</f>
        <v>478</v>
      </c>
      <c r="E1401" s="10" cm="1">
        <f t="array" ref="E1401">IFERROR(_xlfn.XLOOKUP(1,('env Parameter'!$A:$A=$A1401)*('env Parameter'!$B:$B=$K1401)*('env Parameter'!$C:$C=$L1401),'env Parameter'!G:G,""),"")</f>
        <v>7.6</v>
      </c>
      <c r="F1401" t="str">
        <f>eDNA!F1401</f>
        <v>MiFish</v>
      </c>
      <c r="G1401" t="str">
        <f>eDNA!D1401</f>
        <v>Micropercops swinhonis</v>
      </c>
      <c r="H1401" t="str">
        <f>_xlfn.XLOOKUP(G1401,'Common name (master file)'!$B:$B,'Common name (master file)'!$A:$A,"-------------")</f>
        <v>좀구굴치</v>
      </c>
      <c r="I1401">
        <f>eDNA!E1401</f>
        <v>16</v>
      </c>
      <c r="J1401" t="str">
        <f>_xlfn.XLOOKUP(G1401,'Common name (master file)'!$B:$B,'Common name (master file)'!$C:$C,"")</f>
        <v>어류</v>
      </c>
      <c r="K1401">
        <f>eDNA!B1401</f>
        <v>126.87358690000001</v>
      </c>
      <c r="L1401">
        <f>eDNA!C1401</f>
        <v>37.508467699999997</v>
      </c>
      <c r="M1401" s="10" t="str" cm="1">
        <f t="array" ref="M1401">IFERROR(_xlfn.XLOOKUP(1,('env Parameter'!$A:$A=$A1401)*('env Parameter'!$B:$B=$K1401)*('env Parameter'!$C:$C=$L1401),'env Parameter'!D:D,""),"")</f>
        <v>안양천-13</v>
      </c>
      <c r="N1401" s="10" t="str" cm="1">
        <f t="array" ref="N1401">IFERROR(_xlfn.XLOOKUP(1,('env Parameter'!$A:$A=$A1401)*('env Parameter'!$B:$B=$K1401)*('env Parameter'!$C:$C=$L1401),'env Parameter'!I:I,""),"")</f>
        <v>YR</v>
      </c>
    </row>
    <row r="1402" spans="1:14">
      <c r="A1402">
        <f>eDNA!A1402</f>
        <v>20201024</v>
      </c>
      <c r="B1402" s="10" t="str" cm="1">
        <f t="array" ref="B1402">IFERROR(_xlfn.XLOOKUP(1,('env Parameter'!$A:$A=$A1402)*('env Parameter'!$B:$B=$K1402)*('env Parameter'!$C:$C=$L1402),'env Parameter'!H:H,""),"")</f>
        <v>생물상 조사</v>
      </c>
      <c r="C1402" s="10" cm="1">
        <f t="array" ref="C1402">IFERROR(_xlfn.XLOOKUP(1,('env Parameter'!$A:$A=$A1402)*('env Parameter'!$B:$B=$K1402)*('env Parameter'!$C:$C=$L1402),'env Parameter'!E:E,""),"")</f>
        <v>2.14</v>
      </c>
      <c r="D1402" s="10" cm="1">
        <f t="array" ref="D1402">IFERROR(_xlfn.XLOOKUP(1,('env Parameter'!$A:$A=$A1402)*('env Parameter'!$B:$B=$K1402)*('env Parameter'!$C:$C=$L1402),'env Parameter'!F:F,""),"")</f>
        <v>478</v>
      </c>
      <c r="E1402" s="10" cm="1">
        <f t="array" ref="E1402">IFERROR(_xlfn.XLOOKUP(1,('env Parameter'!$A:$A=$A1402)*('env Parameter'!$B:$B=$K1402)*('env Parameter'!$C:$C=$L1402),'env Parameter'!G:G,""),"")</f>
        <v>7.6</v>
      </c>
      <c r="F1402" t="str">
        <f>eDNA!F1402</f>
        <v>MiFish</v>
      </c>
      <c r="G1402" t="str">
        <f>eDNA!D1402</f>
        <v>Cyprinus carpio</v>
      </c>
      <c r="H1402" t="str">
        <f>_xlfn.XLOOKUP(G1402,'Common name (master file)'!$B:$B,'Common name (master file)'!$A:$A,"-------------")</f>
        <v>잉어</v>
      </c>
      <c r="I1402">
        <f>eDNA!E1402</f>
        <v>158</v>
      </c>
      <c r="J1402" t="str">
        <f>_xlfn.XLOOKUP(G1402,'Common name (master file)'!$B:$B,'Common name (master file)'!$C:$C,"")</f>
        <v>어류</v>
      </c>
      <c r="K1402">
        <f>eDNA!B1402</f>
        <v>126.83793110000001</v>
      </c>
      <c r="L1402">
        <f>eDNA!C1402</f>
        <v>37.441797600000001</v>
      </c>
      <c r="M1402" s="10" t="str" cm="1">
        <f t="array" ref="M1402">IFERROR(_xlfn.XLOOKUP(1,('env Parameter'!$A:$A=$A1402)*('env Parameter'!$B:$B=$K1402)*('env Parameter'!$C:$C=$L1402),'env Parameter'!D:D,""),"")</f>
        <v>목감천-2</v>
      </c>
      <c r="N1402" s="10" t="str" cm="1">
        <f t="array" ref="N1402">IFERROR(_xlfn.XLOOKUP(1,('env Parameter'!$A:$A=$A1402)*('env Parameter'!$B:$B=$K1402)*('env Parameter'!$C:$C=$L1402),'env Parameter'!I:I,""),"")</f>
        <v>YR</v>
      </c>
    </row>
    <row r="1403" spans="1:14">
      <c r="A1403">
        <f>eDNA!A1403</f>
        <v>20201024</v>
      </c>
      <c r="B1403" s="10" t="str" cm="1">
        <f t="array" ref="B1403">IFERROR(_xlfn.XLOOKUP(1,('env Parameter'!$A:$A=$A1403)*('env Parameter'!$B:$B=$K1403)*('env Parameter'!$C:$C=$L1403),'env Parameter'!H:H,""),"")</f>
        <v>생물상 조사</v>
      </c>
      <c r="C1403" s="10" cm="1">
        <f t="array" ref="C1403">IFERROR(_xlfn.XLOOKUP(1,('env Parameter'!$A:$A=$A1403)*('env Parameter'!$B:$B=$K1403)*('env Parameter'!$C:$C=$L1403),'env Parameter'!E:E,""),"")</f>
        <v>2.14</v>
      </c>
      <c r="D1403" s="10" cm="1">
        <f t="array" ref="D1403">IFERROR(_xlfn.XLOOKUP(1,('env Parameter'!$A:$A=$A1403)*('env Parameter'!$B:$B=$K1403)*('env Parameter'!$C:$C=$L1403),'env Parameter'!F:F,""),"")</f>
        <v>478</v>
      </c>
      <c r="E1403" s="10" cm="1">
        <f t="array" ref="E1403">IFERROR(_xlfn.XLOOKUP(1,('env Parameter'!$A:$A=$A1403)*('env Parameter'!$B:$B=$K1403)*('env Parameter'!$C:$C=$L1403),'env Parameter'!G:G,""),"")</f>
        <v>7.6</v>
      </c>
      <c r="F1403" t="str">
        <f>eDNA!F1403</f>
        <v>MiFish</v>
      </c>
      <c r="G1403" t="str">
        <f>eDNA!D1403</f>
        <v>Rhinogobius giurinus</v>
      </c>
      <c r="H1403" t="str">
        <f>_xlfn.XLOOKUP(G1403,'Common name (master file)'!$B:$B,'Common name (master file)'!$A:$A,"-------------")</f>
        <v>갈문망둑</v>
      </c>
      <c r="I1403">
        <f>eDNA!E1403</f>
        <v>253</v>
      </c>
      <c r="J1403" t="str">
        <f>_xlfn.XLOOKUP(G1403,'Common name (master file)'!$B:$B,'Common name (master file)'!$C:$C,"")</f>
        <v>어류</v>
      </c>
      <c r="K1403">
        <f>eDNA!B1403</f>
        <v>126.83793110000001</v>
      </c>
      <c r="L1403">
        <f>eDNA!C1403</f>
        <v>37.441797600000001</v>
      </c>
      <c r="M1403" s="10" t="str" cm="1">
        <f t="array" ref="M1403">IFERROR(_xlfn.XLOOKUP(1,('env Parameter'!$A:$A=$A1403)*('env Parameter'!$B:$B=$K1403)*('env Parameter'!$C:$C=$L1403),'env Parameter'!D:D,""),"")</f>
        <v>목감천-2</v>
      </c>
      <c r="N1403" s="10" t="str" cm="1">
        <f t="array" ref="N1403">IFERROR(_xlfn.XLOOKUP(1,('env Parameter'!$A:$A=$A1403)*('env Parameter'!$B:$B=$K1403)*('env Parameter'!$C:$C=$L1403),'env Parameter'!I:I,""),"")</f>
        <v>YR</v>
      </c>
    </row>
    <row r="1404" spans="1:14">
      <c r="A1404">
        <f>eDNA!A1404</f>
        <v>20201024</v>
      </c>
      <c r="B1404" s="10" t="str" cm="1">
        <f t="array" ref="B1404">IFERROR(_xlfn.XLOOKUP(1,('env Parameter'!$A:$A=$A1404)*('env Parameter'!$B:$B=$K1404)*('env Parameter'!$C:$C=$L1404),'env Parameter'!H:H,""),"")</f>
        <v>생물상 조사</v>
      </c>
      <c r="C1404" s="10" cm="1">
        <f t="array" ref="C1404">IFERROR(_xlfn.XLOOKUP(1,('env Parameter'!$A:$A=$A1404)*('env Parameter'!$B:$B=$K1404)*('env Parameter'!$C:$C=$L1404),'env Parameter'!E:E,""),"")</f>
        <v>2.14</v>
      </c>
      <c r="D1404" s="10" cm="1">
        <f t="array" ref="D1404">IFERROR(_xlfn.XLOOKUP(1,('env Parameter'!$A:$A=$A1404)*('env Parameter'!$B:$B=$K1404)*('env Parameter'!$C:$C=$L1404),'env Parameter'!F:F,""),"")</f>
        <v>478</v>
      </c>
      <c r="E1404" s="10" cm="1">
        <f t="array" ref="E1404">IFERROR(_xlfn.XLOOKUP(1,('env Parameter'!$A:$A=$A1404)*('env Parameter'!$B:$B=$K1404)*('env Parameter'!$C:$C=$L1404),'env Parameter'!G:G,""),"")</f>
        <v>7.6</v>
      </c>
      <c r="F1404" t="str">
        <f>eDNA!F1404</f>
        <v>MiFish</v>
      </c>
      <c r="G1404" t="str">
        <f>eDNA!D1404</f>
        <v>Channa argus</v>
      </c>
      <c r="H1404" t="str">
        <f>_xlfn.XLOOKUP(G1404,'Common name (master file)'!$B:$B,'Common name (master file)'!$A:$A,"-------------")</f>
        <v>가물치</v>
      </c>
      <c r="I1404">
        <f>eDNA!E1404</f>
        <v>177</v>
      </c>
      <c r="J1404" t="str">
        <f>_xlfn.XLOOKUP(G1404,'Common name (master file)'!$B:$B,'Common name (master file)'!$C:$C,"")</f>
        <v>어류</v>
      </c>
      <c r="K1404">
        <f>eDNA!B1404</f>
        <v>126.83793110000001</v>
      </c>
      <c r="L1404">
        <f>eDNA!C1404</f>
        <v>37.441797600000001</v>
      </c>
      <c r="M1404" s="10" t="str" cm="1">
        <f t="array" ref="M1404">IFERROR(_xlfn.XLOOKUP(1,('env Parameter'!$A:$A=$A1404)*('env Parameter'!$B:$B=$K1404)*('env Parameter'!$C:$C=$L1404),'env Parameter'!D:D,""),"")</f>
        <v>목감천-2</v>
      </c>
      <c r="N1404" s="10" t="str" cm="1">
        <f t="array" ref="N1404">IFERROR(_xlfn.XLOOKUP(1,('env Parameter'!$A:$A=$A1404)*('env Parameter'!$B:$B=$K1404)*('env Parameter'!$C:$C=$L1404),'env Parameter'!I:I,""),"")</f>
        <v>YR</v>
      </c>
    </row>
    <row r="1405" spans="1:14">
      <c r="A1405">
        <f>eDNA!A1405</f>
        <v>20201024</v>
      </c>
      <c r="B1405" s="10" t="str" cm="1">
        <f t="array" ref="B1405">IFERROR(_xlfn.XLOOKUP(1,('env Parameter'!$A:$A=$A1405)*('env Parameter'!$B:$B=$K1405)*('env Parameter'!$C:$C=$L1405),'env Parameter'!H:H,""),"")</f>
        <v>생물상 조사</v>
      </c>
      <c r="C1405" s="10" cm="1">
        <f t="array" ref="C1405">IFERROR(_xlfn.XLOOKUP(1,('env Parameter'!$A:$A=$A1405)*('env Parameter'!$B:$B=$K1405)*('env Parameter'!$C:$C=$L1405),'env Parameter'!E:E,""),"")</f>
        <v>2.14</v>
      </c>
      <c r="D1405" s="10" cm="1">
        <f t="array" ref="D1405">IFERROR(_xlfn.XLOOKUP(1,('env Parameter'!$A:$A=$A1405)*('env Parameter'!$B:$B=$K1405)*('env Parameter'!$C:$C=$L1405),'env Parameter'!F:F,""),"")</f>
        <v>478</v>
      </c>
      <c r="E1405" s="10" cm="1">
        <f t="array" ref="E1405">IFERROR(_xlfn.XLOOKUP(1,('env Parameter'!$A:$A=$A1405)*('env Parameter'!$B:$B=$K1405)*('env Parameter'!$C:$C=$L1405),'env Parameter'!G:G,""),"")</f>
        <v>7.6</v>
      </c>
      <c r="F1405" t="str">
        <f>eDNA!F1405</f>
        <v>MiFish</v>
      </c>
      <c r="G1405" t="str">
        <f>eDNA!D1405</f>
        <v>Bos taurus</v>
      </c>
      <c r="H1405" t="str">
        <f>_xlfn.XLOOKUP(G1405,'Common name (master file)'!$B:$B,'Common name (master file)'!$A:$A,"-------------")</f>
        <v>소</v>
      </c>
      <c r="I1405">
        <f>eDNA!E1405</f>
        <v>198</v>
      </c>
      <c r="J1405" t="str">
        <f>_xlfn.XLOOKUP(G1405,'Common name (master file)'!$B:$B,'Common name (master file)'!$C:$C,"")</f>
        <v>포유류</v>
      </c>
      <c r="K1405">
        <f>eDNA!B1405</f>
        <v>126.83793110000001</v>
      </c>
      <c r="L1405">
        <f>eDNA!C1405</f>
        <v>37.441797600000001</v>
      </c>
      <c r="M1405" s="10" t="str" cm="1">
        <f t="array" ref="M1405">IFERROR(_xlfn.XLOOKUP(1,('env Parameter'!$A:$A=$A1405)*('env Parameter'!$B:$B=$K1405)*('env Parameter'!$C:$C=$L1405),'env Parameter'!D:D,""),"")</f>
        <v>목감천-2</v>
      </c>
      <c r="N1405" s="10" t="str" cm="1">
        <f t="array" ref="N1405">IFERROR(_xlfn.XLOOKUP(1,('env Parameter'!$A:$A=$A1405)*('env Parameter'!$B:$B=$K1405)*('env Parameter'!$C:$C=$L1405),'env Parameter'!I:I,""),"")</f>
        <v>YR</v>
      </c>
    </row>
    <row r="1406" spans="1:14">
      <c r="A1406">
        <f>eDNA!A1406</f>
        <v>20201024</v>
      </c>
      <c r="B1406" s="10" t="str" cm="1">
        <f t="array" ref="B1406">IFERROR(_xlfn.XLOOKUP(1,('env Parameter'!$A:$A=$A1406)*('env Parameter'!$B:$B=$K1406)*('env Parameter'!$C:$C=$L1406),'env Parameter'!H:H,""),"")</f>
        <v>생물상 조사</v>
      </c>
      <c r="C1406" s="10" cm="1">
        <f t="array" ref="C1406">IFERROR(_xlfn.XLOOKUP(1,('env Parameter'!$A:$A=$A1406)*('env Parameter'!$B:$B=$K1406)*('env Parameter'!$C:$C=$L1406),'env Parameter'!E:E,""),"")</f>
        <v>2.14</v>
      </c>
      <c r="D1406" s="10" cm="1">
        <f t="array" ref="D1406">IFERROR(_xlfn.XLOOKUP(1,('env Parameter'!$A:$A=$A1406)*('env Parameter'!$B:$B=$K1406)*('env Parameter'!$C:$C=$L1406),'env Parameter'!F:F,""),"")</f>
        <v>478</v>
      </c>
      <c r="E1406" s="10" cm="1">
        <f t="array" ref="E1406">IFERROR(_xlfn.XLOOKUP(1,('env Parameter'!$A:$A=$A1406)*('env Parameter'!$B:$B=$K1406)*('env Parameter'!$C:$C=$L1406),'env Parameter'!G:G,""),"")</f>
        <v>7.6</v>
      </c>
      <c r="F1406" t="str">
        <f>eDNA!F1406</f>
        <v>MiFish</v>
      </c>
      <c r="G1406" t="str">
        <f>eDNA!D1406</f>
        <v>Bos taurus</v>
      </c>
      <c r="H1406" t="str">
        <f>_xlfn.XLOOKUP(G1406,'Common name (master file)'!$B:$B,'Common name (master file)'!$A:$A,"-------------")</f>
        <v>소</v>
      </c>
      <c r="I1406">
        <f>eDNA!E1406</f>
        <v>246</v>
      </c>
      <c r="J1406" t="str">
        <f>_xlfn.XLOOKUP(G1406,'Common name (master file)'!$B:$B,'Common name (master file)'!$C:$C,"")</f>
        <v>포유류</v>
      </c>
      <c r="K1406">
        <f>eDNA!B1406</f>
        <v>126.83793110000001</v>
      </c>
      <c r="L1406">
        <f>eDNA!C1406</f>
        <v>37.441797600000001</v>
      </c>
      <c r="M1406" s="10" t="str" cm="1">
        <f t="array" ref="M1406">IFERROR(_xlfn.XLOOKUP(1,('env Parameter'!$A:$A=$A1406)*('env Parameter'!$B:$B=$K1406)*('env Parameter'!$C:$C=$L1406),'env Parameter'!D:D,""),"")</f>
        <v>목감천-2</v>
      </c>
      <c r="N1406" s="10" t="str" cm="1">
        <f t="array" ref="N1406">IFERROR(_xlfn.XLOOKUP(1,('env Parameter'!$A:$A=$A1406)*('env Parameter'!$B:$B=$K1406)*('env Parameter'!$C:$C=$L1406),'env Parameter'!I:I,""),"")</f>
        <v>YR</v>
      </c>
    </row>
    <row r="1407" spans="1:14">
      <c r="A1407">
        <f>eDNA!A1407</f>
        <v>20201024</v>
      </c>
      <c r="B1407" s="10" t="str" cm="1">
        <f t="array" ref="B1407">IFERROR(_xlfn.XLOOKUP(1,('env Parameter'!$A:$A=$A1407)*('env Parameter'!$B:$B=$K1407)*('env Parameter'!$C:$C=$L1407),'env Parameter'!H:H,""),"")</f>
        <v>생물상 조사</v>
      </c>
      <c r="C1407" s="10" cm="1">
        <f t="array" ref="C1407">IFERROR(_xlfn.XLOOKUP(1,('env Parameter'!$A:$A=$A1407)*('env Parameter'!$B:$B=$K1407)*('env Parameter'!$C:$C=$L1407),'env Parameter'!E:E,""),"")</f>
        <v>2.14</v>
      </c>
      <c r="D1407" s="10" cm="1">
        <f t="array" ref="D1407">IFERROR(_xlfn.XLOOKUP(1,('env Parameter'!$A:$A=$A1407)*('env Parameter'!$B:$B=$K1407)*('env Parameter'!$C:$C=$L1407),'env Parameter'!F:F,""),"")</f>
        <v>478</v>
      </c>
      <c r="E1407" s="10" cm="1">
        <f t="array" ref="E1407">IFERROR(_xlfn.XLOOKUP(1,('env Parameter'!$A:$A=$A1407)*('env Parameter'!$B:$B=$K1407)*('env Parameter'!$C:$C=$L1407),'env Parameter'!G:G,""),"")</f>
        <v>7.6</v>
      </c>
      <c r="F1407" t="str">
        <f>eDNA!F1407</f>
        <v>MiFish</v>
      </c>
      <c r="G1407" t="str">
        <f>eDNA!D1407</f>
        <v>Homo sapiens</v>
      </c>
      <c r="H1407" t="str">
        <f>_xlfn.XLOOKUP(G1407,'Common name (master file)'!$B:$B,'Common name (master file)'!$A:$A,"-------------")</f>
        <v>사람</v>
      </c>
      <c r="I1407">
        <f>eDNA!E1407</f>
        <v>269</v>
      </c>
      <c r="J1407" t="str">
        <f>_xlfn.XLOOKUP(G1407,'Common name (master file)'!$B:$B,'Common name (master file)'!$C:$C,"")</f>
        <v>포유류</v>
      </c>
      <c r="K1407">
        <f>eDNA!B1407</f>
        <v>126.83793110000001</v>
      </c>
      <c r="L1407">
        <f>eDNA!C1407</f>
        <v>37.441797600000001</v>
      </c>
      <c r="M1407" s="10" t="str" cm="1">
        <f t="array" ref="M1407">IFERROR(_xlfn.XLOOKUP(1,('env Parameter'!$A:$A=$A1407)*('env Parameter'!$B:$B=$K1407)*('env Parameter'!$C:$C=$L1407),'env Parameter'!D:D,""),"")</f>
        <v>목감천-2</v>
      </c>
      <c r="N1407" s="10" t="str" cm="1">
        <f t="array" ref="N1407">IFERROR(_xlfn.XLOOKUP(1,('env Parameter'!$A:$A=$A1407)*('env Parameter'!$B:$B=$K1407)*('env Parameter'!$C:$C=$L1407),'env Parameter'!I:I,""),"")</f>
        <v>YR</v>
      </c>
    </row>
    <row r="1408" spans="1:14">
      <c r="A1408">
        <f>eDNA!A1408</f>
        <v>20201024</v>
      </c>
      <c r="B1408" s="10" t="str" cm="1">
        <f t="array" ref="B1408">IFERROR(_xlfn.XLOOKUP(1,('env Parameter'!$A:$A=$A1408)*('env Parameter'!$B:$B=$K1408)*('env Parameter'!$C:$C=$L1408),'env Parameter'!H:H,""),"")</f>
        <v>생물상 조사</v>
      </c>
      <c r="C1408" s="10" cm="1">
        <f t="array" ref="C1408">IFERROR(_xlfn.XLOOKUP(1,('env Parameter'!$A:$A=$A1408)*('env Parameter'!$B:$B=$K1408)*('env Parameter'!$C:$C=$L1408),'env Parameter'!E:E,""),"")</f>
        <v>2.14</v>
      </c>
      <c r="D1408" s="10" cm="1">
        <f t="array" ref="D1408">IFERROR(_xlfn.XLOOKUP(1,('env Parameter'!$A:$A=$A1408)*('env Parameter'!$B:$B=$K1408)*('env Parameter'!$C:$C=$L1408),'env Parameter'!F:F,""),"")</f>
        <v>478</v>
      </c>
      <c r="E1408" s="10" cm="1">
        <f t="array" ref="E1408">IFERROR(_xlfn.XLOOKUP(1,('env Parameter'!$A:$A=$A1408)*('env Parameter'!$B:$B=$K1408)*('env Parameter'!$C:$C=$L1408),'env Parameter'!G:G,""),"")</f>
        <v>7.6</v>
      </c>
      <c r="F1408" t="str">
        <f>eDNA!F1408</f>
        <v>MiFish</v>
      </c>
      <c r="G1408" t="str">
        <f>eDNA!D1408</f>
        <v>Paralichthys olivaceus</v>
      </c>
      <c r="H1408" t="str">
        <f>_xlfn.XLOOKUP(G1408,'Common name (master file)'!$B:$B,'Common name (master file)'!$A:$A,"-------------")</f>
        <v>남해산 넙치</v>
      </c>
      <c r="I1408">
        <f>eDNA!E1408</f>
        <v>269</v>
      </c>
      <c r="J1408" t="str">
        <f>_xlfn.XLOOKUP(G1408,'Common name (master file)'!$B:$B,'Common name (master file)'!$C:$C,"")</f>
        <v>어류</v>
      </c>
      <c r="K1408">
        <f>eDNA!B1408</f>
        <v>126.83793110000001</v>
      </c>
      <c r="L1408">
        <f>eDNA!C1408</f>
        <v>37.441797600000001</v>
      </c>
      <c r="M1408" s="10" t="str" cm="1">
        <f t="array" ref="M1408">IFERROR(_xlfn.XLOOKUP(1,('env Parameter'!$A:$A=$A1408)*('env Parameter'!$B:$B=$K1408)*('env Parameter'!$C:$C=$L1408),'env Parameter'!D:D,""),"")</f>
        <v>목감천-2</v>
      </c>
      <c r="N1408" s="10" t="str" cm="1">
        <f t="array" ref="N1408">IFERROR(_xlfn.XLOOKUP(1,('env Parameter'!$A:$A=$A1408)*('env Parameter'!$B:$B=$K1408)*('env Parameter'!$C:$C=$L1408),'env Parameter'!I:I,""),"")</f>
        <v>YR</v>
      </c>
    </row>
    <row r="1409" spans="1:14">
      <c r="A1409">
        <f>eDNA!A1409</f>
        <v>20201024</v>
      </c>
      <c r="B1409" s="10" t="str" cm="1">
        <f t="array" ref="B1409">IFERROR(_xlfn.XLOOKUP(1,('env Parameter'!$A:$A=$A1409)*('env Parameter'!$B:$B=$K1409)*('env Parameter'!$C:$C=$L1409),'env Parameter'!H:H,""),"")</f>
        <v>생물상 조사</v>
      </c>
      <c r="C1409" s="10" cm="1">
        <f t="array" ref="C1409">IFERROR(_xlfn.XLOOKUP(1,('env Parameter'!$A:$A=$A1409)*('env Parameter'!$B:$B=$K1409)*('env Parameter'!$C:$C=$L1409),'env Parameter'!E:E,""),"")</f>
        <v>2.14</v>
      </c>
      <c r="D1409" s="10" cm="1">
        <f t="array" ref="D1409">IFERROR(_xlfn.XLOOKUP(1,('env Parameter'!$A:$A=$A1409)*('env Parameter'!$B:$B=$K1409)*('env Parameter'!$C:$C=$L1409),'env Parameter'!F:F,""),"")</f>
        <v>478</v>
      </c>
      <c r="E1409" s="10" cm="1">
        <f t="array" ref="E1409">IFERROR(_xlfn.XLOOKUP(1,('env Parameter'!$A:$A=$A1409)*('env Parameter'!$B:$B=$K1409)*('env Parameter'!$C:$C=$L1409),'env Parameter'!G:G,""),"")</f>
        <v>7.6</v>
      </c>
      <c r="F1409" t="str">
        <f>eDNA!F1409</f>
        <v>MiFish</v>
      </c>
      <c r="G1409" t="str">
        <f>eDNA!D1409</f>
        <v>Lepomis macrochirus</v>
      </c>
      <c r="H1409" t="str">
        <f>_xlfn.XLOOKUP(G1409,'Common name (master file)'!$B:$B,'Common name (master file)'!$A:$A,"-------------")</f>
        <v>블루길</v>
      </c>
      <c r="I1409">
        <f>eDNA!E1409</f>
        <v>302</v>
      </c>
      <c r="J1409" t="str">
        <f>_xlfn.XLOOKUP(G1409,'Common name (master file)'!$B:$B,'Common name (master file)'!$C:$C,"")</f>
        <v>어류</v>
      </c>
      <c r="K1409">
        <f>eDNA!B1409</f>
        <v>126.83793110000001</v>
      </c>
      <c r="L1409">
        <f>eDNA!C1409</f>
        <v>37.441797600000001</v>
      </c>
      <c r="M1409" s="10" t="str" cm="1">
        <f t="array" ref="M1409">IFERROR(_xlfn.XLOOKUP(1,('env Parameter'!$A:$A=$A1409)*('env Parameter'!$B:$B=$K1409)*('env Parameter'!$C:$C=$L1409),'env Parameter'!D:D,""),"")</f>
        <v>목감천-2</v>
      </c>
      <c r="N1409" s="10" t="str" cm="1">
        <f t="array" ref="N1409">IFERROR(_xlfn.XLOOKUP(1,('env Parameter'!$A:$A=$A1409)*('env Parameter'!$B:$B=$K1409)*('env Parameter'!$C:$C=$L1409),'env Parameter'!I:I,""),"")</f>
        <v>YR</v>
      </c>
    </row>
    <row r="1410" spans="1:14">
      <c r="A1410">
        <f>eDNA!A1410</f>
        <v>20201024</v>
      </c>
      <c r="B1410" s="10" t="str" cm="1">
        <f t="array" ref="B1410">IFERROR(_xlfn.XLOOKUP(1,('env Parameter'!$A:$A=$A1410)*('env Parameter'!$B:$B=$K1410)*('env Parameter'!$C:$C=$L1410),'env Parameter'!H:H,""),"")</f>
        <v>생물상 조사</v>
      </c>
      <c r="C1410" s="10" cm="1">
        <f t="array" ref="C1410">IFERROR(_xlfn.XLOOKUP(1,('env Parameter'!$A:$A=$A1410)*('env Parameter'!$B:$B=$K1410)*('env Parameter'!$C:$C=$L1410),'env Parameter'!E:E,""),"")</f>
        <v>2.14</v>
      </c>
      <c r="D1410" s="10" cm="1">
        <f t="array" ref="D1410">IFERROR(_xlfn.XLOOKUP(1,('env Parameter'!$A:$A=$A1410)*('env Parameter'!$B:$B=$K1410)*('env Parameter'!$C:$C=$L1410),'env Parameter'!F:F,""),"")</f>
        <v>478</v>
      </c>
      <c r="E1410" s="10" cm="1">
        <f t="array" ref="E1410">IFERROR(_xlfn.XLOOKUP(1,('env Parameter'!$A:$A=$A1410)*('env Parameter'!$B:$B=$K1410)*('env Parameter'!$C:$C=$L1410),'env Parameter'!G:G,""),"")</f>
        <v>7.6</v>
      </c>
      <c r="F1410" t="str">
        <f>eDNA!F1410</f>
        <v>MiFish</v>
      </c>
      <c r="G1410" t="str">
        <f>eDNA!D1410</f>
        <v>Anguilla japonica</v>
      </c>
      <c r="H1410" t="str">
        <f>_xlfn.XLOOKUP(G1410,'Common name (master file)'!$B:$B,'Common name (master file)'!$A:$A,"-------------")</f>
        <v>뱀장어</v>
      </c>
      <c r="I1410">
        <f>eDNA!E1410</f>
        <v>439</v>
      </c>
      <c r="J1410" t="str">
        <f>_xlfn.XLOOKUP(G1410,'Common name (master file)'!$B:$B,'Common name (master file)'!$C:$C,"")</f>
        <v>어류</v>
      </c>
      <c r="K1410">
        <f>eDNA!B1410</f>
        <v>126.83793110000001</v>
      </c>
      <c r="L1410">
        <f>eDNA!C1410</f>
        <v>37.441797600000001</v>
      </c>
      <c r="M1410" s="10" t="str" cm="1">
        <f t="array" ref="M1410">IFERROR(_xlfn.XLOOKUP(1,('env Parameter'!$A:$A=$A1410)*('env Parameter'!$B:$B=$K1410)*('env Parameter'!$C:$C=$L1410),'env Parameter'!D:D,""),"")</f>
        <v>목감천-2</v>
      </c>
      <c r="N1410" s="10" t="str" cm="1">
        <f t="array" ref="N1410">IFERROR(_xlfn.XLOOKUP(1,('env Parameter'!$A:$A=$A1410)*('env Parameter'!$B:$B=$K1410)*('env Parameter'!$C:$C=$L1410),'env Parameter'!I:I,""),"")</f>
        <v>YR</v>
      </c>
    </row>
    <row r="1411" spans="1:14">
      <c r="A1411">
        <f>eDNA!A1411</f>
        <v>20201024</v>
      </c>
      <c r="B1411" s="10" t="str" cm="1">
        <f t="array" ref="B1411">IFERROR(_xlfn.XLOOKUP(1,('env Parameter'!$A:$A=$A1411)*('env Parameter'!$B:$B=$K1411)*('env Parameter'!$C:$C=$L1411),'env Parameter'!H:H,""),"")</f>
        <v>생물상 조사</v>
      </c>
      <c r="C1411" s="10" cm="1">
        <f t="array" ref="C1411">IFERROR(_xlfn.XLOOKUP(1,('env Parameter'!$A:$A=$A1411)*('env Parameter'!$B:$B=$K1411)*('env Parameter'!$C:$C=$L1411),'env Parameter'!E:E,""),"")</f>
        <v>2.14</v>
      </c>
      <c r="D1411" s="10" cm="1">
        <f t="array" ref="D1411">IFERROR(_xlfn.XLOOKUP(1,('env Parameter'!$A:$A=$A1411)*('env Parameter'!$B:$B=$K1411)*('env Parameter'!$C:$C=$L1411),'env Parameter'!F:F,""),"")</f>
        <v>478</v>
      </c>
      <c r="E1411" s="10" cm="1">
        <f t="array" ref="E1411">IFERROR(_xlfn.XLOOKUP(1,('env Parameter'!$A:$A=$A1411)*('env Parameter'!$B:$B=$K1411)*('env Parameter'!$C:$C=$L1411),'env Parameter'!G:G,""),"")</f>
        <v>7.6</v>
      </c>
      <c r="F1411" t="str">
        <f>eDNA!F1411</f>
        <v>MiFish</v>
      </c>
      <c r="G1411" t="str">
        <f>eDNA!D1411</f>
        <v>Zacco platypus</v>
      </c>
      <c r="H1411" t="str">
        <f>_xlfn.XLOOKUP(G1411,'Common name (master file)'!$B:$B,'Common name (master file)'!$A:$A,"-------------")</f>
        <v>피라미</v>
      </c>
      <c r="I1411">
        <f>eDNA!E1411</f>
        <v>563</v>
      </c>
      <c r="J1411" t="str">
        <f>_xlfn.XLOOKUP(G1411,'Common name (master file)'!$B:$B,'Common name (master file)'!$C:$C,"")</f>
        <v>어류</v>
      </c>
      <c r="K1411">
        <f>eDNA!B1411</f>
        <v>126.83793110000001</v>
      </c>
      <c r="L1411">
        <f>eDNA!C1411</f>
        <v>37.441797600000001</v>
      </c>
      <c r="M1411" s="10" t="str" cm="1">
        <f t="array" ref="M1411">IFERROR(_xlfn.XLOOKUP(1,('env Parameter'!$A:$A=$A1411)*('env Parameter'!$B:$B=$K1411)*('env Parameter'!$C:$C=$L1411),'env Parameter'!D:D,""),"")</f>
        <v>목감천-2</v>
      </c>
      <c r="N1411" s="10" t="str" cm="1">
        <f t="array" ref="N1411">IFERROR(_xlfn.XLOOKUP(1,('env Parameter'!$A:$A=$A1411)*('env Parameter'!$B:$B=$K1411)*('env Parameter'!$C:$C=$L1411),'env Parameter'!I:I,""),"")</f>
        <v>YR</v>
      </c>
    </row>
    <row r="1412" spans="1:14">
      <c r="A1412">
        <f>eDNA!A1412</f>
        <v>20201024</v>
      </c>
      <c r="B1412" s="10" t="str" cm="1">
        <f t="array" ref="B1412">IFERROR(_xlfn.XLOOKUP(1,('env Parameter'!$A:$A=$A1412)*('env Parameter'!$B:$B=$K1412)*('env Parameter'!$C:$C=$L1412),'env Parameter'!H:H,""),"")</f>
        <v>생물상 조사</v>
      </c>
      <c r="C1412" s="10" cm="1">
        <f t="array" ref="C1412">IFERROR(_xlfn.XLOOKUP(1,('env Parameter'!$A:$A=$A1412)*('env Parameter'!$B:$B=$K1412)*('env Parameter'!$C:$C=$L1412),'env Parameter'!E:E,""),"")</f>
        <v>2.14</v>
      </c>
      <c r="D1412" s="10" cm="1">
        <f t="array" ref="D1412">IFERROR(_xlfn.XLOOKUP(1,('env Parameter'!$A:$A=$A1412)*('env Parameter'!$B:$B=$K1412)*('env Parameter'!$C:$C=$L1412),'env Parameter'!F:F,""),"")</f>
        <v>478</v>
      </c>
      <c r="E1412" s="10" cm="1">
        <f t="array" ref="E1412">IFERROR(_xlfn.XLOOKUP(1,('env Parameter'!$A:$A=$A1412)*('env Parameter'!$B:$B=$K1412)*('env Parameter'!$C:$C=$L1412),'env Parameter'!G:G,""),"")</f>
        <v>7.6</v>
      </c>
      <c r="F1412" t="str">
        <f>eDNA!F1412</f>
        <v>MiFish</v>
      </c>
      <c r="G1412" t="str">
        <f>eDNA!D1412</f>
        <v>Carassius sp.</v>
      </c>
      <c r="H1412" t="str">
        <f>_xlfn.XLOOKUP(G1412,'Common name (master file)'!$B:$B,'Common name (master file)'!$A:$A,"-------------")</f>
        <v>붕어 속</v>
      </c>
      <c r="I1412">
        <f>eDNA!E1412</f>
        <v>617</v>
      </c>
      <c r="J1412" t="str">
        <f>_xlfn.XLOOKUP(G1412,'Common name (master file)'!$B:$B,'Common name (master file)'!$C:$C,"")</f>
        <v>어류</v>
      </c>
      <c r="K1412">
        <f>eDNA!B1412</f>
        <v>126.83793110000001</v>
      </c>
      <c r="L1412">
        <f>eDNA!C1412</f>
        <v>37.441797600000001</v>
      </c>
      <c r="M1412" s="10" t="str" cm="1">
        <f t="array" ref="M1412">IFERROR(_xlfn.XLOOKUP(1,('env Parameter'!$A:$A=$A1412)*('env Parameter'!$B:$B=$K1412)*('env Parameter'!$C:$C=$L1412),'env Parameter'!D:D,""),"")</f>
        <v>목감천-2</v>
      </c>
      <c r="N1412" s="10" t="str" cm="1">
        <f t="array" ref="N1412">IFERROR(_xlfn.XLOOKUP(1,('env Parameter'!$A:$A=$A1412)*('env Parameter'!$B:$B=$K1412)*('env Parameter'!$C:$C=$L1412),'env Parameter'!I:I,""),"")</f>
        <v>YR</v>
      </c>
    </row>
    <row r="1413" spans="1:14">
      <c r="A1413">
        <f>eDNA!A1413</f>
        <v>20201024</v>
      </c>
      <c r="B1413" s="10" t="str" cm="1">
        <f t="array" ref="B1413">IFERROR(_xlfn.XLOOKUP(1,('env Parameter'!$A:$A=$A1413)*('env Parameter'!$B:$B=$K1413)*('env Parameter'!$C:$C=$L1413),'env Parameter'!H:H,""),"")</f>
        <v>생물상 조사</v>
      </c>
      <c r="C1413" s="10" cm="1">
        <f t="array" ref="C1413">IFERROR(_xlfn.XLOOKUP(1,('env Parameter'!$A:$A=$A1413)*('env Parameter'!$B:$B=$K1413)*('env Parameter'!$C:$C=$L1413),'env Parameter'!E:E,""),"")</f>
        <v>2.14</v>
      </c>
      <c r="D1413" s="10" cm="1">
        <f t="array" ref="D1413">IFERROR(_xlfn.XLOOKUP(1,('env Parameter'!$A:$A=$A1413)*('env Parameter'!$B:$B=$K1413)*('env Parameter'!$C:$C=$L1413),'env Parameter'!F:F,""),"")</f>
        <v>478</v>
      </c>
      <c r="E1413" s="10" cm="1">
        <f t="array" ref="E1413">IFERROR(_xlfn.XLOOKUP(1,('env Parameter'!$A:$A=$A1413)*('env Parameter'!$B:$B=$K1413)*('env Parameter'!$C:$C=$L1413),'env Parameter'!G:G,""),"")</f>
        <v>7.6</v>
      </c>
      <c r="F1413" t="str">
        <f>eDNA!F1413</f>
        <v>MiFish</v>
      </c>
      <c r="G1413" t="str">
        <f>eDNA!D1413</f>
        <v>Silurus soldatovi</v>
      </c>
      <c r="H1413" t="str">
        <f>_xlfn.XLOOKUP(G1413,'Common name (master file)'!$B:$B,'Common name (master file)'!$A:$A,"-------------")</f>
        <v>솔다토비 메기</v>
      </c>
      <c r="I1413">
        <f>eDNA!E1413</f>
        <v>1375</v>
      </c>
      <c r="J1413" t="str">
        <f>_xlfn.XLOOKUP(G1413,'Common name (master file)'!$B:$B,'Common name (master file)'!$C:$C,"")</f>
        <v>어류</v>
      </c>
      <c r="K1413">
        <f>eDNA!B1413</f>
        <v>126.83793110000001</v>
      </c>
      <c r="L1413">
        <f>eDNA!C1413</f>
        <v>37.441797600000001</v>
      </c>
      <c r="M1413" s="10" t="str" cm="1">
        <f t="array" ref="M1413">IFERROR(_xlfn.XLOOKUP(1,('env Parameter'!$A:$A=$A1413)*('env Parameter'!$B:$B=$K1413)*('env Parameter'!$C:$C=$L1413),'env Parameter'!D:D,""),"")</f>
        <v>목감천-2</v>
      </c>
      <c r="N1413" s="10" t="str" cm="1">
        <f t="array" ref="N1413">IFERROR(_xlfn.XLOOKUP(1,('env Parameter'!$A:$A=$A1413)*('env Parameter'!$B:$B=$K1413)*('env Parameter'!$C:$C=$L1413),'env Parameter'!I:I,""),"")</f>
        <v>YR</v>
      </c>
    </row>
    <row r="1414" spans="1:14">
      <c r="A1414">
        <f>eDNA!A1414</f>
        <v>20201024</v>
      </c>
      <c r="B1414" s="10" t="str" cm="1">
        <f t="array" ref="B1414">IFERROR(_xlfn.XLOOKUP(1,('env Parameter'!$A:$A=$A1414)*('env Parameter'!$B:$B=$K1414)*('env Parameter'!$C:$C=$L1414),'env Parameter'!H:H,""),"")</f>
        <v>생물상 조사</v>
      </c>
      <c r="C1414" s="10" cm="1">
        <f t="array" ref="C1414">IFERROR(_xlfn.XLOOKUP(1,('env Parameter'!$A:$A=$A1414)*('env Parameter'!$B:$B=$K1414)*('env Parameter'!$C:$C=$L1414),'env Parameter'!E:E,""),"")</f>
        <v>2.14</v>
      </c>
      <c r="D1414" s="10" cm="1">
        <f t="array" ref="D1414">IFERROR(_xlfn.XLOOKUP(1,('env Parameter'!$A:$A=$A1414)*('env Parameter'!$B:$B=$K1414)*('env Parameter'!$C:$C=$L1414),'env Parameter'!F:F,""),"")</f>
        <v>478</v>
      </c>
      <c r="E1414" s="10" cm="1">
        <f t="array" ref="E1414">IFERROR(_xlfn.XLOOKUP(1,('env Parameter'!$A:$A=$A1414)*('env Parameter'!$B:$B=$K1414)*('env Parameter'!$C:$C=$L1414),'env Parameter'!G:G,""),"")</f>
        <v>7.6</v>
      </c>
      <c r="F1414" t="str">
        <f>eDNA!F1414</f>
        <v>MiFish</v>
      </c>
      <c r="G1414" t="str">
        <f>eDNA!D1414</f>
        <v>Konosirus punctatus</v>
      </c>
      <c r="H1414" t="str">
        <f>_xlfn.XLOOKUP(G1414,'Common name (master file)'!$B:$B,'Common name (master file)'!$A:$A,"-------------")</f>
        <v>전어</v>
      </c>
      <c r="I1414">
        <f>eDNA!E1414</f>
        <v>2046</v>
      </c>
      <c r="J1414" t="str">
        <f>_xlfn.XLOOKUP(G1414,'Common name (master file)'!$B:$B,'Common name (master file)'!$C:$C,"")</f>
        <v>어류</v>
      </c>
      <c r="K1414">
        <f>eDNA!B1414</f>
        <v>126.83793110000001</v>
      </c>
      <c r="L1414">
        <f>eDNA!C1414</f>
        <v>37.441797600000001</v>
      </c>
      <c r="M1414" s="10" t="str" cm="1">
        <f t="array" ref="M1414">IFERROR(_xlfn.XLOOKUP(1,('env Parameter'!$A:$A=$A1414)*('env Parameter'!$B:$B=$K1414)*('env Parameter'!$C:$C=$L1414),'env Parameter'!D:D,""),"")</f>
        <v>목감천-2</v>
      </c>
      <c r="N1414" s="10" t="str" cm="1">
        <f t="array" ref="N1414">IFERROR(_xlfn.XLOOKUP(1,('env Parameter'!$A:$A=$A1414)*('env Parameter'!$B:$B=$K1414)*('env Parameter'!$C:$C=$L1414),'env Parameter'!I:I,""),"")</f>
        <v>YR</v>
      </c>
    </row>
    <row r="1415" spans="1:14">
      <c r="A1415">
        <f>eDNA!A1415</f>
        <v>20201024</v>
      </c>
      <c r="B1415" s="10" t="str" cm="1">
        <f t="array" ref="B1415">IFERROR(_xlfn.XLOOKUP(1,('env Parameter'!$A:$A=$A1415)*('env Parameter'!$B:$B=$K1415)*('env Parameter'!$C:$C=$L1415),'env Parameter'!H:H,""),"")</f>
        <v>생물상 조사</v>
      </c>
      <c r="C1415" s="10" cm="1">
        <f t="array" ref="C1415">IFERROR(_xlfn.XLOOKUP(1,('env Parameter'!$A:$A=$A1415)*('env Parameter'!$B:$B=$K1415)*('env Parameter'!$C:$C=$L1415),'env Parameter'!E:E,""),"")</f>
        <v>2.14</v>
      </c>
      <c r="D1415" s="10" cm="1">
        <f t="array" ref="D1415">IFERROR(_xlfn.XLOOKUP(1,('env Parameter'!$A:$A=$A1415)*('env Parameter'!$B:$B=$K1415)*('env Parameter'!$C:$C=$L1415),'env Parameter'!F:F,""),"")</f>
        <v>478</v>
      </c>
      <c r="E1415" s="10" cm="1">
        <f t="array" ref="E1415">IFERROR(_xlfn.XLOOKUP(1,('env Parameter'!$A:$A=$A1415)*('env Parameter'!$B:$B=$K1415)*('env Parameter'!$C:$C=$L1415),'env Parameter'!G:G,""),"")</f>
        <v>7.6</v>
      </c>
      <c r="F1415" t="str">
        <f>eDNA!F1415</f>
        <v>MiFish</v>
      </c>
      <c r="G1415" t="str">
        <f>eDNA!D1415</f>
        <v>Odontobutis interrupta</v>
      </c>
      <c r="H1415" t="str">
        <f>_xlfn.XLOOKUP(G1415,'Common name (master file)'!$B:$B,'Common name (master file)'!$A:$A,"-------------")</f>
        <v>얼록동사리</v>
      </c>
      <c r="I1415">
        <f>eDNA!E1415</f>
        <v>2562</v>
      </c>
      <c r="J1415" t="str">
        <f>_xlfn.XLOOKUP(G1415,'Common name (master file)'!$B:$B,'Common name (master file)'!$C:$C,"")</f>
        <v>어류</v>
      </c>
      <c r="K1415">
        <f>eDNA!B1415</f>
        <v>126.83793110000001</v>
      </c>
      <c r="L1415">
        <f>eDNA!C1415</f>
        <v>37.441797600000001</v>
      </c>
      <c r="M1415" s="10" t="str" cm="1">
        <f t="array" ref="M1415">IFERROR(_xlfn.XLOOKUP(1,('env Parameter'!$A:$A=$A1415)*('env Parameter'!$B:$B=$K1415)*('env Parameter'!$C:$C=$L1415),'env Parameter'!D:D,""),"")</f>
        <v>목감천-2</v>
      </c>
      <c r="N1415" s="10" t="str" cm="1">
        <f t="array" ref="N1415">IFERROR(_xlfn.XLOOKUP(1,('env Parameter'!$A:$A=$A1415)*('env Parameter'!$B:$B=$K1415)*('env Parameter'!$C:$C=$L1415),'env Parameter'!I:I,""),"")</f>
        <v>YR</v>
      </c>
    </row>
    <row r="1416" spans="1:14">
      <c r="A1416">
        <f>eDNA!A1416</f>
        <v>20201024</v>
      </c>
      <c r="B1416" s="10" t="str" cm="1">
        <f t="array" ref="B1416">IFERROR(_xlfn.XLOOKUP(1,('env Parameter'!$A:$A=$A1416)*('env Parameter'!$B:$B=$K1416)*('env Parameter'!$C:$C=$L1416),'env Parameter'!H:H,""),"")</f>
        <v>생물상 조사</v>
      </c>
      <c r="C1416" s="10" cm="1">
        <f t="array" ref="C1416">IFERROR(_xlfn.XLOOKUP(1,('env Parameter'!$A:$A=$A1416)*('env Parameter'!$B:$B=$K1416)*('env Parameter'!$C:$C=$L1416),'env Parameter'!E:E,""),"")</f>
        <v>2.14</v>
      </c>
      <c r="D1416" s="10" cm="1">
        <f t="array" ref="D1416">IFERROR(_xlfn.XLOOKUP(1,('env Parameter'!$A:$A=$A1416)*('env Parameter'!$B:$B=$K1416)*('env Parameter'!$C:$C=$L1416),'env Parameter'!F:F,""),"")</f>
        <v>478</v>
      </c>
      <c r="E1416" s="10" cm="1">
        <f t="array" ref="E1416">IFERROR(_xlfn.XLOOKUP(1,('env Parameter'!$A:$A=$A1416)*('env Parameter'!$B:$B=$K1416)*('env Parameter'!$C:$C=$L1416),'env Parameter'!G:G,""),"")</f>
        <v>7.6</v>
      </c>
      <c r="F1416" t="str">
        <f>eDNA!F1416</f>
        <v>MiFish</v>
      </c>
      <c r="G1416" t="str">
        <f>eDNA!D1416</f>
        <v>Paramisgurnus dabryanus</v>
      </c>
      <c r="H1416" t="str">
        <f>_xlfn.XLOOKUP(G1416,'Common name (master file)'!$B:$B,'Common name (master file)'!$A:$A,"-------------")</f>
        <v>중국미꾸라지</v>
      </c>
      <c r="I1416">
        <f>eDNA!E1416</f>
        <v>3185</v>
      </c>
      <c r="J1416" t="str">
        <f>_xlfn.XLOOKUP(G1416,'Common name (master file)'!$B:$B,'Common name (master file)'!$C:$C,"")</f>
        <v>어류</v>
      </c>
      <c r="K1416">
        <f>eDNA!B1416</f>
        <v>126.83793110000001</v>
      </c>
      <c r="L1416">
        <f>eDNA!C1416</f>
        <v>37.441797600000001</v>
      </c>
      <c r="M1416" s="10" t="str" cm="1">
        <f t="array" ref="M1416">IFERROR(_xlfn.XLOOKUP(1,('env Parameter'!$A:$A=$A1416)*('env Parameter'!$B:$B=$K1416)*('env Parameter'!$C:$C=$L1416),'env Parameter'!D:D,""),"")</f>
        <v>목감천-2</v>
      </c>
      <c r="N1416" s="10" t="str" cm="1">
        <f t="array" ref="N1416">IFERROR(_xlfn.XLOOKUP(1,('env Parameter'!$A:$A=$A1416)*('env Parameter'!$B:$B=$K1416)*('env Parameter'!$C:$C=$L1416),'env Parameter'!I:I,""),"")</f>
        <v>YR</v>
      </c>
    </row>
    <row r="1417" spans="1:14">
      <c r="A1417">
        <f>eDNA!A1417</f>
        <v>20201024</v>
      </c>
      <c r="B1417" s="10" t="str" cm="1">
        <f t="array" ref="B1417">IFERROR(_xlfn.XLOOKUP(1,('env Parameter'!$A:$A=$A1417)*('env Parameter'!$B:$B=$K1417)*('env Parameter'!$C:$C=$L1417),'env Parameter'!H:H,""),"")</f>
        <v>생물상 조사</v>
      </c>
      <c r="C1417" s="10" cm="1">
        <f t="array" ref="C1417">IFERROR(_xlfn.XLOOKUP(1,('env Parameter'!$A:$A=$A1417)*('env Parameter'!$B:$B=$K1417)*('env Parameter'!$C:$C=$L1417),'env Parameter'!E:E,""),"")</f>
        <v>2.14</v>
      </c>
      <c r="D1417" s="10" cm="1">
        <f t="array" ref="D1417">IFERROR(_xlfn.XLOOKUP(1,('env Parameter'!$A:$A=$A1417)*('env Parameter'!$B:$B=$K1417)*('env Parameter'!$C:$C=$L1417),'env Parameter'!F:F,""),"")</f>
        <v>478</v>
      </c>
      <c r="E1417" s="10" cm="1">
        <f t="array" ref="E1417">IFERROR(_xlfn.XLOOKUP(1,('env Parameter'!$A:$A=$A1417)*('env Parameter'!$B:$B=$K1417)*('env Parameter'!$C:$C=$L1417),'env Parameter'!G:G,""),"")</f>
        <v>7.6</v>
      </c>
      <c r="F1417" t="str">
        <f>eDNA!F1417</f>
        <v>MiFish</v>
      </c>
      <c r="G1417" t="str">
        <f>eDNA!D1417</f>
        <v>Misgurnus mizolepis</v>
      </c>
      <c r="H1417" t="str">
        <f>_xlfn.XLOOKUP(G1417,'Common name (master file)'!$B:$B,'Common name (master file)'!$A:$A,"-------------")</f>
        <v>미꾸라지</v>
      </c>
      <c r="I1417">
        <f>eDNA!E1417</f>
        <v>3323</v>
      </c>
      <c r="J1417" t="str">
        <f>_xlfn.XLOOKUP(G1417,'Common name (master file)'!$B:$B,'Common name (master file)'!$C:$C,"")</f>
        <v>어류</v>
      </c>
      <c r="K1417">
        <f>eDNA!B1417</f>
        <v>126.83793110000001</v>
      </c>
      <c r="L1417">
        <f>eDNA!C1417</f>
        <v>37.441797600000001</v>
      </c>
      <c r="M1417" s="10" t="str" cm="1">
        <f t="array" ref="M1417">IFERROR(_xlfn.XLOOKUP(1,('env Parameter'!$A:$A=$A1417)*('env Parameter'!$B:$B=$K1417)*('env Parameter'!$C:$C=$L1417),'env Parameter'!D:D,""),"")</f>
        <v>목감천-2</v>
      </c>
      <c r="N1417" s="10" t="str" cm="1">
        <f t="array" ref="N1417">IFERROR(_xlfn.XLOOKUP(1,('env Parameter'!$A:$A=$A1417)*('env Parameter'!$B:$B=$K1417)*('env Parameter'!$C:$C=$L1417),'env Parameter'!I:I,""),"")</f>
        <v>YR</v>
      </c>
    </row>
    <row r="1418" spans="1:14">
      <c r="A1418">
        <f>eDNA!A1418</f>
        <v>20201024</v>
      </c>
      <c r="B1418" s="10" t="str" cm="1">
        <f t="array" ref="B1418">IFERROR(_xlfn.XLOOKUP(1,('env Parameter'!$A:$A=$A1418)*('env Parameter'!$B:$B=$K1418)*('env Parameter'!$C:$C=$L1418),'env Parameter'!H:H,""),"")</f>
        <v>생물상 조사</v>
      </c>
      <c r="C1418" s="10" cm="1">
        <f t="array" ref="C1418">IFERROR(_xlfn.XLOOKUP(1,('env Parameter'!$A:$A=$A1418)*('env Parameter'!$B:$B=$K1418)*('env Parameter'!$C:$C=$L1418),'env Parameter'!E:E,""),"")</f>
        <v>2.14</v>
      </c>
      <c r="D1418" s="10" cm="1">
        <f t="array" ref="D1418">IFERROR(_xlfn.XLOOKUP(1,('env Parameter'!$A:$A=$A1418)*('env Parameter'!$B:$B=$K1418)*('env Parameter'!$C:$C=$L1418),'env Parameter'!F:F,""),"")</f>
        <v>478</v>
      </c>
      <c r="E1418" s="10" cm="1">
        <f t="array" ref="E1418">IFERROR(_xlfn.XLOOKUP(1,('env Parameter'!$A:$A=$A1418)*('env Parameter'!$B:$B=$K1418)*('env Parameter'!$C:$C=$L1418),'env Parameter'!G:G,""),"")</f>
        <v>7.6</v>
      </c>
      <c r="F1418" t="str">
        <f>eDNA!F1418</f>
        <v>MiFish</v>
      </c>
      <c r="G1418" t="str">
        <f>eDNA!D1418</f>
        <v>Micropercops swinhonis</v>
      </c>
      <c r="H1418" t="str">
        <f>_xlfn.XLOOKUP(G1418,'Common name (master file)'!$B:$B,'Common name (master file)'!$A:$A,"-------------")</f>
        <v>좀구굴치</v>
      </c>
      <c r="I1418">
        <f>eDNA!E1418</f>
        <v>71</v>
      </c>
      <c r="J1418" t="str">
        <f>_xlfn.XLOOKUP(G1418,'Common name (master file)'!$B:$B,'Common name (master file)'!$C:$C,"")</f>
        <v>어류</v>
      </c>
      <c r="K1418">
        <f>eDNA!B1418</f>
        <v>126.8428368</v>
      </c>
      <c r="L1418">
        <f>eDNA!C1418</f>
        <v>37.4677784</v>
      </c>
      <c r="M1418" s="10" t="str" cm="1">
        <f t="array" ref="M1418">IFERROR(_xlfn.XLOOKUP(1,('env Parameter'!$A:$A=$A1418)*('env Parameter'!$B:$B=$K1418)*('env Parameter'!$C:$C=$L1418),'env Parameter'!D:D,""),"")</f>
        <v>목감천-1</v>
      </c>
      <c r="N1418" s="10" t="str" cm="1">
        <f t="array" ref="N1418">IFERROR(_xlfn.XLOOKUP(1,('env Parameter'!$A:$A=$A1418)*('env Parameter'!$B:$B=$K1418)*('env Parameter'!$C:$C=$L1418),'env Parameter'!I:I,""),"")</f>
        <v>YR</v>
      </c>
    </row>
    <row r="1419" spans="1:14">
      <c r="A1419">
        <f>eDNA!A1419</f>
        <v>20201024</v>
      </c>
      <c r="B1419" s="10" t="str" cm="1">
        <f t="array" ref="B1419">IFERROR(_xlfn.XLOOKUP(1,('env Parameter'!$A:$A=$A1419)*('env Parameter'!$B:$B=$K1419)*('env Parameter'!$C:$C=$L1419),'env Parameter'!H:H,""),"")</f>
        <v>생물상 조사</v>
      </c>
      <c r="C1419" s="10" cm="1">
        <f t="array" ref="C1419">IFERROR(_xlfn.XLOOKUP(1,('env Parameter'!$A:$A=$A1419)*('env Parameter'!$B:$B=$K1419)*('env Parameter'!$C:$C=$L1419),'env Parameter'!E:E,""),"")</f>
        <v>2.14</v>
      </c>
      <c r="D1419" s="10" cm="1">
        <f t="array" ref="D1419">IFERROR(_xlfn.XLOOKUP(1,('env Parameter'!$A:$A=$A1419)*('env Parameter'!$B:$B=$K1419)*('env Parameter'!$C:$C=$L1419),'env Parameter'!F:F,""),"")</f>
        <v>478</v>
      </c>
      <c r="E1419" s="10" cm="1">
        <f t="array" ref="E1419">IFERROR(_xlfn.XLOOKUP(1,('env Parameter'!$A:$A=$A1419)*('env Parameter'!$B:$B=$K1419)*('env Parameter'!$C:$C=$L1419),'env Parameter'!G:G,""),"")</f>
        <v>7.6</v>
      </c>
      <c r="F1419" t="str">
        <f>eDNA!F1419</f>
        <v>MiFish</v>
      </c>
      <c r="G1419" t="str">
        <f>eDNA!D1419</f>
        <v>Pseudorasbora parva</v>
      </c>
      <c r="H1419" t="str">
        <f>_xlfn.XLOOKUP(G1419,'Common name (master file)'!$B:$B,'Common name (master file)'!$A:$A,"-------------")</f>
        <v>참붕어</v>
      </c>
      <c r="I1419">
        <f>eDNA!E1419</f>
        <v>17206</v>
      </c>
      <c r="J1419" t="str">
        <f>_xlfn.XLOOKUP(G1419,'Common name (master file)'!$B:$B,'Common name (master file)'!$C:$C,"")</f>
        <v>어류</v>
      </c>
      <c r="K1419">
        <f>eDNA!B1419</f>
        <v>126.83793110000001</v>
      </c>
      <c r="L1419">
        <f>eDNA!C1419</f>
        <v>37.441797600000001</v>
      </c>
      <c r="M1419" s="10" t="str" cm="1">
        <f t="array" ref="M1419">IFERROR(_xlfn.XLOOKUP(1,('env Parameter'!$A:$A=$A1419)*('env Parameter'!$B:$B=$K1419)*('env Parameter'!$C:$C=$L1419),'env Parameter'!D:D,""),"")</f>
        <v>목감천-2</v>
      </c>
      <c r="N1419" s="10" t="str" cm="1">
        <f t="array" ref="N1419">IFERROR(_xlfn.XLOOKUP(1,('env Parameter'!$A:$A=$A1419)*('env Parameter'!$B:$B=$K1419)*('env Parameter'!$C:$C=$L1419),'env Parameter'!I:I,""),"")</f>
        <v>YR</v>
      </c>
    </row>
    <row r="1420" spans="1:14">
      <c r="A1420">
        <f>eDNA!A1420</f>
        <v>20201024</v>
      </c>
      <c r="B1420" s="10" t="str" cm="1">
        <f t="array" ref="B1420">IFERROR(_xlfn.XLOOKUP(1,('env Parameter'!$A:$A=$A1420)*('env Parameter'!$B:$B=$K1420)*('env Parameter'!$C:$C=$L1420),'env Parameter'!H:H,""),"")</f>
        <v>생물상 조사</v>
      </c>
      <c r="C1420" s="10" cm="1">
        <f t="array" ref="C1420">IFERROR(_xlfn.XLOOKUP(1,('env Parameter'!$A:$A=$A1420)*('env Parameter'!$B:$B=$K1420)*('env Parameter'!$C:$C=$L1420),'env Parameter'!E:E,""),"")</f>
        <v>2.14</v>
      </c>
      <c r="D1420" s="10" cm="1">
        <f t="array" ref="D1420">IFERROR(_xlfn.XLOOKUP(1,('env Parameter'!$A:$A=$A1420)*('env Parameter'!$B:$B=$K1420)*('env Parameter'!$C:$C=$L1420),'env Parameter'!F:F,""),"")</f>
        <v>478</v>
      </c>
      <c r="E1420" s="10" cm="1">
        <f t="array" ref="E1420">IFERROR(_xlfn.XLOOKUP(1,('env Parameter'!$A:$A=$A1420)*('env Parameter'!$B:$B=$K1420)*('env Parameter'!$C:$C=$L1420),'env Parameter'!G:G,""),"")</f>
        <v>7.6</v>
      </c>
      <c r="F1420" t="str">
        <f>eDNA!F1420</f>
        <v>MiFish</v>
      </c>
      <c r="G1420" t="str">
        <f>eDNA!D1420</f>
        <v>Sebastes zacentrus</v>
      </c>
      <c r="H1420" t="str">
        <f>_xlfn.XLOOKUP(G1420,'Common name (master file)'!$B:$B,'Common name (master file)'!$A:$A,"-------------")</f>
        <v>쏨뱅이</v>
      </c>
      <c r="I1420">
        <f>eDNA!E1420</f>
        <v>10153</v>
      </c>
      <c r="J1420" t="str">
        <f>_xlfn.XLOOKUP(G1420,'Common name (master file)'!$B:$B,'Common name (master file)'!$C:$C,"")</f>
        <v>어류</v>
      </c>
      <c r="K1420">
        <f>eDNA!B1420</f>
        <v>126.83793110000001</v>
      </c>
      <c r="L1420">
        <f>eDNA!C1420</f>
        <v>37.441797600000001</v>
      </c>
      <c r="M1420" s="10" t="str" cm="1">
        <f t="array" ref="M1420">IFERROR(_xlfn.XLOOKUP(1,('env Parameter'!$A:$A=$A1420)*('env Parameter'!$B:$B=$K1420)*('env Parameter'!$C:$C=$L1420),'env Parameter'!D:D,""),"")</f>
        <v>목감천-2</v>
      </c>
      <c r="N1420" s="10" t="str" cm="1">
        <f t="array" ref="N1420">IFERROR(_xlfn.XLOOKUP(1,('env Parameter'!$A:$A=$A1420)*('env Parameter'!$B:$B=$K1420)*('env Parameter'!$C:$C=$L1420),'env Parameter'!I:I,""),"")</f>
        <v>YR</v>
      </c>
    </row>
    <row r="1421" spans="1:14">
      <c r="A1421">
        <f>eDNA!A1421</f>
        <v>20201024</v>
      </c>
      <c r="B1421" s="10" t="str" cm="1">
        <f t="array" ref="B1421">IFERROR(_xlfn.XLOOKUP(1,('env Parameter'!$A:$A=$A1421)*('env Parameter'!$B:$B=$K1421)*('env Parameter'!$C:$C=$L1421),'env Parameter'!H:H,""),"")</f>
        <v>생물상 조사</v>
      </c>
      <c r="C1421" s="10" cm="1">
        <f t="array" ref="C1421">IFERROR(_xlfn.XLOOKUP(1,('env Parameter'!$A:$A=$A1421)*('env Parameter'!$B:$B=$K1421)*('env Parameter'!$C:$C=$L1421),'env Parameter'!E:E,""),"")</f>
        <v>2.14</v>
      </c>
      <c r="D1421" s="10" cm="1">
        <f t="array" ref="D1421">IFERROR(_xlfn.XLOOKUP(1,('env Parameter'!$A:$A=$A1421)*('env Parameter'!$B:$B=$K1421)*('env Parameter'!$C:$C=$L1421),'env Parameter'!F:F,""),"")</f>
        <v>478</v>
      </c>
      <c r="E1421" s="10" cm="1">
        <f t="array" ref="E1421">IFERROR(_xlfn.XLOOKUP(1,('env Parameter'!$A:$A=$A1421)*('env Parameter'!$B:$B=$K1421)*('env Parameter'!$C:$C=$L1421),'env Parameter'!G:G,""),"")</f>
        <v>7.6</v>
      </c>
      <c r="F1421" t="str">
        <f>eDNA!F1421</f>
        <v>MiFish</v>
      </c>
      <c r="G1421" t="str">
        <f>eDNA!D1421</f>
        <v>Sus scrofa</v>
      </c>
      <c r="H1421" t="str">
        <f>_xlfn.XLOOKUP(G1421,'Common name (master file)'!$B:$B,'Common name (master file)'!$A:$A,"-------------")</f>
        <v>멧돼지</v>
      </c>
      <c r="I1421">
        <f>eDNA!E1421</f>
        <v>56811</v>
      </c>
      <c r="J1421" t="str">
        <f>_xlfn.XLOOKUP(G1421,'Common name (master file)'!$B:$B,'Common name (master file)'!$C:$C,"")</f>
        <v>포유류</v>
      </c>
      <c r="K1421">
        <f>eDNA!B1421</f>
        <v>126.83793110000001</v>
      </c>
      <c r="L1421">
        <f>eDNA!C1421</f>
        <v>37.441797600000001</v>
      </c>
      <c r="M1421" s="10" t="str" cm="1">
        <f t="array" ref="M1421">IFERROR(_xlfn.XLOOKUP(1,('env Parameter'!$A:$A=$A1421)*('env Parameter'!$B:$B=$K1421)*('env Parameter'!$C:$C=$L1421),'env Parameter'!D:D,""),"")</f>
        <v>목감천-2</v>
      </c>
      <c r="N1421" s="10" t="str" cm="1">
        <f t="array" ref="N1421">IFERROR(_xlfn.XLOOKUP(1,('env Parameter'!$A:$A=$A1421)*('env Parameter'!$B:$B=$K1421)*('env Parameter'!$C:$C=$L1421),'env Parameter'!I:I,""),"")</f>
        <v>YR</v>
      </c>
    </row>
    <row r="1422" spans="1:14">
      <c r="A1422">
        <f>eDNA!A1422</f>
        <v>20201024</v>
      </c>
      <c r="B1422" s="10" t="str" cm="1">
        <f t="array" ref="B1422">IFERROR(_xlfn.XLOOKUP(1,('env Parameter'!$A:$A=$A1422)*('env Parameter'!$B:$B=$K1422)*('env Parameter'!$C:$C=$L1422),'env Parameter'!H:H,""),"")</f>
        <v>생물상 조사</v>
      </c>
      <c r="C1422" s="10" cm="1">
        <f t="array" ref="C1422">IFERROR(_xlfn.XLOOKUP(1,('env Parameter'!$A:$A=$A1422)*('env Parameter'!$B:$B=$K1422)*('env Parameter'!$C:$C=$L1422),'env Parameter'!E:E,""),"")</f>
        <v>2.14</v>
      </c>
      <c r="D1422" s="10" cm="1">
        <f t="array" ref="D1422">IFERROR(_xlfn.XLOOKUP(1,('env Parameter'!$A:$A=$A1422)*('env Parameter'!$B:$B=$K1422)*('env Parameter'!$C:$C=$L1422),'env Parameter'!F:F,""),"")</f>
        <v>478</v>
      </c>
      <c r="E1422" s="10" cm="1">
        <f t="array" ref="E1422">IFERROR(_xlfn.XLOOKUP(1,('env Parameter'!$A:$A=$A1422)*('env Parameter'!$B:$B=$K1422)*('env Parameter'!$C:$C=$L1422),'env Parameter'!G:G,""),"")</f>
        <v>7.6</v>
      </c>
      <c r="F1422" t="str">
        <f>eDNA!F1422</f>
        <v>MiFish</v>
      </c>
      <c r="G1422" t="str">
        <f>eDNA!D1422</f>
        <v>Carassius gibelio</v>
      </c>
      <c r="H1422" t="str">
        <f>_xlfn.XLOOKUP(G1422,'Common name (master file)'!$B:$B,'Common name (master file)'!$A:$A,"-------------")</f>
        <v>기벨리오 붕어</v>
      </c>
      <c r="I1422">
        <f>eDNA!E1422</f>
        <v>49471</v>
      </c>
      <c r="J1422" t="str">
        <f>_xlfn.XLOOKUP(G1422,'Common name (master file)'!$B:$B,'Common name (master file)'!$C:$C,"")</f>
        <v>어류</v>
      </c>
      <c r="K1422">
        <f>eDNA!B1422</f>
        <v>126.83793110000001</v>
      </c>
      <c r="L1422">
        <f>eDNA!C1422</f>
        <v>37.441797600000001</v>
      </c>
      <c r="M1422" s="10" t="str" cm="1">
        <f t="array" ref="M1422">IFERROR(_xlfn.XLOOKUP(1,('env Parameter'!$A:$A=$A1422)*('env Parameter'!$B:$B=$K1422)*('env Parameter'!$C:$C=$L1422),'env Parameter'!D:D,""),"")</f>
        <v>목감천-2</v>
      </c>
      <c r="N1422" s="10" t="str" cm="1">
        <f t="array" ref="N1422">IFERROR(_xlfn.XLOOKUP(1,('env Parameter'!$A:$A=$A1422)*('env Parameter'!$B:$B=$K1422)*('env Parameter'!$C:$C=$L1422),'env Parameter'!I:I,""),"")</f>
        <v>YR</v>
      </c>
    </row>
    <row r="1423" spans="1:14">
      <c r="A1423">
        <f>eDNA!A1423</f>
        <v>20201024</v>
      </c>
      <c r="B1423" s="10" t="str" cm="1">
        <f t="array" ref="B1423">IFERROR(_xlfn.XLOOKUP(1,('env Parameter'!$A:$A=$A1423)*('env Parameter'!$B:$B=$K1423)*('env Parameter'!$C:$C=$L1423),'env Parameter'!H:H,""),"")</f>
        <v>생물상 조사</v>
      </c>
      <c r="C1423" s="10" cm="1">
        <f t="array" ref="C1423">IFERROR(_xlfn.XLOOKUP(1,('env Parameter'!$A:$A=$A1423)*('env Parameter'!$B:$B=$K1423)*('env Parameter'!$C:$C=$L1423),'env Parameter'!E:E,""),"")</f>
        <v>2.14</v>
      </c>
      <c r="D1423" s="10" cm="1">
        <f t="array" ref="D1423">IFERROR(_xlfn.XLOOKUP(1,('env Parameter'!$A:$A=$A1423)*('env Parameter'!$B:$B=$K1423)*('env Parameter'!$C:$C=$L1423),'env Parameter'!F:F,""),"")</f>
        <v>478</v>
      </c>
      <c r="E1423" s="10" cm="1">
        <f t="array" ref="E1423">IFERROR(_xlfn.XLOOKUP(1,('env Parameter'!$A:$A=$A1423)*('env Parameter'!$B:$B=$K1423)*('env Parameter'!$C:$C=$L1423),'env Parameter'!G:G,""),"")</f>
        <v>7.6</v>
      </c>
      <c r="F1423" t="str">
        <f>eDNA!F1423</f>
        <v>MiFish</v>
      </c>
      <c r="G1423" t="str">
        <f>eDNA!D1423</f>
        <v>Rhinogobius giurinus</v>
      </c>
      <c r="H1423" t="str">
        <f>_xlfn.XLOOKUP(G1423,'Common name (master file)'!$B:$B,'Common name (master file)'!$A:$A,"-------------")</f>
        <v>갈문망둑</v>
      </c>
      <c r="I1423">
        <f>eDNA!E1423</f>
        <v>17</v>
      </c>
      <c r="J1423" t="str">
        <f>_xlfn.XLOOKUP(G1423,'Common name (master file)'!$B:$B,'Common name (master file)'!$C:$C,"")</f>
        <v>어류</v>
      </c>
      <c r="K1423">
        <f>eDNA!B1423</f>
        <v>126.8499561</v>
      </c>
      <c r="L1423">
        <f>eDNA!C1423</f>
        <v>37.481606900000003</v>
      </c>
      <c r="M1423" s="10" t="str" cm="1">
        <f t="array" ref="M1423">IFERROR(_xlfn.XLOOKUP(1,('env Parameter'!$A:$A=$A1423)*('env Parameter'!$B:$B=$K1423)*('env Parameter'!$C:$C=$L1423),'env Parameter'!D:D,""),"")</f>
        <v>목감천-5</v>
      </c>
      <c r="N1423" s="10" t="str" cm="1">
        <f t="array" ref="N1423">IFERROR(_xlfn.XLOOKUP(1,('env Parameter'!$A:$A=$A1423)*('env Parameter'!$B:$B=$K1423)*('env Parameter'!$C:$C=$L1423),'env Parameter'!I:I,""),"")</f>
        <v>YR</v>
      </c>
    </row>
    <row r="1424" spans="1:14">
      <c r="A1424">
        <f>eDNA!A1424</f>
        <v>20201024</v>
      </c>
      <c r="B1424" s="10" t="str" cm="1">
        <f t="array" ref="B1424">IFERROR(_xlfn.XLOOKUP(1,('env Parameter'!$A:$A=$A1424)*('env Parameter'!$B:$B=$K1424)*('env Parameter'!$C:$C=$L1424),'env Parameter'!H:H,""),"")</f>
        <v>생물상 조사</v>
      </c>
      <c r="C1424" s="10" cm="1">
        <f t="array" ref="C1424">IFERROR(_xlfn.XLOOKUP(1,('env Parameter'!$A:$A=$A1424)*('env Parameter'!$B:$B=$K1424)*('env Parameter'!$C:$C=$L1424),'env Parameter'!E:E,""),"")</f>
        <v>2.14</v>
      </c>
      <c r="D1424" s="10" cm="1">
        <f t="array" ref="D1424">IFERROR(_xlfn.XLOOKUP(1,('env Parameter'!$A:$A=$A1424)*('env Parameter'!$B:$B=$K1424)*('env Parameter'!$C:$C=$L1424),'env Parameter'!F:F,""),"")</f>
        <v>478</v>
      </c>
      <c r="E1424" s="10" cm="1">
        <f t="array" ref="E1424">IFERROR(_xlfn.XLOOKUP(1,('env Parameter'!$A:$A=$A1424)*('env Parameter'!$B:$B=$K1424)*('env Parameter'!$C:$C=$L1424),'env Parameter'!G:G,""),"")</f>
        <v>7.6</v>
      </c>
      <c r="F1424" t="str">
        <f>eDNA!F1424</f>
        <v>MiFish</v>
      </c>
      <c r="G1424" t="str">
        <f>eDNA!D1424</f>
        <v>Bos taurus</v>
      </c>
      <c r="H1424" t="str">
        <f>_xlfn.XLOOKUP(G1424,'Common name (master file)'!$B:$B,'Common name (master file)'!$A:$A,"-------------")</f>
        <v>소</v>
      </c>
      <c r="I1424">
        <f>eDNA!E1424</f>
        <v>21</v>
      </c>
      <c r="J1424" t="str">
        <f>_xlfn.XLOOKUP(G1424,'Common name (master file)'!$B:$B,'Common name (master file)'!$C:$C,"")</f>
        <v>포유류</v>
      </c>
      <c r="K1424">
        <f>eDNA!B1424</f>
        <v>126.8499561</v>
      </c>
      <c r="L1424">
        <f>eDNA!C1424</f>
        <v>37.481606900000003</v>
      </c>
      <c r="M1424" s="10" t="str" cm="1">
        <f t="array" ref="M1424">IFERROR(_xlfn.XLOOKUP(1,('env Parameter'!$A:$A=$A1424)*('env Parameter'!$B:$B=$K1424)*('env Parameter'!$C:$C=$L1424),'env Parameter'!D:D,""),"")</f>
        <v>목감천-5</v>
      </c>
      <c r="N1424" s="10" t="str" cm="1">
        <f t="array" ref="N1424">IFERROR(_xlfn.XLOOKUP(1,('env Parameter'!$A:$A=$A1424)*('env Parameter'!$B:$B=$K1424)*('env Parameter'!$C:$C=$L1424),'env Parameter'!I:I,""),"")</f>
        <v>YR</v>
      </c>
    </row>
    <row r="1425" spans="1:14">
      <c r="A1425">
        <f>eDNA!A1425</f>
        <v>20201024</v>
      </c>
      <c r="B1425" s="10" t="str" cm="1">
        <f t="array" ref="B1425">IFERROR(_xlfn.XLOOKUP(1,('env Parameter'!$A:$A=$A1425)*('env Parameter'!$B:$B=$K1425)*('env Parameter'!$C:$C=$L1425),'env Parameter'!H:H,""),"")</f>
        <v>생물상 조사</v>
      </c>
      <c r="C1425" s="10" cm="1">
        <f t="array" ref="C1425">IFERROR(_xlfn.XLOOKUP(1,('env Parameter'!$A:$A=$A1425)*('env Parameter'!$B:$B=$K1425)*('env Parameter'!$C:$C=$L1425),'env Parameter'!E:E,""),"")</f>
        <v>2.14</v>
      </c>
      <c r="D1425" s="10" cm="1">
        <f t="array" ref="D1425">IFERROR(_xlfn.XLOOKUP(1,('env Parameter'!$A:$A=$A1425)*('env Parameter'!$B:$B=$K1425)*('env Parameter'!$C:$C=$L1425),'env Parameter'!F:F,""),"")</f>
        <v>478</v>
      </c>
      <c r="E1425" s="10" cm="1">
        <f t="array" ref="E1425">IFERROR(_xlfn.XLOOKUP(1,('env Parameter'!$A:$A=$A1425)*('env Parameter'!$B:$B=$K1425)*('env Parameter'!$C:$C=$L1425),'env Parameter'!G:G,""),"")</f>
        <v>7.6</v>
      </c>
      <c r="F1425" t="str">
        <f>eDNA!F1425</f>
        <v>MiFish</v>
      </c>
      <c r="G1425" t="str">
        <f>eDNA!D1425</f>
        <v>Pelodiscus sinensis</v>
      </c>
      <c r="H1425" t="str">
        <f>_xlfn.XLOOKUP(G1425,'Common name (master file)'!$B:$B,'Common name (master file)'!$A:$A,"-------------")</f>
        <v>중국자라</v>
      </c>
      <c r="I1425">
        <f>eDNA!E1425</f>
        <v>22</v>
      </c>
      <c r="J1425" t="str">
        <f>_xlfn.XLOOKUP(G1425,'Common name (master file)'!$B:$B,'Common name (master file)'!$C:$C,"")</f>
        <v>양서파충류</v>
      </c>
      <c r="K1425">
        <f>eDNA!B1425</f>
        <v>126.8499561</v>
      </c>
      <c r="L1425">
        <f>eDNA!C1425</f>
        <v>37.481606900000003</v>
      </c>
      <c r="M1425" s="10" t="str" cm="1">
        <f t="array" ref="M1425">IFERROR(_xlfn.XLOOKUP(1,('env Parameter'!$A:$A=$A1425)*('env Parameter'!$B:$B=$K1425)*('env Parameter'!$C:$C=$L1425),'env Parameter'!D:D,""),"")</f>
        <v>목감천-5</v>
      </c>
      <c r="N1425" s="10" t="str" cm="1">
        <f t="array" ref="N1425">IFERROR(_xlfn.XLOOKUP(1,('env Parameter'!$A:$A=$A1425)*('env Parameter'!$B:$B=$K1425)*('env Parameter'!$C:$C=$L1425),'env Parameter'!I:I,""),"")</f>
        <v>YR</v>
      </c>
    </row>
    <row r="1426" spans="1:14">
      <c r="A1426">
        <f>eDNA!A1426</f>
        <v>20201024</v>
      </c>
      <c r="B1426" s="10" t="str" cm="1">
        <f t="array" ref="B1426">IFERROR(_xlfn.XLOOKUP(1,('env Parameter'!$A:$A=$A1426)*('env Parameter'!$B:$B=$K1426)*('env Parameter'!$C:$C=$L1426),'env Parameter'!H:H,""),"")</f>
        <v>생물상 조사</v>
      </c>
      <c r="C1426" s="10" cm="1">
        <f t="array" ref="C1426">IFERROR(_xlfn.XLOOKUP(1,('env Parameter'!$A:$A=$A1426)*('env Parameter'!$B:$B=$K1426)*('env Parameter'!$C:$C=$L1426),'env Parameter'!E:E,""),"")</f>
        <v>2.14</v>
      </c>
      <c r="D1426" s="10" cm="1">
        <f t="array" ref="D1426">IFERROR(_xlfn.XLOOKUP(1,('env Parameter'!$A:$A=$A1426)*('env Parameter'!$B:$B=$K1426)*('env Parameter'!$C:$C=$L1426),'env Parameter'!F:F,""),"")</f>
        <v>478</v>
      </c>
      <c r="E1426" s="10" cm="1">
        <f t="array" ref="E1426">IFERROR(_xlfn.XLOOKUP(1,('env Parameter'!$A:$A=$A1426)*('env Parameter'!$B:$B=$K1426)*('env Parameter'!$C:$C=$L1426),'env Parameter'!G:G,""),"")</f>
        <v>7.6</v>
      </c>
      <c r="F1426" t="str">
        <f>eDNA!F1426</f>
        <v>MiFish</v>
      </c>
      <c r="G1426" t="str">
        <f>eDNA!D1426</f>
        <v>Hemibarbus maculatus</v>
      </c>
      <c r="H1426" t="str">
        <f>_xlfn.XLOOKUP(G1426,'Common name (master file)'!$B:$B,'Common name (master file)'!$A:$A,"-------------")</f>
        <v>알락누치</v>
      </c>
      <c r="I1426">
        <f>eDNA!E1426</f>
        <v>45</v>
      </c>
      <c r="J1426" t="str">
        <f>_xlfn.XLOOKUP(G1426,'Common name (master file)'!$B:$B,'Common name (master file)'!$C:$C,"")</f>
        <v>어류</v>
      </c>
      <c r="K1426">
        <f>eDNA!B1426</f>
        <v>126.8499561</v>
      </c>
      <c r="L1426">
        <f>eDNA!C1426</f>
        <v>37.481606900000003</v>
      </c>
      <c r="M1426" s="10" t="str" cm="1">
        <f t="array" ref="M1426">IFERROR(_xlfn.XLOOKUP(1,('env Parameter'!$A:$A=$A1426)*('env Parameter'!$B:$B=$K1426)*('env Parameter'!$C:$C=$L1426),'env Parameter'!D:D,""),"")</f>
        <v>목감천-5</v>
      </c>
      <c r="N1426" s="10" t="str" cm="1">
        <f t="array" ref="N1426">IFERROR(_xlfn.XLOOKUP(1,('env Parameter'!$A:$A=$A1426)*('env Parameter'!$B:$B=$K1426)*('env Parameter'!$C:$C=$L1426),'env Parameter'!I:I,""),"")</f>
        <v>YR</v>
      </c>
    </row>
    <row r="1427" spans="1:14">
      <c r="A1427">
        <f>eDNA!A1427</f>
        <v>20201024</v>
      </c>
      <c r="B1427" s="10" t="str" cm="1">
        <f t="array" ref="B1427">IFERROR(_xlfn.XLOOKUP(1,('env Parameter'!$A:$A=$A1427)*('env Parameter'!$B:$B=$K1427)*('env Parameter'!$C:$C=$L1427),'env Parameter'!H:H,""),"")</f>
        <v>생물상 조사</v>
      </c>
      <c r="C1427" s="10" cm="1">
        <f t="array" ref="C1427">IFERROR(_xlfn.XLOOKUP(1,('env Parameter'!$A:$A=$A1427)*('env Parameter'!$B:$B=$K1427)*('env Parameter'!$C:$C=$L1427),'env Parameter'!E:E,""),"")</f>
        <v>2.14</v>
      </c>
      <c r="D1427" s="10" cm="1">
        <f t="array" ref="D1427">IFERROR(_xlfn.XLOOKUP(1,('env Parameter'!$A:$A=$A1427)*('env Parameter'!$B:$B=$K1427)*('env Parameter'!$C:$C=$L1427),'env Parameter'!F:F,""),"")</f>
        <v>478</v>
      </c>
      <c r="E1427" s="10" cm="1">
        <f t="array" ref="E1427">IFERROR(_xlfn.XLOOKUP(1,('env Parameter'!$A:$A=$A1427)*('env Parameter'!$B:$B=$K1427)*('env Parameter'!$C:$C=$L1427),'env Parameter'!G:G,""),"")</f>
        <v>7.6</v>
      </c>
      <c r="F1427" t="str">
        <f>eDNA!F1427</f>
        <v>MiFish</v>
      </c>
      <c r="G1427" t="str">
        <f>eDNA!D1427</f>
        <v>Carassius auratus</v>
      </c>
      <c r="H1427" t="str">
        <f>_xlfn.XLOOKUP(G1427,'Common name (master file)'!$B:$B,'Common name (master file)'!$A:$A,"-------------")</f>
        <v>붕어</v>
      </c>
      <c r="I1427">
        <f>eDNA!E1427</f>
        <v>50</v>
      </c>
      <c r="J1427" t="str">
        <f>_xlfn.XLOOKUP(G1427,'Common name (master file)'!$B:$B,'Common name (master file)'!$C:$C,"")</f>
        <v>어류</v>
      </c>
      <c r="K1427">
        <f>eDNA!B1427</f>
        <v>126.8499561</v>
      </c>
      <c r="L1427">
        <f>eDNA!C1427</f>
        <v>37.481606900000003</v>
      </c>
      <c r="M1427" s="10" t="str" cm="1">
        <f t="array" ref="M1427">IFERROR(_xlfn.XLOOKUP(1,('env Parameter'!$A:$A=$A1427)*('env Parameter'!$B:$B=$K1427)*('env Parameter'!$C:$C=$L1427),'env Parameter'!D:D,""),"")</f>
        <v>목감천-5</v>
      </c>
      <c r="N1427" s="10" t="str" cm="1">
        <f t="array" ref="N1427">IFERROR(_xlfn.XLOOKUP(1,('env Parameter'!$A:$A=$A1427)*('env Parameter'!$B:$B=$K1427)*('env Parameter'!$C:$C=$L1427),'env Parameter'!I:I,""),"")</f>
        <v>YR</v>
      </c>
    </row>
    <row r="1428" spans="1:14">
      <c r="A1428">
        <f>eDNA!A1428</f>
        <v>20201024</v>
      </c>
      <c r="B1428" s="10" t="str" cm="1">
        <f t="array" ref="B1428">IFERROR(_xlfn.XLOOKUP(1,('env Parameter'!$A:$A=$A1428)*('env Parameter'!$B:$B=$K1428)*('env Parameter'!$C:$C=$L1428),'env Parameter'!H:H,""),"")</f>
        <v>생물상 조사</v>
      </c>
      <c r="C1428" s="10" cm="1">
        <f t="array" ref="C1428">IFERROR(_xlfn.XLOOKUP(1,('env Parameter'!$A:$A=$A1428)*('env Parameter'!$B:$B=$K1428)*('env Parameter'!$C:$C=$L1428),'env Parameter'!E:E,""),"")</f>
        <v>2.14</v>
      </c>
      <c r="D1428" s="10" cm="1">
        <f t="array" ref="D1428">IFERROR(_xlfn.XLOOKUP(1,('env Parameter'!$A:$A=$A1428)*('env Parameter'!$B:$B=$K1428)*('env Parameter'!$C:$C=$L1428),'env Parameter'!F:F,""),"")</f>
        <v>478</v>
      </c>
      <c r="E1428" s="10" cm="1">
        <f t="array" ref="E1428">IFERROR(_xlfn.XLOOKUP(1,('env Parameter'!$A:$A=$A1428)*('env Parameter'!$B:$B=$K1428)*('env Parameter'!$C:$C=$L1428),'env Parameter'!G:G,""),"")</f>
        <v>7.6</v>
      </c>
      <c r="F1428" t="str">
        <f>eDNA!F1428</f>
        <v>MiFish</v>
      </c>
      <c r="G1428" t="str">
        <f>eDNA!D1428</f>
        <v>Homo sapiens</v>
      </c>
      <c r="H1428" t="str">
        <f>_xlfn.XLOOKUP(G1428,'Common name (master file)'!$B:$B,'Common name (master file)'!$A:$A,"-------------")</f>
        <v>사람</v>
      </c>
      <c r="I1428">
        <f>eDNA!E1428</f>
        <v>72</v>
      </c>
      <c r="J1428" t="str">
        <f>_xlfn.XLOOKUP(G1428,'Common name (master file)'!$B:$B,'Common name (master file)'!$C:$C,"")</f>
        <v>포유류</v>
      </c>
      <c r="K1428">
        <f>eDNA!B1428</f>
        <v>126.8499561</v>
      </c>
      <c r="L1428">
        <f>eDNA!C1428</f>
        <v>37.481606900000003</v>
      </c>
      <c r="M1428" s="10" t="str" cm="1">
        <f t="array" ref="M1428">IFERROR(_xlfn.XLOOKUP(1,('env Parameter'!$A:$A=$A1428)*('env Parameter'!$B:$B=$K1428)*('env Parameter'!$C:$C=$L1428),'env Parameter'!D:D,""),"")</f>
        <v>목감천-5</v>
      </c>
      <c r="N1428" s="10" t="str" cm="1">
        <f t="array" ref="N1428">IFERROR(_xlfn.XLOOKUP(1,('env Parameter'!$A:$A=$A1428)*('env Parameter'!$B:$B=$K1428)*('env Parameter'!$C:$C=$L1428),'env Parameter'!I:I,""),"")</f>
        <v>YR</v>
      </c>
    </row>
    <row r="1429" spans="1:14">
      <c r="A1429">
        <f>eDNA!A1429</f>
        <v>20201024</v>
      </c>
      <c r="B1429" s="10" t="str" cm="1">
        <f t="array" ref="B1429">IFERROR(_xlfn.XLOOKUP(1,('env Parameter'!$A:$A=$A1429)*('env Parameter'!$B:$B=$K1429)*('env Parameter'!$C:$C=$L1429),'env Parameter'!H:H,""),"")</f>
        <v>생물상 조사</v>
      </c>
      <c r="C1429" s="10" cm="1">
        <f t="array" ref="C1429">IFERROR(_xlfn.XLOOKUP(1,('env Parameter'!$A:$A=$A1429)*('env Parameter'!$B:$B=$K1429)*('env Parameter'!$C:$C=$L1429),'env Parameter'!E:E,""),"")</f>
        <v>2.14</v>
      </c>
      <c r="D1429" s="10" cm="1">
        <f t="array" ref="D1429">IFERROR(_xlfn.XLOOKUP(1,('env Parameter'!$A:$A=$A1429)*('env Parameter'!$B:$B=$K1429)*('env Parameter'!$C:$C=$L1429),'env Parameter'!F:F,""),"")</f>
        <v>478</v>
      </c>
      <c r="E1429" s="10" cm="1">
        <f t="array" ref="E1429">IFERROR(_xlfn.XLOOKUP(1,('env Parameter'!$A:$A=$A1429)*('env Parameter'!$B:$B=$K1429)*('env Parameter'!$C:$C=$L1429),'env Parameter'!G:G,""),"")</f>
        <v>7.6</v>
      </c>
      <c r="F1429" t="str">
        <f>eDNA!F1429</f>
        <v>MiFish</v>
      </c>
      <c r="G1429" t="str">
        <f>eDNA!D1429</f>
        <v>Perciformes sp.</v>
      </c>
      <c r="H1429" t="str">
        <f>_xlfn.XLOOKUP(G1429,'Common name (master file)'!$B:$B,'Common name (master file)'!$A:$A,"-------------")</f>
        <v>농어목 바닷물고기</v>
      </c>
      <c r="I1429">
        <f>eDNA!E1429</f>
        <v>81</v>
      </c>
      <c r="J1429" t="str">
        <f>_xlfn.XLOOKUP(G1429,'Common name (master file)'!$B:$B,'Common name (master file)'!$C:$C,"")</f>
        <v>어류</v>
      </c>
      <c r="K1429">
        <f>eDNA!B1429</f>
        <v>126.8499561</v>
      </c>
      <c r="L1429">
        <f>eDNA!C1429</f>
        <v>37.481606900000003</v>
      </c>
      <c r="M1429" s="10" t="str" cm="1">
        <f t="array" ref="M1429">IFERROR(_xlfn.XLOOKUP(1,('env Parameter'!$A:$A=$A1429)*('env Parameter'!$B:$B=$K1429)*('env Parameter'!$C:$C=$L1429),'env Parameter'!D:D,""),"")</f>
        <v>목감천-5</v>
      </c>
      <c r="N1429" s="10" t="str" cm="1">
        <f t="array" ref="N1429">IFERROR(_xlfn.XLOOKUP(1,('env Parameter'!$A:$A=$A1429)*('env Parameter'!$B:$B=$K1429)*('env Parameter'!$C:$C=$L1429),'env Parameter'!I:I,""),"")</f>
        <v>YR</v>
      </c>
    </row>
    <row r="1430" spans="1:14">
      <c r="A1430">
        <f>eDNA!A1430</f>
        <v>20201024</v>
      </c>
      <c r="B1430" s="10" t="str" cm="1">
        <f t="array" ref="B1430">IFERROR(_xlfn.XLOOKUP(1,('env Parameter'!$A:$A=$A1430)*('env Parameter'!$B:$B=$K1430)*('env Parameter'!$C:$C=$L1430),'env Parameter'!H:H,""),"")</f>
        <v>생물상 조사</v>
      </c>
      <c r="C1430" s="10" cm="1">
        <f t="array" ref="C1430">IFERROR(_xlfn.XLOOKUP(1,('env Parameter'!$A:$A=$A1430)*('env Parameter'!$B:$B=$K1430)*('env Parameter'!$C:$C=$L1430),'env Parameter'!E:E,""),"")</f>
        <v>2.14</v>
      </c>
      <c r="D1430" s="10" cm="1">
        <f t="array" ref="D1430">IFERROR(_xlfn.XLOOKUP(1,('env Parameter'!$A:$A=$A1430)*('env Parameter'!$B:$B=$K1430)*('env Parameter'!$C:$C=$L1430),'env Parameter'!F:F,""),"")</f>
        <v>478</v>
      </c>
      <c r="E1430" s="10" cm="1">
        <f t="array" ref="E1430">IFERROR(_xlfn.XLOOKUP(1,('env Parameter'!$A:$A=$A1430)*('env Parameter'!$B:$B=$K1430)*('env Parameter'!$C:$C=$L1430),'env Parameter'!G:G,""),"")</f>
        <v>7.6</v>
      </c>
      <c r="F1430" t="str">
        <f>eDNA!F1430</f>
        <v>MiFish</v>
      </c>
      <c r="G1430" t="str">
        <f>eDNA!D1430</f>
        <v>Gadus macrocephalus</v>
      </c>
      <c r="H1430" t="str">
        <f>_xlfn.XLOOKUP(G1430,'Common name (master file)'!$B:$B,'Common name (master file)'!$A:$A,"-------------")</f>
        <v>대구</v>
      </c>
      <c r="I1430">
        <f>eDNA!E1430</f>
        <v>104</v>
      </c>
      <c r="J1430" t="str">
        <f>_xlfn.XLOOKUP(G1430,'Common name (master file)'!$B:$B,'Common name (master file)'!$C:$C,"")</f>
        <v>어류</v>
      </c>
      <c r="K1430">
        <f>eDNA!B1430</f>
        <v>126.8499561</v>
      </c>
      <c r="L1430">
        <f>eDNA!C1430</f>
        <v>37.481606900000003</v>
      </c>
      <c r="M1430" s="10" t="str" cm="1">
        <f t="array" ref="M1430">IFERROR(_xlfn.XLOOKUP(1,('env Parameter'!$A:$A=$A1430)*('env Parameter'!$B:$B=$K1430)*('env Parameter'!$C:$C=$L1430),'env Parameter'!D:D,""),"")</f>
        <v>목감천-5</v>
      </c>
      <c r="N1430" s="10" t="str" cm="1">
        <f t="array" ref="N1430">IFERROR(_xlfn.XLOOKUP(1,('env Parameter'!$A:$A=$A1430)*('env Parameter'!$B:$B=$K1430)*('env Parameter'!$C:$C=$L1430),'env Parameter'!I:I,""),"")</f>
        <v>YR</v>
      </c>
    </row>
    <row r="1431" spans="1:14">
      <c r="A1431">
        <f>eDNA!A1431</f>
        <v>20201024</v>
      </c>
      <c r="B1431" s="10" t="str" cm="1">
        <f t="array" ref="B1431">IFERROR(_xlfn.XLOOKUP(1,('env Parameter'!$A:$A=$A1431)*('env Parameter'!$B:$B=$K1431)*('env Parameter'!$C:$C=$L1431),'env Parameter'!H:H,""),"")</f>
        <v>생물상 조사</v>
      </c>
      <c r="C1431" s="10" cm="1">
        <f t="array" ref="C1431">IFERROR(_xlfn.XLOOKUP(1,('env Parameter'!$A:$A=$A1431)*('env Parameter'!$B:$B=$K1431)*('env Parameter'!$C:$C=$L1431),'env Parameter'!E:E,""),"")</f>
        <v>2.14</v>
      </c>
      <c r="D1431" s="10" cm="1">
        <f t="array" ref="D1431">IFERROR(_xlfn.XLOOKUP(1,('env Parameter'!$A:$A=$A1431)*('env Parameter'!$B:$B=$K1431)*('env Parameter'!$C:$C=$L1431),'env Parameter'!F:F,""),"")</f>
        <v>478</v>
      </c>
      <c r="E1431" s="10" cm="1">
        <f t="array" ref="E1431">IFERROR(_xlfn.XLOOKUP(1,('env Parameter'!$A:$A=$A1431)*('env Parameter'!$B:$B=$K1431)*('env Parameter'!$C:$C=$L1431),'env Parameter'!G:G,""),"")</f>
        <v>7.6</v>
      </c>
      <c r="F1431" t="str">
        <f>eDNA!F1431</f>
        <v>MiFish</v>
      </c>
      <c r="G1431" t="str">
        <f>eDNA!D1431</f>
        <v>Konosirus punctatus</v>
      </c>
      <c r="H1431" t="str">
        <f>_xlfn.XLOOKUP(G1431,'Common name (master file)'!$B:$B,'Common name (master file)'!$A:$A,"-------------")</f>
        <v>전어</v>
      </c>
      <c r="I1431">
        <f>eDNA!E1431</f>
        <v>110</v>
      </c>
      <c r="J1431" t="str">
        <f>_xlfn.XLOOKUP(G1431,'Common name (master file)'!$B:$B,'Common name (master file)'!$C:$C,"")</f>
        <v>어류</v>
      </c>
      <c r="K1431">
        <f>eDNA!B1431</f>
        <v>126.8499561</v>
      </c>
      <c r="L1431">
        <f>eDNA!C1431</f>
        <v>37.481606900000003</v>
      </c>
      <c r="M1431" s="10" t="str" cm="1">
        <f t="array" ref="M1431">IFERROR(_xlfn.XLOOKUP(1,('env Parameter'!$A:$A=$A1431)*('env Parameter'!$B:$B=$K1431)*('env Parameter'!$C:$C=$L1431),'env Parameter'!D:D,""),"")</f>
        <v>목감천-5</v>
      </c>
      <c r="N1431" s="10" t="str" cm="1">
        <f t="array" ref="N1431">IFERROR(_xlfn.XLOOKUP(1,('env Parameter'!$A:$A=$A1431)*('env Parameter'!$B:$B=$K1431)*('env Parameter'!$C:$C=$L1431),'env Parameter'!I:I,""),"")</f>
        <v>YR</v>
      </c>
    </row>
    <row r="1432" spans="1:14">
      <c r="A1432">
        <f>eDNA!A1432</f>
        <v>20201024</v>
      </c>
      <c r="B1432" s="10" t="str" cm="1">
        <f t="array" ref="B1432">IFERROR(_xlfn.XLOOKUP(1,('env Parameter'!$A:$A=$A1432)*('env Parameter'!$B:$B=$K1432)*('env Parameter'!$C:$C=$L1432),'env Parameter'!H:H,""),"")</f>
        <v>생물상 조사</v>
      </c>
      <c r="C1432" s="10" cm="1">
        <f t="array" ref="C1432">IFERROR(_xlfn.XLOOKUP(1,('env Parameter'!$A:$A=$A1432)*('env Parameter'!$B:$B=$K1432)*('env Parameter'!$C:$C=$L1432),'env Parameter'!E:E,""),"")</f>
        <v>2.14</v>
      </c>
      <c r="D1432" s="10" cm="1">
        <f t="array" ref="D1432">IFERROR(_xlfn.XLOOKUP(1,('env Parameter'!$A:$A=$A1432)*('env Parameter'!$B:$B=$K1432)*('env Parameter'!$C:$C=$L1432),'env Parameter'!F:F,""),"")</f>
        <v>478</v>
      </c>
      <c r="E1432" s="10" cm="1">
        <f t="array" ref="E1432">IFERROR(_xlfn.XLOOKUP(1,('env Parameter'!$A:$A=$A1432)*('env Parameter'!$B:$B=$K1432)*('env Parameter'!$C:$C=$L1432),'env Parameter'!G:G,""),"")</f>
        <v>7.6</v>
      </c>
      <c r="F1432" t="str">
        <f>eDNA!F1432</f>
        <v>MiFish</v>
      </c>
      <c r="G1432" t="str">
        <f>eDNA!D1432</f>
        <v>Cyprinus megalophthalmus</v>
      </c>
      <c r="H1432" t="str">
        <f>_xlfn.XLOOKUP(G1432,'Common name (master file)'!$B:$B,'Common name (master file)'!$A:$A,"-------------")</f>
        <v>큰눈잉어</v>
      </c>
      <c r="I1432">
        <f>eDNA!E1432</f>
        <v>137</v>
      </c>
      <c r="J1432" t="str">
        <f>_xlfn.XLOOKUP(G1432,'Common name (master file)'!$B:$B,'Common name (master file)'!$C:$C,"")</f>
        <v>어류</v>
      </c>
      <c r="K1432">
        <f>eDNA!B1432</f>
        <v>126.8499561</v>
      </c>
      <c r="L1432">
        <f>eDNA!C1432</f>
        <v>37.481606900000003</v>
      </c>
      <c r="M1432" s="10" t="str" cm="1">
        <f t="array" ref="M1432">IFERROR(_xlfn.XLOOKUP(1,('env Parameter'!$A:$A=$A1432)*('env Parameter'!$B:$B=$K1432)*('env Parameter'!$C:$C=$L1432),'env Parameter'!D:D,""),"")</f>
        <v>목감천-5</v>
      </c>
      <c r="N1432" s="10" t="str" cm="1">
        <f t="array" ref="N1432">IFERROR(_xlfn.XLOOKUP(1,('env Parameter'!$A:$A=$A1432)*('env Parameter'!$B:$B=$K1432)*('env Parameter'!$C:$C=$L1432),'env Parameter'!I:I,""),"")</f>
        <v>YR</v>
      </c>
    </row>
    <row r="1433" spans="1:14">
      <c r="A1433">
        <f>eDNA!A1433</f>
        <v>20201024</v>
      </c>
      <c r="B1433" s="10" t="str" cm="1">
        <f t="array" ref="B1433">IFERROR(_xlfn.XLOOKUP(1,('env Parameter'!$A:$A=$A1433)*('env Parameter'!$B:$B=$K1433)*('env Parameter'!$C:$C=$L1433),'env Parameter'!H:H,""),"")</f>
        <v>생물상 조사</v>
      </c>
      <c r="C1433" s="10" cm="1">
        <f t="array" ref="C1433">IFERROR(_xlfn.XLOOKUP(1,('env Parameter'!$A:$A=$A1433)*('env Parameter'!$B:$B=$K1433)*('env Parameter'!$C:$C=$L1433),'env Parameter'!E:E,""),"")</f>
        <v>2.14</v>
      </c>
      <c r="D1433" s="10" cm="1">
        <f t="array" ref="D1433">IFERROR(_xlfn.XLOOKUP(1,('env Parameter'!$A:$A=$A1433)*('env Parameter'!$B:$B=$K1433)*('env Parameter'!$C:$C=$L1433),'env Parameter'!F:F,""),"")</f>
        <v>478</v>
      </c>
      <c r="E1433" s="10" cm="1">
        <f t="array" ref="E1433">IFERROR(_xlfn.XLOOKUP(1,('env Parameter'!$A:$A=$A1433)*('env Parameter'!$B:$B=$K1433)*('env Parameter'!$C:$C=$L1433),'env Parameter'!G:G,""),"")</f>
        <v>7.6</v>
      </c>
      <c r="F1433" t="str">
        <f>eDNA!F1433</f>
        <v>MiFish</v>
      </c>
      <c r="G1433" t="str">
        <f>eDNA!D1433</f>
        <v>Gallus gallus domesticus</v>
      </c>
      <c r="H1433" t="str">
        <f>_xlfn.XLOOKUP(G1433,'Common name (master file)'!$B:$B,'Common name (master file)'!$A:$A,"-------------")</f>
        <v>닭</v>
      </c>
      <c r="I1433">
        <f>eDNA!E1433</f>
        <v>170</v>
      </c>
      <c r="J1433" t="str">
        <f>_xlfn.XLOOKUP(G1433,'Common name (master file)'!$B:$B,'Common name (master file)'!$C:$C,"")</f>
        <v>조류</v>
      </c>
      <c r="K1433">
        <f>eDNA!B1433</f>
        <v>126.8499561</v>
      </c>
      <c r="L1433">
        <f>eDNA!C1433</f>
        <v>37.481606900000003</v>
      </c>
      <c r="M1433" s="10" t="str" cm="1">
        <f t="array" ref="M1433">IFERROR(_xlfn.XLOOKUP(1,('env Parameter'!$A:$A=$A1433)*('env Parameter'!$B:$B=$K1433)*('env Parameter'!$C:$C=$L1433),'env Parameter'!D:D,""),"")</f>
        <v>목감천-5</v>
      </c>
      <c r="N1433" s="10" t="str" cm="1">
        <f t="array" ref="N1433">IFERROR(_xlfn.XLOOKUP(1,('env Parameter'!$A:$A=$A1433)*('env Parameter'!$B:$B=$K1433)*('env Parameter'!$C:$C=$L1433),'env Parameter'!I:I,""),"")</f>
        <v>YR</v>
      </c>
    </row>
    <row r="1434" spans="1:14">
      <c r="A1434">
        <f>eDNA!A1434</f>
        <v>20201024</v>
      </c>
      <c r="B1434" s="10" t="str" cm="1">
        <f t="array" ref="B1434">IFERROR(_xlfn.XLOOKUP(1,('env Parameter'!$A:$A=$A1434)*('env Parameter'!$B:$B=$K1434)*('env Parameter'!$C:$C=$L1434),'env Parameter'!H:H,""),"")</f>
        <v>생물상 조사</v>
      </c>
      <c r="C1434" s="10" cm="1">
        <f t="array" ref="C1434">IFERROR(_xlfn.XLOOKUP(1,('env Parameter'!$A:$A=$A1434)*('env Parameter'!$B:$B=$K1434)*('env Parameter'!$C:$C=$L1434),'env Parameter'!E:E,""),"")</f>
        <v>2.14</v>
      </c>
      <c r="D1434" s="10" cm="1">
        <f t="array" ref="D1434">IFERROR(_xlfn.XLOOKUP(1,('env Parameter'!$A:$A=$A1434)*('env Parameter'!$B:$B=$K1434)*('env Parameter'!$C:$C=$L1434),'env Parameter'!F:F,""),"")</f>
        <v>478</v>
      </c>
      <c r="E1434" s="10" cm="1">
        <f t="array" ref="E1434">IFERROR(_xlfn.XLOOKUP(1,('env Parameter'!$A:$A=$A1434)*('env Parameter'!$B:$B=$K1434)*('env Parameter'!$C:$C=$L1434),'env Parameter'!G:G,""),"")</f>
        <v>7.6</v>
      </c>
      <c r="F1434" t="str">
        <f>eDNA!F1434</f>
        <v>MiFish</v>
      </c>
      <c r="G1434" t="str">
        <f>eDNA!D1434</f>
        <v>Bos taurus</v>
      </c>
      <c r="H1434" t="str">
        <f>_xlfn.XLOOKUP(G1434,'Common name (master file)'!$B:$B,'Common name (master file)'!$A:$A,"-------------")</f>
        <v>소</v>
      </c>
      <c r="I1434">
        <f>eDNA!E1434</f>
        <v>312</v>
      </c>
      <c r="J1434" t="str">
        <f>_xlfn.XLOOKUP(G1434,'Common name (master file)'!$B:$B,'Common name (master file)'!$C:$C,"")</f>
        <v>포유류</v>
      </c>
      <c r="K1434">
        <f>eDNA!B1434</f>
        <v>126.8499561</v>
      </c>
      <c r="L1434">
        <f>eDNA!C1434</f>
        <v>37.481606900000003</v>
      </c>
      <c r="M1434" s="10" t="str" cm="1">
        <f t="array" ref="M1434">IFERROR(_xlfn.XLOOKUP(1,('env Parameter'!$A:$A=$A1434)*('env Parameter'!$B:$B=$K1434)*('env Parameter'!$C:$C=$L1434),'env Parameter'!D:D,""),"")</f>
        <v>목감천-5</v>
      </c>
      <c r="N1434" s="10" t="str" cm="1">
        <f t="array" ref="N1434">IFERROR(_xlfn.XLOOKUP(1,('env Parameter'!$A:$A=$A1434)*('env Parameter'!$B:$B=$K1434)*('env Parameter'!$C:$C=$L1434),'env Parameter'!I:I,""),"")</f>
        <v>YR</v>
      </c>
    </row>
    <row r="1435" spans="1:14">
      <c r="A1435">
        <f>eDNA!A1435</f>
        <v>20201024</v>
      </c>
      <c r="B1435" s="10" t="str" cm="1">
        <f t="array" ref="B1435">IFERROR(_xlfn.XLOOKUP(1,('env Parameter'!$A:$A=$A1435)*('env Parameter'!$B:$B=$K1435)*('env Parameter'!$C:$C=$L1435),'env Parameter'!H:H,""),"")</f>
        <v>생물상 조사</v>
      </c>
      <c r="C1435" s="10" cm="1">
        <f t="array" ref="C1435">IFERROR(_xlfn.XLOOKUP(1,('env Parameter'!$A:$A=$A1435)*('env Parameter'!$B:$B=$K1435)*('env Parameter'!$C:$C=$L1435),'env Parameter'!E:E,""),"")</f>
        <v>2.14</v>
      </c>
      <c r="D1435" s="10" cm="1">
        <f t="array" ref="D1435">IFERROR(_xlfn.XLOOKUP(1,('env Parameter'!$A:$A=$A1435)*('env Parameter'!$B:$B=$K1435)*('env Parameter'!$C:$C=$L1435),'env Parameter'!F:F,""),"")</f>
        <v>478</v>
      </c>
      <c r="E1435" s="10" cm="1">
        <f t="array" ref="E1435">IFERROR(_xlfn.XLOOKUP(1,('env Parameter'!$A:$A=$A1435)*('env Parameter'!$B:$B=$K1435)*('env Parameter'!$C:$C=$L1435),'env Parameter'!G:G,""),"")</f>
        <v>7.6</v>
      </c>
      <c r="F1435" t="str">
        <f>eDNA!F1435</f>
        <v>MiFish</v>
      </c>
      <c r="G1435" t="str">
        <f>eDNA!D1435</f>
        <v>Tadorna tadorna</v>
      </c>
      <c r="H1435" t="str">
        <f>_xlfn.XLOOKUP(G1435,'Common name (master file)'!$B:$B,'Common name (master file)'!$A:$A,"-------------")</f>
        <v>혹부리오리</v>
      </c>
      <c r="I1435">
        <f>eDNA!E1435</f>
        <v>501</v>
      </c>
      <c r="J1435" t="str">
        <f>_xlfn.XLOOKUP(G1435,'Common name (master file)'!$B:$B,'Common name (master file)'!$C:$C,"")</f>
        <v>조류</v>
      </c>
      <c r="K1435">
        <f>eDNA!B1435</f>
        <v>126.8499561</v>
      </c>
      <c r="L1435">
        <f>eDNA!C1435</f>
        <v>37.481606900000003</v>
      </c>
      <c r="M1435" s="10" t="str" cm="1">
        <f t="array" ref="M1435">IFERROR(_xlfn.XLOOKUP(1,('env Parameter'!$A:$A=$A1435)*('env Parameter'!$B:$B=$K1435)*('env Parameter'!$C:$C=$L1435),'env Parameter'!D:D,""),"")</f>
        <v>목감천-5</v>
      </c>
      <c r="N1435" s="10" t="str" cm="1">
        <f t="array" ref="N1435">IFERROR(_xlfn.XLOOKUP(1,('env Parameter'!$A:$A=$A1435)*('env Parameter'!$B:$B=$K1435)*('env Parameter'!$C:$C=$L1435),'env Parameter'!I:I,""),"")</f>
        <v>YR</v>
      </c>
    </row>
    <row r="1436" spans="1:14">
      <c r="A1436">
        <f>eDNA!A1436</f>
        <v>20201024</v>
      </c>
      <c r="B1436" s="10" t="str" cm="1">
        <f t="array" ref="B1436">IFERROR(_xlfn.XLOOKUP(1,('env Parameter'!$A:$A=$A1436)*('env Parameter'!$B:$B=$K1436)*('env Parameter'!$C:$C=$L1436),'env Parameter'!H:H,""),"")</f>
        <v>생물상 조사</v>
      </c>
      <c r="C1436" s="10" cm="1">
        <f t="array" ref="C1436">IFERROR(_xlfn.XLOOKUP(1,('env Parameter'!$A:$A=$A1436)*('env Parameter'!$B:$B=$K1436)*('env Parameter'!$C:$C=$L1436),'env Parameter'!E:E,""),"")</f>
        <v>2.14</v>
      </c>
      <c r="D1436" s="10" cm="1">
        <f t="array" ref="D1436">IFERROR(_xlfn.XLOOKUP(1,('env Parameter'!$A:$A=$A1436)*('env Parameter'!$B:$B=$K1436)*('env Parameter'!$C:$C=$L1436),'env Parameter'!F:F,""),"")</f>
        <v>478</v>
      </c>
      <c r="E1436" s="10" cm="1">
        <f t="array" ref="E1436">IFERROR(_xlfn.XLOOKUP(1,('env Parameter'!$A:$A=$A1436)*('env Parameter'!$B:$B=$K1436)*('env Parameter'!$C:$C=$L1436),'env Parameter'!G:G,""),"")</f>
        <v>7.6</v>
      </c>
      <c r="F1436" t="str">
        <f>eDNA!F1436</f>
        <v>MiFish</v>
      </c>
      <c r="G1436" t="str">
        <f>eDNA!D1436</f>
        <v>Misgurnus mizolepis</v>
      </c>
      <c r="H1436" t="str">
        <f>_xlfn.XLOOKUP(G1436,'Common name (master file)'!$B:$B,'Common name (master file)'!$A:$A,"-------------")</f>
        <v>미꾸라지</v>
      </c>
      <c r="I1436">
        <f>eDNA!E1436</f>
        <v>581</v>
      </c>
      <c r="J1436" t="str">
        <f>_xlfn.XLOOKUP(G1436,'Common name (master file)'!$B:$B,'Common name (master file)'!$C:$C,"")</f>
        <v>어류</v>
      </c>
      <c r="K1436">
        <f>eDNA!B1436</f>
        <v>126.8499561</v>
      </c>
      <c r="L1436">
        <f>eDNA!C1436</f>
        <v>37.481606900000003</v>
      </c>
      <c r="M1436" s="10" t="str" cm="1">
        <f t="array" ref="M1436">IFERROR(_xlfn.XLOOKUP(1,('env Parameter'!$A:$A=$A1436)*('env Parameter'!$B:$B=$K1436)*('env Parameter'!$C:$C=$L1436),'env Parameter'!D:D,""),"")</f>
        <v>목감천-5</v>
      </c>
      <c r="N1436" s="10" t="str" cm="1">
        <f t="array" ref="N1436">IFERROR(_xlfn.XLOOKUP(1,('env Parameter'!$A:$A=$A1436)*('env Parameter'!$B:$B=$K1436)*('env Parameter'!$C:$C=$L1436),'env Parameter'!I:I,""),"")</f>
        <v>YR</v>
      </c>
    </row>
    <row r="1437" spans="1:14">
      <c r="A1437">
        <f>eDNA!A1437</f>
        <v>20201024</v>
      </c>
      <c r="B1437" s="10" t="str" cm="1">
        <f t="array" ref="B1437">IFERROR(_xlfn.XLOOKUP(1,('env Parameter'!$A:$A=$A1437)*('env Parameter'!$B:$B=$K1437)*('env Parameter'!$C:$C=$L1437),'env Parameter'!H:H,""),"")</f>
        <v>생물상 조사</v>
      </c>
      <c r="C1437" s="10" cm="1">
        <f t="array" ref="C1437">IFERROR(_xlfn.XLOOKUP(1,('env Parameter'!$A:$A=$A1437)*('env Parameter'!$B:$B=$K1437)*('env Parameter'!$C:$C=$L1437),'env Parameter'!E:E,""),"")</f>
        <v>2.14</v>
      </c>
      <c r="D1437" s="10" cm="1">
        <f t="array" ref="D1437">IFERROR(_xlfn.XLOOKUP(1,('env Parameter'!$A:$A=$A1437)*('env Parameter'!$B:$B=$K1437)*('env Parameter'!$C:$C=$L1437),'env Parameter'!F:F,""),"")</f>
        <v>478</v>
      </c>
      <c r="E1437" s="10" cm="1">
        <f t="array" ref="E1437">IFERROR(_xlfn.XLOOKUP(1,('env Parameter'!$A:$A=$A1437)*('env Parameter'!$B:$B=$K1437)*('env Parameter'!$C:$C=$L1437),'env Parameter'!G:G,""),"")</f>
        <v>7.6</v>
      </c>
      <c r="F1437" t="str">
        <f>eDNA!F1437</f>
        <v>MiFish</v>
      </c>
      <c r="G1437" t="str">
        <f>eDNA!D1437</f>
        <v>Tridentiger obscurus</v>
      </c>
      <c r="H1437" t="str">
        <f>_xlfn.XLOOKUP(G1437,'Common name (master file)'!$B:$B,'Common name (master file)'!$A:$A,"-------------")</f>
        <v>검정망둑</v>
      </c>
      <c r="I1437">
        <f>eDNA!E1437</f>
        <v>580</v>
      </c>
      <c r="J1437" t="str">
        <f>_xlfn.XLOOKUP(G1437,'Common name (master file)'!$B:$B,'Common name (master file)'!$C:$C,"")</f>
        <v>어류</v>
      </c>
      <c r="K1437">
        <f>eDNA!B1437</f>
        <v>126.8499561</v>
      </c>
      <c r="L1437">
        <f>eDNA!C1437</f>
        <v>37.481606900000003</v>
      </c>
      <c r="M1437" s="10" t="str" cm="1">
        <f t="array" ref="M1437">IFERROR(_xlfn.XLOOKUP(1,('env Parameter'!$A:$A=$A1437)*('env Parameter'!$B:$B=$K1437)*('env Parameter'!$C:$C=$L1437),'env Parameter'!D:D,""),"")</f>
        <v>목감천-5</v>
      </c>
      <c r="N1437" s="10" t="str" cm="1">
        <f t="array" ref="N1437">IFERROR(_xlfn.XLOOKUP(1,('env Parameter'!$A:$A=$A1437)*('env Parameter'!$B:$B=$K1437)*('env Parameter'!$C:$C=$L1437),'env Parameter'!I:I,""),"")</f>
        <v>YR</v>
      </c>
    </row>
    <row r="1438" spans="1:14">
      <c r="A1438">
        <f>eDNA!A1438</f>
        <v>20201024</v>
      </c>
      <c r="B1438" s="10" t="str" cm="1">
        <f t="array" ref="B1438">IFERROR(_xlfn.XLOOKUP(1,('env Parameter'!$A:$A=$A1438)*('env Parameter'!$B:$B=$K1438)*('env Parameter'!$C:$C=$L1438),'env Parameter'!H:H,""),"")</f>
        <v>생물상 조사</v>
      </c>
      <c r="C1438" s="10" cm="1">
        <f t="array" ref="C1438">IFERROR(_xlfn.XLOOKUP(1,('env Parameter'!$A:$A=$A1438)*('env Parameter'!$B:$B=$K1438)*('env Parameter'!$C:$C=$L1438),'env Parameter'!E:E,""),"")</f>
        <v>2.14</v>
      </c>
      <c r="D1438" s="10" cm="1">
        <f t="array" ref="D1438">IFERROR(_xlfn.XLOOKUP(1,('env Parameter'!$A:$A=$A1438)*('env Parameter'!$B:$B=$K1438)*('env Parameter'!$C:$C=$L1438),'env Parameter'!F:F,""),"")</f>
        <v>478</v>
      </c>
      <c r="E1438" s="10" cm="1">
        <f t="array" ref="E1438">IFERROR(_xlfn.XLOOKUP(1,('env Parameter'!$A:$A=$A1438)*('env Parameter'!$B:$B=$K1438)*('env Parameter'!$C:$C=$L1438),'env Parameter'!G:G,""),"")</f>
        <v>7.6</v>
      </c>
      <c r="F1438" t="str">
        <f>eDNA!F1438</f>
        <v>MiFish</v>
      </c>
      <c r="G1438" t="str">
        <f>eDNA!D1438</f>
        <v>Channa argus</v>
      </c>
      <c r="H1438" t="str">
        <f>_xlfn.XLOOKUP(G1438,'Common name (master file)'!$B:$B,'Common name (master file)'!$A:$A,"-------------")</f>
        <v>가물치</v>
      </c>
      <c r="I1438">
        <f>eDNA!E1438</f>
        <v>642</v>
      </c>
      <c r="J1438" t="str">
        <f>_xlfn.XLOOKUP(G1438,'Common name (master file)'!$B:$B,'Common name (master file)'!$C:$C,"")</f>
        <v>어류</v>
      </c>
      <c r="K1438">
        <f>eDNA!B1438</f>
        <v>126.8499561</v>
      </c>
      <c r="L1438">
        <f>eDNA!C1438</f>
        <v>37.481606900000003</v>
      </c>
      <c r="M1438" s="10" t="str" cm="1">
        <f t="array" ref="M1438">IFERROR(_xlfn.XLOOKUP(1,('env Parameter'!$A:$A=$A1438)*('env Parameter'!$B:$B=$K1438)*('env Parameter'!$C:$C=$L1438),'env Parameter'!D:D,""),"")</f>
        <v>목감천-5</v>
      </c>
      <c r="N1438" s="10" t="str" cm="1">
        <f t="array" ref="N1438">IFERROR(_xlfn.XLOOKUP(1,('env Parameter'!$A:$A=$A1438)*('env Parameter'!$B:$B=$K1438)*('env Parameter'!$C:$C=$L1438),'env Parameter'!I:I,""),"")</f>
        <v>YR</v>
      </c>
    </row>
    <row r="1439" spans="1:14">
      <c r="A1439">
        <f>eDNA!A1439</f>
        <v>20201024</v>
      </c>
      <c r="B1439" s="10" t="str" cm="1">
        <f t="array" ref="B1439">IFERROR(_xlfn.XLOOKUP(1,('env Parameter'!$A:$A=$A1439)*('env Parameter'!$B:$B=$K1439)*('env Parameter'!$C:$C=$L1439),'env Parameter'!H:H,""),"")</f>
        <v>생물상 조사</v>
      </c>
      <c r="C1439" s="10" cm="1">
        <f t="array" ref="C1439">IFERROR(_xlfn.XLOOKUP(1,('env Parameter'!$A:$A=$A1439)*('env Parameter'!$B:$B=$K1439)*('env Parameter'!$C:$C=$L1439),'env Parameter'!E:E,""),"")</f>
        <v>2.14</v>
      </c>
      <c r="D1439" s="10" cm="1">
        <f t="array" ref="D1439">IFERROR(_xlfn.XLOOKUP(1,('env Parameter'!$A:$A=$A1439)*('env Parameter'!$B:$B=$K1439)*('env Parameter'!$C:$C=$L1439),'env Parameter'!F:F,""),"")</f>
        <v>478</v>
      </c>
      <c r="E1439" s="10" cm="1">
        <f t="array" ref="E1439">IFERROR(_xlfn.XLOOKUP(1,('env Parameter'!$A:$A=$A1439)*('env Parameter'!$B:$B=$K1439)*('env Parameter'!$C:$C=$L1439),'env Parameter'!G:G,""),"")</f>
        <v>7.6</v>
      </c>
      <c r="F1439" t="str">
        <f>eDNA!F1439</f>
        <v>MiFish</v>
      </c>
      <c r="G1439" t="str">
        <f>eDNA!D1439</f>
        <v>Plagiognathops microlepis</v>
      </c>
      <c r="H1439" t="str">
        <f>_xlfn.XLOOKUP(G1439,'Common name (master file)'!$B:$B,'Common name (master file)'!$A:$A,"-------------")</f>
        <v>왜몰개</v>
      </c>
      <c r="I1439">
        <f>eDNA!E1439</f>
        <v>842</v>
      </c>
      <c r="J1439" t="str">
        <f>_xlfn.XLOOKUP(G1439,'Common name (master file)'!$B:$B,'Common name (master file)'!$C:$C,"")</f>
        <v>어류</v>
      </c>
      <c r="K1439">
        <f>eDNA!B1439</f>
        <v>126.8499561</v>
      </c>
      <c r="L1439">
        <f>eDNA!C1439</f>
        <v>37.481606900000003</v>
      </c>
      <c r="M1439" s="10" t="str" cm="1">
        <f t="array" ref="M1439">IFERROR(_xlfn.XLOOKUP(1,('env Parameter'!$A:$A=$A1439)*('env Parameter'!$B:$B=$K1439)*('env Parameter'!$C:$C=$L1439),'env Parameter'!D:D,""),"")</f>
        <v>목감천-5</v>
      </c>
      <c r="N1439" s="10" t="str" cm="1">
        <f t="array" ref="N1439">IFERROR(_xlfn.XLOOKUP(1,('env Parameter'!$A:$A=$A1439)*('env Parameter'!$B:$B=$K1439)*('env Parameter'!$C:$C=$L1439),'env Parameter'!I:I,""),"")</f>
        <v>YR</v>
      </c>
    </row>
    <row r="1440" spans="1:14">
      <c r="A1440">
        <f>eDNA!A1440</f>
        <v>20201024</v>
      </c>
      <c r="B1440" s="10" t="str" cm="1">
        <f t="array" ref="B1440">IFERROR(_xlfn.XLOOKUP(1,('env Parameter'!$A:$A=$A1440)*('env Parameter'!$B:$B=$K1440)*('env Parameter'!$C:$C=$L1440),'env Parameter'!H:H,""),"")</f>
        <v>생물상 조사</v>
      </c>
      <c r="C1440" s="10" cm="1">
        <f t="array" ref="C1440">IFERROR(_xlfn.XLOOKUP(1,('env Parameter'!$A:$A=$A1440)*('env Parameter'!$B:$B=$K1440)*('env Parameter'!$C:$C=$L1440),'env Parameter'!E:E,""),"")</f>
        <v>2.14</v>
      </c>
      <c r="D1440" s="10" cm="1">
        <f t="array" ref="D1440">IFERROR(_xlfn.XLOOKUP(1,('env Parameter'!$A:$A=$A1440)*('env Parameter'!$B:$B=$K1440)*('env Parameter'!$C:$C=$L1440),'env Parameter'!F:F,""),"")</f>
        <v>478</v>
      </c>
      <c r="E1440" s="10" cm="1">
        <f t="array" ref="E1440">IFERROR(_xlfn.XLOOKUP(1,('env Parameter'!$A:$A=$A1440)*('env Parameter'!$B:$B=$K1440)*('env Parameter'!$C:$C=$L1440),'env Parameter'!G:G,""),"")</f>
        <v>7.6</v>
      </c>
      <c r="F1440" t="str">
        <f>eDNA!F1440</f>
        <v>MiFish</v>
      </c>
      <c r="G1440" t="str">
        <f>eDNA!D1440</f>
        <v>Lepomis macrochirus</v>
      </c>
      <c r="H1440" t="str">
        <f>_xlfn.XLOOKUP(G1440,'Common name (master file)'!$B:$B,'Common name (master file)'!$A:$A,"-------------")</f>
        <v>블루길</v>
      </c>
      <c r="I1440">
        <f>eDNA!E1440</f>
        <v>713</v>
      </c>
      <c r="J1440" t="str">
        <f>_xlfn.XLOOKUP(G1440,'Common name (master file)'!$B:$B,'Common name (master file)'!$C:$C,"")</f>
        <v>어류</v>
      </c>
      <c r="K1440">
        <f>eDNA!B1440</f>
        <v>126.8499561</v>
      </c>
      <c r="L1440">
        <f>eDNA!C1440</f>
        <v>37.481606900000003</v>
      </c>
      <c r="M1440" s="10" t="str" cm="1">
        <f t="array" ref="M1440">IFERROR(_xlfn.XLOOKUP(1,('env Parameter'!$A:$A=$A1440)*('env Parameter'!$B:$B=$K1440)*('env Parameter'!$C:$C=$L1440),'env Parameter'!D:D,""),"")</f>
        <v>목감천-5</v>
      </c>
      <c r="N1440" s="10" t="str" cm="1">
        <f t="array" ref="N1440">IFERROR(_xlfn.XLOOKUP(1,('env Parameter'!$A:$A=$A1440)*('env Parameter'!$B:$B=$K1440)*('env Parameter'!$C:$C=$L1440),'env Parameter'!I:I,""),"")</f>
        <v>YR</v>
      </c>
    </row>
    <row r="1441" spans="1:14">
      <c r="A1441">
        <f>eDNA!A1441</f>
        <v>20201024</v>
      </c>
      <c r="B1441" s="10" t="str" cm="1">
        <f t="array" ref="B1441">IFERROR(_xlfn.XLOOKUP(1,('env Parameter'!$A:$A=$A1441)*('env Parameter'!$B:$B=$K1441)*('env Parameter'!$C:$C=$L1441),'env Parameter'!H:H,""),"")</f>
        <v>생물상 조사</v>
      </c>
      <c r="C1441" s="10" cm="1">
        <f t="array" ref="C1441">IFERROR(_xlfn.XLOOKUP(1,('env Parameter'!$A:$A=$A1441)*('env Parameter'!$B:$B=$K1441)*('env Parameter'!$C:$C=$L1441),'env Parameter'!E:E,""),"")</f>
        <v>2.14</v>
      </c>
      <c r="D1441" s="10" cm="1">
        <f t="array" ref="D1441">IFERROR(_xlfn.XLOOKUP(1,('env Parameter'!$A:$A=$A1441)*('env Parameter'!$B:$B=$K1441)*('env Parameter'!$C:$C=$L1441),'env Parameter'!F:F,""),"")</f>
        <v>478</v>
      </c>
      <c r="E1441" s="10" cm="1">
        <f t="array" ref="E1441">IFERROR(_xlfn.XLOOKUP(1,('env Parameter'!$A:$A=$A1441)*('env Parameter'!$B:$B=$K1441)*('env Parameter'!$C:$C=$L1441),'env Parameter'!G:G,""),"")</f>
        <v>7.6</v>
      </c>
      <c r="F1441" t="str">
        <f>eDNA!F1441</f>
        <v>MiFish</v>
      </c>
      <c r="G1441" t="str">
        <f>eDNA!D1441</f>
        <v>Zacco platypus</v>
      </c>
      <c r="H1441" t="str">
        <f>_xlfn.XLOOKUP(G1441,'Common name (master file)'!$B:$B,'Common name (master file)'!$A:$A,"-------------")</f>
        <v>피라미</v>
      </c>
      <c r="I1441">
        <f>eDNA!E1441</f>
        <v>1141</v>
      </c>
      <c r="J1441" t="str">
        <f>_xlfn.XLOOKUP(G1441,'Common name (master file)'!$B:$B,'Common name (master file)'!$C:$C,"")</f>
        <v>어류</v>
      </c>
      <c r="K1441">
        <f>eDNA!B1441</f>
        <v>126.8499561</v>
      </c>
      <c r="L1441">
        <f>eDNA!C1441</f>
        <v>37.481606900000003</v>
      </c>
      <c r="M1441" s="10" t="str" cm="1">
        <f t="array" ref="M1441">IFERROR(_xlfn.XLOOKUP(1,('env Parameter'!$A:$A=$A1441)*('env Parameter'!$B:$B=$K1441)*('env Parameter'!$C:$C=$L1441),'env Parameter'!D:D,""),"")</f>
        <v>목감천-5</v>
      </c>
      <c r="N1441" s="10" t="str" cm="1">
        <f t="array" ref="N1441">IFERROR(_xlfn.XLOOKUP(1,('env Parameter'!$A:$A=$A1441)*('env Parameter'!$B:$B=$K1441)*('env Parameter'!$C:$C=$L1441),'env Parameter'!I:I,""),"")</f>
        <v>YR</v>
      </c>
    </row>
    <row r="1442" spans="1:14">
      <c r="A1442">
        <f>eDNA!A1442</f>
        <v>20201024</v>
      </c>
      <c r="B1442" s="10" t="str" cm="1">
        <f t="array" ref="B1442">IFERROR(_xlfn.XLOOKUP(1,('env Parameter'!$A:$A=$A1442)*('env Parameter'!$B:$B=$K1442)*('env Parameter'!$C:$C=$L1442),'env Parameter'!H:H,""),"")</f>
        <v>생물상 조사</v>
      </c>
      <c r="C1442" s="10" cm="1">
        <f t="array" ref="C1442">IFERROR(_xlfn.XLOOKUP(1,('env Parameter'!$A:$A=$A1442)*('env Parameter'!$B:$B=$K1442)*('env Parameter'!$C:$C=$L1442),'env Parameter'!E:E,""),"")</f>
        <v>2.14</v>
      </c>
      <c r="D1442" s="10" cm="1">
        <f t="array" ref="D1442">IFERROR(_xlfn.XLOOKUP(1,('env Parameter'!$A:$A=$A1442)*('env Parameter'!$B:$B=$K1442)*('env Parameter'!$C:$C=$L1442),'env Parameter'!F:F,""),"")</f>
        <v>478</v>
      </c>
      <c r="E1442" s="10" cm="1">
        <f t="array" ref="E1442">IFERROR(_xlfn.XLOOKUP(1,('env Parameter'!$A:$A=$A1442)*('env Parameter'!$B:$B=$K1442)*('env Parameter'!$C:$C=$L1442),'env Parameter'!G:G,""),"")</f>
        <v>7.6</v>
      </c>
      <c r="F1442" t="str">
        <f>eDNA!F1442</f>
        <v>MiFish</v>
      </c>
      <c r="G1442" t="str">
        <f>eDNA!D1442</f>
        <v>Carassius cuvieri</v>
      </c>
      <c r="H1442" t="str">
        <f>_xlfn.XLOOKUP(G1442,'Common name (master file)'!$B:$B,'Common name (master file)'!$A:$A,"-------------")</f>
        <v>떡붕어</v>
      </c>
      <c r="I1442">
        <f>eDNA!E1442</f>
        <v>1104</v>
      </c>
      <c r="J1442" t="str">
        <f>_xlfn.XLOOKUP(G1442,'Common name (master file)'!$B:$B,'Common name (master file)'!$C:$C,"")</f>
        <v>어류</v>
      </c>
      <c r="K1442">
        <f>eDNA!B1442</f>
        <v>126.8499561</v>
      </c>
      <c r="L1442">
        <f>eDNA!C1442</f>
        <v>37.481606900000003</v>
      </c>
      <c r="M1442" s="10" t="str" cm="1">
        <f t="array" ref="M1442">IFERROR(_xlfn.XLOOKUP(1,('env Parameter'!$A:$A=$A1442)*('env Parameter'!$B:$B=$K1442)*('env Parameter'!$C:$C=$L1442),'env Parameter'!D:D,""),"")</f>
        <v>목감천-5</v>
      </c>
      <c r="N1442" s="10" t="str" cm="1">
        <f t="array" ref="N1442">IFERROR(_xlfn.XLOOKUP(1,('env Parameter'!$A:$A=$A1442)*('env Parameter'!$B:$B=$K1442)*('env Parameter'!$C:$C=$L1442),'env Parameter'!I:I,""),"")</f>
        <v>YR</v>
      </c>
    </row>
    <row r="1443" spans="1:14">
      <c r="A1443">
        <f>eDNA!A1443</f>
        <v>20201024</v>
      </c>
      <c r="B1443" s="10" t="str" cm="1">
        <f t="array" ref="B1443">IFERROR(_xlfn.XLOOKUP(1,('env Parameter'!$A:$A=$A1443)*('env Parameter'!$B:$B=$K1443)*('env Parameter'!$C:$C=$L1443),'env Parameter'!H:H,""),"")</f>
        <v>생물상 조사</v>
      </c>
      <c r="C1443" s="10" cm="1">
        <f t="array" ref="C1443">IFERROR(_xlfn.XLOOKUP(1,('env Parameter'!$A:$A=$A1443)*('env Parameter'!$B:$B=$K1443)*('env Parameter'!$C:$C=$L1443),'env Parameter'!E:E,""),"")</f>
        <v>2.14</v>
      </c>
      <c r="D1443" s="10" cm="1">
        <f t="array" ref="D1443">IFERROR(_xlfn.XLOOKUP(1,('env Parameter'!$A:$A=$A1443)*('env Parameter'!$B:$B=$K1443)*('env Parameter'!$C:$C=$L1443),'env Parameter'!F:F,""),"")</f>
        <v>478</v>
      </c>
      <c r="E1443" s="10" cm="1">
        <f t="array" ref="E1443">IFERROR(_xlfn.XLOOKUP(1,('env Parameter'!$A:$A=$A1443)*('env Parameter'!$B:$B=$K1443)*('env Parameter'!$C:$C=$L1443),'env Parameter'!G:G,""),"")</f>
        <v>7.6</v>
      </c>
      <c r="F1443" t="str">
        <f>eDNA!F1443</f>
        <v>MiFish</v>
      </c>
      <c r="G1443" t="str">
        <f>eDNA!D1443</f>
        <v>Carassius sp.</v>
      </c>
      <c r="H1443" t="str">
        <f>_xlfn.XLOOKUP(G1443,'Common name (master file)'!$B:$B,'Common name (master file)'!$A:$A,"-------------")</f>
        <v>붕어 속</v>
      </c>
      <c r="I1443">
        <f>eDNA!E1443</f>
        <v>1114</v>
      </c>
      <c r="J1443" t="str">
        <f>_xlfn.XLOOKUP(G1443,'Common name (master file)'!$B:$B,'Common name (master file)'!$C:$C,"")</f>
        <v>어류</v>
      </c>
      <c r="K1443">
        <f>eDNA!B1443</f>
        <v>126.8499561</v>
      </c>
      <c r="L1443">
        <f>eDNA!C1443</f>
        <v>37.481606900000003</v>
      </c>
      <c r="M1443" s="10" t="str" cm="1">
        <f t="array" ref="M1443">IFERROR(_xlfn.XLOOKUP(1,('env Parameter'!$A:$A=$A1443)*('env Parameter'!$B:$B=$K1443)*('env Parameter'!$C:$C=$L1443),'env Parameter'!D:D,""),"")</f>
        <v>목감천-5</v>
      </c>
      <c r="N1443" s="10" t="str" cm="1">
        <f t="array" ref="N1443">IFERROR(_xlfn.XLOOKUP(1,('env Parameter'!$A:$A=$A1443)*('env Parameter'!$B:$B=$K1443)*('env Parameter'!$C:$C=$L1443),'env Parameter'!I:I,""),"")</f>
        <v>YR</v>
      </c>
    </row>
    <row r="1444" spans="1:14">
      <c r="A1444">
        <f>eDNA!A1444</f>
        <v>20201024</v>
      </c>
      <c r="B1444" s="10" t="str" cm="1">
        <f t="array" ref="B1444">IFERROR(_xlfn.XLOOKUP(1,('env Parameter'!$A:$A=$A1444)*('env Parameter'!$B:$B=$K1444)*('env Parameter'!$C:$C=$L1444),'env Parameter'!H:H,""),"")</f>
        <v>생물상 조사</v>
      </c>
      <c r="C1444" s="10" cm="1">
        <f t="array" ref="C1444">IFERROR(_xlfn.XLOOKUP(1,('env Parameter'!$A:$A=$A1444)*('env Parameter'!$B:$B=$K1444)*('env Parameter'!$C:$C=$L1444),'env Parameter'!E:E,""),"")</f>
        <v>2.14</v>
      </c>
      <c r="D1444" s="10" cm="1">
        <f t="array" ref="D1444">IFERROR(_xlfn.XLOOKUP(1,('env Parameter'!$A:$A=$A1444)*('env Parameter'!$B:$B=$K1444)*('env Parameter'!$C:$C=$L1444),'env Parameter'!F:F,""),"")</f>
        <v>478</v>
      </c>
      <c r="E1444" s="10" cm="1">
        <f t="array" ref="E1444">IFERROR(_xlfn.XLOOKUP(1,('env Parameter'!$A:$A=$A1444)*('env Parameter'!$B:$B=$K1444)*('env Parameter'!$C:$C=$L1444),'env Parameter'!G:G,""),"")</f>
        <v>7.6</v>
      </c>
      <c r="F1444" t="str">
        <f>eDNA!F1444</f>
        <v>MiFish</v>
      </c>
      <c r="G1444" t="str">
        <f>eDNA!D1444</f>
        <v>Cyprinus carpio</v>
      </c>
      <c r="H1444" t="str">
        <f>_xlfn.XLOOKUP(G1444,'Common name (master file)'!$B:$B,'Common name (master file)'!$A:$A,"-------------")</f>
        <v>잉어</v>
      </c>
      <c r="I1444">
        <f>eDNA!E1444</f>
        <v>1362</v>
      </c>
      <c r="J1444" t="str">
        <f>_xlfn.XLOOKUP(G1444,'Common name (master file)'!$B:$B,'Common name (master file)'!$C:$C,"")</f>
        <v>어류</v>
      </c>
      <c r="K1444">
        <f>eDNA!B1444</f>
        <v>126.8499561</v>
      </c>
      <c r="L1444">
        <f>eDNA!C1444</f>
        <v>37.481606900000003</v>
      </c>
      <c r="M1444" s="10" t="str" cm="1">
        <f t="array" ref="M1444">IFERROR(_xlfn.XLOOKUP(1,('env Parameter'!$A:$A=$A1444)*('env Parameter'!$B:$B=$K1444)*('env Parameter'!$C:$C=$L1444),'env Parameter'!D:D,""),"")</f>
        <v>목감천-5</v>
      </c>
      <c r="N1444" s="10" t="str" cm="1">
        <f t="array" ref="N1444">IFERROR(_xlfn.XLOOKUP(1,('env Parameter'!$A:$A=$A1444)*('env Parameter'!$B:$B=$K1444)*('env Parameter'!$C:$C=$L1444),'env Parameter'!I:I,""),"")</f>
        <v>YR</v>
      </c>
    </row>
    <row r="1445" spans="1:14">
      <c r="A1445">
        <f>eDNA!A1445</f>
        <v>20201024</v>
      </c>
      <c r="B1445" s="10" t="str" cm="1">
        <f t="array" ref="B1445">IFERROR(_xlfn.XLOOKUP(1,('env Parameter'!$A:$A=$A1445)*('env Parameter'!$B:$B=$K1445)*('env Parameter'!$C:$C=$L1445),'env Parameter'!H:H,""),"")</f>
        <v>생물상 조사</v>
      </c>
      <c r="C1445" s="10" cm="1">
        <f t="array" ref="C1445">IFERROR(_xlfn.XLOOKUP(1,('env Parameter'!$A:$A=$A1445)*('env Parameter'!$B:$B=$K1445)*('env Parameter'!$C:$C=$L1445),'env Parameter'!E:E,""),"")</f>
        <v>2.14</v>
      </c>
      <c r="D1445" s="10" cm="1">
        <f t="array" ref="D1445">IFERROR(_xlfn.XLOOKUP(1,('env Parameter'!$A:$A=$A1445)*('env Parameter'!$B:$B=$K1445)*('env Parameter'!$C:$C=$L1445),'env Parameter'!F:F,""),"")</f>
        <v>478</v>
      </c>
      <c r="E1445" s="10" cm="1">
        <f t="array" ref="E1445">IFERROR(_xlfn.XLOOKUP(1,('env Parameter'!$A:$A=$A1445)*('env Parameter'!$B:$B=$K1445)*('env Parameter'!$C:$C=$L1445),'env Parameter'!G:G,""),"")</f>
        <v>7.6</v>
      </c>
      <c r="F1445" t="str">
        <f>eDNA!F1445</f>
        <v>MiFish</v>
      </c>
      <c r="G1445" t="str">
        <f>eDNA!D1445</f>
        <v>Hemibarbus sp.</v>
      </c>
      <c r="H1445" t="str">
        <f>_xlfn.XLOOKUP(G1445,'Common name (master file)'!$B:$B,'Common name (master file)'!$A:$A,"-------------")</f>
        <v>누치 속</v>
      </c>
      <c r="I1445">
        <f>eDNA!E1445</f>
        <v>1400</v>
      </c>
      <c r="J1445" t="str">
        <f>_xlfn.XLOOKUP(G1445,'Common name (master file)'!$B:$B,'Common name (master file)'!$C:$C,"")</f>
        <v>어류</v>
      </c>
      <c r="K1445">
        <f>eDNA!B1445</f>
        <v>126.8499561</v>
      </c>
      <c r="L1445">
        <f>eDNA!C1445</f>
        <v>37.481606900000003</v>
      </c>
      <c r="M1445" s="10" t="str" cm="1">
        <f t="array" ref="M1445">IFERROR(_xlfn.XLOOKUP(1,('env Parameter'!$A:$A=$A1445)*('env Parameter'!$B:$B=$K1445)*('env Parameter'!$C:$C=$L1445),'env Parameter'!D:D,""),"")</f>
        <v>목감천-5</v>
      </c>
      <c r="N1445" s="10" t="str" cm="1">
        <f t="array" ref="N1445">IFERROR(_xlfn.XLOOKUP(1,('env Parameter'!$A:$A=$A1445)*('env Parameter'!$B:$B=$K1445)*('env Parameter'!$C:$C=$L1445),'env Parameter'!I:I,""),"")</f>
        <v>YR</v>
      </c>
    </row>
    <row r="1446" spans="1:14">
      <c r="A1446">
        <f>eDNA!A1446</f>
        <v>20201024</v>
      </c>
      <c r="B1446" s="10" t="str" cm="1">
        <f t="array" ref="B1446">IFERROR(_xlfn.XLOOKUP(1,('env Parameter'!$A:$A=$A1446)*('env Parameter'!$B:$B=$K1446)*('env Parameter'!$C:$C=$L1446),'env Parameter'!H:H,""),"")</f>
        <v>생물상 조사</v>
      </c>
      <c r="C1446" s="10" cm="1">
        <f t="array" ref="C1446">IFERROR(_xlfn.XLOOKUP(1,('env Parameter'!$A:$A=$A1446)*('env Parameter'!$B:$B=$K1446)*('env Parameter'!$C:$C=$L1446),'env Parameter'!E:E,""),"")</f>
        <v>2.14</v>
      </c>
      <c r="D1446" s="10" cm="1">
        <f t="array" ref="D1446">IFERROR(_xlfn.XLOOKUP(1,('env Parameter'!$A:$A=$A1446)*('env Parameter'!$B:$B=$K1446)*('env Parameter'!$C:$C=$L1446),'env Parameter'!F:F,""),"")</f>
        <v>478</v>
      </c>
      <c r="E1446" s="10" cm="1">
        <f t="array" ref="E1446">IFERROR(_xlfn.XLOOKUP(1,('env Parameter'!$A:$A=$A1446)*('env Parameter'!$B:$B=$K1446)*('env Parameter'!$C:$C=$L1446),'env Parameter'!G:G,""),"")</f>
        <v>7.6</v>
      </c>
      <c r="F1446" t="str">
        <f>eDNA!F1446</f>
        <v>MiFish</v>
      </c>
      <c r="G1446" t="str">
        <f>eDNA!D1446</f>
        <v>Pseudogobio esocinus</v>
      </c>
      <c r="H1446" t="str">
        <f>_xlfn.XLOOKUP(G1446,'Common name (master file)'!$B:$B,'Common name (master file)'!$A:$A,"-------------")</f>
        <v>모래무지</v>
      </c>
      <c r="I1446">
        <f>eDNA!E1446</f>
        <v>3750</v>
      </c>
      <c r="J1446" t="str">
        <f>_xlfn.XLOOKUP(G1446,'Common name (master file)'!$B:$B,'Common name (master file)'!$C:$C,"")</f>
        <v>어류</v>
      </c>
      <c r="K1446">
        <f>eDNA!B1446</f>
        <v>126.8499561</v>
      </c>
      <c r="L1446">
        <f>eDNA!C1446</f>
        <v>37.481606900000003</v>
      </c>
      <c r="M1446" s="10" t="str" cm="1">
        <f t="array" ref="M1446">IFERROR(_xlfn.XLOOKUP(1,('env Parameter'!$A:$A=$A1446)*('env Parameter'!$B:$B=$K1446)*('env Parameter'!$C:$C=$L1446),'env Parameter'!D:D,""),"")</f>
        <v>목감천-5</v>
      </c>
      <c r="N1446" s="10" t="str" cm="1">
        <f t="array" ref="N1446">IFERROR(_xlfn.XLOOKUP(1,('env Parameter'!$A:$A=$A1446)*('env Parameter'!$B:$B=$K1446)*('env Parameter'!$C:$C=$L1446),'env Parameter'!I:I,""),"")</f>
        <v>YR</v>
      </c>
    </row>
    <row r="1447" spans="1:14">
      <c r="A1447">
        <f>eDNA!A1447</f>
        <v>20201024</v>
      </c>
      <c r="B1447" s="10" t="str" cm="1">
        <f t="array" ref="B1447">IFERROR(_xlfn.XLOOKUP(1,('env Parameter'!$A:$A=$A1447)*('env Parameter'!$B:$B=$K1447)*('env Parameter'!$C:$C=$L1447),'env Parameter'!H:H,""),"")</f>
        <v>생물상 조사</v>
      </c>
      <c r="C1447" s="10" cm="1">
        <f t="array" ref="C1447">IFERROR(_xlfn.XLOOKUP(1,('env Parameter'!$A:$A=$A1447)*('env Parameter'!$B:$B=$K1447)*('env Parameter'!$C:$C=$L1447),'env Parameter'!E:E,""),"")</f>
        <v>2.14</v>
      </c>
      <c r="D1447" s="10" cm="1">
        <f t="array" ref="D1447">IFERROR(_xlfn.XLOOKUP(1,('env Parameter'!$A:$A=$A1447)*('env Parameter'!$B:$B=$K1447)*('env Parameter'!$C:$C=$L1447),'env Parameter'!F:F,""),"")</f>
        <v>478</v>
      </c>
      <c r="E1447" s="10" cm="1">
        <f t="array" ref="E1447">IFERROR(_xlfn.XLOOKUP(1,('env Parameter'!$A:$A=$A1447)*('env Parameter'!$B:$B=$K1447)*('env Parameter'!$C:$C=$L1447),'env Parameter'!G:G,""),"")</f>
        <v>7.6</v>
      </c>
      <c r="F1447" t="str">
        <f>eDNA!F1447</f>
        <v>MiFish</v>
      </c>
      <c r="G1447" t="str">
        <f>eDNA!D1447</f>
        <v>Canis lupus familiaris</v>
      </c>
      <c r="H1447" t="str">
        <f>_xlfn.XLOOKUP(G1447,'Common name (master file)'!$B:$B,'Common name (master file)'!$A:$A,"-------------")</f>
        <v>개</v>
      </c>
      <c r="I1447">
        <f>eDNA!E1447</f>
        <v>4919</v>
      </c>
      <c r="J1447" t="str">
        <f>_xlfn.XLOOKUP(G1447,'Common name (master file)'!$B:$B,'Common name (master file)'!$C:$C,"")</f>
        <v>포유류</v>
      </c>
      <c r="K1447">
        <f>eDNA!B1447</f>
        <v>126.8499561</v>
      </c>
      <c r="L1447">
        <f>eDNA!C1447</f>
        <v>37.481606900000003</v>
      </c>
      <c r="M1447" s="10" t="str" cm="1">
        <f t="array" ref="M1447">IFERROR(_xlfn.XLOOKUP(1,('env Parameter'!$A:$A=$A1447)*('env Parameter'!$B:$B=$K1447)*('env Parameter'!$C:$C=$L1447),'env Parameter'!D:D,""),"")</f>
        <v>목감천-5</v>
      </c>
      <c r="N1447" s="10" t="str" cm="1">
        <f t="array" ref="N1447">IFERROR(_xlfn.XLOOKUP(1,('env Parameter'!$A:$A=$A1447)*('env Parameter'!$B:$B=$K1447)*('env Parameter'!$C:$C=$L1447),'env Parameter'!I:I,""),"")</f>
        <v>YR</v>
      </c>
    </row>
    <row r="1448" spans="1:14">
      <c r="A1448">
        <f>eDNA!A1448</f>
        <v>20201024</v>
      </c>
      <c r="B1448" s="10" t="str" cm="1">
        <f t="array" ref="B1448">IFERROR(_xlfn.XLOOKUP(1,('env Parameter'!$A:$A=$A1448)*('env Parameter'!$B:$B=$K1448)*('env Parameter'!$C:$C=$L1448),'env Parameter'!H:H,""),"")</f>
        <v>생물상 조사</v>
      </c>
      <c r="C1448" s="10" cm="1">
        <f t="array" ref="C1448">IFERROR(_xlfn.XLOOKUP(1,('env Parameter'!$A:$A=$A1448)*('env Parameter'!$B:$B=$K1448)*('env Parameter'!$C:$C=$L1448),'env Parameter'!E:E,""),"")</f>
        <v>2.14</v>
      </c>
      <c r="D1448" s="10" cm="1">
        <f t="array" ref="D1448">IFERROR(_xlfn.XLOOKUP(1,('env Parameter'!$A:$A=$A1448)*('env Parameter'!$B:$B=$K1448)*('env Parameter'!$C:$C=$L1448),'env Parameter'!F:F,""),"")</f>
        <v>478</v>
      </c>
      <c r="E1448" s="10" cm="1">
        <f t="array" ref="E1448">IFERROR(_xlfn.XLOOKUP(1,('env Parameter'!$A:$A=$A1448)*('env Parameter'!$B:$B=$K1448)*('env Parameter'!$C:$C=$L1448),'env Parameter'!G:G,""),"")</f>
        <v>7.6</v>
      </c>
      <c r="F1448" t="str">
        <f>eDNA!F1448</f>
        <v>MiFish</v>
      </c>
      <c r="G1448" t="str">
        <f>eDNA!D1448</f>
        <v>Gnathopogon strigatus</v>
      </c>
      <c r="H1448" t="str">
        <f>_xlfn.XLOOKUP(G1448,'Common name (master file)'!$B:$B,'Common name (master file)'!$A:$A,"-------------")</f>
        <v>줄몰개</v>
      </c>
      <c r="I1448">
        <f>eDNA!E1448</f>
        <v>2648</v>
      </c>
      <c r="J1448" t="str">
        <f>_xlfn.XLOOKUP(G1448,'Common name (master file)'!$B:$B,'Common name (master file)'!$C:$C,"")</f>
        <v>어류</v>
      </c>
      <c r="K1448">
        <f>eDNA!B1448</f>
        <v>126.8499561</v>
      </c>
      <c r="L1448">
        <f>eDNA!C1448</f>
        <v>37.481606900000003</v>
      </c>
      <c r="M1448" s="10" t="str" cm="1">
        <f t="array" ref="M1448">IFERROR(_xlfn.XLOOKUP(1,('env Parameter'!$A:$A=$A1448)*('env Parameter'!$B:$B=$K1448)*('env Parameter'!$C:$C=$L1448),'env Parameter'!D:D,""),"")</f>
        <v>목감천-5</v>
      </c>
      <c r="N1448" s="10" t="str" cm="1">
        <f t="array" ref="N1448">IFERROR(_xlfn.XLOOKUP(1,('env Parameter'!$A:$A=$A1448)*('env Parameter'!$B:$B=$K1448)*('env Parameter'!$C:$C=$L1448),'env Parameter'!I:I,""),"")</f>
        <v>YR</v>
      </c>
    </row>
    <row r="1449" spans="1:14">
      <c r="A1449">
        <f>eDNA!A1449</f>
        <v>20201024</v>
      </c>
      <c r="B1449" s="10" t="str" cm="1">
        <f t="array" ref="B1449">IFERROR(_xlfn.XLOOKUP(1,('env Parameter'!$A:$A=$A1449)*('env Parameter'!$B:$B=$K1449)*('env Parameter'!$C:$C=$L1449),'env Parameter'!H:H,""),"")</f>
        <v>생물상 조사</v>
      </c>
      <c r="C1449" s="10" cm="1">
        <f t="array" ref="C1449">IFERROR(_xlfn.XLOOKUP(1,('env Parameter'!$A:$A=$A1449)*('env Parameter'!$B:$B=$K1449)*('env Parameter'!$C:$C=$L1449),'env Parameter'!E:E,""),"")</f>
        <v>2.14</v>
      </c>
      <c r="D1449" s="10" cm="1">
        <f t="array" ref="D1449">IFERROR(_xlfn.XLOOKUP(1,('env Parameter'!$A:$A=$A1449)*('env Parameter'!$B:$B=$K1449)*('env Parameter'!$C:$C=$L1449),'env Parameter'!F:F,""),"")</f>
        <v>478</v>
      </c>
      <c r="E1449" s="10" cm="1">
        <f t="array" ref="E1449">IFERROR(_xlfn.XLOOKUP(1,('env Parameter'!$A:$A=$A1449)*('env Parameter'!$B:$B=$K1449)*('env Parameter'!$C:$C=$L1449),'env Parameter'!G:G,""),"")</f>
        <v>7.6</v>
      </c>
      <c r="F1449" t="str">
        <f>eDNA!F1449</f>
        <v>MiFish</v>
      </c>
      <c r="G1449" t="str">
        <f>eDNA!D1449</f>
        <v>Micropterus salmoides</v>
      </c>
      <c r="H1449" t="str">
        <f>_xlfn.XLOOKUP(G1449,'Common name (master file)'!$B:$B,'Common name (master file)'!$A:$A,"-------------")</f>
        <v>큰입배스</v>
      </c>
      <c r="I1449">
        <f>eDNA!E1449</f>
        <v>4573</v>
      </c>
      <c r="J1449" t="str">
        <f>_xlfn.XLOOKUP(G1449,'Common name (master file)'!$B:$B,'Common name (master file)'!$C:$C,"")</f>
        <v>어류</v>
      </c>
      <c r="K1449">
        <f>eDNA!B1449</f>
        <v>126.8499561</v>
      </c>
      <c r="L1449">
        <f>eDNA!C1449</f>
        <v>37.481606900000003</v>
      </c>
      <c r="M1449" s="10" t="str" cm="1">
        <f t="array" ref="M1449">IFERROR(_xlfn.XLOOKUP(1,('env Parameter'!$A:$A=$A1449)*('env Parameter'!$B:$B=$K1449)*('env Parameter'!$C:$C=$L1449),'env Parameter'!D:D,""),"")</f>
        <v>목감천-5</v>
      </c>
      <c r="N1449" s="10" t="str" cm="1">
        <f t="array" ref="N1449">IFERROR(_xlfn.XLOOKUP(1,('env Parameter'!$A:$A=$A1449)*('env Parameter'!$B:$B=$K1449)*('env Parameter'!$C:$C=$L1449),'env Parameter'!I:I,""),"")</f>
        <v>YR</v>
      </c>
    </row>
    <row r="1450" spans="1:14">
      <c r="A1450">
        <f>eDNA!A1450</f>
        <v>20200916</v>
      </c>
      <c r="B1450" s="10" t="str" cm="1">
        <f t="array" ref="B1450">IFERROR(_xlfn.XLOOKUP(1,('env Parameter'!$A:$A=$A1450)*('env Parameter'!$B:$B=$K1450)*('env Parameter'!$C:$C=$L1450),'env Parameter'!H:H,""),"")</f>
        <v>생물상 조사</v>
      </c>
      <c r="C1450" s="10" cm="1">
        <f t="array" ref="C1450">IFERROR(_xlfn.XLOOKUP(1,('env Parameter'!$A:$A=$A1450)*('env Parameter'!$B:$B=$K1450)*('env Parameter'!$C:$C=$L1450),'env Parameter'!E:E,""),"")</f>
        <v>2.14</v>
      </c>
      <c r="D1450" s="10" cm="1">
        <f t="array" ref="D1450">IFERROR(_xlfn.XLOOKUP(1,('env Parameter'!$A:$A=$A1450)*('env Parameter'!$B:$B=$K1450)*('env Parameter'!$C:$C=$L1450),'env Parameter'!F:F,""),"")</f>
        <v>478</v>
      </c>
      <c r="E1450" s="10" cm="1">
        <f t="array" ref="E1450">IFERROR(_xlfn.XLOOKUP(1,('env Parameter'!$A:$A=$A1450)*('env Parameter'!$B:$B=$K1450)*('env Parameter'!$C:$C=$L1450),'env Parameter'!G:G,""),"")</f>
        <v>7.6</v>
      </c>
      <c r="F1450" t="str">
        <f>eDNA!F1450</f>
        <v>MiFish</v>
      </c>
      <c r="G1450" t="str">
        <f>eDNA!D1450</f>
        <v>Micropercops swinhonis</v>
      </c>
      <c r="H1450" t="str">
        <f>_xlfn.XLOOKUP(G1450,'Common name (master file)'!$B:$B,'Common name (master file)'!$A:$A,"-------------")</f>
        <v>좀구굴치</v>
      </c>
      <c r="I1450">
        <f>eDNA!E1450</f>
        <v>739</v>
      </c>
      <c r="J1450" t="str">
        <f>_xlfn.XLOOKUP(G1450,'Common name (master file)'!$B:$B,'Common name (master file)'!$C:$C,"")</f>
        <v>어류</v>
      </c>
      <c r="K1450">
        <f>eDNA!B1450</f>
        <v>126.87358690000001</v>
      </c>
      <c r="L1450">
        <f>eDNA!C1450</f>
        <v>37.508467699999997</v>
      </c>
      <c r="M1450" s="10" t="str" cm="1">
        <f t="array" ref="M1450">IFERROR(_xlfn.XLOOKUP(1,('env Parameter'!$A:$A=$A1450)*('env Parameter'!$B:$B=$K1450)*('env Parameter'!$C:$C=$L1450),'env Parameter'!D:D,""),"")</f>
        <v>안양천-13</v>
      </c>
      <c r="N1450" s="10" t="str" cm="1">
        <f t="array" ref="N1450">IFERROR(_xlfn.XLOOKUP(1,('env Parameter'!$A:$A=$A1450)*('env Parameter'!$B:$B=$K1450)*('env Parameter'!$C:$C=$L1450),'env Parameter'!I:I,""),"")</f>
        <v>YR</v>
      </c>
    </row>
    <row r="1451" spans="1:14">
      <c r="A1451">
        <f>eDNA!A1451</f>
        <v>20201024</v>
      </c>
      <c r="B1451" s="10" t="str" cm="1">
        <f t="array" ref="B1451">IFERROR(_xlfn.XLOOKUP(1,('env Parameter'!$A:$A=$A1451)*('env Parameter'!$B:$B=$K1451)*('env Parameter'!$C:$C=$L1451),'env Parameter'!H:H,""),"")</f>
        <v>생물상 조사</v>
      </c>
      <c r="C1451" s="10" cm="1">
        <f t="array" ref="C1451">IFERROR(_xlfn.XLOOKUP(1,('env Parameter'!$A:$A=$A1451)*('env Parameter'!$B:$B=$K1451)*('env Parameter'!$C:$C=$L1451),'env Parameter'!E:E,""),"")</f>
        <v>2.14</v>
      </c>
      <c r="D1451" s="10" cm="1">
        <f t="array" ref="D1451">IFERROR(_xlfn.XLOOKUP(1,('env Parameter'!$A:$A=$A1451)*('env Parameter'!$B:$B=$K1451)*('env Parameter'!$C:$C=$L1451),'env Parameter'!F:F,""),"")</f>
        <v>478</v>
      </c>
      <c r="E1451" s="10" cm="1">
        <f t="array" ref="E1451">IFERROR(_xlfn.XLOOKUP(1,('env Parameter'!$A:$A=$A1451)*('env Parameter'!$B:$B=$K1451)*('env Parameter'!$C:$C=$L1451),'env Parameter'!G:G,""),"")</f>
        <v>7.6</v>
      </c>
      <c r="F1451" t="str">
        <f>eDNA!F1451</f>
        <v>MiFish</v>
      </c>
      <c r="G1451" t="str">
        <f>eDNA!D1451</f>
        <v>Acheilognathus macropterus</v>
      </c>
      <c r="H1451" t="str">
        <f>_xlfn.XLOOKUP(G1451,'Common name (master file)'!$B:$B,'Common name (master file)'!$A:$A,"-------------")</f>
        <v>큰납지리</v>
      </c>
      <c r="I1451">
        <f>eDNA!E1451</f>
        <v>4715</v>
      </c>
      <c r="J1451" t="str">
        <f>_xlfn.XLOOKUP(G1451,'Common name (master file)'!$B:$B,'Common name (master file)'!$C:$C,"")</f>
        <v>어류</v>
      </c>
      <c r="K1451">
        <f>eDNA!B1451</f>
        <v>126.8499561</v>
      </c>
      <c r="L1451">
        <f>eDNA!C1451</f>
        <v>37.481606900000003</v>
      </c>
      <c r="M1451" s="10" t="str" cm="1">
        <f t="array" ref="M1451">IFERROR(_xlfn.XLOOKUP(1,('env Parameter'!$A:$A=$A1451)*('env Parameter'!$B:$B=$K1451)*('env Parameter'!$C:$C=$L1451),'env Parameter'!D:D,""),"")</f>
        <v>목감천-5</v>
      </c>
      <c r="N1451" s="10" t="str" cm="1">
        <f t="array" ref="N1451">IFERROR(_xlfn.XLOOKUP(1,('env Parameter'!$A:$A=$A1451)*('env Parameter'!$B:$B=$K1451)*('env Parameter'!$C:$C=$L1451),'env Parameter'!I:I,""),"")</f>
        <v>YR</v>
      </c>
    </row>
    <row r="1452" spans="1:14">
      <c r="A1452">
        <f>eDNA!A1452</f>
        <v>20201024</v>
      </c>
      <c r="B1452" s="10" t="str" cm="1">
        <f t="array" ref="B1452">IFERROR(_xlfn.XLOOKUP(1,('env Parameter'!$A:$A=$A1452)*('env Parameter'!$B:$B=$K1452)*('env Parameter'!$C:$C=$L1452),'env Parameter'!H:H,""),"")</f>
        <v>생물상 조사</v>
      </c>
      <c r="C1452" s="10" cm="1">
        <f t="array" ref="C1452">IFERROR(_xlfn.XLOOKUP(1,('env Parameter'!$A:$A=$A1452)*('env Parameter'!$B:$B=$K1452)*('env Parameter'!$C:$C=$L1452),'env Parameter'!E:E,""),"")</f>
        <v>2.14</v>
      </c>
      <c r="D1452" s="10" cm="1">
        <f t="array" ref="D1452">IFERROR(_xlfn.XLOOKUP(1,('env Parameter'!$A:$A=$A1452)*('env Parameter'!$B:$B=$K1452)*('env Parameter'!$C:$C=$L1452),'env Parameter'!F:F,""),"")</f>
        <v>478</v>
      </c>
      <c r="E1452" s="10" cm="1">
        <f t="array" ref="E1452">IFERROR(_xlfn.XLOOKUP(1,('env Parameter'!$A:$A=$A1452)*('env Parameter'!$B:$B=$K1452)*('env Parameter'!$C:$C=$L1452),'env Parameter'!G:G,""),"")</f>
        <v>7.6</v>
      </c>
      <c r="F1452" t="str">
        <f>eDNA!F1452</f>
        <v>MiFish</v>
      </c>
      <c r="G1452" t="str">
        <f>eDNA!D1452</f>
        <v>Odontobutis interrupta</v>
      </c>
      <c r="H1452" t="str">
        <f>_xlfn.XLOOKUP(G1452,'Common name (master file)'!$B:$B,'Common name (master file)'!$A:$A,"-------------")</f>
        <v>얼록동사리</v>
      </c>
      <c r="I1452">
        <f>eDNA!E1452</f>
        <v>4065</v>
      </c>
      <c r="J1452" t="str">
        <f>_xlfn.XLOOKUP(G1452,'Common name (master file)'!$B:$B,'Common name (master file)'!$C:$C,"")</f>
        <v>어류</v>
      </c>
      <c r="K1452">
        <f>eDNA!B1452</f>
        <v>126.8499561</v>
      </c>
      <c r="L1452">
        <f>eDNA!C1452</f>
        <v>37.481606900000003</v>
      </c>
      <c r="M1452" s="10" t="str" cm="1">
        <f t="array" ref="M1452">IFERROR(_xlfn.XLOOKUP(1,('env Parameter'!$A:$A=$A1452)*('env Parameter'!$B:$B=$K1452)*('env Parameter'!$C:$C=$L1452),'env Parameter'!D:D,""),"")</f>
        <v>목감천-5</v>
      </c>
      <c r="N1452" s="10" t="str" cm="1">
        <f t="array" ref="N1452">IFERROR(_xlfn.XLOOKUP(1,('env Parameter'!$A:$A=$A1452)*('env Parameter'!$B:$B=$K1452)*('env Parameter'!$C:$C=$L1452),'env Parameter'!I:I,""),"")</f>
        <v>YR</v>
      </c>
    </row>
    <row r="1453" spans="1:14">
      <c r="A1453">
        <f>eDNA!A1453</f>
        <v>20201024</v>
      </c>
      <c r="B1453" s="10" t="str" cm="1">
        <f t="array" ref="B1453">IFERROR(_xlfn.XLOOKUP(1,('env Parameter'!$A:$A=$A1453)*('env Parameter'!$B:$B=$K1453)*('env Parameter'!$C:$C=$L1453),'env Parameter'!H:H,""),"")</f>
        <v>생물상 조사</v>
      </c>
      <c r="C1453" s="10" cm="1">
        <f t="array" ref="C1453">IFERROR(_xlfn.XLOOKUP(1,('env Parameter'!$A:$A=$A1453)*('env Parameter'!$B:$B=$K1453)*('env Parameter'!$C:$C=$L1453),'env Parameter'!E:E,""),"")</f>
        <v>2.14</v>
      </c>
      <c r="D1453" s="10" cm="1">
        <f t="array" ref="D1453">IFERROR(_xlfn.XLOOKUP(1,('env Parameter'!$A:$A=$A1453)*('env Parameter'!$B:$B=$K1453)*('env Parameter'!$C:$C=$L1453),'env Parameter'!F:F,""),"")</f>
        <v>478</v>
      </c>
      <c r="E1453" s="10" cm="1">
        <f t="array" ref="E1453">IFERROR(_xlfn.XLOOKUP(1,('env Parameter'!$A:$A=$A1453)*('env Parameter'!$B:$B=$K1453)*('env Parameter'!$C:$C=$L1453),'env Parameter'!G:G,""),"")</f>
        <v>7.6</v>
      </c>
      <c r="F1453" t="str">
        <f>eDNA!F1453</f>
        <v>MiFish</v>
      </c>
      <c r="G1453" t="str">
        <f>eDNA!D1453</f>
        <v>Silurus soldatovi</v>
      </c>
      <c r="H1453" t="str">
        <f>_xlfn.XLOOKUP(G1453,'Common name (master file)'!$B:$B,'Common name (master file)'!$A:$A,"-------------")</f>
        <v>솔다토비 메기</v>
      </c>
      <c r="I1453">
        <f>eDNA!E1453</f>
        <v>4348</v>
      </c>
      <c r="J1453" t="str">
        <f>_xlfn.XLOOKUP(G1453,'Common name (master file)'!$B:$B,'Common name (master file)'!$C:$C,"")</f>
        <v>어류</v>
      </c>
      <c r="K1453">
        <f>eDNA!B1453</f>
        <v>126.8499561</v>
      </c>
      <c r="L1453">
        <f>eDNA!C1453</f>
        <v>37.481606900000003</v>
      </c>
      <c r="M1453" s="10" t="str" cm="1">
        <f t="array" ref="M1453">IFERROR(_xlfn.XLOOKUP(1,('env Parameter'!$A:$A=$A1453)*('env Parameter'!$B:$B=$K1453)*('env Parameter'!$C:$C=$L1453),'env Parameter'!D:D,""),"")</f>
        <v>목감천-5</v>
      </c>
      <c r="N1453" s="10" t="str" cm="1">
        <f t="array" ref="N1453">IFERROR(_xlfn.XLOOKUP(1,('env Parameter'!$A:$A=$A1453)*('env Parameter'!$B:$B=$K1453)*('env Parameter'!$C:$C=$L1453),'env Parameter'!I:I,""),"")</f>
        <v>YR</v>
      </c>
    </row>
    <row r="1454" spans="1:14">
      <c r="A1454">
        <f>eDNA!A1454</f>
        <v>20201024</v>
      </c>
      <c r="B1454" s="10" t="str" cm="1">
        <f t="array" ref="B1454">IFERROR(_xlfn.XLOOKUP(1,('env Parameter'!$A:$A=$A1454)*('env Parameter'!$B:$B=$K1454)*('env Parameter'!$C:$C=$L1454),'env Parameter'!H:H,""),"")</f>
        <v>생물상 조사</v>
      </c>
      <c r="C1454" s="10" cm="1">
        <f t="array" ref="C1454">IFERROR(_xlfn.XLOOKUP(1,('env Parameter'!$A:$A=$A1454)*('env Parameter'!$B:$B=$K1454)*('env Parameter'!$C:$C=$L1454),'env Parameter'!E:E,""),"")</f>
        <v>2.14</v>
      </c>
      <c r="D1454" s="10" cm="1">
        <f t="array" ref="D1454">IFERROR(_xlfn.XLOOKUP(1,('env Parameter'!$A:$A=$A1454)*('env Parameter'!$B:$B=$K1454)*('env Parameter'!$C:$C=$L1454),'env Parameter'!F:F,""),"")</f>
        <v>478</v>
      </c>
      <c r="E1454" s="10" cm="1">
        <f t="array" ref="E1454">IFERROR(_xlfn.XLOOKUP(1,('env Parameter'!$A:$A=$A1454)*('env Parameter'!$B:$B=$K1454)*('env Parameter'!$C:$C=$L1454),'env Parameter'!G:G,""),"")</f>
        <v>7.6</v>
      </c>
      <c r="F1454" t="str">
        <f>eDNA!F1454</f>
        <v>MiFish</v>
      </c>
      <c r="G1454" t="str">
        <f>eDNA!D1454</f>
        <v>Sus scrofa</v>
      </c>
      <c r="H1454" t="str">
        <f>_xlfn.XLOOKUP(G1454,'Common name (master file)'!$B:$B,'Common name (master file)'!$A:$A,"-------------")</f>
        <v>멧돼지</v>
      </c>
      <c r="I1454">
        <f>eDNA!E1454</f>
        <v>18225</v>
      </c>
      <c r="J1454" t="str">
        <f>_xlfn.XLOOKUP(G1454,'Common name (master file)'!$B:$B,'Common name (master file)'!$C:$C,"")</f>
        <v>포유류</v>
      </c>
      <c r="K1454">
        <f>eDNA!B1454</f>
        <v>126.8499561</v>
      </c>
      <c r="L1454">
        <f>eDNA!C1454</f>
        <v>37.481606900000003</v>
      </c>
      <c r="M1454" s="10" t="str" cm="1">
        <f t="array" ref="M1454">IFERROR(_xlfn.XLOOKUP(1,('env Parameter'!$A:$A=$A1454)*('env Parameter'!$B:$B=$K1454)*('env Parameter'!$C:$C=$L1454),'env Parameter'!D:D,""),"")</f>
        <v>목감천-5</v>
      </c>
      <c r="N1454" s="10" t="str" cm="1">
        <f t="array" ref="N1454">IFERROR(_xlfn.XLOOKUP(1,('env Parameter'!$A:$A=$A1454)*('env Parameter'!$B:$B=$K1454)*('env Parameter'!$C:$C=$L1454),'env Parameter'!I:I,""),"")</f>
        <v>YR</v>
      </c>
    </row>
    <row r="1455" spans="1:14">
      <c r="A1455">
        <f>eDNA!A1455</f>
        <v>20201024</v>
      </c>
      <c r="B1455" s="10" t="str" cm="1">
        <f t="array" ref="B1455">IFERROR(_xlfn.XLOOKUP(1,('env Parameter'!$A:$A=$A1455)*('env Parameter'!$B:$B=$K1455)*('env Parameter'!$C:$C=$L1455),'env Parameter'!H:H,""),"")</f>
        <v>생물상 조사</v>
      </c>
      <c r="C1455" s="10" cm="1">
        <f t="array" ref="C1455">IFERROR(_xlfn.XLOOKUP(1,('env Parameter'!$A:$A=$A1455)*('env Parameter'!$B:$B=$K1455)*('env Parameter'!$C:$C=$L1455),'env Parameter'!E:E,""),"")</f>
        <v>2.14</v>
      </c>
      <c r="D1455" s="10" cm="1">
        <f t="array" ref="D1455">IFERROR(_xlfn.XLOOKUP(1,('env Parameter'!$A:$A=$A1455)*('env Parameter'!$B:$B=$K1455)*('env Parameter'!$C:$C=$L1455),'env Parameter'!F:F,""),"")</f>
        <v>478</v>
      </c>
      <c r="E1455" s="10" cm="1">
        <f t="array" ref="E1455">IFERROR(_xlfn.XLOOKUP(1,('env Parameter'!$A:$A=$A1455)*('env Parameter'!$B:$B=$K1455)*('env Parameter'!$C:$C=$L1455),'env Parameter'!G:G,""),"")</f>
        <v>7.6</v>
      </c>
      <c r="F1455" t="str">
        <f>eDNA!F1455</f>
        <v>MiFish</v>
      </c>
      <c r="G1455" t="str">
        <f>eDNA!D1455</f>
        <v>Pseudorasbora parva</v>
      </c>
      <c r="H1455" t="str">
        <f>_xlfn.XLOOKUP(G1455,'Common name (master file)'!$B:$B,'Common name (master file)'!$A:$A,"-------------")</f>
        <v>참붕어</v>
      </c>
      <c r="I1455">
        <f>eDNA!E1455</f>
        <v>34378</v>
      </c>
      <c r="J1455" t="str">
        <f>_xlfn.XLOOKUP(G1455,'Common name (master file)'!$B:$B,'Common name (master file)'!$C:$C,"")</f>
        <v>어류</v>
      </c>
      <c r="K1455">
        <f>eDNA!B1455</f>
        <v>126.8499561</v>
      </c>
      <c r="L1455">
        <f>eDNA!C1455</f>
        <v>37.481606900000003</v>
      </c>
      <c r="M1455" s="10" t="str" cm="1">
        <f t="array" ref="M1455">IFERROR(_xlfn.XLOOKUP(1,('env Parameter'!$A:$A=$A1455)*('env Parameter'!$B:$B=$K1455)*('env Parameter'!$C:$C=$L1455),'env Parameter'!D:D,""),"")</f>
        <v>목감천-5</v>
      </c>
      <c r="N1455" s="10" t="str" cm="1">
        <f t="array" ref="N1455">IFERROR(_xlfn.XLOOKUP(1,('env Parameter'!$A:$A=$A1455)*('env Parameter'!$B:$B=$K1455)*('env Parameter'!$C:$C=$L1455),'env Parameter'!I:I,""),"")</f>
        <v>YR</v>
      </c>
    </row>
    <row r="1456" spans="1:14">
      <c r="A1456">
        <f>eDNA!A1456</f>
        <v>20201024</v>
      </c>
      <c r="B1456" s="10" t="str" cm="1">
        <f t="array" ref="B1456">IFERROR(_xlfn.XLOOKUP(1,('env Parameter'!$A:$A=$A1456)*('env Parameter'!$B:$B=$K1456)*('env Parameter'!$C:$C=$L1456),'env Parameter'!H:H,""),"")</f>
        <v>생물상 조사</v>
      </c>
      <c r="C1456" s="10" cm="1">
        <f t="array" ref="C1456">IFERROR(_xlfn.XLOOKUP(1,('env Parameter'!$A:$A=$A1456)*('env Parameter'!$B:$B=$K1456)*('env Parameter'!$C:$C=$L1456),'env Parameter'!E:E,""),"")</f>
        <v>2.14</v>
      </c>
      <c r="D1456" s="10" cm="1">
        <f t="array" ref="D1456">IFERROR(_xlfn.XLOOKUP(1,('env Parameter'!$A:$A=$A1456)*('env Parameter'!$B:$B=$K1456)*('env Parameter'!$C:$C=$L1456),'env Parameter'!F:F,""),"")</f>
        <v>478</v>
      </c>
      <c r="E1456" s="10" cm="1">
        <f t="array" ref="E1456">IFERROR(_xlfn.XLOOKUP(1,('env Parameter'!$A:$A=$A1456)*('env Parameter'!$B:$B=$K1456)*('env Parameter'!$C:$C=$L1456),'env Parameter'!G:G,""),"")</f>
        <v>7.6</v>
      </c>
      <c r="F1456" t="str">
        <f>eDNA!F1456</f>
        <v>MiFish</v>
      </c>
      <c r="G1456" t="str">
        <f>eDNA!D1456</f>
        <v>Carassius gibelio</v>
      </c>
      <c r="H1456" t="str">
        <f>_xlfn.XLOOKUP(G1456,'Common name (master file)'!$B:$B,'Common name (master file)'!$A:$A,"-------------")</f>
        <v>기벨리오 붕어</v>
      </c>
      <c r="I1456">
        <f>eDNA!E1456</f>
        <v>36615</v>
      </c>
      <c r="J1456" t="str">
        <f>_xlfn.XLOOKUP(G1456,'Common name (master file)'!$B:$B,'Common name (master file)'!$C:$C,"")</f>
        <v>어류</v>
      </c>
      <c r="K1456">
        <f>eDNA!B1456</f>
        <v>126.8499561</v>
      </c>
      <c r="L1456">
        <f>eDNA!C1456</f>
        <v>37.481606900000003</v>
      </c>
      <c r="M1456" s="10" t="str" cm="1">
        <f t="array" ref="M1456">IFERROR(_xlfn.XLOOKUP(1,('env Parameter'!$A:$A=$A1456)*('env Parameter'!$B:$B=$K1456)*('env Parameter'!$C:$C=$L1456),'env Parameter'!D:D,""),"")</f>
        <v>목감천-5</v>
      </c>
      <c r="N1456" s="10" t="str" cm="1">
        <f t="array" ref="N1456">IFERROR(_xlfn.XLOOKUP(1,('env Parameter'!$A:$A=$A1456)*('env Parameter'!$B:$B=$K1456)*('env Parameter'!$C:$C=$L1456),'env Parameter'!I:I,""),"")</f>
        <v>YR</v>
      </c>
    </row>
    <row r="1457" spans="1:14">
      <c r="A1457">
        <f>eDNA!A1457</f>
        <v>20201024</v>
      </c>
      <c r="B1457" s="10" t="str" cm="1">
        <f t="array" ref="B1457">IFERROR(_xlfn.XLOOKUP(1,('env Parameter'!$A:$A=$A1457)*('env Parameter'!$B:$B=$K1457)*('env Parameter'!$C:$C=$L1457),'env Parameter'!H:H,""),"")</f>
        <v>생물상 조사</v>
      </c>
      <c r="C1457" s="10" cm="1">
        <f t="array" ref="C1457">IFERROR(_xlfn.XLOOKUP(1,('env Parameter'!$A:$A=$A1457)*('env Parameter'!$B:$B=$K1457)*('env Parameter'!$C:$C=$L1457),'env Parameter'!E:E,""),"")</f>
        <v>2.14</v>
      </c>
      <c r="D1457" s="10" cm="1">
        <f t="array" ref="D1457">IFERROR(_xlfn.XLOOKUP(1,('env Parameter'!$A:$A=$A1457)*('env Parameter'!$B:$B=$K1457)*('env Parameter'!$C:$C=$L1457),'env Parameter'!F:F,""),"")</f>
        <v>478</v>
      </c>
      <c r="E1457" s="10" cm="1">
        <f t="array" ref="E1457">IFERROR(_xlfn.XLOOKUP(1,('env Parameter'!$A:$A=$A1457)*('env Parameter'!$B:$B=$K1457)*('env Parameter'!$C:$C=$L1457),'env Parameter'!G:G,""),"")</f>
        <v>7.6</v>
      </c>
      <c r="F1457" t="str">
        <f>eDNA!F1457</f>
        <v>MiFish</v>
      </c>
      <c r="G1457" t="str">
        <f>eDNA!D1457</f>
        <v>Rhinogobius giurinus</v>
      </c>
      <c r="H1457" t="str">
        <f>_xlfn.XLOOKUP(G1457,'Common name (master file)'!$B:$B,'Common name (master file)'!$A:$A,"-------------")</f>
        <v>갈문망둑</v>
      </c>
      <c r="I1457">
        <f>eDNA!E1457</f>
        <v>17</v>
      </c>
      <c r="J1457" t="str">
        <f>_xlfn.XLOOKUP(G1457,'Common name (master file)'!$B:$B,'Common name (master file)'!$C:$C,"")</f>
        <v>어류</v>
      </c>
      <c r="K1457">
        <f>eDNA!B1457</f>
        <v>126.8428368</v>
      </c>
      <c r="L1457">
        <f>eDNA!C1457</f>
        <v>37.4677784</v>
      </c>
      <c r="M1457" s="10" t="str" cm="1">
        <f t="array" ref="M1457">IFERROR(_xlfn.XLOOKUP(1,('env Parameter'!$A:$A=$A1457)*('env Parameter'!$B:$B=$K1457)*('env Parameter'!$C:$C=$L1457),'env Parameter'!D:D,""),"")</f>
        <v>목감천-1</v>
      </c>
      <c r="N1457" s="10" t="str" cm="1">
        <f t="array" ref="N1457">IFERROR(_xlfn.XLOOKUP(1,('env Parameter'!$A:$A=$A1457)*('env Parameter'!$B:$B=$K1457)*('env Parameter'!$C:$C=$L1457),'env Parameter'!I:I,""),"")</f>
        <v>YR</v>
      </c>
    </row>
    <row r="1458" spans="1:14">
      <c r="A1458">
        <f>eDNA!A1458</f>
        <v>20201024</v>
      </c>
      <c r="B1458" s="10" t="str" cm="1">
        <f t="array" ref="B1458">IFERROR(_xlfn.XLOOKUP(1,('env Parameter'!$A:$A=$A1458)*('env Parameter'!$B:$B=$K1458)*('env Parameter'!$C:$C=$L1458),'env Parameter'!H:H,""),"")</f>
        <v>생물상 조사</v>
      </c>
      <c r="C1458" s="10" cm="1">
        <f t="array" ref="C1458">IFERROR(_xlfn.XLOOKUP(1,('env Parameter'!$A:$A=$A1458)*('env Parameter'!$B:$B=$K1458)*('env Parameter'!$C:$C=$L1458),'env Parameter'!E:E,""),"")</f>
        <v>2.14</v>
      </c>
      <c r="D1458" s="10" cm="1">
        <f t="array" ref="D1458">IFERROR(_xlfn.XLOOKUP(1,('env Parameter'!$A:$A=$A1458)*('env Parameter'!$B:$B=$K1458)*('env Parameter'!$C:$C=$L1458),'env Parameter'!F:F,""),"")</f>
        <v>478</v>
      </c>
      <c r="E1458" s="10" cm="1">
        <f t="array" ref="E1458">IFERROR(_xlfn.XLOOKUP(1,('env Parameter'!$A:$A=$A1458)*('env Parameter'!$B:$B=$K1458)*('env Parameter'!$C:$C=$L1458),'env Parameter'!G:G,""),"")</f>
        <v>7.6</v>
      </c>
      <c r="F1458" t="str">
        <f>eDNA!F1458</f>
        <v>MiFish</v>
      </c>
      <c r="G1458" t="str">
        <f>eDNA!D1458</f>
        <v>Bos taurus</v>
      </c>
      <c r="H1458" t="str">
        <f>_xlfn.XLOOKUP(G1458,'Common name (master file)'!$B:$B,'Common name (master file)'!$A:$A,"-------------")</f>
        <v>소</v>
      </c>
      <c r="I1458">
        <f>eDNA!E1458</f>
        <v>21</v>
      </c>
      <c r="J1458" t="str">
        <f>_xlfn.XLOOKUP(G1458,'Common name (master file)'!$B:$B,'Common name (master file)'!$C:$C,"")</f>
        <v>포유류</v>
      </c>
      <c r="K1458">
        <f>eDNA!B1458</f>
        <v>126.8428368</v>
      </c>
      <c r="L1458">
        <f>eDNA!C1458</f>
        <v>37.4677784</v>
      </c>
      <c r="M1458" s="10" t="str" cm="1">
        <f t="array" ref="M1458">IFERROR(_xlfn.XLOOKUP(1,('env Parameter'!$A:$A=$A1458)*('env Parameter'!$B:$B=$K1458)*('env Parameter'!$C:$C=$L1458),'env Parameter'!D:D,""),"")</f>
        <v>목감천-1</v>
      </c>
      <c r="N1458" s="10" t="str" cm="1">
        <f t="array" ref="N1458">IFERROR(_xlfn.XLOOKUP(1,('env Parameter'!$A:$A=$A1458)*('env Parameter'!$B:$B=$K1458)*('env Parameter'!$C:$C=$L1458),'env Parameter'!I:I,""),"")</f>
        <v>YR</v>
      </c>
    </row>
    <row r="1459" spans="1:14">
      <c r="A1459">
        <f>eDNA!A1459</f>
        <v>20201024</v>
      </c>
      <c r="B1459" s="10" t="str" cm="1">
        <f t="array" ref="B1459">IFERROR(_xlfn.XLOOKUP(1,('env Parameter'!$A:$A=$A1459)*('env Parameter'!$B:$B=$K1459)*('env Parameter'!$C:$C=$L1459),'env Parameter'!H:H,""),"")</f>
        <v>생물상 조사</v>
      </c>
      <c r="C1459" s="10" cm="1">
        <f t="array" ref="C1459">IFERROR(_xlfn.XLOOKUP(1,('env Parameter'!$A:$A=$A1459)*('env Parameter'!$B:$B=$K1459)*('env Parameter'!$C:$C=$L1459),'env Parameter'!E:E,""),"")</f>
        <v>2.14</v>
      </c>
      <c r="D1459" s="10" cm="1">
        <f t="array" ref="D1459">IFERROR(_xlfn.XLOOKUP(1,('env Parameter'!$A:$A=$A1459)*('env Parameter'!$B:$B=$K1459)*('env Parameter'!$C:$C=$L1459),'env Parameter'!F:F,""),"")</f>
        <v>478</v>
      </c>
      <c r="E1459" s="10" cm="1">
        <f t="array" ref="E1459">IFERROR(_xlfn.XLOOKUP(1,('env Parameter'!$A:$A=$A1459)*('env Parameter'!$B:$B=$K1459)*('env Parameter'!$C:$C=$L1459),'env Parameter'!G:G,""),"")</f>
        <v>7.6</v>
      </c>
      <c r="F1459" t="str">
        <f>eDNA!F1459</f>
        <v>MiFish</v>
      </c>
      <c r="G1459" t="str">
        <f>eDNA!D1459</f>
        <v>Pelodiscus sinensis</v>
      </c>
      <c r="H1459" t="str">
        <f>_xlfn.XLOOKUP(G1459,'Common name (master file)'!$B:$B,'Common name (master file)'!$A:$A,"-------------")</f>
        <v>중국자라</v>
      </c>
      <c r="I1459">
        <f>eDNA!E1459</f>
        <v>22</v>
      </c>
      <c r="J1459" t="str">
        <f>_xlfn.XLOOKUP(G1459,'Common name (master file)'!$B:$B,'Common name (master file)'!$C:$C,"")</f>
        <v>양서파충류</v>
      </c>
      <c r="K1459">
        <f>eDNA!B1459</f>
        <v>126.8428368</v>
      </c>
      <c r="L1459">
        <f>eDNA!C1459</f>
        <v>37.4677784</v>
      </c>
      <c r="M1459" s="10" t="str" cm="1">
        <f t="array" ref="M1459">IFERROR(_xlfn.XLOOKUP(1,('env Parameter'!$A:$A=$A1459)*('env Parameter'!$B:$B=$K1459)*('env Parameter'!$C:$C=$L1459),'env Parameter'!D:D,""),"")</f>
        <v>목감천-1</v>
      </c>
      <c r="N1459" s="10" t="str" cm="1">
        <f t="array" ref="N1459">IFERROR(_xlfn.XLOOKUP(1,('env Parameter'!$A:$A=$A1459)*('env Parameter'!$B:$B=$K1459)*('env Parameter'!$C:$C=$L1459),'env Parameter'!I:I,""),"")</f>
        <v>YR</v>
      </c>
    </row>
    <row r="1460" spans="1:14">
      <c r="A1460">
        <f>eDNA!A1460</f>
        <v>20201024</v>
      </c>
      <c r="B1460" s="10" t="str" cm="1">
        <f t="array" ref="B1460">IFERROR(_xlfn.XLOOKUP(1,('env Parameter'!$A:$A=$A1460)*('env Parameter'!$B:$B=$K1460)*('env Parameter'!$C:$C=$L1460),'env Parameter'!H:H,""),"")</f>
        <v>생물상 조사</v>
      </c>
      <c r="C1460" s="10" cm="1">
        <f t="array" ref="C1460">IFERROR(_xlfn.XLOOKUP(1,('env Parameter'!$A:$A=$A1460)*('env Parameter'!$B:$B=$K1460)*('env Parameter'!$C:$C=$L1460),'env Parameter'!E:E,""),"")</f>
        <v>2.14</v>
      </c>
      <c r="D1460" s="10" cm="1">
        <f t="array" ref="D1460">IFERROR(_xlfn.XLOOKUP(1,('env Parameter'!$A:$A=$A1460)*('env Parameter'!$B:$B=$K1460)*('env Parameter'!$C:$C=$L1460),'env Parameter'!F:F,""),"")</f>
        <v>478</v>
      </c>
      <c r="E1460" s="10" cm="1">
        <f t="array" ref="E1460">IFERROR(_xlfn.XLOOKUP(1,('env Parameter'!$A:$A=$A1460)*('env Parameter'!$B:$B=$K1460)*('env Parameter'!$C:$C=$L1460),'env Parameter'!G:G,""),"")</f>
        <v>7.6</v>
      </c>
      <c r="F1460" t="str">
        <f>eDNA!F1460</f>
        <v>MiFish</v>
      </c>
      <c r="G1460" t="str">
        <f>eDNA!D1460</f>
        <v>Hemibarbus maculatus</v>
      </c>
      <c r="H1460" t="str">
        <f>_xlfn.XLOOKUP(G1460,'Common name (master file)'!$B:$B,'Common name (master file)'!$A:$A,"-------------")</f>
        <v>알락누치</v>
      </c>
      <c r="I1460">
        <f>eDNA!E1460</f>
        <v>45</v>
      </c>
      <c r="J1460" t="str">
        <f>_xlfn.XLOOKUP(G1460,'Common name (master file)'!$B:$B,'Common name (master file)'!$C:$C,"")</f>
        <v>어류</v>
      </c>
      <c r="K1460">
        <f>eDNA!B1460</f>
        <v>126.8428368</v>
      </c>
      <c r="L1460">
        <f>eDNA!C1460</f>
        <v>37.4677784</v>
      </c>
      <c r="M1460" s="10" t="str" cm="1">
        <f t="array" ref="M1460">IFERROR(_xlfn.XLOOKUP(1,('env Parameter'!$A:$A=$A1460)*('env Parameter'!$B:$B=$K1460)*('env Parameter'!$C:$C=$L1460),'env Parameter'!D:D,""),"")</f>
        <v>목감천-1</v>
      </c>
      <c r="N1460" s="10" t="str" cm="1">
        <f t="array" ref="N1460">IFERROR(_xlfn.XLOOKUP(1,('env Parameter'!$A:$A=$A1460)*('env Parameter'!$B:$B=$K1460)*('env Parameter'!$C:$C=$L1460),'env Parameter'!I:I,""),"")</f>
        <v>YR</v>
      </c>
    </row>
    <row r="1461" spans="1:14">
      <c r="A1461">
        <f>eDNA!A1461</f>
        <v>20201024</v>
      </c>
      <c r="B1461" s="10" t="str" cm="1">
        <f t="array" ref="B1461">IFERROR(_xlfn.XLOOKUP(1,('env Parameter'!$A:$A=$A1461)*('env Parameter'!$B:$B=$K1461)*('env Parameter'!$C:$C=$L1461),'env Parameter'!H:H,""),"")</f>
        <v>생물상 조사</v>
      </c>
      <c r="C1461" s="10" cm="1">
        <f t="array" ref="C1461">IFERROR(_xlfn.XLOOKUP(1,('env Parameter'!$A:$A=$A1461)*('env Parameter'!$B:$B=$K1461)*('env Parameter'!$C:$C=$L1461),'env Parameter'!E:E,""),"")</f>
        <v>2.14</v>
      </c>
      <c r="D1461" s="10" cm="1">
        <f t="array" ref="D1461">IFERROR(_xlfn.XLOOKUP(1,('env Parameter'!$A:$A=$A1461)*('env Parameter'!$B:$B=$K1461)*('env Parameter'!$C:$C=$L1461),'env Parameter'!F:F,""),"")</f>
        <v>478</v>
      </c>
      <c r="E1461" s="10" cm="1">
        <f t="array" ref="E1461">IFERROR(_xlfn.XLOOKUP(1,('env Parameter'!$A:$A=$A1461)*('env Parameter'!$B:$B=$K1461)*('env Parameter'!$C:$C=$L1461),'env Parameter'!G:G,""),"")</f>
        <v>7.6</v>
      </c>
      <c r="F1461" t="str">
        <f>eDNA!F1461</f>
        <v>MiFish</v>
      </c>
      <c r="G1461" t="str">
        <f>eDNA!D1461</f>
        <v>Carassius auratus</v>
      </c>
      <c r="H1461" t="str">
        <f>_xlfn.XLOOKUP(G1461,'Common name (master file)'!$B:$B,'Common name (master file)'!$A:$A,"-------------")</f>
        <v>붕어</v>
      </c>
      <c r="I1461">
        <f>eDNA!E1461</f>
        <v>50</v>
      </c>
      <c r="J1461" t="str">
        <f>_xlfn.XLOOKUP(G1461,'Common name (master file)'!$B:$B,'Common name (master file)'!$C:$C,"")</f>
        <v>어류</v>
      </c>
      <c r="K1461">
        <f>eDNA!B1461</f>
        <v>126.8428368</v>
      </c>
      <c r="L1461">
        <f>eDNA!C1461</f>
        <v>37.4677784</v>
      </c>
      <c r="M1461" s="10" t="str" cm="1">
        <f t="array" ref="M1461">IFERROR(_xlfn.XLOOKUP(1,('env Parameter'!$A:$A=$A1461)*('env Parameter'!$B:$B=$K1461)*('env Parameter'!$C:$C=$L1461),'env Parameter'!D:D,""),"")</f>
        <v>목감천-1</v>
      </c>
      <c r="N1461" s="10" t="str" cm="1">
        <f t="array" ref="N1461">IFERROR(_xlfn.XLOOKUP(1,('env Parameter'!$A:$A=$A1461)*('env Parameter'!$B:$B=$K1461)*('env Parameter'!$C:$C=$L1461),'env Parameter'!I:I,""),"")</f>
        <v>YR</v>
      </c>
    </row>
    <row r="1462" spans="1:14">
      <c r="A1462">
        <f>eDNA!A1462</f>
        <v>20201024</v>
      </c>
      <c r="B1462" s="10" t="str" cm="1">
        <f t="array" ref="B1462">IFERROR(_xlfn.XLOOKUP(1,('env Parameter'!$A:$A=$A1462)*('env Parameter'!$B:$B=$K1462)*('env Parameter'!$C:$C=$L1462),'env Parameter'!H:H,""),"")</f>
        <v>생물상 조사</v>
      </c>
      <c r="C1462" s="10" cm="1">
        <f t="array" ref="C1462">IFERROR(_xlfn.XLOOKUP(1,('env Parameter'!$A:$A=$A1462)*('env Parameter'!$B:$B=$K1462)*('env Parameter'!$C:$C=$L1462),'env Parameter'!E:E,""),"")</f>
        <v>2.14</v>
      </c>
      <c r="D1462" s="10" cm="1">
        <f t="array" ref="D1462">IFERROR(_xlfn.XLOOKUP(1,('env Parameter'!$A:$A=$A1462)*('env Parameter'!$B:$B=$K1462)*('env Parameter'!$C:$C=$L1462),'env Parameter'!F:F,""),"")</f>
        <v>478</v>
      </c>
      <c r="E1462" s="10" cm="1">
        <f t="array" ref="E1462">IFERROR(_xlfn.XLOOKUP(1,('env Parameter'!$A:$A=$A1462)*('env Parameter'!$B:$B=$K1462)*('env Parameter'!$C:$C=$L1462),'env Parameter'!G:G,""),"")</f>
        <v>7.6</v>
      </c>
      <c r="F1462" t="str">
        <f>eDNA!F1462</f>
        <v>MiFish</v>
      </c>
      <c r="G1462" t="str">
        <f>eDNA!D1462</f>
        <v>Homo sapiens</v>
      </c>
      <c r="H1462" t="str">
        <f>_xlfn.XLOOKUP(G1462,'Common name (master file)'!$B:$B,'Common name (master file)'!$A:$A,"-------------")</f>
        <v>사람</v>
      </c>
      <c r="I1462">
        <f>eDNA!E1462</f>
        <v>72</v>
      </c>
      <c r="J1462" t="str">
        <f>_xlfn.XLOOKUP(G1462,'Common name (master file)'!$B:$B,'Common name (master file)'!$C:$C,"")</f>
        <v>포유류</v>
      </c>
      <c r="K1462">
        <f>eDNA!B1462</f>
        <v>126.8428368</v>
      </c>
      <c r="L1462">
        <f>eDNA!C1462</f>
        <v>37.4677784</v>
      </c>
      <c r="M1462" s="10" t="str" cm="1">
        <f t="array" ref="M1462">IFERROR(_xlfn.XLOOKUP(1,('env Parameter'!$A:$A=$A1462)*('env Parameter'!$B:$B=$K1462)*('env Parameter'!$C:$C=$L1462),'env Parameter'!D:D,""),"")</f>
        <v>목감천-1</v>
      </c>
      <c r="N1462" s="10" t="str" cm="1">
        <f t="array" ref="N1462">IFERROR(_xlfn.XLOOKUP(1,('env Parameter'!$A:$A=$A1462)*('env Parameter'!$B:$B=$K1462)*('env Parameter'!$C:$C=$L1462),'env Parameter'!I:I,""),"")</f>
        <v>YR</v>
      </c>
    </row>
    <row r="1463" spans="1:14">
      <c r="A1463">
        <f>eDNA!A1463</f>
        <v>20201024</v>
      </c>
      <c r="B1463" s="10" t="str" cm="1">
        <f t="array" ref="B1463">IFERROR(_xlfn.XLOOKUP(1,('env Parameter'!$A:$A=$A1463)*('env Parameter'!$B:$B=$K1463)*('env Parameter'!$C:$C=$L1463),'env Parameter'!H:H,""),"")</f>
        <v>생물상 조사</v>
      </c>
      <c r="C1463" s="10" cm="1">
        <f t="array" ref="C1463">IFERROR(_xlfn.XLOOKUP(1,('env Parameter'!$A:$A=$A1463)*('env Parameter'!$B:$B=$K1463)*('env Parameter'!$C:$C=$L1463),'env Parameter'!E:E,""),"")</f>
        <v>2.14</v>
      </c>
      <c r="D1463" s="10" cm="1">
        <f t="array" ref="D1463">IFERROR(_xlfn.XLOOKUP(1,('env Parameter'!$A:$A=$A1463)*('env Parameter'!$B:$B=$K1463)*('env Parameter'!$C:$C=$L1463),'env Parameter'!F:F,""),"")</f>
        <v>478</v>
      </c>
      <c r="E1463" s="10" cm="1">
        <f t="array" ref="E1463">IFERROR(_xlfn.XLOOKUP(1,('env Parameter'!$A:$A=$A1463)*('env Parameter'!$B:$B=$K1463)*('env Parameter'!$C:$C=$L1463),'env Parameter'!G:G,""),"")</f>
        <v>7.6</v>
      </c>
      <c r="F1463" t="str">
        <f>eDNA!F1463</f>
        <v>MiFish</v>
      </c>
      <c r="G1463" t="str">
        <f>eDNA!D1463</f>
        <v>Perciformes sp.</v>
      </c>
      <c r="H1463" t="str">
        <f>_xlfn.XLOOKUP(G1463,'Common name (master file)'!$B:$B,'Common name (master file)'!$A:$A,"-------------")</f>
        <v>농어목 바닷물고기</v>
      </c>
      <c r="I1463">
        <f>eDNA!E1463</f>
        <v>81</v>
      </c>
      <c r="J1463" t="str">
        <f>_xlfn.XLOOKUP(G1463,'Common name (master file)'!$B:$B,'Common name (master file)'!$C:$C,"")</f>
        <v>어류</v>
      </c>
      <c r="K1463">
        <f>eDNA!B1463</f>
        <v>126.8428368</v>
      </c>
      <c r="L1463">
        <f>eDNA!C1463</f>
        <v>37.4677784</v>
      </c>
      <c r="M1463" s="10" t="str" cm="1">
        <f t="array" ref="M1463">IFERROR(_xlfn.XLOOKUP(1,('env Parameter'!$A:$A=$A1463)*('env Parameter'!$B:$B=$K1463)*('env Parameter'!$C:$C=$L1463),'env Parameter'!D:D,""),"")</f>
        <v>목감천-1</v>
      </c>
      <c r="N1463" s="10" t="str" cm="1">
        <f t="array" ref="N1463">IFERROR(_xlfn.XLOOKUP(1,('env Parameter'!$A:$A=$A1463)*('env Parameter'!$B:$B=$K1463)*('env Parameter'!$C:$C=$L1463),'env Parameter'!I:I,""),"")</f>
        <v>YR</v>
      </c>
    </row>
    <row r="1464" spans="1:14">
      <c r="A1464">
        <f>eDNA!A1464</f>
        <v>20201024</v>
      </c>
      <c r="B1464" s="10" t="str" cm="1">
        <f t="array" ref="B1464">IFERROR(_xlfn.XLOOKUP(1,('env Parameter'!$A:$A=$A1464)*('env Parameter'!$B:$B=$K1464)*('env Parameter'!$C:$C=$L1464),'env Parameter'!H:H,""),"")</f>
        <v>생물상 조사</v>
      </c>
      <c r="C1464" s="10" cm="1">
        <f t="array" ref="C1464">IFERROR(_xlfn.XLOOKUP(1,('env Parameter'!$A:$A=$A1464)*('env Parameter'!$B:$B=$K1464)*('env Parameter'!$C:$C=$L1464),'env Parameter'!E:E,""),"")</f>
        <v>2.14</v>
      </c>
      <c r="D1464" s="10" cm="1">
        <f t="array" ref="D1464">IFERROR(_xlfn.XLOOKUP(1,('env Parameter'!$A:$A=$A1464)*('env Parameter'!$B:$B=$K1464)*('env Parameter'!$C:$C=$L1464),'env Parameter'!F:F,""),"")</f>
        <v>478</v>
      </c>
      <c r="E1464" s="10" cm="1">
        <f t="array" ref="E1464">IFERROR(_xlfn.XLOOKUP(1,('env Parameter'!$A:$A=$A1464)*('env Parameter'!$B:$B=$K1464)*('env Parameter'!$C:$C=$L1464),'env Parameter'!G:G,""),"")</f>
        <v>7.6</v>
      </c>
      <c r="F1464" t="str">
        <f>eDNA!F1464</f>
        <v>MiFish</v>
      </c>
      <c r="G1464" t="str">
        <f>eDNA!D1464</f>
        <v>Gadus macrocephalus</v>
      </c>
      <c r="H1464" t="str">
        <f>_xlfn.XLOOKUP(G1464,'Common name (master file)'!$B:$B,'Common name (master file)'!$A:$A,"-------------")</f>
        <v>대구</v>
      </c>
      <c r="I1464">
        <f>eDNA!E1464</f>
        <v>104</v>
      </c>
      <c r="J1464" t="str">
        <f>_xlfn.XLOOKUP(G1464,'Common name (master file)'!$B:$B,'Common name (master file)'!$C:$C,"")</f>
        <v>어류</v>
      </c>
      <c r="K1464">
        <f>eDNA!B1464</f>
        <v>126.8428368</v>
      </c>
      <c r="L1464">
        <f>eDNA!C1464</f>
        <v>37.4677784</v>
      </c>
      <c r="M1464" s="10" t="str" cm="1">
        <f t="array" ref="M1464">IFERROR(_xlfn.XLOOKUP(1,('env Parameter'!$A:$A=$A1464)*('env Parameter'!$B:$B=$K1464)*('env Parameter'!$C:$C=$L1464),'env Parameter'!D:D,""),"")</f>
        <v>목감천-1</v>
      </c>
      <c r="N1464" s="10" t="str" cm="1">
        <f t="array" ref="N1464">IFERROR(_xlfn.XLOOKUP(1,('env Parameter'!$A:$A=$A1464)*('env Parameter'!$B:$B=$K1464)*('env Parameter'!$C:$C=$L1464),'env Parameter'!I:I,""),"")</f>
        <v>YR</v>
      </c>
    </row>
    <row r="1465" spans="1:14">
      <c r="A1465">
        <f>eDNA!A1465</f>
        <v>20201024</v>
      </c>
      <c r="B1465" s="10" t="str" cm="1">
        <f t="array" ref="B1465">IFERROR(_xlfn.XLOOKUP(1,('env Parameter'!$A:$A=$A1465)*('env Parameter'!$B:$B=$K1465)*('env Parameter'!$C:$C=$L1465),'env Parameter'!H:H,""),"")</f>
        <v>생물상 조사</v>
      </c>
      <c r="C1465" s="10" cm="1">
        <f t="array" ref="C1465">IFERROR(_xlfn.XLOOKUP(1,('env Parameter'!$A:$A=$A1465)*('env Parameter'!$B:$B=$K1465)*('env Parameter'!$C:$C=$L1465),'env Parameter'!E:E,""),"")</f>
        <v>2.14</v>
      </c>
      <c r="D1465" s="10" cm="1">
        <f t="array" ref="D1465">IFERROR(_xlfn.XLOOKUP(1,('env Parameter'!$A:$A=$A1465)*('env Parameter'!$B:$B=$K1465)*('env Parameter'!$C:$C=$L1465),'env Parameter'!F:F,""),"")</f>
        <v>478</v>
      </c>
      <c r="E1465" s="10" cm="1">
        <f t="array" ref="E1465">IFERROR(_xlfn.XLOOKUP(1,('env Parameter'!$A:$A=$A1465)*('env Parameter'!$B:$B=$K1465)*('env Parameter'!$C:$C=$L1465),'env Parameter'!G:G,""),"")</f>
        <v>7.6</v>
      </c>
      <c r="F1465" t="str">
        <f>eDNA!F1465</f>
        <v>MiFish</v>
      </c>
      <c r="G1465" t="str">
        <f>eDNA!D1465</f>
        <v>Konosirus punctatus</v>
      </c>
      <c r="H1465" t="str">
        <f>_xlfn.XLOOKUP(G1465,'Common name (master file)'!$B:$B,'Common name (master file)'!$A:$A,"-------------")</f>
        <v>전어</v>
      </c>
      <c r="I1465">
        <f>eDNA!E1465</f>
        <v>110</v>
      </c>
      <c r="J1465" t="str">
        <f>_xlfn.XLOOKUP(G1465,'Common name (master file)'!$B:$B,'Common name (master file)'!$C:$C,"")</f>
        <v>어류</v>
      </c>
      <c r="K1465">
        <f>eDNA!B1465</f>
        <v>126.8428368</v>
      </c>
      <c r="L1465">
        <f>eDNA!C1465</f>
        <v>37.4677784</v>
      </c>
      <c r="M1465" s="10" t="str" cm="1">
        <f t="array" ref="M1465">IFERROR(_xlfn.XLOOKUP(1,('env Parameter'!$A:$A=$A1465)*('env Parameter'!$B:$B=$K1465)*('env Parameter'!$C:$C=$L1465),'env Parameter'!D:D,""),"")</f>
        <v>목감천-1</v>
      </c>
      <c r="N1465" s="10" t="str" cm="1">
        <f t="array" ref="N1465">IFERROR(_xlfn.XLOOKUP(1,('env Parameter'!$A:$A=$A1465)*('env Parameter'!$B:$B=$K1465)*('env Parameter'!$C:$C=$L1465),'env Parameter'!I:I,""),"")</f>
        <v>YR</v>
      </c>
    </row>
    <row r="1466" spans="1:14">
      <c r="A1466">
        <f>eDNA!A1466</f>
        <v>20201024</v>
      </c>
      <c r="B1466" s="10" t="str" cm="1">
        <f t="array" ref="B1466">IFERROR(_xlfn.XLOOKUP(1,('env Parameter'!$A:$A=$A1466)*('env Parameter'!$B:$B=$K1466)*('env Parameter'!$C:$C=$L1466),'env Parameter'!H:H,""),"")</f>
        <v>생물상 조사</v>
      </c>
      <c r="C1466" s="10" cm="1">
        <f t="array" ref="C1466">IFERROR(_xlfn.XLOOKUP(1,('env Parameter'!$A:$A=$A1466)*('env Parameter'!$B:$B=$K1466)*('env Parameter'!$C:$C=$L1466),'env Parameter'!E:E,""),"")</f>
        <v>2.14</v>
      </c>
      <c r="D1466" s="10" cm="1">
        <f t="array" ref="D1466">IFERROR(_xlfn.XLOOKUP(1,('env Parameter'!$A:$A=$A1466)*('env Parameter'!$B:$B=$K1466)*('env Parameter'!$C:$C=$L1466),'env Parameter'!F:F,""),"")</f>
        <v>478</v>
      </c>
      <c r="E1466" s="10" cm="1">
        <f t="array" ref="E1466">IFERROR(_xlfn.XLOOKUP(1,('env Parameter'!$A:$A=$A1466)*('env Parameter'!$B:$B=$K1466)*('env Parameter'!$C:$C=$L1466),'env Parameter'!G:G,""),"")</f>
        <v>7.6</v>
      </c>
      <c r="F1466" t="str">
        <f>eDNA!F1466</f>
        <v>MiFish</v>
      </c>
      <c r="G1466" t="str">
        <f>eDNA!D1466</f>
        <v>Cyprinus megalophthalmus</v>
      </c>
      <c r="H1466" t="str">
        <f>_xlfn.XLOOKUP(G1466,'Common name (master file)'!$B:$B,'Common name (master file)'!$A:$A,"-------------")</f>
        <v>큰눈잉어</v>
      </c>
      <c r="I1466">
        <f>eDNA!E1466</f>
        <v>137</v>
      </c>
      <c r="J1466" t="str">
        <f>_xlfn.XLOOKUP(G1466,'Common name (master file)'!$B:$B,'Common name (master file)'!$C:$C,"")</f>
        <v>어류</v>
      </c>
      <c r="K1466">
        <f>eDNA!B1466</f>
        <v>126.8428368</v>
      </c>
      <c r="L1466">
        <f>eDNA!C1466</f>
        <v>37.4677784</v>
      </c>
      <c r="M1466" s="10" t="str" cm="1">
        <f t="array" ref="M1466">IFERROR(_xlfn.XLOOKUP(1,('env Parameter'!$A:$A=$A1466)*('env Parameter'!$B:$B=$K1466)*('env Parameter'!$C:$C=$L1466),'env Parameter'!D:D,""),"")</f>
        <v>목감천-1</v>
      </c>
      <c r="N1466" s="10" t="str" cm="1">
        <f t="array" ref="N1466">IFERROR(_xlfn.XLOOKUP(1,('env Parameter'!$A:$A=$A1466)*('env Parameter'!$B:$B=$K1466)*('env Parameter'!$C:$C=$L1466),'env Parameter'!I:I,""),"")</f>
        <v>YR</v>
      </c>
    </row>
    <row r="1467" spans="1:14">
      <c r="A1467">
        <f>eDNA!A1467</f>
        <v>20201024</v>
      </c>
      <c r="B1467" s="10" t="str" cm="1">
        <f t="array" ref="B1467">IFERROR(_xlfn.XLOOKUP(1,('env Parameter'!$A:$A=$A1467)*('env Parameter'!$B:$B=$K1467)*('env Parameter'!$C:$C=$L1467),'env Parameter'!H:H,""),"")</f>
        <v>생물상 조사</v>
      </c>
      <c r="C1467" s="10" cm="1">
        <f t="array" ref="C1467">IFERROR(_xlfn.XLOOKUP(1,('env Parameter'!$A:$A=$A1467)*('env Parameter'!$B:$B=$K1467)*('env Parameter'!$C:$C=$L1467),'env Parameter'!E:E,""),"")</f>
        <v>2.14</v>
      </c>
      <c r="D1467" s="10" cm="1">
        <f t="array" ref="D1467">IFERROR(_xlfn.XLOOKUP(1,('env Parameter'!$A:$A=$A1467)*('env Parameter'!$B:$B=$K1467)*('env Parameter'!$C:$C=$L1467),'env Parameter'!F:F,""),"")</f>
        <v>478</v>
      </c>
      <c r="E1467" s="10" cm="1">
        <f t="array" ref="E1467">IFERROR(_xlfn.XLOOKUP(1,('env Parameter'!$A:$A=$A1467)*('env Parameter'!$B:$B=$K1467)*('env Parameter'!$C:$C=$L1467),'env Parameter'!G:G,""),"")</f>
        <v>7.6</v>
      </c>
      <c r="F1467" t="str">
        <f>eDNA!F1467</f>
        <v>MiFish</v>
      </c>
      <c r="G1467" t="str">
        <f>eDNA!D1467</f>
        <v>Gallus gallus domesticus</v>
      </c>
      <c r="H1467" t="str">
        <f>_xlfn.XLOOKUP(G1467,'Common name (master file)'!$B:$B,'Common name (master file)'!$A:$A,"-------------")</f>
        <v>닭</v>
      </c>
      <c r="I1467">
        <f>eDNA!E1467</f>
        <v>170</v>
      </c>
      <c r="J1467" t="str">
        <f>_xlfn.XLOOKUP(G1467,'Common name (master file)'!$B:$B,'Common name (master file)'!$C:$C,"")</f>
        <v>조류</v>
      </c>
      <c r="K1467">
        <f>eDNA!B1467</f>
        <v>126.8428368</v>
      </c>
      <c r="L1467">
        <f>eDNA!C1467</f>
        <v>37.4677784</v>
      </c>
      <c r="M1467" s="10" t="str" cm="1">
        <f t="array" ref="M1467">IFERROR(_xlfn.XLOOKUP(1,('env Parameter'!$A:$A=$A1467)*('env Parameter'!$B:$B=$K1467)*('env Parameter'!$C:$C=$L1467),'env Parameter'!D:D,""),"")</f>
        <v>목감천-1</v>
      </c>
      <c r="N1467" s="10" t="str" cm="1">
        <f t="array" ref="N1467">IFERROR(_xlfn.XLOOKUP(1,('env Parameter'!$A:$A=$A1467)*('env Parameter'!$B:$B=$K1467)*('env Parameter'!$C:$C=$L1467),'env Parameter'!I:I,""),"")</f>
        <v>YR</v>
      </c>
    </row>
    <row r="1468" spans="1:14">
      <c r="A1468">
        <f>eDNA!A1468</f>
        <v>20201024</v>
      </c>
      <c r="B1468" s="10" t="str" cm="1">
        <f t="array" ref="B1468">IFERROR(_xlfn.XLOOKUP(1,('env Parameter'!$A:$A=$A1468)*('env Parameter'!$B:$B=$K1468)*('env Parameter'!$C:$C=$L1468),'env Parameter'!H:H,""),"")</f>
        <v>생물상 조사</v>
      </c>
      <c r="C1468" s="10" cm="1">
        <f t="array" ref="C1468">IFERROR(_xlfn.XLOOKUP(1,('env Parameter'!$A:$A=$A1468)*('env Parameter'!$B:$B=$K1468)*('env Parameter'!$C:$C=$L1468),'env Parameter'!E:E,""),"")</f>
        <v>2.14</v>
      </c>
      <c r="D1468" s="10" cm="1">
        <f t="array" ref="D1468">IFERROR(_xlfn.XLOOKUP(1,('env Parameter'!$A:$A=$A1468)*('env Parameter'!$B:$B=$K1468)*('env Parameter'!$C:$C=$L1468),'env Parameter'!F:F,""),"")</f>
        <v>478</v>
      </c>
      <c r="E1468" s="10" cm="1">
        <f t="array" ref="E1468">IFERROR(_xlfn.XLOOKUP(1,('env Parameter'!$A:$A=$A1468)*('env Parameter'!$B:$B=$K1468)*('env Parameter'!$C:$C=$L1468),'env Parameter'!G:G,""),"")</f>
        <v>7.6</v>
      </c>
      <c r="F1468" t="str">
        <f>eDNA!F1468</f>
        <v>MiFish</v>
      </c>
      <c r="G1468" t="str">
        <f>eDNA!D1468</f>
        <v>Bos taurus</v>
      </c>
      <c r="H1468" t="str">
        <f>_xlfn.XLOOKUP(G1468,'Common name (master file)'!$B:$B,'Common name (master file)'!$A:$A,"-------------")</f>
        <v>소</v>
      </c>
      <c r="I1468">
        <f>eDNA!E1468</f>
        <v>312</v>
      </c>
      <c r="J1468" t="str">
        <f>_xlfn.XLOOKUP(G1468,'Common name (master file)'!$B:$B,'Common name (master file)'!$C:$C,"")</f>
        <v>포유류</v>
      </c>
      <c r="K1468">
        <f>eDNA!B1468</f>
        <v>126.8428368</v>
      </c>
      <c r="L1468">
        <f>eDNA!C1468</f>
        <v>37.4677784</v>
      </c>
      <c r="M1468" s="10" t="str" cm="1">
        <f t="array" ref="M1468">IFERROR(_xlfn.XLOOKUP(1,('env Parameter'!$A:$A=$A1468)*('env Parameter'!$B:$B=$K1468)*('env Parameter'!$C:$C=$L1468),'env Parameter'!D:D,""),"")</f>
        <v>목감천-1</v>
      </c>
      <c r="N1468" s="10" t="str" cm="1">
        <f t="array" ref="N1468">IFERROR(_xlfn.XLOOKUP(1,('env Parameter'!$A:$A=$A1468)*('env Parameter'!$B:$B=$K1468)*('env Parameter'!$C:$C=$L1468),'env Parameter'!I:I,""),"")</f>
        <v>YR</v>
      </c>
    </row>
    <row r="1469" spans="1:14">
      <c r="A1469">
        <f>eDNA!A1469</f>
        <v>20201024</v>
      </c>
      <c r="B1469" s="10" t="str" cm="1">
        <f t="array" ref="B1469">IFERROR(_xlfn.XLOOKUP(1,('env Parameter'!$A:$A=$A1469)*('env Parameter'!$B:$B=$K1469)*('env Parameter'!$C:$C=$L1469),'env Parameter'!H:H,""),"")</f>
        <v>생물상 조사</v>
      </c>
      <c r="C1469" s="10" cm="1">
        <f t="array" ref="C1469">IFERROR(_xlfn.XLOOKUP(1,('env Parameter'!$A:$A=$A1469)*('env Parameter'!$B:$B=$K1469)*('env Parameter'!$C:$C=$L1469),'env Parameter'!E:E,""),"")</f>
        <v>2.14</v>
      </c>
      <c r="D1469" s="10" cm="1">
        <f t="array" ref="D1469">IFERROR(_xlfn.XLOOKUP(1,('env Parameter'!$A:$A=$A1469)*('env Parameter'!$B:$B=$K1469)*('env Parameter'!$C:$C=$L1469),'env Parameter'!F:F,""),"")</f>
        <v>478</v>
      </c>
      <c r="E1469" s="10" cm="1">
        <f t="array" ref="E1469">IFERROR(_xlfn.XLOOKUP(1,('env Parameter'!$A:$A=$A1469)*('env Parameter'!$B:$B=$K1469)*('env Parameter'!$C:$C=$L1469),'env Parameter'!G:G,""),"")</f>
        <v>7.6</v>
      </c>
      <c r="F1469" t="str">
        <f>eDNA!F1469</f>
        <v>MiFish</v>
      </c>
      <c r="G1469" t="str">
        <f>eDNA!D1469</f>
        <v>Tadorna tadorna</v>
      </c>
      <c r="H1469" t="str">
        <f>_xlfn.XLOOKUP(G1469,'Common name (master file)'!$B:$B,'Common name (master file)'!$A:$A,"-------------")</f>
        <v>혹부리오리</v>
      </c>
      <c r="I1469">
        <f>eDNA!E1469</f>
        <v>501</v>
      </c>
      <c r="J1469" t="str">
        <f>_xlfn.XLOOKUP(G1469,'Common name (master file)'!$B:$B,'Common name (master file)'!$C:$C,"")</f>
        <v>조류</v>
      </c>
      <c r="K1469">
        <f>eDNA!B1469</f>
        <v>126.8428368</v>
      </c>
      <c r="L1469">
        <f>eDNA!C1469</f>
        <v>37.4677784</v>
      </c>
      <c r="M1469" s="10" t="str" cm="1">
        <f t="array" ref="M1469">IFERROR(_xlfn.XLOOKUP(1,('env Parameter'!$A:$A=$A1469)*('env Parameter'!$B:$B=$K1469)*('env Parameter'!$C:$C=$L1469),'env Parameter'!D:D,""),"")</f>
        <v>목감천-1</v>
      </c>
      <c r="N1469" s="10" t="str" cm="1">
        <f t="array" ref="N1469">IFERROR(_xlfn.XLOOKUP(1,('env Parameter'!$A:$A=$A1469)*('env Parameter'!$B:$B=$K1469)*('env Parameter'!$C:$C=$L1469),'env Parameter'!I:I,""),"")</f>
        <v>YR</v>
      </c>
    </row>
    <row r="1470" spans="1:14">
      <c r="A1470">
        <f>eDNA!A1470</f>
        <v>20201024</v>
      </c>
      <c r="B1470" s="10" t="str" cm="1">
        <f t="array" ref="B1470">IFERROR(_xlfn.XLOOKUP(1,('env Parameter'!$A:$A=$A1470)*('env Parameter'!$B:$B=$K1470)*('env Parameter'!$C:$C=$L1470),'env Parameter'!H:H,""),"")</f>
        <v>생물상 조사</v>
      </c>
      <c r="C1470" s="10" cm="1">
        <f t="array" ref="C1470">IFERROR(_xlfn.XLOOKUP(1,('env Parameter'!$A:$A=$A1470)*('env Parameter'!$B:$B=$K1470)*('env Parameter'!$C:$C=$L1470),'env Parameter'!E:E,""),"")</f>
        <v>2.14</v>
      </c>
      <c r="D1470" s="10" cm="1">
        <f t="array" ref="D1470">IFERROR(_xlfn.XLOOKUP(1,('env Parameter'!$A:$A=$A1470)*('env Parameter'!$B:$B=$K1470)*('env Parameter'!$C:$C=$L1470),'env Parameter'!F:F,""),"")</f>
        <v>478</v>
      </c>
      <c r="E1470" s="10" cm="1">
        <f t="array" ref="E1470">IFERROR(_xlfn.XLOOKUP(1,('env Parameter'!$A:$A=$A1470)*('env Parameter'!$B:$B=$K1470)*('env Parameter'!$C:$C=$L1470),'env Parameter'!G:G,""),"")</f>
        <v>7.6</v>
      </c>
      <c r="F1470" t="str">
        <f>eDNA!F1470</f>
        <v>MiFish</v>
      </c>
      <c r="G1470" t="str">
        <f>eDNA!D1470</f>
        <v>Misgurnus mizolepis</v>
      </c>
      <c r="H1470" t="str">
        <f>_xlfn.XLOOKUP(G1470,'Common name (master file)'!$B:$B,'Common name (master file)'!$A:$A,"-------------")</f>
        <v>미꾸라지</v>
      </c>
      <c r="I1470">
        <f>eDNA!E1470</f>
        <v>581</v>
      </c>
      <c r="J1470" t="str">
        <f>_xlfn.XLOOKUP(G1470,'Common name (master file)'!$B:$B,'Common name (master file)'!$C:$C,"")</f>
        <v>어류</v>
      </c>
      <c r="K1470">
        <f>eDNA!B1470</f>
        <v>126.8428368</v>
      </c>
      <c r="L1470">
        <f>eDNA!C1470</f>
        <v>37.4677784</v>
      </c>
      <c r="M1470" s="10" t="str" cm="1">
        <f t="array" ref="M1470">IFERROR(_xlfn.XLOOKUP(1,('env Parameter'!$A:$A=$A1470)*('env Parameter'!$B:$B=$K1470)*('env Parameter'!$C:$C=$L1470),'env Parameter'!D:D,""),"")</f>
        <v>목감천-1</v>
      </c>
      <c r="N1470" s="10" t="str" cm="1">
        <f t="array" ref="N1470">IFERROR(_xlfn.XLOOKUP(1,('env Parameter'!$A:$A=$A1470)*('env Parameter'!$B:$B=$K1470)*('env Parameter'!$C:$C=$L1470),'env Parameter'!I:I,""),"")</f>
        <v>YR</v>
      </c>
    </row>
    <row r="1471" spans="1:14">
      <c r="A1471">
        <f>eDNA!A1471</f>
        <v>20201024</v>
      </c>
      <c r="B1471" s="10" t="str" cm="1">
        <f t="array" ref="B1471">IFERROR(_xlfn.XLOOKUP(1,('env Parameter'!$A:$A=$A1471)*('env Parameter'!$B:$B=$K1471)*('env Parameter'!$C:$C=$L1471),'env Parameter'!H:H,""),"")</f>
        <v>생물상 조사</v>
      </c>
      <c r="C1471" s="10" cm="1">
        <f t="array" ref="C1471">IFERROR(_xlfn.XLOOKUP(1,('env Parameter'!$A:$A=$A1471)*('env Parameter'!$B:$B=$K1471)*('env Parameter'!$C:$C=$L1471),'env Parameter'!E:E,""),"")</f>
        <v>2.14</v>
      </c>
      <c r="D1471" s="10" cm="1">
        <f t="array" ref="D1471">IFERROR(_xlfn.XLOOKUP(1,('env Parameter'!$A:$A=$A1471)*('env Parameter'!$B:$B=$K1471)*('env Parameter'!$C:$C=$L1471),'env Parameter'!F:F,""),"")</f>
        <v>478</v>
      </c>
      <c r="E1471" s="10" cm="1">
        <f t="array" ref="E1471">IFERROR(_xlfn.XLOOKUP(1,('env Parameter'!$A:$A=$A1471)*('env Parameter'!$B:$B=$K1471)*('env Parameter'!$C:$C=$L1471),'env Parameter'!G:G,""),"")</f>
        <v>7.6</v>
      </c>
      <c r="F1471" t="str">
        <f>eDNA!F1471</f>
        <v>MiFish</v>
      </c>
      <c r="G1471" t="str">
        <f>eDNA!D1471</f>
        <v>Tridentiger obscurus</v>
      </c>
      <c r="H1471" t="str">
        <f>_xlfn.XLOOKUP(G1471,'Common name (master file)'!$B:$B,'Common name (master file)'!$A:$A,"-------------")</f>
        <v>검정망둑</v>
      </c>
      <c r="I1471">
        <f>eDNA!E1471</f>
        <v>580</v>
      </c>
      <c r="J1471" t="str">
        <f>_xlfn.XLOOKUP(G1471,'Common name (master file)'!$B:$B,'Common name (master file)'!$C:$C,"")</f>
        <v>어류</v>
      </c>
      <c r="K1471">
        <f>eDNA!B1471</f>
        <v>126.8428368</v>
      </c>
      <c r="L1471">
        <f>eDNA!C1471</f>
        <v>37.4677784</v>
      </c>
      <c r="M1471" s="10" t="str" cm="1">
        <f t="array" ref="M1471">IFERROR(_xlfn.XLOOKUP(1,('env Parameter'!$A:$A=$A1471)*('env Parameter'!$B:$B=$K1471)*('env Parameter'!$C:$C=$L1471),'env Parameter'!D:D,""),"")</f>
        <v>목감천-1</v>
      </c>
      <c r="N1471" s="10" t="str" cm="1">
        <f t="array" ref="N1471">IFERROR(_xlfn.XLOOKUP(1,('env Parameter'!$A:$A=$A1471)*('env Parameter'!$B:$B=$K1471)*('env Parameter'!$C:$C=$L1471),'env Parameter'!I:I,""),"")</f>
        <v>YR</v>
      </c>
    </row>
    <row r="1472" spans="1:14">
      <c r="A1472">
        <f>eDNA!A1472</f>
        <v>20201024</v>
      </c>
      <c r="B1472" s="10" t="str" cm="1">
        <f t="array" ref="B1472">IFERROR(_xlfn.XLOOKUP(1,('env Parameter'!$A:$A=$A1472)*('env Parameter'!$B:$B=$K1472)*('env Parameter'!$C:$C=$L1472),'env Parameter'!H:H,""),"")</f>
        <v>생물상 조사</v>
      </c>
      <c r="C1472" s="10" cm="1">
        <f t="array" ref="C1472">IFERROR(_xlfn.XLOOKUP(1,('env Parameter'!$A:$A=$A1472)*('env Parameter'!$B:$B=$K1472)*('env Parameter'!$C:$C=$L1472),'env Parameter'!E:E,""),"")</f>
        <v>2.14</v>
      </c>
      <c r="D1472" s="10" cm="1">
        <f t="array" ref="D1472">IFERROR(_xlfn.XLOOKUP(1,('env Parameter'!$A:$A=$A1472)*('env Parameter'!$B:$B=$K1472)*('env Parameter'!$C:$C=$L1472),'env Parameter'!F:F,""),"")</f>
        <v>478</v>
      </c>
      <c r="E1472" s="10" cm="1">
        <f t="array" ref="E1472">IFERROR(_xlfn.XLOOKUP(1,('env Parameter'!$A:$A=$A1472)*('env Parameter'!$B:$B=$K1472)*('env Parameter'!$C:$C=$L1472),'env Parameter'!G:G,""),"")</f>
        <v>7.6</v>
      </c>
      <c r="F1472" t="str">
        <f>eDNA!F1472</f>
        <v>MiFish</v>
      </c>
      <c r="G1472" t="str">
        <f>eDNA!D1472</f>
        <v>Channa argus</v>
      </c>
      <c r="H1472" t="str">
        <f>_xlfn.XLOOKUP(G1472,'Common name (master file)'!$B:$B,'Common name (master file)'!$A:$A,"-------------")</f>
        <v>가물치</v>
      </c>
      <c r="I1472">
        <f>eDNA!E1472</f>
        <v>642</v>
      </c>
      <c r="J1472" t="str">
        <f>_xlfn.XLOOKUP(G1472,'Common name (master file)'!$B:$B,'Common name (master file)'!$C:$C,"")</f>
        <v>어류</v>
      </c>
      <c r="K1472">
        <f>eDNA!B1472</f>
        <v>126.8428368</v>
      </c>
      <c r="L1472">
        <f>eDNA!C1472</f>
        <v>37.4677784</v>
      </c>
      <c r="M1472" s="10" t="str" cm="1">
        <f t="array" ref="M1472">IFERROR(_xlfn.XLOOKUP(1,('env Parameter'!$A:$A=$A1472)*('env Parameter'!$B:$B=$K1472)*('env Parameter'!$C:$C=$L1472),'env Parameter'!D:D,""),"")</f>
        <v>목감천-1</v>
      </c>
      <c r="N1472" s="10" t="str" cm="1">
        <f t="array" ref="N1472">IFERROR(_xlfn.XLOOKUP(1,('env Parameter'!$A:$A=$A1472)*('env Parameter'!$B:$B=$K1472)*('env Parameter'!$C:$C=$L1472),'env Parameter'!I:I,""),"")</f>
        <v>YR</v>
      </c>
    </row>
    <row r="1473" spans="1:14">
      <c r="A1473">
        <f>eDNA!A1473</f>
        <v>20201024</v>
      </c>
      <c r="B1473" s="10" t="str" cm="1">
        <f t="array" ref="B1473">IFERROR(_xlfn.XLOOKUP(1,('env Parameter'!$A:$A=$A1473)*('env Parameter'!$B:$B=$K1473)*('env Parameter'!$C:$C=$L1473),'env Parameter'!H:H,""),"")</f>
        <v>생물상 조사</v>
      </c>
      <c r="C1473" s="10" cm="1">
        <f t="array" ref="C1473">IFERROR(_xlfn.XLOOKUP(1,('env Parameter'!$A:$A=$A1473)*('env Parameter'!$B:$B=$K1473)*('env Parameter'!$C:$C=$L1473),'env Parameter'!E:E,""),"")</f>
        <v>2.14</v>
      </c>
      <c r="D1473" s="10" cm="1">
        <f t="array" ref="D1473">IFERROR(_xlfn.XLOOKUP(1,('env Parameter'!$A:$A=$A1473)*('env Parameter'!$B:$B=$K1473)*('env Parameter'!$C:$C=$L1473),'env Parameter'!F:F,""),"")</f>
        <v>478</v>
      </c>
      <c r="E1473" s="10" cm="1">
        <f t="array" ref="E1473">IFERROR(_xlfn.XLOOKUP(1,('env Parameter'!$A:$A=$A1473)*('env Parameter'!$B:$B=$K1473)*('env Parameter'!$C:$C=$L1473),'env Parameter'!G:G,""),"")</f>
        <v>7.6</v>
      </c>
      <c r="F1473" t="str">
        <f>eDNA!F1473</f>
        <v>MiFish</v>
      </c>
      <c r="G1473" t="str">
        <f>eDNA!D1473</f>
        <v>Plagiognathops microlepis</v>
      </c>
      <c r="H1473" t="str">
        <f>_xlfn.XLOOKUP(G1473,'Common name (master file)'!$B:$B,'Common name (master file)'!$A:$A,"-------------")</f>
        <v>왜몰개</v>
      </c>
      <c r="I1473">
        <f>eDNA!E1473</f>
        <v>842</v>
      </c>
      <c r="J1473" t="str">
        <f>_xlfn.XLOOKUP(G1473,'Common name (master file)'!$B:$B,'Common name (master file)'!$C:$C,"")</f>
        <v>어류</v>
      </c>
      <c r="K1473">
        <f>eDNA!B1473</f>
        <v>126.8428368</v>
      </c>
      <c r="L1473">
        <f>eDNA!C1473</f>
        <v>37.4677784</v>
      </c>
      <c r="M1473" s="10" t="str" cm="1">
        <f t="array" ref="M1473">IFERROR(_xlfn.XLOOKUP(1,('env Parameter'!$A:$A=$A1473)*('env Parameter'!$B:$B=$K1473)*('env Parameter'!$C:$C=$L1473),'env Parameter'!D:D,""),"")</f>
        <v>목감천-1</v>
      </c>
      <c r="N1473" s="10" t="str" cm="1">
        <f t="array" ref="N1473">IFERROR(_xlfn.XLOOKUP(1,('env Parameter'!$A:$A=$A1473)*('env Parameter'!$B:$B=$K1473)*('env Parameter'!$C:$C=$L1473),'env Parameter'!I:I,""),"")</f>
        <v>YR</v>
      </c>
    </row>
    <row r="1474" spans="1:14">
      <c r="A1474">
        <f>eDNA!A1474</f>
        <v>20201024</v>
      </c>
      <c r="B1474" s="10" t="str" cm="1">
        <f t="array" ref="B1474">IFERROR(_xlfn.XLOOKUP(1,('env Parameter'!$A:$A=$A1474)*('env Parameter'!$B:$B=$K1474)*('env Parameter'!$C:$C=$L1474),'env Parameter'!H:H,""),"")</f>
        <v>생물상 조사</v>
      </c>
      <c r="C1474" s="10" cm="1">
        <f t="array" ref="C1474">IFERROR(_xlfn.XLOOKUP(1,('env Parameter'!$A:$A=$A1474)*('env Parameter'!$B:$B=$K1474)*('env Parameter'!$C:$C=$L1474),'env Parameter'!E:E,""),"")</f>
        <v>2.14</v>
      </c>
      <c r="D1474" s="10" cm="1">
        <f t="array" ref="D1474">IFERROR(_xlfn.XLOOKUP(1,('env Parameter'!$A:$A=$A1474)*('env Parameter'!$B:$B=$K1474)*('env Parameter'!$C:$C=$L1474),'env Parameter'!F:F,""),"")</f>
        <v>478</v>
      </c>
      <c r="E1474" s="10" cm="1">
        <f t="array" ref="E1474">IFERROR(_xlfn.XLOOKUP(1,('env Parameter'!$A:$A=$A1474)*('env Parameter'!$B:$B=$K1474)*('env Parameter'!$C:$C=$L1474),'env Parameter'!G:G,""),"")</f>
        <v>7.6</v>
      </c>
      <c r="F1474" t="str">
        <f>eDNA!F1474</f>
        <v>MiFish</v>
      </c>
      <c r="G1474" t="str">
        <f>eDNA!D1474</f>
        <v>Lepomis macrochirus</v>
      </c>
      <c r="H1474" t="str">
        <f>_xlfn.XLOOKUP(G1474,'Common name (master file)'!$B:$B,'Common name (master file)'!$A:$A,"-------------")</f>
        <v>블루길</v>
      </c>
      <c r="I1474">
        <f>eDNA!E1474</f>
        <v>713</v>
      </c>
      <c r="J1474" t="str">
        <f>_xlfn.XLOOKUP(G1474,'Common name (master file)'!$B:$B,'Common name (master file)'!$C:$C,"")</f>
        <v>어류</v>
      </c>
      <c r="K1474">
        <f>eDNA!B1474</f>
        <v>126.8428368</v>
      </c>
      <c r="L1474">
        <f>eDNA!C1474</f>
        <v>37.4677784</v>
      </c>
      <c r="M1474" s="10" t="str" cm="1">
        <f t="array" ref="M1474">IFERROR(_xlfn.XLOOKUP(1,('env Parameter'!$A:$A=$A1474)*('env Parameter'!$B:$B=$K1474)*('env Parameter'!$C:$C=$L1474),'env Parameter'!D:D,""),"")</f>
        <v>목감천-1</v>
      </c>
      <c r="N1474" s="10" t="str" cm="1">
        <f t="array" ref="N1474">IFERROR(_xlfn.XLOOKUP(1,('env Parameter'!$A:$A=$A1474)*('env Parameter'!$B:$B=$K1474)*('env Parameter'!$C:$C=$L1474),'env Parameter'!I:I,""),"")</f>
        <v>YR</v>
      </c>
    </row>
    <row r="1475" spans="1:14">
      <c r="A1475">
        <f>eDNA!A1475</f>
        <v>20201024</v>
      </c>
      <c r="B1475" s="10" t="str" cm="1">
        <f t="array" ref="B1475">IFERROR(_xlfn.XLOOKUP(1,('env Parameter'!$A:$A=$A1475)*('env Parameter'!$B:$B=$K1475)*('env Parameter'!$C:$C=$L1475),'env Parameter'!H:H,""),"")</f>
        <v>생물상 조사</v>
      </c>
      <c r="C1475" s="10" cm="1">
        <f t="array" ref="C1475">IFERROR(_xlfn.XLOOKUP(1,('env Parameter'!$A:$A=$A1475)*('env Parameter'!$B:$B=$K1475)*('env Parameter'!$C:$C=$L1475),'env Parameter'!E:E,""),"")</f>
        <v>2.14</v>
      </c>
      <c r="D1475" s="10" cm="1">
        <f t="array" ref="D1475">IFERROR(_xlfn.XLOOKUP(1,('env Parameter'!$A:$A=$A1475)*('env Parameter'!$B:$B=$K1475)*('env Parameter'!$C:$C=$L1475),'env Parameter'!F:F,""),"")</f>
        <v>478</v>
      </c>
      <c r="E1475" s="10" cm="1">
        <f t="array" ref="E1475">IFERROR(_xlfn.XLOOKUP(1,('env Parameter'!$A:$A=$A1475)*('env Parameter'!$B:$B=$K1475)*('env Parameter'!$C:$C=$L1475),'env Parameter'!G:G,""),"")</f>
        <v>7.6</v>
      </c>
      <c r="F1475" t="str">
        <f>eDNA!F1475</f>
        <v>MiFish</v>
      </c>
      <c r="G1475" t="str">
        <f>eDNA!D1475</f>
        <v>Zacco platypus</v>
      </c>
      <c r="H1475" t="str">
        <f>_xlfn.XLOOKUP(G1475,'Common name (master file)'!$B:$B,'Common name (master file)'!$A:$A,"-------------")</f>
        <v>피라미</v>
      </c>
      <c r="I1475">
        <f>eDNA!E1475</f>
        <v>1141</v>
      </c>
      <c r="J1475" t="str">
        <f>_xlfn.XLOOKUP(G1475,'Common name (master file)'!$B:$B,'Common name (master file)'!$C:$C,"")</f>
        <v>어류</v>
      </c>
      <c r="K1475">
        <f>eDNA!B1475</f>
        <v>126.8428368</v>
      </c>
      <c r="L1475">
        <f>eDNA!C1475</f>
        <v>37.4677784</v>
      </c>
      <c r="M1475" s="10" t="str" cm="1">
        <f t="array" ref="M1475">IFERROR(_xlfn.XLOOKUP(1,('env Parameter'!$A:$A=$A1475)*('env Parameter'!$B:$B=$K1475)*('env Parameter'!$C:$C=$L1475),'env Parameter'!D:D,""),"")</f>
        <v>목감천-1</v>
      </c>
      <c r="N1475" s="10" t="str" cm="1">
        <f t="array" ref="N1475">IFERROR(_xlfn.XLOOKUP(1,('env Parameter'!$A:$A=$A1475)*('env Parameter'!$B:$B=$K1475)*('env Parameter'!$C:$C=$L1475),'env Parameter'!I:I,""),"")</f>
        <v>YR</v>
      </c>
    </row>
    <row r="1476" spans="1:14">
      <c r="A1476">
        <f>eDNA!A1476</f>
        <v>20201024</v>
      </c>
      <c r="B1476" s="10" t="str" cm="1">
        <f t="array" ref="B1476">IFERROR(_xlfn.XLOOKUP(1,('env Parameter'!$A:$A=$A1476)*('env Parameter'!$B:$B=$K1476)*('env Parameter'!$C:$C=$L1476),'env Parameter'!H:H,""),"")</f>
        <v>생물상 조사</v>
      </c>
      <c r="C1476" s="10" cm="1">
        <f t="array" ref="C1476">IFERROR(_xlfn.XLOOKUP(1,('env Parameter'!$A:$A=$A1476)*('env Parameter'!$B:$B=$K1476)*('env Parameter'!$C:$C=$L1476),'env Parameter'!E:E,""),"")</f>
        <v>2.14</v>
      </c>
      <c r="D1476" s="10" cm="1">
        <f t="array" ref="D1476">IFERROR(_xlfn.XLOOKUP(1,('env Parameter'!$A:$A=$A1476)*('env Parameter'!$B:$B=$K1476)*('env Parameter'!$C:$C=$L1476),'env Parameter'!F:F,""),"")</f>
        <v>478</v>
      </c>
      <c r="E1476" s="10" cm="1">
        <f t="array" ref="E1476">IFERROR(_xlfn.XLOOKUP(1,('env Parameter'!$A:$A=$A1476)*('env Parameter'!$B:$B=$K1476)*('env Parameter'!$C:$C=$L1476),'env Parameter'!G:G,""),"")</f>
        <v>7.6</v>
      </c>
      <c r="F1476" t="str">
        <f>eDNA!F1476</f>
        <v>MiFish</v>
      </c>
      <c r="G1476" t="str">
        <f>eDNA!D1476</f>
        <v>Carassius cuvieri</v>
      </c>
      <c r="H1476" t="str">
        <f>_xlfn.XLOOKUP(G1476,'Common name (master file)'!$B:$B,'Common name (master file)'!$A:$A,"-------------")</f>
        <v>떡붕어</v>
      </c>
      <c r="I1476">
        <f>eDNA!E1476</f>
        <v>1104</v>
      </c>
      <c r="J1476" t="str">
        <f>_xlfn.XLOOKUP(G1476,'Common name (master file)'!$B:$B,'Common name (master file)'!$C:$C,"")</f>
        <v>어류</v>
      </c>
      <c r="K1476">
        <f>eDNA!B1476</f>
        <v>126.8428368</v>
      </c>
      <c r="L1476">
        <f>eDNA!C1476</f>
        <v>37.4677784</v>
      </c>
      <c r="M1476" s="10" t="str" cm="1">
        <f t="array" ref="M1476">IFERROR(_xlfn.XLOOKUP(1,('env Parameter'!$A:$A=$A1476)*('env Parameter'!$B:$B=$K1476)*('env Parameter'!$C:$C=$L1476),'env Parameter'!D:D,""),"")</f>
        <v>목감천-1</v>
      </c>
      <c r="N1476" s="10" t="str" cm="1">
        <f t="array" ref="N1476">IFERROR(_xlfn.XLOOKUP(1,('env Parameter'!$A:$A=$A1476)*('env Parameter'!$B:$B=$K1476)*('env Parameter'!$C:$C=$L1476),'env Parameter'!I:I,""),"")</f>
        <v>YR</v>
      </c>
    </row>
    <row r="1477" spans="1:14">
      <c r="A1477">
        <f>eDNA!A1477</f>
        <v>20201024</v>
      </c>
      <c r="B1477" s="10" t="str" cm="1">
        <f t="array" ref="B1477">IFERROR(_xlfn.XLOOKUP(1,('env Parameter'!$A:$A=$A1477)*('env Parameter'!$B:$B=$K1477)*('env Parameter'!$C:$C=$L1477),'env Parameter'!H:H,""),"")</f>
        <v>생물상 조사</v>
      </c>
      <c r="C1477" s="10" cm="1">
        <f t="array" ref="C1477">IFERROR(_xlfn.XLOOKUP(1,('env Parameter'!$A:$A=$A1477)*('env Parameter'!$B:$B=$K1477)*('env Parameter'!$C:$C=$L1477),'env Parameter'!E:E,""),"")</f>
        <v>2.14</v>
      </c>
      <c r="D1477" s="10" cm="1">
        <f t="array" ref="D1477">IFERROR(_xlfn.XLOOKUP(1,('env Parameter'!$A:$A=$A1477)*('env Parameter'!$B:$B=$K1477)*('env Parameter'!$C:$C=$L1477),'env Parameter'!F:F,""),"")</f>
        <v>478</v>
      </c>
      <c r="E1477" s="10" cm="1">
        <f t="array" ref="E1477">IFERROR(_xlfn.XLOOKUP(1,('env Parameter'!$A:$A=$A1477)*('env Parameter'!$B:$B=$K1477)*('env Parameter'!$C:$C=$L1477),'env Parameter'!G:G,""),"")</f>
        <v>7.6</v>
      </c>
      <c r="F1477" t="str">
        <f>eDNA!F1477</f>
        <v>MiFish</v>
      </c>
      <c r="G1477" t="str">
        <f>eDNA!D1477</f>
        <v>Carassius sp.</v>
      </c>
      <c r="H1477" t="str">
        <f>_xlfn.XLOOKUP(G1477,'Common name (master file)'!$B:$B,'Common name (master file)'!$A:$A,"-------------")</f>
        <v>붕어 속</v>
      </c>
      <c r="I1477">
        <f>eDNA!E1477</f>
        <v>1114</v>
      </c>
      <c r="J1477" t="str">
        <f>_xlfn.XLOOKUP(G1477,'Common name (master file)'!$B:$B,'Common name (master file)'!$C:$C,"")</f>
        <v>어류</v>
      </c>
      <c r="K1477">
        <f>eDNA!B1477</f>
        <v>126.8428368</v>
      </c>
      <c r="L1477">
        <f>eDNA!C1477</f>
        <v>37.4677784</v>
      </c>
      <c r="M1477" s="10" t="str" cm="1">
        <f t="array" ref="M1477">IFERROR(_xlfn.XLOOKUP(1,('env Parameter'!$A:$A=$A1477)*('env Parameter'!$B:$B=$K1477)*('env Parameter'!$C:$C=$L1477),'env Parameter'!D:D,""),"")</f>
        <v>목감천-1</v>
      </c>
      <c r="N1477" s="10" t="str" cm="1">
        <f t="array" ref="N1477">IFERROR(_xlfn.XLOOKUP(1,('env Parameter'!$A:$A=$A1477)*('env Parameter'!$B:$B=$K1477)*('env Parameter'!$C:$C=$L1477),'env Parameter'!I:I,""),"")</f>
        <v>YR</v>
      </c>
    </row>
    <row r="1478" spans="1:14">
      <c r="A1478">
        <f>eDNA!A1478</f>
        <v>20201024</v>
      </c>
      <c r="B1478" s="10" t="str" cm="1">
        <f t="array" ref="B1478">IFERROR(_xlfn.XLOOKUP(1,('env Parameter'!$A:$A=$A1478)*('env Parameter'!$B:$B=$K1478)*('env Parameter'!$C:$C=$L1478),'env Parameter'!H:H,""),"")</f>
        <v>생물상 조사</v>
      </c>
      <c r="C1478" s="10" cm="1">
        <f t="array" ref="C1478">IFERROR(_xlfn.XLOOKUP(1,('env Parameter'!$A:$A=$A1478)*('env Parameter'!$B:$B=$K1478)*('env Parameter'!$C:$C=$L1478),'env Parameter'!E:E,""),"")</f>
        <v>2.14</v>
      </c>
      <c r="D1478" s="10" cm="1">
        <f t="array" ref="D1478">IFERROR(_xlfn.XLOOKUP(1,('env Parameter'!$A:$A=$A1478)*('env Parameter'!$B:$B=$K1478)*('env Parameter'!$C:$C=$L1478),'env Parameter'!F:F,""),"")</f>
        <v>478</v>
      </c>
      <c r="E1478" s="10" cm="1">
        <f t="array" ref="E1478">IFERROR(_xlfn.XLOOKUP(1,('env Parameter'!$A:$A=$A1478)*('env Parameter'!$B:$B=$K1478)*('env Parameter'!$C:$C=$L1478),'env Parameter'!G:G,""),"")</f>
        <v>7.6</v>
      </c>
      <c r="F1478" t="str">
        <f>eDNA!F1478</f>
        <v>MiFish</v>
      </c>
      <c r="G1478" t="str">
        <f>eDNA!D1478</f>
        <v>Cyprinus carpio</v>
      </c>
      <c r="H1478" t="str">
        <f>_xlfn.XLOOKUP(G1478,'Common name (master file)'!$B:$B,'Common name (master file)'!$A:$A,"-------------")</f>
        <v>잉어</v>
      </c>
      <c r="I1478">
        <f>eDNA!E1478</f>
        <v>1362</v>
      </c>
      <c r="J1478" t="str">
        <f>_xlfn.XLOOKUP(G1478,'Common name (master file)'!$B:$B,'Common name (master file)'!$C:$C,"")</f>
        <v>어류</v>
      </c>
      <c r="K1478">
        <f>eDNA!B1478</f>
        <v>126.8428368</v>
      </c>
      <c r="L1478">
        <f>eDNA!C1478</f>
        <v>37.4677784</v>
      </c>
      <c r="M1478" s="10" t="str" cm="1">
        <f t="array" ref="M1478">IFERROR(_xlfn.XLOOKUP(1,('env Parameter'!$A:$A=$A1478)*('env Parameter'!$B:$B=$K1478)*('env Parameter'!$C:$C=$L1478),'env Parameter'!D:D,""),"")</f>
        <v>목감천-1</v>
      </c>
      <c r="N1478" s="10" t="str" cm="1">
        <f t="array" ref="N1478">IFERROR(_xlfn.XLOOKUP(1,('env Parameter'!$A:$A=$A1478)*('env Parameter'!$B:$B=$K1478)*('env Parameter'!$C:$C=$L1478),'env Parameter'!I:I,""),"")</f>
        <v>YR</v>
      </c>
    </row>
    <row r="1479" spans="1:14">
      <c r="A1479">
        <f>eDNA!A1479</f>
        <v>20201024</v>
      </c>
      <c r="B1479" s="10" t="str" cm="1">
        <f t="array" ref="B1479">IFERROR(_xlfn.XLOOKUP(1,('env Parameter'!$A:$A=$A1479)*('env Parameter'!$B:$B=$K1479)*('env Parameter'!$C:$C=$L1479),'env Parameter'!H:H,""),"")</f>
        <v>생물상 조사</v>
      </c>
      <c r="C1479" s="10" cm="1">
        <f t="array" ref="C1479">IFERROR(_xlfn.XLOOKUP(1,('env Parameter'!$A:$A=$A1479)*('env Parameter'!$B:$B=$K1479)*('env Parameter'!$C:$C=$L1479),'env Parameter'!E:E,""),"")</f>
        <v>2.14</v>
      </c>
      <c r="D1479" s="10" cm="1">
        <f t="array" ref="D1479">IFERROR(_xlfn.XLOOKUP(1,('env Parameter'!$A:$A=$A1479)*('env Parameter'!$B:$B=$K1479)*('env Parameter'!$C:$C=$L1479),'env Parameter'!F:F,""),"")</f>
        <v>478</v>
      </c>
      <c r="E1479" s="10" cm="1">
        <f t="array" ref="E1479">IFERROR(_xlfn.XLOOKUP(1,('env Parameter'!$A:$A=$A1479)*('env Parameter'!$B:$B=$K1479)*('env Parameter'!$C:$C=$L1479),'env Parameter'!G:G,""),"")</f>
        <v>7.6</v>
      </c>
      <c r="F1479" t="str">
        <f>eDNA!F1479</f>
        <v>MiFish</v>
      </c>
      <c r="G1479" t="str">
        <f>eDNA!D1479</f>
        <v>Hemibarbus sp.</v>
      </c>
      <c r="H1479" t="str">
        <f>_xlfn.XLOOKUP(G1479,'Common name (master file)'!$B:$B,'Common name (master file)'!$A:$A,"-------------")</f>
        <v>누치 속</v>
      </c>
      <c r="I1479">
        <f>eDNA!E1479</f>
        <v>1400</v>
      </c>
      <c r="J1479" t="str">
        <f>_xlfn.XLOOKUP(G1479,'Common name (master file)'!$B:$B,'Common name (master file)'!$C:$C,"")</f>
        <v>어류</v>
      </c>
      <c r="K1479">
        <f>eDNA!B1479</f>
        <v>126.8428368</v>
      </c>
      <c r="L1479">
        <f>eDNA!C1479</f>
        <v>37.4677784</v>
      </c>
      <c r="M1479" s="10" t="str" cm="1">
        <f t="array" ref="M1479">IFERROR(_xlfn.XLOOKUP(1,('env Parameter'!$A:$A=$A1479)*('env Parameter'!$B:$B=$K1479)*('env Parameter'!$C:$C=$L1479),'env Parameter'!D:D,""),"")</f>
        <v>목감천-1</v>
      </c>
      <c r="N1479" s="10" t="str" cm="1">
        <f t="array" ref="N1479">IFERROR(_xlfn.XLOOKUP(1,('env Parameter'!$A:$A=$A1479)*('env Parameter'!$B:$B=$K1479)*('env Parameter'!$C:$C=$L1479),'env Parameter'!I:I,""),"")</f>
        <v>YR</v>
      </c>
    </row>
    <row r="1480" spans="1:14">
      <c r="A1480">
        <f>eDNA!A1480</f>
        <v>20201024</v>
      </c>
      <c r="B1480" s="10" t="str" cm="1">
        <f t="array" ref="B1480">IFERROR(_xlfn.XLOOKUP(1,('env Parameter'!$A:$A=$A1480)*('env Parameter'!$B:$B=$K1480)*('env Parameter'!$C:$C=$L1480),'env Parameter'!H:H,""),"")</f>
        <v>생물상 조사</v>
      </c>
      <c r="C1480" s="10" cm="1">
        <f t="array" ref="C1480">IFERROR(_xlfn.XLOOKUP(1,('env Parameter'!$A:$A=$A1480)*('env Parameter'!$B:$B=$K1480)*('env Parameter'!$C:$C=$L1480),'env Parameter'!E:E,""),"")</f>
        <v>2.14</v>
      </c>
      <c r="D1480" s="10" cm="1">
        <f t="array" ref="D1480">IFERROR(_xlfn.XLOOKUP(1,('env Parameter'!$A:$A=$A1480)*('env Parameter'!$B:$B=$K1480)*('env Parameter'!$C:$C=$L1480),'env Parameter'!F:F,""),"")</f>
        <v>478</v>
      </c>
      <c r="E1480" s="10" cm="1">
        <f t="array" ref="E1480">IFERROR(_xlfn.XLOOKUP(1,('env Parameter'!$A:$A=$A1480)*('env Parameter'!$B:$B=$K1480)*('env Parameter'!$C:$C=$L1480),'env Parameter'!G:G,""),"")</f>
        <v>7.6</v>
      </c>
      <c r="F1480" t="str">
        <f>eDNA!F1480</f>
        <v>MiFish</v>
      </c>
      <c r="G1480" t="str">
        <f>eDNA!D1480</f>
        <v>Pseudogobio esocinus</v>
      </c>
      <c r="H1480" t="str">
        <f>_xlfn.XLOOKUP(G1480,'Common name (master file)'!$B:$B,'Common name (master file)'!$A:$A,"-------------")</f>
        <v>모래무지</v>
      </c>
      <c r="I1480">
        <f>eDNA!E1480</f>
        <v>3750</v>
      </c>
      <c r="J1480" t="str">
        <f>_xlfn.XLOOKUP(G1480,'Common name (master file)'!$B:$B,'Common name (master file)'!$C:$C,"")</f>
        <v>어류</v>
      </c>
      <c r="K1480">
        <f>eDNA!B1480</f>
        <v>126.8428368</v>
      </c>
      <c r="L1480">
        <f>eDNA!C1480</f>
        <v>37.4677784</v>
      </c>
      <c r="M1480" s="10" t="str" cm="1">
        <f t="array" ref="M1480">IFERROR(_xlfn.XLOOKUP(1,('env Parameter'!$A:$A=$A1480)*('env Parameter'!$B:$B=$K1480)*('env Parameter'!$C:$C=$L1480),'env Parameter'!D:D,""),"")</f>
        <v>목감천-1</v>
      </c>
      <c r="N1480" s="10" t="str" cm="1">
        <f t="array" ref="N1480">IFERROR(_xlfn.XLOOKUP(1,('env Parameter'!$A:$A=$A1480)*('env Parameter'!$B:$B=$K1480)*('env Parameter'!$C:$C=$L1480),'env Parameter'!I:I,""),"")</f>
        <v>YR</v>
      </c>
    </row>
    <row r="1481" spans="1:14">
      <c r="A1481">
        <f>eDNA!A1481</f>
        <v>20201024</v>
      </c>
      <c r="B1481" s="10" t="str" cm="1">
        <f t="array" ref="B1481">IFERROR(_xlfn.XLOOKUP(1,('env Parameter'!$A:$A=$A1481)*('env Parameter'!$B:$B=$K1481)*('env Parameter'!$C:$C=$L1481),'env Parameter'!H:H,""),"")</f>
        <v>생물상 조사</v>
      </c>
      <c r="C1481" s="10" cm="1">
        <f t="array" ref="C1481">IFERROR(_xlfn.XLOOKUP(1,('env Parameter'!$A:$A=$A1481)*('env Parameter'!$B:$B=$K1481)*('env Parameter'!$C:$C=$L1481),'env Parameter'!E:E,""),"")</f>
        <v>2.14</v>
      </c>
      <c r="D1481" s="10" cm="1">
        <f t="array" ref="D1481">IFERROR(_xlfn.XLOOKUP(1,('env Parameter'!$A:$A=$A1481)*('env Parameter'!$B:$B=$K1481)*('env Parameter'!$C:$C=$L1481),'env Parameter'!F:F,""),"")</f>
        <v>478</v>
      </c>
      <c r="E1481" s="10" cm="1">
        <f t="array" ref="E1481">IFERROR(_xlfn.XLOOKUP(1,('env Parameter'!$A:$A=$A1481)*('env Parameter'!$B:$B=$K1481)*('env Parameter'!$C:$C=$L1481),'env Parameter'!G:G,""),"")</f>
        <v>7.6</v>
      </c>
      <c r="F1481" t="str">
        <f>eDNA!F1481</f>
        <v>MiFish</v>
      </c>
      <c r="G1481" t="str">
        <f>eDNA!D1481</f>
        <v>Canis lupus familiaris</v>
      </c>
      <c r="H1481" t="str">
        <f>_xlfn.XLOOKUP(G1481,'Common name (master file)'!$B:$B,'Common name (master file)'!$A:$A,"-------------")</f>
        <v>개</v>
      </c>
      <c r="I1481">
        <f>eDNA!E1481</f>
        <v>4919</v>
      </c>
      <c r="J1481" t="str">
        <f>_xlfn.XLOOKUP(G1481,'Common name (master file)'!$B:$B,'Common name (master file)'!$C:$C,"")</f>
        <v>포유류</v>
      </c>
      <c r="K1481">
        <f>eDNA!B1481</f>
        <v>126.8428368</v>
      </c>
      <c r="L1481">
        <f>eDNA!C1481</f>
        <v>37.4677784</v>
      </c>
      <c r="M1481" s="10" t="str" cm="1">
        <f t="array" ref="M1481">IFERROR(_xlfn.XLOOKUP(1,('env Parameter'!$A:$A=$A1481)*('env Parameter'!$B:$B=$K1481)*('env Parameter'!$C:$C=$L1481),'env Parameter'!D:D,""),"")</f>
        <v>목감천-1</v>
      </c>
      <c r="N1481" s="10" t="str" cm="1">
        <f t="array" ref="N1481">IFERROR(_xlfn.XLOOKUP(1,('env Parameter'!$A:$A=$A1481)*('env Parameter'!$B:$B=$K1481)*('env Parameter'!$C:$C=$L1481),'env Parameter'!I:I,""),"")</f>
        <v>YR</v>
      </c>
    </row>
    <row r="1482" spans="1:14">
      <c r="A1482">
        <f>eDNA!A1482</f>
        <v>20201024</v>
      </c>
      <c r="B1482" s="10" t="str" cm="1">
        <f t="array" ref="B1482">IFERROR(_xlfn.XLOOKUP(1,('env Parameter'!$A:$A=$A1482)*('env Parameter'!$B:$B=$K1482)*('env Parameter'!$C:$C=$L1482),'env Parameter'!H:H,""),"")</f>
        <v>생물상 조사</v>
      </c>
      <c r="C1482" s="10" cm="1">
        <f t="array" ref="C1482">IFERROR(_xlfn.XLOOKUP(1,('env Parameter'!$A:$A=$A1482)*('env Parameter'!$B:$B=$K1482)*('env Parameter'!$C:$C=$L1482),'env Parameter'!E:E,""),"")</f>
        <v>2.14</v>
      </c>
      <c r="D1482" s="10" cm="1">
        <f t="array" ref="D1482">IFERROR(_xlfn.XLOOKUP(1,('env Parameter'!$A:$A=$A1482)*('env Parameter'!$B:$B=$K1482)*('env Parameter'!$C:$C=$L1482),'env Parameter'!F:F,""),"")</f>
        <v>478</v>
      </c>
      <c r="E1482" s="10" cm="1">
        <f t="array" ref="E1482">IFERROR(_xlfn.XLOOKUP(1,('env Parameter'!$A:$A=$A1482)*('env Parameter'!$B:$B=$K1482)*('env Parameter'!$C:$C=$L1482),'env Parameter'!G:G,""),"")</f>
        <v>7.6</v>
      </c>
      <c r="F1482" t="str">
        <f>eDNA!F1482</f>
        <v>MiFish</v>
      </c>
      <c r="G1482" t="str">
        <f>eDNA!D1482</f>
        <v>Gnathopogon strigatus</v>
      </c>
      <c r="H1482" t="str">
        <f>_xlfn.XLOOKUP(G1482,'Common name (master file)'!$B:$B,'Common name (master file)'!$A:$A,"-------------")</f>
        <v>줄몰개</v>
      </c>
      <c r="I1482">
        <f>eDNA!E1482</f>
        <v>2648</v>
      </c>
      <c r="J1482" t="str">
        <f>_xlfn.XLOOKUP(G1482,'Common name (master file)'!$B:$B,'Common name (master file)'!$C:$C,"")</f>
        <v>어류</v>
      </c>
      <c r="K1482">
        <f>eDNA!B1482</f>
        <v>126.8428368</v>
      </c>
      <c r="L1482">
        <f>eDNA!C1482</f>
        <v>37.4677784</v>
      </c>
      <c r="M1482" s="10" t="str" cm="1">
        <f t="array" ref="M1482">IFERROR(_xlfn.XLOOKUP(1,('env Parameter'!$A:$A=$A1482)*('env Parameter'!$B:$B=$K1482)*('env Parameter'!$C:$C=$L1482),'env Parameter'!D:D,""),"")</f>
        <v>목감천-1</v>
      </c>
      <c r="N1482" s="10" t="str" cm="1">
        <f t="array" ref="N1482">IFERROR(_xlfn.XLOOKUP(1,('env Parameter'!$A:$A=$A1482)*('env Parameter'!$B:$B=$K1482)*('env Parameter'!$C:$C=$L1482),'env Parameter'!I:I,""),"")</f>
        <v>YR</v>
      </c>
    </row>
    <row r="1483" spans="1:14">
      <c r="A1483">
        <f>eDNA!A1483</f>
        <v>20201024</v>
      </c>
      <c r="B1483" s="10" t="str" cm="1">
        <f t="array" ref="B1483">IFERROR(_xlfn.XLOOKUP(1,('env Parameter'!$A:$A=$A1483)*('env Parameter'!$B:$B=$K1483)*('env Parameter'!$C:$C=$L1483),'env Parameter'!H:H,""),"")</f>
        <v>생물상 조사</v>
      </c>
      <c r="C1483" s="10" cm="1">
        <f t="array" ref="C1483">IFERROR(_xlfn.XLOOKUP(1,('env Parameter'!$A:$A=$A1483)*('env Parameter'!$B:$B=$K1483)*('env Parameter'!$C:$C=$L1483),'env Parameter'!E:E,""),"")</f>
        <v>2.14</v>
      </c>
      <c r="D1483" s="10" cm="1">
        <f t="array" ref="D1483">IFERROR(_xlfn.XLOOKUP(1,('env Parameter'!$A:$A=$A1483)*('env Parameter'!$B:$B=$K1483)*('env Parameter'!$C:$C=$L1483),'env Parameter'!F:F,""),"")</f>
        <v>478</v>
      </c>
      <c r="E1483" s="10" cm="1">
        <f t="array" ref="E1483">IFERROR(_xlfn.XLOOKUP(1,('env Parameter'!$A:$A=$A1483)*('env Parameter'!$B:$B=$K1483)*('env Parameter'!$C:$C=$L1483),'env Parameter'!G:G,""),"")</f>
        <v>7.6</v>
      </c>
      <c r="F1483" t="str">
        <f>eDNA!F1483</f>
        <v>MiFish</v>
      </c>
      <c r="G1483" t="str">
        <f>eDNA!D1483</f>
        <v>Micropterus salmoides</v>
      </c>
      <c r="H1483" t="str">
        <f>_xlfn.XLOOKUP(G1483,'Common name (master file)'!$B:$B,'Common name (master file)'!$A:$A,"-------------")</f>
        <v>큰입배스</v>
      </c>
      <c r="I1483">
        <f>eDNA!E1483</f>
        <v>4573</v>
      </c>
      <c r="J1483" t="str">
        <f>_xlfn.XLOOKUP(G1483,'Common name (master file)'!$B:$B,'Common name (master file)'!$C:$C,"")</f>
        <v>어류</v>
      </c>
      <c r="K1483">
        <f>eDNA!B1483</f>
        <v>126.8428368</v>
      </c>
      <c r="L1483">
        <f>eDNA!C1483</f>
        <v>37.4677784</v>
      </c>
      <c r="M1483" s="10" t="str" cm="1">
        <f t="array" ref="M1483">IFERROR(_xlfn.XLOOKUP(1,('env Parameter'!$A:$A=$A1483)*('env Parameter'!$B:$B=$K1483)*('env Parameter'!$C:$C=$L1483),'env Parameter'!D:D,""),"")</f>
        <v>목감천-1</v>
      </c>
      <c r="N1483" s="10" t="str" cm="1">
        <f t="array" ref="N1483">IFERROR(_xlfn.XLOOKUP(1,('env Parameter'!$A:$A=$A1483)*('env Parameter'!$B:$B=$K1483)*('env Parameter'!$C:$C=$L1483),'env Parameter'!I:I,""),"")</f>
        <v>YR</v>
      </c>
    </row>
    <row r="1484" spans="1:14">
      <c r="A1484">
        <f>eDNA!A1484</f>
        <v>20200916</v>
      </c>
      <c r="B1484" s="10" t="str" cm="1">
        <f t="array" ref="B1484">IFERROR(_xlfn.XLOOKUP(1,('env Parameter'!$A:$A=$A1484)*('env Parameter'!$B:$B=$K1484)*('env Parameter'!$C:$C=$L1484),'env Parameter'!H:H,""),"")</f>
        <v>생물상 조사</v>
      </c>
      <c r="C1484" s="10" cm="1">
        <f t="array" ref="C1484">IFERROR(_xlfn.XLOOKUP(1,('env Parameter'!$A:$A=$A1484)*('env Parameter'!$B:$B=$K1484)*('env Parameter'!$C:$C=$L1484),'env Parameter'!E:E,""),"")</f>
        <v>2.14</v>
      </c>
      <c r="D1484" s="10" cm="1">
        <f t="array" ref="D1484">IFERROR(_xlfn.XLOOKUP(1,('env Parameter'!$A:$A=$A1484)*('env Parameter'!$B:$B=$K1484)*('env Parameter'!$C:$C=$L1484),'env Parameter'!F:F,""),"")</f>
        <v>478</v>
      </c>
      <c r="E1484" s="10" cm="1">
        <f t="array" ref="E1484">IFERROR(_xlfn.XLOOKUP(1,('env Parameter'!$A:$A=$A1484)*('env Parameter'!$B:$B=$K1484)*('env Parameter'!$C:$C=$L1484),'env Parameter'!G:G,""),"")</f>
        <v>7.6</v>
      </c>
      <c r="F1484" t="str">
        <f>eDNA!F1484</f>
        <v>MiFish</v>
      </c>
      <c r="G1484" t="str">
        <f>eDNA!D1484</f>
        <v>Micropercops swinhonis</v>
      </c>
      <c r="H1484" t="str">
        <f>_xlfn.XLOOKUP(G1484,'Common name (master file)'!$B:$B,'Common name (master file)'!$A:$A,"-------------")</f>
        <v>좀구굴치</v>
      </c>
      <c r="I1484">
        <f>eDNA!E1484</f>
        <v>8221</v>
      </c>
      <c r="J1484" t="str">
        <f>_xlfn.XLOOKUP(G1484,'Common name (master file)'!$B:$B,'Common name (master file)'!$C:$C,"")</f>
        <v>어류</v>
      </c>
      <c r="K1484">
        <f>eDNA!B1484</f>
        <v>126.83793110000001</v>
      </c>
      <c r="L1484">
        <f>eDNA!C1484</f>
        <v>37.441797600000001</v>
      </c>
      <c r="M1484" s="10" t="str" cm="1">
        <f t="array" ref="M1484">IFERROR(_xlfn.XLOOKUP(1,('env Parameter'!$A:$A=$A1484)*('env Parameter'!$B:$B=$K1484)*('env Parameter'!$C:$C=$L1484),'env Parameter'!D:D,""),"")</f>
        <v>목감천-2</v>
      </c>
      <c r="N1484" s="10" t="str" cm="1">
        <f t="array" ref="N1484">IFERROR(_xlfn.XLOOKUP(1,('env Parameter'!$A:$A=$A1484)*('env Parameter'!$B:$B=$K1484)*('env Parameter'!$C:$C=$L1484),'env Parameter'!I:I,""),"")</f>
        <v>YR</v>
      </c>
    </row>
    <row r="1485" spans="1:14">
      <c r="A1485">
        <f>eDNA!A1485</f>
        <v>20201024</v>
      </c>
      <c r="B1485" s="10" t="str" cm="1">
        <f t="array" ref="B1485">IFERROR(_xlfn.XLOOKUP(1,('env Parameter'!$A:$A=$A1485)*('env Parameter'!$B:$B=$K1485)*('env Parameter'!$C:$C=$L1485),'env Parameter'!H:H,""),"")</f>
        <v>생물상 조사</v>
      </c>
      <c r="C1485" s="10" cm="1">
        <f t="array" ref="C1485">IFERROR(_xlfn.XLOOKUP(1,('env Parameter'!$A:$A=$A1485)*('env Parameter'!$B:$B=$K1485)*('env Parameter'!$C:$C=$L1485),'env Parameter'!E:E,""),"")</f>
        <v>2.14</v>
      </c>
      <c r="D1485" s="10" cm="1">
        <f t="array" ref="D1485">IFERROR(_xlfn.XLOOKUP(1,('env Parameter'!$A:$A=$A1485)*('env Parameter'!$B:$B=$K1485)*('env Parameter'!$C:$C=$L1485),'env Parameter'!F:F,""),"")</f>
        <v>478</v>
      </c>
      <c r="E1485" s="10" cm="1">
        <f t="array" ref="E1485">IFERROR(_xlfn.XLOOKUP(1,('env Parameter'!$A:$A=$A1485)*('env Parameter'!$B:$B=$K1485)*('env Parameter'!$C:$C=$L1485),'env Parameter'!G:G,""),"")</f>
        <v>7.6</v>
      </c>
      <c r="F1485" t="str">
        <f>eDNA!F1485</f>
        <v>MiFish</v>
      </c>
      <c r="G1485" t="str">
        <f>eDNA!D1485</f>
        <v>Acheilognathus macropterus</v>
      </c>
      <c r="H1485" t="str">
        <f>_xlfn.XLOOKUP(G1485,'Common name (master file)'!$B:$B,'Common name (master file)'!$A:$A,"-------------")</f>
        <v>큰납지리</v>
      </c>
      <c r="I1485">
        <f>eDNA!E1485</f>
        <v>4715</v>
      </c>
      <c r="J1485" t="str">
        <f>_xlfn.XLOOKUP(G1485,'Common name (master file)'!$B:$B,'Common name (master file)'!$C:$C,"")</f>
        <v>어류</v>
      </c>
      <c r="K1485">
        <f>eDNA!B1485</f>
        <v>126.8428368</v>
      </c>
      <c r="L1485">
        <f>eDNA!C1485</f>
        <v>37.4677784</v>
      </c>
      <c r="M1485" s="10" t="str" cm="1">
        <f t="array" ref="M1485">IFERROR(_xlfn.XLOOKUP(1,('env Parameter'!$A:$A=$A1485)*('env Parameter'!$B:$B=$K1485)*('env Parameter'!$C:$C=$L1485),'env Parameter'!D:D,""),"")</f>
        <v>목감천-1</v>
      </c>
      <c r="N1485" s="10" t="str" cm="1">
        <f t="array" ref="N1485">IFERROR(_xlfn.XLOOKUP(1,('env Parameter'!$A:$A=$A1485)*('env Parameter'!$B:$B=$K1485)*('env Parameter'!$C:$C=$L1485),'env Parameter'!I:I,""),"")</f>
        <v>YR</v>
      </c>
    </row>
    <row r="1486" spans="1:14">
      <c r="A1486">
        <f>eDNA!A1486</f>
        <v>20201024</v>
      </c>
      <c r="B1486" s="10" t="str" cm="1">
        <f t="array" ref="B1486">IFERROR(_xlfn.XLOOKUP(1,('env Parameter'!$A:$A=$A1486)*('env Parameter'!$B:$B=$K1486)*('env Parameter'!$C:$C=$L1486),'env Parameter'!H:H,""),"")</f>
        <v>생물상 조사</v>
      </c>
      <c r="C1486" s="10" cm="1">
        <f t="array" ref="C1486">IFERROR(_xlfn.XLOOKUP(1,('env Parameter'!$A:$A=$A1486)*('env Parameter'!$B:$B=$K1486)*('env Parameter'!$C:$C=$L1486),'env Parameter'!E:E,""),"")</f>
        <v>2.14</v>
      </c>
      <c r="D1486" s="10" cm="1">
        <f t="array" ref="D1486">IFERROR(_xlfn.XLOOKUP(1,('env Parameter'!$A:$A=$A1486)*('env Parameter'!$B:$B=$K1486)*('env Parameter'!$C:$C=$L1486),'env Parameter'!F:F,""),"")</f>
        <v>478</v>
      </c>
      <c r="E1486" s="10" cm="1">
        <f t="array" ref="E1486">IFERROR(_xlfn.XLOOKUP(1,('env Parameter'!$A:$A=$A1486)*('env Parameter'!$B:$B=$K1486)*('env Parameter'!$C:$C=$L1486),'env Parameter'!G:G,""),"")</f>
        <v>7.6</v>
      </c>
      <c r="F1486" t="str">
        <f>eDNA!F1486</f>
        <v>MiFish</v>
      </c>
      <c r="G1486" t="str">
        <f>eDNA!D1486</f>
        <v>Odontobutis interrupta</v>
      </c>
      <c r="H1486" t="str">
        <f>_xlfn.XLOOKUP(G1486,'Common name (master file)'!$B:$B,'Common name (master file)'!$A:$A,"-------------")</f>
        <v>얼록동사리</v>
      </c>
      <c r="I1486">
        <f>eDNA!E1486</f>
        <v>4065</v>
      </c>
      <c r="J1486" t="str">
        <f>_xlfn.XLOOKUP(G1486,'Common name (master file)'!$B:$B,'Common name (master file)'!$C:$C,"")</f>
        <v>어류</v>
      </c>
      <c r="K1486">
        <f>eDNA!B1486</f>
        <v>126.8428368</v>
      </c>
      <c r="L1486">
        <f>eDNA!C1486</f>
        <v>37.4677784</v>
      </c>
      <c r="M1486" s="10" t="str" cm="1">
        <f t="array" ref="M1486">IFERROR(_xlfn.XLOOKUP(1,('env Parameter'!$A:$A=$A1486)*('env Parameter'!$B:$B=$K1486)*('env Parameter'!$C:$C=$L1486),'env Parameter'!D:D,""),"")</f>
        <v>목감천-1</v>
      </c>
      <c r="N1486" s="10" t="str" cm="1">
        <f t="array" ref="N1486">IFERROR(_xlfn.XLOOKUP(1,('env Parameter'!$A:$A=$A1486)*('env Parameter'!$B:$B=$K1486)*('env Parameter'!$C:$C=$L1486),'env Parameter'!I:I,""),"")</f>
        <v>YR</v>
      </c>
    </row>
    <row r="1487" spans="1:14">
      <c r="A1487">
        <f>eDNA!A1487</f>
        <v>20201024</v>
      </c>
      <c r="B1487" s="10" t="str" cm="1">
        <f t="array" ref="B1487">IFERROR(_xlfn.XLOOKUP(1,('env Parameter'!$A:$A=$A1487)*('env Parameter'!$B:$B=$K1487)*('env Parameter'!$C:$C=$L1487),'env Parameter'!H:H,""),"")</f>
        <v>생물상 조사</v>
      </c>
      <c r="C1487" s="10" cm="1">
        <f t="array" ref="C1487">IFERROR(_xlfn.XLOOKUP(1,('env Parameter'!$A:$A=$A1487)*('env Parameter'!$B:$B=$K1487)*('env Parameter'!$C:$C=$L1487),'env Parameter'!E:E,""),"")</f>
        <v>2.14</v>
      </c>
      <c r="D1487" s="10" cm="1">
        <f t="array" ref="D1487">IFERROR(_xlfn.XLOOKUP(1,('env Parameter'!$A:$A=$A1487)*('env Parameter'!$B:$B=$K1487)*('env Parameter'!$C:$C=$L1487),'env Parameter'!F:F,""),"")</f>
        <v>478</v>
      </c>
      <c r="E1487" s="10" cm="1">
        <f t="array" ref="E1487">IFERROR(_xlfn.XLOOKUP(1,('env Parameter'!$A:$A=$A1487)*('env Parameter'!$B:$B=$K1487)*('env Parameter'!$C:$C=$L1487),'env Parameter'!G:G,""),"")</f>
        <v>7.6</v>
      </c>
      <c r="F1487" t="str">
        <f>eDNA!F1487</f>
        <v>MiFish</v>
      </c>
      <c r="G1487" t="str">
        <f>eDNA!D1487</f>
        <v>Silurus soldatovi</v>
      </c>
      <c r="H1487" t="str">
        <f>_xlfn.XLOOKUP(G1487,'Common name (master file)'!$B:$B,'Common name (master file)'!$A:$A,"-------------")</f>
        <v>솔다토비 메기</v>
      </c>
      <c r="I1487">
        <f>eDNA!E1487</f>
        <v>4348</v>
      </c>
      <c r="J1487" t="str">
        <f>_xlfn.XLOOKUP(G1487,'Common name (master file)'!$B:$B,'Common name (master file)'!$C:$C,"")</f>
        <v>어류</v>
      </c>
      <c r="K1487">
        <f>eDNA!B1487</f>
        <v>126.8428368</v>
      </c>
      <c r="L1487">
        <f>eDNA!C1487</f>
        <v>37.4677784</v>
      </c>
      <c r="M1487" s="10" t="str" cm="1">
        <f t="array" ref="M1487">IFERROR(_xlfn.XLOOKUP(1,('env Parameter'!$A:$A=$A1487)*('env Parameter'!$B:$B=$K1487)*('env Parameter'!$C:$C=$L1487),'env Parameter'!D:D,""),"")</f>
        <v>목감천-1</v>
      </c>
      <c r="N1487" s="10" t="str" cm="1">
        <f t="array" ref="N1487">IFERROR(_xlfn.XLOOKUP(1,('env Parameter'!$A:$A=$A1487)*('env Parameter'!$B:$B=$K1487)*('env Parameter'!$C:$C=$L1487),'env Parameter'!I:I,""),"")</f>
        <v>YR</v>
      </c>
    </row>
    <row r="1488" spans="1:14">
      <c r="A1488">
        <f>eDNA!A1488</f>
        <v>20201024</v>
      </c>
      <c r="B1488" s="10" t="str" cm="1">
        <f t="array" ref="B1488">IFERROR(_xlfn.XLOOKUP(1,('env Parameter'!$A:$A=$A1488)*('env Parameter'!$B:$B=$K1488)*('env Parameter'!$C:$C=$L1488),'env Parameter'!H:H,""),"")</f>
        <v>생물상 조사</v>
      </c>
      <c r="C1488" s="10" cm="1">
        <f t="array" ref="C1488">IFERROR(_xlfn.XLOOKUP(1,('env Parameter'!$A:$A=$A1488)*('env Parameter'!$B:$B=$K1488)*('env Parameter'!$C:$C=$L1488),'env Parameter'!E:E,""),"")</f>
        <v>2.14</v>
      </c>
      <c r="D1488" s="10" cm="1">
        <f t="array" ref="D1488">IFERROR(_xlfn.XLOOKUP(1,('env Parameter'!$A:$A=$A1488)*('env Parameter'!$B:$B=$K1488)*('env Parameter'!$C:$C=$L1488),'env Parameter'!F:F,""),"")</f>
        <v>478</v>
      </c>
      <c r="E1488" s="10" cm="1">
        <f t="array" ref="E1488">IFERROR(_xlfn.XLOOKUP(1,('env Parameter'!$A:$A=$A1488)*('env Parameter'!$B:$B=$K1488)*('env Parameter'!$C:$C=$L1488),'env Parameter'!G:G,""),"")</f>
        <v>7.6</v>
      </c>
      <c r="F1488" t="str">
        <f>eDNA!F1488</f>
        <v>MiFish</v>
      </c>
      <c r="G1488" t="str">
        <f>eDNA!D1488</f>
        <v>Sus scrofa</v>
      </c>
      <c r="H1488" t="str">
        <f>_xlfn.XLOOKUP(G1488,'Common name (master file)'!$B:$B,'Common name (master file)'!$A:$A,"-------------")</f>
        <v>멧돼지</v>
      </c>
      <c r="I1488">
        <f>eDNA!E1488</f>
        <v>18225</v>
      </c>
      <c r="J1488" t="str">
        <f>_xlfn.XLOOKUP(G1488,'Common name (master file)'!$B:$B,'Common name (master file)'!$C:$C,"")</f>
        <v>포유류</v>
      </c>
      <c r="K1488">
        <f>eDNA!B1488</f>
        <v>126.8428368</v>
      </c>
      <c r="L1488">
        <f>eDNA!C1488</f>
        <v>37.4677784</v>
      </c>
      <c r="M1488" s="10" t="str" cm="1">
        <f t="array" ref="M1488">IFERROR(_xlfn.XLOOKUP(1,('env Parameter'!$A:$A=$A1488)*('env Parameter'!$B:$B=$K1488)*('env Parameter'!$C:$C=$L1488),'env Parameter'!D:D,""),"")</f>
        <v>목감천-1</v>
      </c>
      <c r="N1488" s="10" t="str" cm="1">
        <f t="array" ref="N1488">IFERROR(_xlfn.XLOOKUP(1,('env Parameter'!$A:$A=$A1488)*('env Parameter'!$B:$B=$K1488)*('env Parameter'!$C:$C=$L1488),'env Parameter'!I:I,""),"")</f>
        <v>YR</v>
      </c>
    </row>
    <row r="1489" spans="1:14">
      <c r="A1489">
        <f>eDNA!A1489</f>
        <v>20201024</v>
      </c>
      <c r="B1489" s="10" t="str" cm="1">
        <f t="array" ref="B1489">IFERROR(_xlfn.XLOOKUP(1,('env Parameter'!$A:$A=$A1489)*('env Parameter'!$B:$B=$K1489)*('env Parameter'!$C:$C=$L1489),'env Parameter'!H:H,""),"")</f>
        <v>생물상 조사</v>
      </c>
      <c r="C1489" s="10" cm="1">
        <f t="array" ref="C1489">IFERROR(_xlfn.XLOOKUP(1,('env Parameter'!$A:$A=$A1489)*('env Parameter'!$B:$B=$K1489)*('env Parameter'!$C:$C=$L1489),'env Parameter'!E:E,""),"")</f>
        <v>2.14</v>
      </c>
      <c r="D1489" s="10" cm="1">
        <f t="array" ref="D1489">IFERROR(_xlfn.XLOOKUP(1,('env Parameter'!$A:$A=$A1489)*('env Parameter'!$B:$B=$K1489)*('env Parameter'!$C:$C=$L1489),'env Parameter'!F:F,""),"")</f>
        <v>478</v>
      </c>
      <c r="E1489" s="10" cm="1">
        <f t="array" ref="E1489">IFERROR(_xlfn.XLOOKUP(1,('env Parameter'!$A:$A=$A1489)*('env Parameter'!$B:$B=$K1489)*('env Parameter'!$C:$C=$L1489),'env Parameter'!G:G,""),"")</f>
        <v>7.6</v>
      </c>
      <c r="F1489" t="str">
        <f>eDNA!F1489</f>
        <v>MiFish</v>
      </c>
      <c r="G1489" t="str">
        <f>eDNA!D1489</f>
        <v>Pseudorasbora parva</v>
      </c>
      <c r="H1489" t="str">
        <f>_xlfn.XLOOKUP(G1489,'Common name (master file)'!$B:$B,'Common name (master file)'!$A:$A,"-------------")</f>
        <v>참붕어</v>
      </c>
      <c r="I1489">
        <f>eDNA!E1489</f>
        <v>34378</v>
      </c>
      <c r="J1489" t="str">
        <f>_xlfn.XLOOKUP(G1489,'Common name (master file)'!$B:$B,'Common name (master file)'!$C:$C,"")</f>
        <v>어류</v>
      </c>
      <c r="K1489">
        <f>eDNA!B1489</f>
        <v>126.8428368</v>
      </c>
      <c r="L1489">
        <f>eDNA!C1489</f>
        <v>37.4677784</v>
      </c>
      <c r="M1489" s="10" t="str" cm="1">
        <f t="array" ref="M1489">IFERROR(_xlfn.XLOOKUP(1,('env Parameter'!$A:$A=$A1489)*('env Parameter'!$B:$B=$K1489)*('env Parameter'!$C:$C=$L1489),'env Parameter'!D:D,""),"")</f>
        <v>목감천-1</v>
      </c>
      <c r="N1489" s="10" t="str" cm="1">
        <f t="array" ref="N1489">IFERROR(_xlfn.XLOOKUP(1,('env Parameter'!$A:$A=$A1489)*('env Parameter'!$B:$B=$K1489)*('env Parameter'!$C:$C=$L1489),'env Parameter'!I:I,""),"")</f>
        <v>YR</v>
      </c>
    </row>
    <row r="1490" spans="1:14">
      <c r="A1490">
        <f>eDNA!A1490</f>
        <v>20201024</v>
      </c>
      <c r="B1490" s="10" t="str" cm="1">
        <f t="array" ref="B1490">IFERROR(_xlfn.XLOOKUP(1,('env Parameter'!$A:$A=$A1490)*('env Parameter'!$B:$B=$K1490)*('env Parameter'!$C:$C=$L1490),'env Parameter'!H:H,""),"")</f>
        <v>생물상 조사</v>
      </c>
      <c r="C1490" s="10" cm="1">
        <f t="array" ref="C1490">IFERROR(_xlfn.XLOOKUP(1,('env Parameter'!$A:$A=$A1490)*('env Parameter'!$B:$B=$K1490)*('env Parameter'!$C:$C=$L1490),'env Parameter'!E:E,""),"")</f>
        <v>2.14</v>
      </c>
      <c r="D1490" s="10" cm="1">
        <f t="array" ref="D1490">IFERROR(_xlfn.XLOOKUP(1,('env Parameter'!$A:$A=$A1490)*('env Parameter'!$B:$B=$K1490)*('env Parameter'!$C:$C=$L1490),'env Parameter'!F:F,""),"")</f>
        <v>478</v>
      </c>
      <c r="E1490" s="10" cm="1">
        <f t="array" ref="E1490">IFERROR(_xlfn.XLOOKUP(1,('env Parameter'!$A:$A=$A1490)*('env Parameter'!$B:$B=$K1490)*('env Parameter'!$C:$C=$L1490),'env Parameter'!G:G,""),"")</f>
        <v>7.6</v>
      </c>
      <c r="F1490" t="str">
        <f>eDNA!F1490</f>
        <v>MiFish</v>
      </c>
      <c r="G1490" t="str">
        <f>eDNA!D1490</f>
        <v>Carassius gibelio</v>
      </c>
      <c r="H1490" t="str">
        <f>_xlfn.XLOOKUP(G1490,'Common name (master file)'!$B:$B,'Common name (master file)'!$A:$A,"-------------")</f>
        <v>기벨리오 붕어</v>
      </c>
      <c r="I1490">
        <f>eDNA!E1490</f>
        <v>36615</v>
      </c>
      <c r="J1490" t="str">
        <f>_xlfn.XLOOKUP(G1490,'Common name (master file)'!$B:$B,'Common name (master file)'!$C:$C,"")</f>
        <v>어류</v>
      </c>
      <c r="K1490">
        <f>eDNA!B1490</f>
        <v>126.8428368</v>
      </c>
      <c r="L1490">
        <f>eDNA!C1490</f>
        <v>37.4677784</v>
      </c>
      <c r="M1490" s="10" t="str" cm="1">
        <f t="array" ref="M1490">IFERROR(_xlfn.XLOOKUP(1,('env Parameter'!$A:$A=$A1490)*('env Parameter'!$B:$B=$K1490)*('env Parameter'!$C:$C=$L1490),'env Parameter'!D:D,""),"")</f>
        <v>목감천-1</v>
      </c>
      <c r="N1490" s="10" t="str" cm="1">
        <f t="array" ref="N1490">IFERROR(_xlfn.XLOOKUP(1,('env Parameter'!$A:$A=$A1490)*('env Parameter'!$B:$B=$K1490)*('env Parameter'!$C:$C=$L1490),'env Parameter'!I:I,""),"")</f>
        <v>YR</v>
      </c>
    </row>
    <row r="1491" spans="1:14">
      <c r="A1491">
        <f>eDNA!A1491</f>
        <v>20201024</v>
      </c>
      <c r="B1491" s="10" t="str" cm="1">
        <f t="array" ref="B1491">IFERROR(_xlfn.XLOOKUP(1,('env Parameter'!$A:$A=$A1491)*('env Parameter'!$B:$B=$K1491)*('env Parameter'!$C:$C=$L1491),'env Parameter'!H:H,""),"")</f>
        <v>생물상 조사</v>
      </c>
      <c r="C1491" s="10" cm="1">
        <f t="array" ref="C1491">IFERROR(_xlfn.XLOOKUP(1,('env Parameter'!$A:$A=$A1491)*('env Parameter'!$B:$B=$K1491)*('env Parameter'!$C:$C=$L1491),'env Parameter'!E:E,""),"")</f>
        <v>2.14</v>
      </c>
      <c r="D1491" s="10" cm="1">
        <f t="array" ref="D1491">IFERROR(_xlfn.XLOOKUP(1,('env Parameter'!$A:$A=$A1491)*('env Parameter'!$B:$B=$K1491)*('env Parameter'!$C:$C=$L1491),'env Parameter'!F:F,""),"")</f>
        <v>478</v>
      </c>
      <c r="E1491" s="10" cm="1">
        <f t="array" ref="E1491">IFERROR(_xlfn.XLOOKUP(1,('env Parameter'!$A:$A=$A1491)*('env Parameter'!$B:$B=$K1491)*('env Parameter'!$C:$C=$L1491),'env Parameter'!G:G,""),"")</f>
        <v>7.6</v>
      </c>
      <c r="F1491" t="str">
        <f>eDNA!F1491</f>
        <v>MiFish</v>
      </c>
      <c r="G1491" t="str">
        <f>eDNA!D1491</f>
        <v>Rhinogobius sp.</v>
      </c>
      <c r="H1491" t="str">
        <f>_xlfn.XLOOKUP(G1491,'Common name (master file)'!$B:$B,'Common name (master file)'!$A:$A,"-------------")</f>
        <v>밀어</v>
      </c>
      <c r="I1491">
        <f>eDNA!E1491</f>
        <v>13</v>
      </c>
      <c r="J1491" t="str">
        <f>_xlfn.XLOOKUP(G1491,'Common name (master file)'!$B:$B,'Common name (master file)'!$C:$C,"")</f>
        <v>어류</v>
      </c>
      <c r="K1491">
        <f>eDNA!B1491</f>
        <v>126.8663749</v>
      </c>
      <c r="L1491">
        <f>eDNA!C1491</f>
        <v>37.492704799999998</v>
      </c>
      <c r="M1491" s="10" t="str" cm="1">
        <f t="array" ref="M1491">IFERROR(_xlfn.XLOOKUP(1,('env Parameter'!$A:$A=$A1491)*('env Parameter'!$B:$B=$K1491)*('env Parameter'!$C:$C=$L1491),'env Parameter'!D:D,""),"")</f>
        <v>안양천-22</v>
      </c>
      <c r="N1491" s="10" t="str" cm="1">
        <f t="array" ref="N1491">IFERROR(_xlfn.XLOOKUP(1,('env Parameter'!$A:$A=$A1491)*('env Parameter'!$B:$B=$K1491)*('env Parameter'!$C:$C=$L1491),'env Parameter'!I:I,""),"")</f>
        <v>YR</v>
      </c>
    </row>
    <row r="1492" spans="1:14">
      <c r="A1492">
        <f>eDNA!A1492</f>
        <v>20201024</v>
      </c>
      <c r="B1492" s="10" t="str" cm="1">
        <f t="array" ref="B1492">IFERROR(_xlfn.XLOOKUP(1,('env Parameter'!$A:$A=$A1492)*('env Parameter'!$B:$B=$K1492)*('env Parameter'!$C:$C=$L1492),'env Parameter'!H:H,""),"")</f>
        <v>생물상 조사</v>
      </c>
      <c r="C1492" s="10" cm="1">
        <f t="array" ref="C1492">IFERROR(_xlfn.XLOOKUP(1,('env Parameter'!$A:$A=$A1492)*('env Parameter'!$B:$B=$K1492)*('env Parameter'!$C:$C=$L1492),'env Parameter'!E:E,""),"")</f>
        <v>2.14</v>
      </c>
      <c r="D1492" s="10" cm="1">
        <f t="array" ref="D1492">IFERROR(_xlfn.XLOOKUP(1,('env Parameter'!$A:$A=$A1492)*('env Parameter'!$B:$B=$K1492)*('env Parameter'!$C:$C=$L1492),'env Parameter'!F:F,""),"")</f>
        <v>478</v>
      </c>
      <c r="E1492" s="10" cm="1">
        <f t="array" ref="E1492">IFERROR(_xlfn.XLOOKUP(1,('env Parameter'!$A:$A=$A1492)*('env Parameter'!$B:$B=$K1492)*('env Parameter'!$C:$C=$L1492),'env Parameter'!G:G,""),"")</f>
        <v>7.6</v>
      </c>
      <c r="F1492" t="str">
        <f>eDNA!F1492</f>
        <v>MiFish</v>
      </c>
      <c r="G1492" t="str">
        <f>eDNA!D1492</f>
        <v>Rattus norvegicus</v>
      </c>
      <c r="H1492" t="str">
        <f>_xlfn.XLOOKUP(G1492,'Common name (master file)'!$B:$B,'Common name (master file)'!$A:$A,"-------------")</f>
        <v>시궁쥐</v>
      </c>
      <c r="I1492">
        <f>eDNA!E1492</f>
        <v>31</v>
      </c>
      <c r="J1492" t="str">
        <f>_xlfn.XLOOKUP(G1492,'Common name (master file)'!$B:$B,'Common name (master file)'!$C:$C,"")</f>
        <v>포유류</v>
      </c>
      <c r="K1492">
        <f>eDNA!B1492</f>
        <v>126.8663749</v>
      </c>
      <c r="L1492">
        <f>eDNA!C1492</f>
        <v>37.492704799999998</v>
      </c>
      <c r="M1492" s="10" t="str" cm="1">
        <f t="array" ref="M1492">IFERROR(_xlfn.XLOOKUP(1,('env Parameter'!$A:$A=$A1492)*('env Parameter'!$B:$B=$K1492)*('env Parameter'!$C:$C=$L1492),'env Parameter'!D:D,""),"")</f>
        <v>안양천-22</v>
      </c>
      <c r="N1492" s="10" t="str" cm="1">
        <f t="array" ref="N1492">IFERROR(_xlfn.XLOOKUP(1,('env Parameter'!$A:$A=$A1492)*('env Parameter'!$B:$B=$K1492)*('env Parameter'!$C:$C=$L1492),'env Parameter'!I:I,""),"")</f>
        <v>YR</v>
      </c>
    </row>
    <row r="1493" spans="1:14">
      <c r="A1493">
        <f>eDNA!A1493</f>
        <v>20201024</v>
      </c>
      <c r="B1493" s="10" t="str" cm="1">
        <f t="array" ref="B1493">IFERROR(_xlfn.XLOOKUP(1,('env Parameter'!$A:$A=$A1493)*('env Parameter'!$B:$B=$K1493)*('env Parameter'!$C:$C=$L1493),'env Parameter'!H:H,""),"")</f>
        <v>생물상 조사</v>
      </c>
      <c r="C1493" s="10" cm="1">
        <f t="array" ref="C1493">IFERROR(_xlfn.XLOOKUP(1,('env Parameter'!$A:$A=$A1493)*('env Parameter'!$B:$B=$K1493)*('env Parameter'!$C:$C=$L1493),'env Parameter'!E:E,""),"")</f>
        <v>2.14</v>
      </c>
      <c r="D1493" s="10" cm="1">
        <f t="array" ref="D1493">IFERROR(_xlfn.XLOOKUP(1,('env Parameter'!$A:$A=$A1493)*('env Parameter'!$B:$B=$K1493)*('env Parameter'!$C:$C=$L1493),'env Parameter'!F:F,""),"")</f>
        <v>478</v>
      </c>
      <c r="E1493" s="10" cm="1">
        <f t="array" ref="E1493">IFERROR(_xlfn.XLOOKUP(1,('env Parameter'!$A:$A=$A1493)*('env Parameter'!$B:$B=$K1493)*('env Parameter'!$C:$C=$L1493),'env Parameter'!G:G,""),"")</f>
        <v>7.6</v>
      </c>
      <c r="F1493" t="str">
        <f>eDNA!F1493</f>
        <v>MiFish</v>
      </c>
      <c r="G1493" t="str">
        <f>eDNA!D1493</f>
        <v>Carassius auratus</v>
      </c>
      <c r="H1493" t="str">
        <f>_xlfn.XLOOKUP(G1493,'Common name (master file)'!$B:$B,'Common name (master file)'!$A:$A,"-------------")</f>
        <v>붕어</v>
      </c>
      <c r="I1493">
        <f>eDNA!E1493</f>
        <v>21</v>
      </c>
      <c r="J1493" t="str">
        <f>_xlfn.XLOOKUP(G1493,'Common name (master file)'!$B:$B,'Common name (master file)'!$C:$C,"")</f>
        <v>어류</v>
      </c>
      <c r="K1493">
        <f>eDNA!B1493</f>
        <v>126.8663749</v>
      </c>
      <c r="L1493">
        <f>eDNA!C1493</f>
        <v>37.492704799999998</v>
      </c>
      <c r="M1493" s="10" t="str" cm="1">
        <f t="array" ref="M1493">IFERROR(_xlfn.XLOOKUP(1,('env Parameter'!$A:$A=$A1493)*('env Parameter'!$B:$B=$K1493)*('env Parameter'!$C:$C=$L1493),'env Parameter'!D:D,""),"")</f>
        <v>안양천-22</v>
      </c>
      <c r="N1493" s="10" t="str" cm="1">
        <f t="array" ref="N1493">IFERROR(_xlfn.XLOOKUP(1,('env Parameter'!$A:$A=$A1493)*('env Parameter'!$B:$B=$K1493)*('env Parameter'!$C:$C=$L1493),'env Parameter'!I:I,""),"")</f>
        <v>YR</v>
      </c>
    </row>
    <row r="1494" spans="1:14">
      <c r="A1494">
        <f>eDNA!A1494</f>
        <v>20201024</v>
      </c>
      <c r="B1494" s="10" t="str" cm="1">
        <f t="array" ref="B1494">IFERROR(_xlfn.XLOOKUP(1,('env Parameter'!$A:$A=$A1494)*('env Parameter'!$B:$B=$K1494)*('env Parameter'!$C:$C=$L1494),'env Parameter'!H:H,""),"")</f>
        <v>생물상 조사</v>
      </c>
      <c r="C1494" s="10" cm="1">
        <f t="array" ref="C1494">IFERROR(_xlfn.XLOOKUP(1,('env Parameter'!$A:$A=$A1494)*('env Parameter'!$B:$B=$K1494)*('env Parameter'!$C:$C=$L1494),'env Parameter'!E:E,""),"")</f>
        <v>2.14</v>
      </c>
      <c r="D1494" s="10" cm="1">
        <f t="array" ref="D1494">IFERROR(_xlfn.XLOOKUP(1,('env Parameter'!$A:$A=$A1494)*('env Parameter'!$B:$B=$K1494)*('env Parameter'!$C:$C=$L1494),'env Parameter'!F:F,""),"")</f>
        <v>478</v>
      </c>
      <c r="E1494" s="10" cm="1">
        <f t="array" ref="E1494">IFERROR(_xlfn.XLOOKUP(1,('env Parameter'!$A:$A=$A1494)*('env Parameter'!$B:$B=$K1494)*('env Parameter'!$C:$C=$L1494),'env Parameter'!G:G,""),"")</f>
        <v>7.6</v>
      </c>
      <c r="F1494" t="str">
        <f>eDNA!F1494</f>
        <v>MiFish</v>
      </c>
      <c r="G1494" t="str">
        <f>eDNA!D1494</f>
        <v>Homo sapiens</v>
      </c>
      <c r="H1494" t="str">
        <f>_xlfn.XLOOKUP(G1494,'Common name (master file)'!$B:$B,'Common name (master file)'!$A:$A,"-------------")</f>
        <v>사람</v>
      </c>
      <c r="I1494">
        <f>eDNA!E1494</f>
        <v>21</v>
      </c>
      <c r="J1494" t="str">
        <f>_xlfn.XLOOKUP(G1494,'Common name (master file)'!$B:$B,'Common name (master file)'!$C:$C,"")</f>
        <v>포유류</v>
      </c>
      <c r="K1494">
        <f>eDNA!B1494</f>
        <v>126.8663749</v>
      </c>
      <c r="L1494">
        <f>eDNA!C1494</f>
        <v>37.492704799999998</v>
      </c>
      <c r="M1494" s="10" t="str" cm="1">
        <f t="array" ref="M1494">IFERROR(_xlfn.XLOOKUP(1,('env Parameter'!$A:$A=$A1494)*('env Parameter'!$B:$B=$K1494)*('env Parameter'!$C:$C=$L1494),'env Parameter'!D:D,""),"")</f>
        <v>안양천-22</v>
      </c>
      <c r="N1494" s="10" t="str" cm="1">
        <f t="array" ref="N1494">IFERROR(_xlfn.XLOOKUP(1,('env Parameter'!$A:$A=$A1494)*('env Parameter'!$B:$B=$K1494)*('env Parameter'!$C:$C=$L1494),'env Parameter'!I:I,""),"")</f>
        <v>YR</v>
      </c>
    </row>
    <row r="1495" spans="1:14">
      <c r="A1495">
        <f>eDNA!A1495</f>
        <v>20201024</v>
      </c>
      <c r="B1495" s="10" t="str" cm="1">
        <f t="array" ref="B1495">IFERROR(_xlfn.XLOOKUP(1,('env Parameter'!$A:$A=$A1495)*('env Parameter'!$B:$B=$K1495)*('env Parameter'!$C:$C=$L1495),'env Parameter'!H:H,""),"")</f>
        <v>생물상 조사</v>
      </c>
      <c r="C1495" s="10" cm="1">
        <f t="array" ref="C1495">IFERROR(_xlfn.XLOOKUP(1,('env Parameter'!$A:$A=$A1495)*('env Parameter'!$B:$B=$K1495)*('env Parameter'!$C:$C=$L1495),'env Parameter'!E:E,""),"")</f>
        <v>2.14</v>
      </c>
      <c r="D1495" s="10" cm="1">
        <f t="array" ref="D1495">IFERROR(_xlfn.XLOOKUP(1,('env Parameter'!$A:$A=$A1495)*('env Parameter'!$B:$B=$K1495)*('env Parameter'!$C:$C=$L1495),'env Parameter'!F:F,""),"")</f>
        <v>478</v>
      </c>
      <c r="E1495" s="10" cm="1">
        <f t="array" ref="E1495">IFERROR(_xlfn.XLOOKUP(1,('env Parameter'!$A:$A=$A1495)*('env Parameter'!$B:$B=$K1495)*('env Parameter'!$C:$C=$L1495),'env Parameter'!G:G,""),"")</f>
        <v>7.6</v>
      </c>
      <c r="F1495" t="str">
        <f>eDNA!F1495</f>
        <v>MiFish</v>
      </c>
      <c r="G1495" t="str">
        <f>eDNA!D1495</f>
        <v>Tadorna tadorna</v>
      </c>
      <c r="H1495" t="str">
        <f>_xlfn.XLOOKUP(G1495,'Common name (master file)'!$B:$B,'Common name (master file)'!$A:$A,"-------------")</f>
        <v>혹부리오리</v>
      </c>
      <c r="I1495">
        <f>eDNA!E1495</f>
        <v>23</v>
      </c>
      <c r="J1495" t="str">
        <f>_xlfn.XLOOKUP(G1495,'Common name (master file)'!$B:$B,'Common name (master file)'!$C:$C,"")</f>
        <v>조류</v>
      </c>
      <c r="K1495">
        <f>eDNA!B1495</f>
        <v>126.8663749</v>
      </c>
      <c r="L1495">
        <f>eDNA!C1495</f>
        <v>37.492704799999998</v>
      </c>
      <c r="M1495" s="10" t="str" cm="1">
        <f t="array" ref="M1495">IFERROR(_xlfn.XLOOKUP(1,('env Parameter'!$A:$A=$A1495)*('env Parameter'!$B:$B=$K1495)*('env Parameter'!$C:$C=$L1495),'env Parameter'!D:D,""),"")</f>
        <v>안양천-22</v>
      </c>
      <c r="N1495" s="10" t="str" cm="1">
        <f t="array" ref="N1495">IFERROR(_xlfn.XLOOKUP(1,('env Parameter'!$A:$A=$A1495)*('env Parameter'!$B:$B=$K1495)*('env Parameter'!$C:$C=$L1495),'env Parameter'!I:I,""),"")</f>
        <v>YR</v>
      </c>
    </row>
    <row r="1496" spans="1:14">
      <c r="A1496">
        <f>eDNA!A1496</f>
        <v>20201024</v>
      </c>
      <c r="B1496" s="10" t="str" cm="1">
        <f t="array" ref="B1496">IFERROR(_xlfn.XLOOKUP(1,('env Parameter'!$A:$A=$A1496)*('env Parameter'!$B:$B=$K1496)*('env Parameter'!$C:$C=$L1496),'env Parameter'!H:H,""),"")</f>
        <v>생물상 조사</v>
      </c>
      <c r="C1496" s="10" cm="1">
        <f t="array" ref="C1496">IFERROR(_xlfn.XLOOKUP(1,('env Parameter'!$A:$A=$A1496)*('env Parameter'!$B:$B=$K1496)*('env Parameter'!$C:$C=$L1496),'env Parameter'!E:E,""),"")</f>
        <v>2.14</v>
      </c>
      <c r="D1496" s="10" cm="1">
        <f t="array" ref="D1496">IFERROR(_xlfn.XLOOKUP(1,('env Parameter'!$A:$A=$A1496)*('env Parameter'!$B:$B=$K1496)*('env Parameter'!$C:$C=$L1496),'env Parameter'!F:F,""),"")</f>
        <v>478</v>
      </c>
      <c r="E1496" s="10" cm="1">
        <f t="array" ref="E1496">IFERROR(_xlfn.XLOOKUP(1,('env Parameter'!$A:$A=$A1496)*('env Parameter'!$B:$B=$K1496)*('env Parameter'!$C:$C=$L1496),'env Parameter'!G:G,""),"")</f>
        <v>7.6</v>
      </c>
      <c r="F1496" t="str">
        <f>eDNA!F1496</f>
        <v>MiFish</v>
      </c>
      <c r="G1496" t="str">
        <f>eDNA!D1496</f>
        <v>Cyprinus megalophthalmus</v>
      </c>
      <c r="H1496" t="str">
        <f>_xlfn.XLOOKUP(G1496,'Common name (master file)'!$B:$B,'Common name (master file)'!$A:$A,"-------------")</f>
        <v>큰눈잉어</v>
      </c>
      <c r="I1496">
        <f>eDNA!E1496</f>
        <v>46</v>
      </c>
      <c r="J1496" t="str">
        <f>_xlfn.XLOOKUP(G1496,'Common name (master file)'!$B:$B,'Common name (master file)'!$C:$C,"")</f>
        <v>어류</v>
      </c>
      <c r="K1496">
        <f>eDNA!B1496</f>
        <v>126.8663749</v>
      </c>
      <c r="L1496">
        <f>eDNA!C1496</f>
        <v>37.492704799999998</v>
      </c>
      <c r="M1496" s="10" t="str" cm="1">
        <f t="array" ref="M1496">IFERROR(_xlfn.XLOOKUP(1,('env Parameter'!$A:$A=$A1496)*('env Parameter'!$B:$B=$K1496)*('env Parameter'!$C:$C=$L1496),'env Parameter'!D:D,""),"")</f>
        <v>안양천-22</v>
      </c>
      <c r="N1496" s="10" t="str" cm="1">
        <f t="array" ref="N1496">IFERROR(_xlfn.XLOOKUP(1,('env Parameter'!$A:$A=$A1496)*('env Parameter'!$B:$B=$K1496)*('env Parameter'!$C:$C=$L1496),'env Parameter'!I:I,""),"")</f>
        <v>YR</v>
      </c>
    </row>
    <row r="1497" spans="1:14">
      <c r="A1497">
        <f>eDNA!A1497</f>
        <v>20201024</v>
      </c>
      <c r="B1497" s="10" t="str" cm="1">
        <f t="array" ref="B1497">IFERROR(_xlfn.XLOOKUP(1,('env Parameter'!$A:$A=$A1497)*('env Parameter'!$B:$B=$K1497)*('env Parameter'!$C:$C=$L1497),'env Parameter'!H:H,""),"")</f>
        <v>생물상 조사</v>
      </c>
      <c r="C1497" s="10" cm="1">
        <f t="array" ref="C1497">IFERROR(_xlfn.XLOOKUP(1,('env Parameter'!$A:$A=$A1497)*('env Parameter'!$B:$B=$K1497)*('env Parameter'!$C:$C=$L1497),'env Parameter'!E:E,""),"")</f>
        <v>2.14</v>
      </c>
      <c r="D1497" s="10" cm="1">
        <f t="array" ref="D1497">IFERROR(_xlfn.XLOOKUP(1,('env Parameter'!$A:$A=$A1497)*('env Parameter'!$B:$B=$K1497)*('env Parameter'!$C:$C=$L1497),'env Parameter'!F:F,""),"")</f>
        <v>478</v>
      </c>
      <c r="E1497" s="10" cm="1">
        <f t="array" ref="E1497">IFERROR(_xlfn.XLOOKUP(1,('env Parameter'!$A:$A=$A1497)*('env Parameter'!$B:$B=$K1497)*('env Parameter'!$C:$C=$L1497),'env Parameter'!G:G,""),"")</f>
        <v>7.6</v>
      </c>
      <c r="F1497" t="str">
        <f>eDNA!F1497</f>
        <v>MiFish</v>
      </c>
      <c r="G1497" t="str">
        <f>eDNA!D1497</f>
        <v>Pelodiscus sinensis</v>
      </c>
      <c r="H1497" t="str">
        <f>_xlfn.XLOOKUP(G1497,'Common name (master file)'!$B:$B,'Common name (master file)'!$A:$A,"-------------")</f>
        <v>중국자라</v>
      </c>
      <c r="I1497">
        <f>eDNA!E1497</f>
        <v>61</v>
      </c>
      <c r="J1497" t="str">
        <f>_xlfn.XLOOKUP(G1497,'Common name (master file)'!$B:$B,'Common name (master file)'!$C:$C,"")</f>
        <v>양서파충류</v>
      </c>
      <c r="K1497">
        <f>eDNA!B1497</f>
        <v>126.8663749</v>
      </c>
      <c r="L1497">
        <f>eDNA!C1497</f>
        <v>37.492704799999998</v>
      </c>
      <c r="M1497" s="10" t="str" cm="1">
        <f t="array" ref="M1497">IFERROR(_xlfn.XLOOKUP(1,('env Parameter'!$A:$A=$A1497)*('env Parameter'!$B:$B=$K1497)*('env Parameter'!$C:$C=$L1497),'env Parameter'!D:D,""),"")</f>
        <v>안양천-22</v>
      </c>
      <c r="N1497" s="10" t="str" cm="1">
        <f t="array" ref="N1497">IFERROR(_xlfn.XLOOKUP(1,('env Parameter'!$A:$A=$A1497)*('env Parameter'!$B:$B=$K1497)*('env Parameter'!$C:$C=$L1497),'env Parameter'!I:I,""),"")</f>
        <v>YR</v>
      </c>
    </row>
    <row r="1498" spans="1:14">
      <c r="A1498">
        <f>eDNA!A1498</f>
        <v>20201024</v>
      </c>
      <c r="B1498" s="10" t="str" cm="1">
        <f t="array" ref="B1498">IFERROR(_xlfn.XLOOKUP(1,('env Parameter'!$A:$A=$A1498)*('env Parameter'!$B:$B=$K1498)*('env Parameter'!$C:$C=$L1498),'env Parameter'!H:H,""),"")</f>
        <v>생물상 조사</v>
      </c>
      <c r="C1498" s="10" cm="1">
        <f t="array" ref="C1498">IFERROR(_xlfn.XLOOKUP(1,('env Parameter'!$A:$A=$A1498)*('env Parameter'!$B:$B=$K1498)*('env Parameter'!$C:$C=$L1498),'env Parameter'!E:E,""),"")</f>
        <v>2.14</v>
      </c>
      <c r="D1498" s="10" cm="1">
        <f t="array" ref="D1498">IFERROR(_xlfn.XLOOKUP(1,('env Parameter'!$A:$A=$A1498)*('env Parameter'!$B:$B=$K1498)*('env Parameter'!$C:$C=$L1498),'env Parameter'!F:F,""),"")</f>
        <v>478</v>
      </c>
      <c r="E1498" s="10" cm="1">
        <f t="array" ref="E1498">IFERROR(_xlfn.XLOOKUP(1,('env Parameter'!$A:$A=$A1498)*('env Parameter'!$B:$B=$K1498)*('env Parameter'!$C:$C=$L1498),'env Parameter'!G:G,""),"")</f>
        <v>7.6</v>
      </c>
      <c r="F1498" t="str">
        <f>eDNA!F1498</f>
        <v>MiFish</v>
      </c>
      <c r="G1498" t="str">
        <f>eDNA!D1498</f>
        <v>Pagrus major</v>
      </c>
      <c r="H1498" t="str">
        <f>_xlfn.XLOOKUP(G1498,'Common name (master file)'!$B:$B,'Common name (master file)'!$A:$A,"-------------")</f>
        <v>참돔</v>
      </c>
      <c r="I1498">
        <f>eDNA!E1498</f>
        <v>66</v>
      </c>
      <c r="J1498" t="str">
        <f>_xlfn.XLOOKUP(G1498,'Common name (master file)'!$B:$B,'Common name (master file)'!$C:$C,"")</f>
        <v>어류</v>
      </c>
      <c r="K1498">
        <f>eDNA!B1498</f>
        <v>126.8663749</v>
      </c>
      <c r="L1498">
        <f>eDNA!C1498</f>
        <v>37.492704799999998</v>
      </c>
      <c r="M1498" s="10" t="str" cm="1">
        <f t="array" ref="M1498">IFERROR(_xlfn.XLOOKUP(1,('env Parameter'!$A:$A=$A1498)*('env Parameter'!$B:$B=$K1498)*('env Parameter'!$C:$C=$L1498),'env Parameter'!D:D,""),"")</f>
        <v>안양천-22</v>
      </c>
      <c r="N1498" s="10" t="str" cm="1">
        <f t="array" ref="N1498">IFERROR(_xlfn.XLOOKUP(1,('env Parameter'!$A:$A=$A1498)*('env Parameter'!$B:$B=$K1498)*('env Parameter'!$C:$C=$L1498),'env Parameter'!I:I,""),"")</f>
        <v>YR</v>
      </c>
    </row>
    <row r="1499" spans="1:14">
      <c r="A1499">
        <f>eDNA!A1499</f>
        <v>20201024</v>
      </c>
      <c r="B1499" s="10" t="str" cm="1">
        <f t="array" ref="B1499">IFERROR(_xlfn.XLOOKUP(1,('env Parameter'!$A:$A=$A1499)*('env Parameter'!$B:$B=$K1499)*('env Parameter'!$C:$C=$L1499),'env Parameter'!H:H,""),"")</f>
        <v>생물상 조사</v>
      </c>
      <c r="C1499" s="10" cm="1">
        <f t="array" ref="C1499">IFERROR(_xlfn.XLOOKUP(1,('env Parameter'!$A:$A=$A1499)*('env Parameter'!$B:$B=$K1499)*('env Parameter'!$C:$C=$L1499),'env Parameter'!E:E,""),"")</f>
        <v>2.14</v>
      </c>
      <c r="D1499" s="10" cm="1">
        <f t="array" ref="D1499">IFERROR(_xlfn.XLOOKUP(1,('env Parameter'!$A:$A=$A1499)*('env Parameter'!$B:$B=$K1499)*('env Parameter'!$C:$C=$L1499),'env Parameter'!F:F,""),"")</f>
        <v>478</v>
      </c>
      <c r="E1499" s="10" cm="1">
        <f t="array" ref="E1499">IFERROR(_xlfn.XLOOKUP(1,('env Parameter'!$A:$A=$A1499)*('env Parameter'!$B:$B=$K1499)*('env Parameter'!$C:$C=$L1499),'env Parameter'!G:G,""),"")</f>
        <v>7.6</v>
      </c>
      <c r="F1499" t="str">
        <f>eDNA!F1499</f>
        <v>MiFish</v>
      </c>
      <c r="G1499" t="str">
        <f>eDNA!D1499</f>
        <v>Sarcocheilichthys nigripinnis</v>
      </c>
      <c r="H1499" t="str">
        <f>_xlfn.XLOOKUP(G1499,'Common name (master file)'!$B:$B,'Common name (master file)'!$A:$A,"-------------")</f>
        <v>중고기</v>
      </c>
      <c r="I1499">
        <f>eDNA!E1499</f>
        <v>72</v>
      </c>
      <c r="J1499" t="str">
        <f>_xlfn.XLOOKUP(G1499,'Common name (master file)'!$B:$B,'Common name (master file)'!$C:$C,"")</f>
        <v>어류</v>
      </c>
      <c r="K1499">
        <f>eDNA!B1499</f>
        <v>126.8663749</v>
      </c>
      <c r="L1499">
        <f>eDNA!C1499</f>
        <v>37.492704799999998</v>
      </c>
      <c r="M1499" s="10" t="str" cm="1">
        <f t="array" ref="M1499">IFERROR(_xlfn.XLOOKUP(1,('env Parameter'!$A:$A=$A1499)*('env Parameter'!$B:$B=$K1499)*('env Parameter'!$C:$C=$L1499),'env Parameter'!D:D,""),"")</f>
        <v>안양천-22</v>
      </c>
      <c r="N1499" s="10" t="str" cm="1">
        <f t="array" ref="N1499">IFERROR(_xlfn.XLOOKUP(1,('env Parameter'!$A:$A=$A1499)*('env Parameter'!$B:$B=$K1499)*('env Parameter'!$C:$C=$L1499),'env Parameter'!I:I,""),"")</f>
        <v>YR</v>
      </c>
    </row>
    <row r="1500" spans="1:14">
      <c r="A1500">
        <f>eDNA!A1500</f>
        <v>20201024</v>
      </c>
      <c r="B1500" s="10" t="str" cm="1">
        <f t="array" ref="B1500">IFERROR(_xlfn.XLOOKUP(1,('env Parameter'!$A:$A=$A1500)*('env Parameter'!$B:$B=$K1500)*('env Parameter'!$C:$C=$L1500),'env Parameter'!H:H,""),"")</f>
        <v>생물상 조사</v>
      </c>
      <c r="C1500" s="10" cm="1">
        <f t="array" ref="C1500">IFERROR(_xlfn.XLOOKUP(1,('env Parameter'!$A:$A=$A1500)*('env Parameter'!$B:$B=$K1500)*('env Parameter'!$C:$C=$L1500),'env Parameter'!E:E,""),"")</f>
        <v>2.14</v>
      </c>
      <c r="D1500" s="10" cm="1">
        <f t="array" ref="D1500">IFERROR(_xlfn.XLOOKUP(1,('env Parameter'!$A:$A=$A1500)*('env Parameter'!$B:$B=$K1500)*('env Parameter'!$C:$C=$L1500),'env Parameter'!F:F,""),"")</f>
        <v>478</v>
      </c>
      <c r="E1500" s="10" cm="1">
        <f t="array" ref="E1500">IFERROR(_xlfn.XLOOKUP(1,('env Parameter'!$A:$A=$A1500)*('env Parameter'!$B:$B=$K1500)*('env Parameter'!$C:$C=$L1500),'env Parameter'!G:G,""),"")</f>
        <v>7.6</v>
      </c>
      <c r="F1500" t="str">
        <f>eDNA!F1500</f>
        <v>MiFish</v>
      </c>
      <c r="G1500" t="str">
        <f>eDNA!D1500</f>
        <v>Bos taurus</v>
      </c>
      <c r="H1500" t="str">
        <f>_xlfn.XLOOKUP(G1500,'Common name (master file)'!$B:$B,'Common name (master file)'!$A:$A,"-------------")</f>
        <v>소</v>
      </c>
      <c r="I1500">
        <f>eDNA!E1500</f>
        <v>176</v>
      </c>
      <c r="J1500" t="str">
        <f>_xlfn.XLOOKUP(G1500,'Common name (master file)'!$B:$B,'Common name (master file)'!$C:$C,"")</f>
        <v>포유류</v>
      </c>
      <c r="K1500">
        <f>eDNA!B1500</f>
        <v>126.8663749</v>
      </c>
      <c r="L1500">
        <f>eDNA!C1500</f>
        <v>37.492704799999998</v>
      </c>
      <c r="M1500" s="10" t="str" cm="1">
        <f t="array" ref="M1500">IFERROR(_xlfn.XLOOKUP(1,('env Parameter'!$A:$A=$A1500)*('env Parameter'!$B:$B=$K1500)*('env Parameter'!$C:$C=$L1500),'env Parameter'!D:D,""),"")</f>
        <v>안양천-22</v>
      </c>
      <c r="N1500" s="10" t="str" cm="1">
        <f t="array" ref="N1500">IFERROR(_xlfn.XLOOKUP(1,('env Parameter'!$A:$A=$A1500)*('env Parameter'!$B:$B=$K1500)*('env Parameter'!$C:$C=$L1500),'env Parameter'!I:I,""),"")</f>
        <v>YR</v>
      </c>
    </row>
    <row r="1501" spans="1:14">
      <c r="A1501">
        <f>eDNA!A1501</f>
        <v>20201024</v>
      </c>
      <c r="B1501" s="10" t="str" cm="1">
        <f t="array" ref="B1501">IFERROR(_xlfn.XLOOKUP(1,('env Parameter'!$A:$A=$A1501)*('env Parameter'!$B:$B=$K1501)*('env Parameter'!$C:$C=$L1501),'env Parameter'!H:H,""),"")</f>
        <v>생물상 조사</v>
      </c>
      <c r="C1501" s="10" cm="1">
        <f t="array" ref="C1501">IFERROR(_xlfn.XLOOKUP(1,('env Parameter'!$A:$A=$A1501)*('env Parameter'!$B:$B=$K1501)*('env Parameter'!$C:$C=$L1501),'env Parameter'!E:E,""),"")</f>
        <v>2.14</v>
      </c>
      <c r="D1501" s="10" cm="1">
        <f t="array" ref="D1501">IFERROR(_xlfn.XLOOKUP(1,('env Parameter'!$A:$A=$A1501)*('env Parameter'!$B:$B=$K1501)*('env Parameter'!$C:$C=$L1501),'env Parameter'!F:F,""),"")</f>
        <v>478</v>
      </c>
      <c r="E1501" s="10" cm="1">
        <f t="array" ref="E1501">IFERROR(_xlfn.XLOOKUP(1,('env Parameter'!$A:$A=$A1501)*('env Parameter'!$B:$B=$K1501)*('env Parameter'!$C:$C=$L1501),'env Parameter'!G:G,""),"")</f>
        <v>7.6</v>
      </c>
      <c r="F1501" t="str">
        <f>eDNA!F1501</f>
        <v>MiFish</v>
      </c>
      <c r="G1501" t="str">
        <f>eDNA!D1501</f>
        <v>Theragra chalcogramma</v>
      </c>
      <c r="H1501" t="str">
        <f>_xlfn.XLOOKUP(G1501,'Common name (master file)'!$B:$B,'Common name (master file)'!$A:$A,"-------------")</f>
        <v>명태</v>
      </c>
      <c r="I1501">
        <f>eDNA!E1501</f>
        <v>83</v>
      </c>
      <c r="J1501" t="str">
        <f>_xlfn.XLOOKUP(G1501,'Common name (master file)'!$B:$B,'Common name (master file)'!$C:$C,"")</f>
        <v>어류</v>
      </c>
      <c r="K1501">
        <f>eDNA!B1501</f>
        <v>126.8663749</v>
      </c>
      <c r="L1501">
        <f>eDNA!C1501</f>
        <v>37.492704799999998</v>
      </c>
      <c r="M1501" s="10" t="str" cm="1">
        <f t="array" ref="M1501">IFERROR(_xlfn.XLOOKUP(1,('env Parameter'!$A:$A=$A1501)*('env Parameter'!$B:$B=$K1501)*('env Parameter'!$C:$C=$L1501),'env Parameter'!D:D,""),"")</f>
        <v>안양천-22</v>
      </c>
      <c r="N1501" s="10" t="str" cm="1">
        <f t="array" ref="N1501">IFERROR(_xlfn.XLOOKUP(1,('env Parameter'!$A:$A=$A1501)*('env Parameter'!$B:$B=$K1501)*('env Parameter'!$C:$C=$L1501),'env Parameter'!I:I,""),"")</f>
        <v>YR</v>
      </c>
    </row>
    <row r="1502" spans="1:14">
      <c r="A1502">
        <f>eDNA!A1502</f>
        <v>20201024</v>
      </c>
      <c r="B1502" s="10" t="str" cm="1">
        <f t="array" ref="B1502">IFERROR(_xlfn.XLOOKUP(1,('env Parameter'!$A:$A=$A1502)*('env Parameter'!$B:$B=$K1502)*('env Parameter'!$C:$C=$L1502),'env Parameter'!H:H,""),"")</f>
        <v>생물상 조사</v>
      </c>
      <c r="C1502" s="10" cm="1">
        <f t="array" ref="C1502">IFERROR(_xlfn.XLOOKUP(1,('env Parameter'!$A:$A=$A1502)*('env Parameter'!$B:$B=$K1502)*('env Parameter'!$C:$C=$L1502),'env Parameter'!E:E,""),"")</f>
        <v>2.14</v>
      </c>
      <c r="D1502" s="10" cm="1">
        <f t="array" ref="D1502">IFERROR(_xlfn.XLOOKUP(1,('env Parameter'!$A:$A=$A1502)*('env Parameter'!$B:$B=$K1502)*('env Parameter'!$C:$C=$L1502),'env Parameter'!F:F,""),"")</f>
        <v>478</v>
      </c>
      <c r="E1502" s="10" cm="1">
        <f t="array" ref="E1502">IFERROR(_xlfn.XLOOKUP(1,('env Parameter'!$A:$A=$A1502)*('env Parameter'!$B:$B=$K1502)*('env Parameter'!$C:$C=$L1502),'env Parameter'!G:G,""),"")</f>
        <v>7.6</v>
      </c>
      <c r="F1502" t="str">
        <f>eDNA!F1502</f>
        <v>MiFish</v>
      </c>
      <c r="G1502" t="str">
        <f>eDNA!D1502</f>
        <v>Culter dabryi</v>
      </c>
      <c r="H1502" t="str">
        <f>_xlfn.XLOOKUP(G1502,'Common name (master file)'!$B:$B,'Common name (master file)'!$A:$A,"-------------")</f>
        <v>다브리날카로운입치</v>
      </c>
      <c r="I1502">
        <f>eDNA!E1502</f>
        <v>91</v>
      </c>
      <c r="J1502" t="str">
        <f>_xlfn.XLOOKUP(G1502,'Common name (master file)'!$B:$B,'Common name (master file)'!$C:$C,"")</f>
        <v>어류</v>
      </c>
      <c r="K1502">
        <f>eDNA!B1502</f>
        <v>126.8663749</v>
      </c>
      <c r="L1502">
        <f>eDNA!C1502</f>
        <v>37.492704799999998</v>
      </c>
      <c r="M1502" s="10" t="str" cm="1">
        <f t="array" ref="M1502">IFERROR(_xlfn.XLOOKUP(1,('env Parameter'!$A:$A=$A1502)*('env Parameter'!$B:$B=$K1502)*('env Parameter'!$C:$C=$L1502),'env Parameter'!D:D,""),"")</f>
        <v>안양천-22</v>
      </c>
      <c r="N1502" s="10" t="str" cm="1">
        <f t="array" ref="N1502">IFERROR(_xlfn.XLOOKUP(1,('env Parameter'!$A:$A=$A1502)*('env Parameter'!$B:$B=$K1502)*('env Parameter'!$C:$C=$L1502),'env Parameter'!I:I,""),"")</f>
        <v>YR</v>
      </c>
    </row>
    <row r="1503" spans="1:14">
      <c r="A1503">
        <f>eDNA!A1503</f>
        <v>20201024</v>
      </c>
      <c r="B1503" s="10" t="str" cm="1">
        <f t="array" ref="B1503">IFERROR(_xlfn.XLOOKUP(1,('env Parameter'!$A:$A=$A1503)*('env Parameter'!$B:$B=$K1503)*('env Parameter'!$C:$C=$L1503),'env Parameter'!H:H,""),"")</f>
        <v>생물상 조사</v>
      </c>
      <c r="C1503" s="10" cm="1">
        <f t="array" ref="C1503">IFERROR(_xlfn.XLOOKUP(1,('env Parameter'!$A:$A=$A1503)*('env Parameter'!$B:$B=$K1503)*('env Parameter'!$C:$C=$L1503),'env Parameter'!E:E,""),"")</f>
        <v>2.14</v>
      </c>
      <c r="D1503" s="10" cm="1">
        <f t="array" ref="D1503">IFERROR(_xlfn.XLOOKUP(1,('env Parameter'!$A:$A=$A1503)*('env Parameter'!$B:$B=$K1503)*('env Parameter'!$C:$C=$L1503),'env Parameter'!F:F,""),"")</f>
        <v>478</v>
      </c>
      <c r="E1503" s="10" cm="1">
        <f t="array" ref="E1503">IFERROR(_xlfn.XLOOKUP(1,('env Parameter'!$A:$A=$A1503)*('env Parameter'!$B:$B=$K1503)*('env Parameter'!$C:$C=$L1503),'env Parameter'!G:G,""),"")</f>
        <v>7.6</v>
      </c>
      <c r="F1503" t="str">
        <f>eDNA!F1503</f>
        <v>MiFish</v>
      </c>
      <c r="G1503" t="str">
        <f>eDNA!D1503</f>
        <v>Acheilognathus lanceolata</v>
      </c>
      <c r="H1503" t="str">
        <f>_xlfn.XLOOKUP(G1503,'Common name (master file)'!$B:$B,'Common name (master file)'!$A:$A,"-------------")</f>
        <v>납자루</v>
      </c>
      <c r="I1503">
        <f>eDNA!E1503</f>
        <v>110</v>
      </c>
      <c r="J1503" t="str">
        <f>_xlfn.XLOOKUP(G1503,'Common name (master file)'!$B:$B,'Common name (master file)'!$C:$C,"")</f>
        <v>어류</v>
      </c>
      <c r="K1503">
        <f>eDNA!B1503</f>
        <v>126.8663749</v>
      </c>
      <c r="L1503">
        <f>eDNA!C1503</f>
        <v>37.492704799999998</v>
      </c>
      <c r="M1503" s="10" t="str" cm="1">
        <f t="array" ref="M1503">IFERROR(_xlfn.XLOOKUP(1,('env Parameter'!$A:$A=$A1503)*('env Parameter'!$B:$B=$K1503)*('env Parameter'!$C:$C=$L1503),'env Parameter'!D:D,""),"")</f>
        <v>안양천-22</v>
      </c>
      <c r="N1503" s="10" t="str" cm="1">
        <f t="array" ref="N1503">IFERROR(_xlfn.XLOOKUP(1,('env Parameter'!$A:$A=$A1503)*('env Parameter'!$B:$B=$K1503)*('env Parameter'!$C:$C=$L1503),'env Parameter'!I:I,""),"")</f>
        <v>YR</v>
      </c>
    </row>
    <row r="1504" spans="1:14">
      <c r="A1504">
        <f>eDNA!A1504</f>
        <v>20201024</v>
      </c>
      <c r="B1504" s="10" t="str" cm="1">
        <f t="array" ref="B1504">IFERROR(_xlfn.XLOOKUP(1,('env Parameter'!$A:$A=$A1504)*('env Parameter'!$B:$B=$K1504)*('env Parameter'!$C:$C=$L1504),'env Parameter'!H:H,""),"")</f>
        <v>생물상 조사</v>
      </c>
      <c r="C1504" s="10" cm="1">
        <f t="array" ref="C1504">IFERROR(_xlfn.XLOOKUP(1,('env Parameter'!$A:$A=$A1504)*('env Parameter'!$B:$B=$K1504)*('env Parameter'!$C:$C=$L1504),'env Parameter'!E:E,""),"")</f>
        <v>2.14</v>
      </c>
      <c r="D1504" s="10" cm="1">
        <f t="array" ref="D1504">IFERROR(_xlfn.XLOOKUP(1,('env Parameter'!$A:$A=$A1504)*('env Parameter'!$B:$B=$K1504)*('env Parameter'!$C:$C=$L1504),'env Parameter'!F:F,""),"")</f>
        <v>478</v>
      </c>
      <c r="E1504" s="10" cm="1">
        <f t="array" ref="E1504">IFERROR(_xlfn.XLOOKUP(1,('env Parameter'!$A:$A=$A1504)*('env Parameter'!$B:$B=$K1504)*('env Parameter'!$C:$C=$L1504),'env Parameter'!G:G,""),"")</f>
        <v>7.6</v>
      </c>
      <c r="F1504" t="str">
        <f>eDNA!F1504</f>
        <v>MiFish</v>
      </c>
      <c r="G1504" t="str">
        <f>eDNA!D1504</f>
        <v>Hemibarbus maculatus</v>
      </c>
      <c r="H1504" t="str">
        <f>_xlfn.XLOOKUP(G1504,'Common name (master file)'!$B:$B,'Common name (master file)'!$A:$A,"-------------")</f>
        <v>알락누치</v>
      </c>
      <c r="I1504">
        <f>eDNA!E1504</f>
        <v>113</v>
      </c>
      <c r="J1504" t="str">
        <f>_xlfn.XLOOKUP(G1504,'Common name (master file)'!$B:$B,'Common name (master file)'!$C:$C,"")</f>
        <v>어류</v>
      </c>
      <c r="K1504">
        <f>eDNA!B1504</f>
        <v>126.8663749</v>
      </c>
      <c r="L1504">
        <f>eDNA!C1504</f>
        <v>37.492704799999998</v>
      </c>
      <c r="M1504" s="10" t="str" cm="1">
        <f t="array" ref="M1504">IFERROR(_xlfn.XLOOKUP(1,('env Parameter'!$A:$A=$A1504)*('env Parameter'!$B:$B=$K1504)*('env Parameter'!$C:$C=$L1504),'env Parameter'!D:D,""),"")</f>
        <v>안양천-22</v>
      </c>
      <c r="N1504" s="10" t="str" cm="1">
        <f t="array" ref="N1504">IFERROR(_xlfn.XLOOKUP(1,('env Parameter'!$A:$A=$A1504)*('env Parameter'!$B:$B=$K1504)*('env Parameter'!$C:$C=$L1504),'env Parameter'!I:I,""),"")</f>
        <v>YR</v>
      </c>
    </row>
    <row r="1505" spans="1:14">
      <c r="A1505">
        <f>eDNA!A1505</f>
        <v>20201024</v>
      </c>
      <c r="B1505" s="10" t="str" cm="1">
        <f t="array" ref="B1505">IFERROR(_xlfn.XLOOKUP(1,('env Parameter'!$A:$A=$A1505)*('env Parameter'!$B:$B=$K1505)*('env Parameter'!$C:$C=$L1505),'env Parameter'!H:H,""),"")</f>
        <v>생물상 조사</v>
      </c>
      <c r="C1505" s="10" cm="1">
        <f t="array" ref="C1505">IFERROR(_xlfn.XLOOKUP(1,('env Parameter'!$A:$A=$A1505)*('env Parameter'!$B:$B=$K1505)*('env Parameter'!$C:$C=$L1505),'env Parameter'!E:E,""),"")</f>
        <v>2.14</v>
      </c>
      <c r="D1505" s="10" cm="1">
        <f t="array" ref="D1505">IFERROR(_xlfn.XLOOKUP(1,('env Parameter'!$A:$A=$A1505)*('env Parameter'!$B:$B=$K1505)*('env Parameter'!$C:$C=$L1505),'env Parameter'!F:F,""),"")</f>
        <v>478</v>
      </c>
      <c r="E1505" s="10" cm="1">
        <f t="array" ref="E1505">IFERROR(_xlfn.XLOOKUP(1,('env Parameter'!$A:$A=$A1505)*('env Parameter'!$B:$B=$K1505)*('env Parameter'!$C:$C=$L1505),'env Parameter'!G:G,""),"")</f>
        <v>7.6</v>
      </c>
      <c r="F1505" t="str">
        <f>eDNA!F1505</f>
        <v>MiFish</v>
      </c>
      <c r="G1505" t="str">
        <f>eDNA!D1505</f>
        <v>Micropercops swinhonis</v>
      </c>
      <c r="H1505" t="str">
        <f>_xlfn.XLOOKUP(G1505,'Common name (master file)'!$B:$B,'Common name (master file)'!$A:$A,"-------------")</f>
        <v>좀구굴치</v>
      </c>
      <c r="I1505">
        <f>eDNA!E1505</f>
        <v>116</v>
      </c>
      <c r="J1505" t="str">
        <f>_xlfn.XLOOKUP(G1505,'Common name (master file)'!$B:$B,'Common name (master file)'!$C:$C,"")</f>
        <v>어류</v>
      </c>
      <c r="K1505">
        <f>eDNA!B1505</f>
        <v>126.8772417</v>
      </c>
      <c r="L1505">
        <f>eDNA!C1505</f>
        <v>37.474826299999997</v>
      </c>
      <c r="M1505" s="10" t="str" cm="1">
        <f t="array" ref="M1505">IFERROR(_xlfn.XLOOKUP(1,('env Parameter'!$A:$A=$A1505)*('env Parameter'!$B:$B=$K1505)*('env Parameter'!$C:$C=$L1505),'env Parameter'!D:D,""),"")</f>
        <v>안양천-10</v>
      </c>
      <c r="N1505" s="10" t="str" cm="1">
        <f t="array" ref="N1505">IFERROR(_xlfn.XLOOKUP(1,('env Parameter'!$A:$A=$A1505)*('env Parameter'!$B:$B=$K1505)*('env Parameter'!$C:$C=$L1505),'env Parameter'!I:I,""),"")</f>
        <v>YR</v>
      </c>
    </row>
    <row r="1506" spans="1:14">
      <c r="A1506">
        <f>eDNA!A1506</f>
        <v>20201024</v>
      </c>
      <c r="B1506" s="10" t="str" cm="1">
        <f t="array" ref="B1506">IFERROR(_xlfn.XLOOKUP(1,('env Parameter'!$A:$A=$A1506)*('env Parameter'!$B:$B=$K1506)*('env Parameter'!$C:$C=$L1506),'env Parameter'!H:H,""),"")</f>
        <v>생물상 조사</v>
      </c>
      <c r="C1506" s="10" cm="1">
        <f t="array" ref="C1506">IFERROR(_xlfn.XLOOKUP(1,('env Parameter'!$A:$A=$A1506)*('env Parameter'!$B:$B=$K1506)*('env Parameter'!$C:$C=$L1506),'env Parameter'!E:E,""),"")</f>
        <v>2.14</v>
      </c>
      <c r="D1506" s="10" cm="1">
        <f t="array" ref="D1506">IFERROR(_xlfn.XLOOKUP(1,('env Parameter'!$A:$A=$A1506)*('env Parameter'!$B:$B=$K1506)*('env Parameter'!$C:$C=$L1506),'env Parameter'!F:F,""),"")</f>
        <v>478</v>
      </c>
      <c r="E1506" s="10" cm="1">
        <f t="array" ref="E1506">IFERROR(_xlfn.XLOOKUP(1,('env Parameter'!$A:$A=$A1506)*('env Parameter'!$B:$B=$K1506)*('env Parameter'!$C:$C=$L1506),'env Parameter'!G:G,""),"")</f>
        <v>7.6</v>
      </c>
      <c r="F1506" t="str">
        <f>eDNA!F1506</f>
        <v>MiFish</v>
      </c>
      <c r="G1506" t="str">
        <f>eDNA!D1506</f>
        <v>Engraulis japonicus</v>
      </c>
      <c r="H1506" t="str">
        <f>_xlfn.XLOOKUP(G1506,'Common name (master file)'!$B:$B,'Common name (master file)'!$A:$A,"-------------")</f>
        <v>멸치</v>
      </c>
      <c r="I1506">
        <f>eDNA!E1506</f>
        <v>166</v>
      </c>
      <c r="J1506" t="str">
        <f>_xlfn.XLOOKUP(G1506,'Common name (master file)'!$B:$B,'Common name (master file)'!$C:$C,"")</f>
        <v>어류</v>
      </c>
      <c r="K1506">
        <f>eDNA!B1506</f>
        <v>126.8663749</v>
      </c>
      <c r="L1506">
        <f>eDNA!C1506</f>
        <v>37.492704799999998</v>
      </c>
      <c r="M1506" s="10" t="str" cm="1">
        <f t="array" ref="M1506">IFERROR(_xlfn.XLOOKUP(1,('env Parameter'!$A:$A=$A1506)*('env Parameter'!$B:$B=$K1506)*('env Parameter'!$C:$C=$L1506),'env Parameter'!D:D,""),"")</f>
        <v>안양천-22</v>
      </c>
      <c r="N1506" s="10" t="str" cm="1">
        <f t="array" ref="N1506">IFERROR(_xlfn.XLOOKUP(1,('env Parameter'!$A:$A=$A1506)*('env Parameter'!$B:$B=$K1506)*('env Parameter'!$C:$C=$L1506),'env Parameter'!I:I,""),"")</f>
        <v>YR</v>
      </c>
    </row>
    <row r="1507" spans="1:14">
      <c r="A1507">
        <f>eDNA!A1507</f>
        <v>20201024</v>
      </c>
      <c r="B1507" s="10" t="str" cm="1">
        <f t="array" ref="B1507">IFERROR(_xlfn.XLOOKUP(1,('env Parameter'!$A:$A=$A1507)*('env Parameter'!$B:$B=$K1507)*('env Parameter'!$C:$C=$L1507),'env Parameter'!H:H,""),"")</f>
        <v>생물상 조사</v>
      </c>
      <c r="C1507" s="10" cm="1">
        <f t="array" ref="C1507">IFERROR(_xlfn.XLOOKUP(1,('env Parameter'!$A:$A=$A1507)*('env Parameter'!$B:$B=$K1507)*('env Parameter'!$C:$C=$L1507),'env Parameter'!E:E,""),"")</f>
        <v>2.14</v>
      </c>
      <c r="D1507" s="10" cm="1">
        <f t="array" ref="D1507">IFERROR(_xlfn.XLOOKUP(1,('env Parameter'!$A:$A=$A1507)*('env Parameter'!$B:$B=$K1507)*('env Parameter'!$C:$C=$L1507),'env Parameter'!F:F,""),"")</f>
        <v>478</v>
      </c>
      <c r="E1507" s="10" cm="1">
        <f t="array" ref="E1507">IFERROR(_xlfn.XLOOKUP(1,('env Parameter'!$A:$A=$A1507)*('env Parameter'!$B:$B=$K1507)*('env Parameter'!$C:$C=$L1507),'env Parameter'!G:G,""),"")</f>
        <v>7.6</v>
      </c>
      <c r="F1507" t="str">
        <f>eDNA!F1507</f>
        <v>MiFish</v>
      </c>
      <c r="G1507" t="str">
        <f>eDNA!D1507</f>
        <v>Misgurnus mizolepis</v>
      </c>
      <c r="H1507" t="str">
        <f>_xlfn.XLOOKUP(G1507,'Common name (master file)'!$B:$B,'Common name (master file)'!$A:$A,"-------------")</f>
        <v>미꾸라지</v>
      </c>
      <c r="I1507">
        <f>eDNA!E1507</f>
        <v>357</v>
      </c>
      <c r="J1507" t="str">
        <f>_xlfn.XLOOKUP(G1507,'Common name (master file)'!$B:$B,'Common name (master file)'!$C:$C,"")</f>
        <v>어류</v>
      </c>
      <c r="K1507">
        <f>eDNA!B1507</f>
        <v>126.8663749</v>
      </c>
      <c r="L1507">
        <f>eDNA!C1507</f>
        <v>37.492704799999998</v>
      </c>
      <c r="M1507" s="10" t="str" cm="1">
        <f t="array" ref="M1507">IFERROR(_xlfn.XLOOKUP(1,('env Parameter'!$A:$A=$A1507)*('env Parameter'!$B:$B=$K1507)*('env Parameter'!$C:$C=$L1507),'env Parameter'!D:D,""),"")</f>
        <v>안양천-22</v>
      </c>
      <c r="N1507" s="10" t="str" cm="1">
        <f t="array" ref="N1507">IFERROR(_xlfn.XLOOKUP(1,('env Parameter'!$A:$A=$A1507)*('env Parameter'!$B:$B=$K1507)*('env Parameter'!$C:$C=$L1507),'env Parameter'!I:I,""),"")</f>
        <v>YR</v>
      </c>
    </row>
    <row r="1508" spans="1:14">
      <c r="A1508">
        <f>eDNA!A1508</f>
        <v>20201024</v>
      </c>
      <c r="B1508" s="10" t="str" cm="1">
        <f t="array" ref="B1508">IFERROR(_xlfn.XLOOKUP(1,('env Parameter'!$A:$A=$A1508)*('env Parameter'!$B:$B=$K1508)*('env Parameter'!$C:$C=$L1508),'env Parameter'!H:H,""),"")</f>
        <v>생물상 조사</v>
      </c>
      <c r="C1508" s="10" cm="1">
        <f t="array" ref="C1508">IFERROR(_xlfn.XLOOKUP(1,('env Parameter'!$A:$A=$A1508)*('env Parameter'!$B:$B=$K1508)*('env Parameter'!$C:$C=$L1508),'env Parameter'!E:E,""),"")</f>
        <v>2.14</v>
      </c>
      <c r="D1508" s="10" cm="1">
        <f t="array" ref="D1508">IFERROR(_xlfn.XLOOKUP(1,('env Parameter'!$A:$A=$A1508)*('env Parameter'!$B:$B=$K1508)*('env Parameter'!$C:$C=$L1508),'env Parameter'!F:F,""),"")</f>
        <v>478</v>
      </c>
      <c r="E1508" s="10" cm="1">
        <f t="array" ref="E1508">IFERROR(_xlfn.XLOOKUP(1,('env Parameter'!$A:$A=$A1508)*('env Parameter'!$B:$B=$K1508)*('env Parameter'!$C:$C=$L1508),'env Parameter'!G:G,""),"")</f>
        <v>7.6</v>
      </c>
      <c r="F1508" t="str">
        <f>eDNA!F1508</f>
        <v>MiFish</v>
      </c>
      <c r="G1508" t="str">
        <f>eDNA!D1508</f>
        <v>Tridentiger obscurus</v>
      </c>
      <c r="H1508" t="str">
        <f>_xlfn.XLOOKUP(G1508,'Common name (master file)'!$B:$B,'Common name (master file)'!$A:$A,"-------------")</f>
        <v>검정망둑</v>
      </c>
      <c r="I1508">
        <f>eDNA!E1508</f>
        <v>372</v>
      </c>
      <c r="J1508" t="str">
        <f>_xlfn.XLOOKUP(G1508,'Common name (master file)'!$B:$B,'Common name (master file)'!$C:$C,"")</f>
        <v>어류</v>
      </c>
      <c r="K1508">
        <f>eDNA!B1508</f>
        <v>126.8663749</v>
      </c>
      <c r="L1508">
        <f>eDNA!C1508</f>
        <v>37.492704799999998</v>
      </c>
      <c r="M1508" s="10" t="str" cm="1">
        <f t="array" ref="M1508">IFERROR(_xlfn.XLOOKUP(1,('env Parameter'!$A:$A=$A1508)*('env Parameter'!$B:$B=$K1508)*('env Parameter'!$C:$C=$L1508),'env Parameter'!D:D,""),"")</f>
        <v>안양천-22</v>
      </c>
      <c r="N1508" s="10" t="str" cm="1">
        <f t="array" ref="N1508">IFERROR(_xlfn.XLOOKUP(1,('env Parameter'!$A:$A=$A1508)*('env Parameter'!$B:$B=$K1508)*('env Parameter'!$C:$C=$L1508),'env Parameter'!I:I,""),"")</f>
        <v>YR</v>
      </c>
    </row>
    <row r="1509" spans="1:14">
      <c r="A1509">
        <f>eDNA!A1509</f>
        <v>20201024</v>
      </c>
      <c r="B1509" s="10" t="str" cm="1">
        <f t="array" ref="B1509">IFERROR(_xlfn.XLOOKUP(1,('env Parameter'!$A:$A=$A1509)*('env Parameter'!$B:$B=$K1509)*('env Parameter'!$C:$C=$L1509),'env Parameter'!H:H,""),"")</f>
        <v>생물상 조사</v>
      </c>
      <c r="C1509" s="10" cm="1">
        <f t="array" ref="C1509">IFERROR(_xlfn.XLOOKUP(1,('env Parameter'!$A:$A=$A1509)*('env Parameter'!$B:$B=$K1509)*('env Parameter'!$C:$C=$L1509),'env Parameter'!E:E,""),"")</f>
        <v>2.14</v>
      </c>
      <c r="D1509" s="10" cm="1">
        <f t="array" ref="D1509">IFERROR(_xlfn.XLOOKUP(1,('env Parameter'!$A:$A=$A1509)*('env Parameter'!$B:$B=$K1509)*('env Parameter'!$C:$C=$L1509),'env Parameter'!F:F,""),"")</f>
        <v>478</v>
      </c>
      <c r="E1509" s="10" cm="1">
        <f t="array" ref="E1509">IFERROR(_xlfn.XLOOKUP(1,('env Parameter'!$A:$A=$A1509)*('env Parameter'!$B:$B=$K1509)*('env Parameter'!$C:$C=$L1509),'env Parameter'!G:G,""),"")</f>
        <v>7.6</v>
      </c>
      <c r="F1509" t="str">
        <f>eDNA!F1509</f>
        <v>MiFish</v>
      </c>
      <c r="G1509" t="str">
        <f>eDNA!D1509</f>
        <v>Carassius cuvieri</v>
      </c>
      <c r="H1509" t="str">
        <f>_xlfn.XLOOKUP(G1509,'Common name (master file)'!$B:$B,'Common name (master file)'!$A:$A,"-------------")</f>
        <v>떡붕어</v>
      </c>
      <c r="I1509">
        <f>eDNA!E1509</f>
        <v>514</v>
      </c>
      <c r="J1509" t="str">
        <f>_xlfn.XLOOKUP(G1509,'Common name (master file)'!$B:$B,'Common name (master file)'!$C:$C,"")</f>
        <v>어류</v>
      </c>
      <c r="K1509">
        <f>eDNA!B1509</f>
        <v>126.8663749</v>
      </c>
      <c r="L1509">
        <f>eDNA!C1509</f>
        <v>37.492704799999998</v>
      </c>
      <c r="M1509" s="10" t="str" cm="1">
        <f t="array" ref="M1509">IFERROR(_xlfn.XLOOKUP(1,('env Parameter'!$A:$A=$A1509)*('env Parameter'!$B:$B=$K1509)*('env Parameter'!$C:$C=$L1509),'env Parameter'!D:D,""),"")</f>
        <v>안양천-22</v>
      </c>
      <c r="N1509" s="10" t="str" cm="1">
        <f t="array" ref="N1509">IFERROR(_xlfn.XLOOKUP(1,('env Parameter'!$A:$A=$A1509)*('env Parameter'!$B:$B=$K1509)*('env Parameter'!$C:$C=$L1509),'env Parameter'!I:I,""),"")</f>
        <v>YR</v>
      </c>
    </row>
    <row r="1510" spans="1:14">
      <c r="A1510">
        <f>eDNA!A1510</f>
        <v>20201024</v>
      </c>
      <c r="B1510" s="10" t="str" cm="1">
        <f t="array" ref="B1510">IFERROR(_xlfn.XLOOKUP(1,('env Parameter'!$A:$A=$A1510)*('env Parameter'!$B:$B=$K1510)*('env Parameter'!$C:$C=$L1510),'env Parameter'!H:H,""),"")</f>
        <v>생물상 조사</v>
      </c>
      <c r="C1510" s="10" cm="1">
        <f t="array" ref="C1510">IFERROR(_xlfn.XLOOKUP(1,('env Parameter'!$A:$A=$A1510)*('env Parameter'!$B:$B=$K1510)*('env Parameter'!$C:$C=$L1510),'env Parameter'!E:E,""),"")</f>
        <v>2.14</v>
      </c>
      <c r="D1510" s="10" cm="1">
        <f t="array" ref="D1510">IFERROR(_xlfn.XLOOKUP(1,('env Parameter'!$A:$A=$A1510)*('env Parameter'!$B:$B=$K1510)*('env Parameter'!$C:$C=$L1510),'env Parameter'!F:F,""),"")</f>
        <v>478</v>
      </c>
      <c r="E1510" s="10" cm="1">
        <f t="array" ref="E1510">IFERROR(_xlfn.XLOOKUP(1,('env Parameter'!$A:$A=$A1510)*('env Parameter'!$B:$B=$K1510)*('env Parameter'!$C:$C=$L1510),'env Parameter'!G:G,""),"")</f>
        <v>7.6</v>
      </c>
      <c r="F1510" t="str">
        <f>eDNA!F1510</f>
        <v>MiFish</v>
      </c>
      <c r="G1510" t="str">
        <f>eDNA!D1510</f>
        <v>Abbottina rivularis</v>
      </c>
      <c r="H1510" t="str">
        <f>_xlfn.XLOOKUP(G1510,'Common name (master file)'!$B:$B,'Common name (master file)'!$A:$A,"-------------")</f>
        <v>버들매치</v>
      </c>
      <c r="I1510">
        <f>eDNA!E1510</f>
        <v>420</v>
      </c>
      <c r="J1510" t="str">
        <f>_xlfn.XLOOKUP(G1510,'Common name (master file)'!$B:$B,'Common name (master file)'!$C:$C,"")</f>
        <v>어류</v>
      </c>
      <c r="K1510">
        <f>eDNA!B1510</f>
        <v>126.8663749</v>
      </c>
      <c r="L1510">
        <f>eDNA!C1510</f>
        <v>37.492704799999998</v>
      </c>
      <c r="M1510" s="10" t="str" cm="1">
        <f t="array" ref="M1510">IFERROR(_xlfn.XLOOKUP(1,('env Parameter'!$A:$A=$A1510)*('env Parameter'!$B:$B=$K1510)*('env Parameter'!$C:$C=$L1510),'env Parameter'!D:D,""),"")</f>
        <v>안양천-22</v>
      </c>
      <c r="N1510" s="10" t="str" cm="1">
        <f t="array" ref="N1510">IFERROR(_xlfn.XLOOKUP(1,('env Parameter'!$A:$A=$A1510)*('env Parameter'!$B:$B=$K1510)*('env Parameter'!$C:$C=$L1510),'env Parameter'!I:I,""),"")</f>
        <v>YR</v>
      </c>
    </row>
    <row r="1511" spans="1:14">
      <c r="A1511">
        <f>eDNA!A1511</f>
        <v>20201024</v>
      </c>
      <c r="B1511" s="10" t="str" cm="1">
        <f t="array" ref="B1511">IFERROR(_xlfn.XLOOKUP(1,('env Parameter'!$A:$A=$A1511)*('env Parameter'!$B:$B=$K1511)*('env Parameter'!$C:$C=$L1511),'env Parameter'!H:H,""),"")</f>
        <v>생물상 조사</v>
      </c>
      <c r="C1511" s="10" cm="1">
        <f t="array" ref="C1511">IFERROR(_xlfn.XLOOKUP(1,('env Parameter'!$A:$A=$A1511)*('env Parameter'!$B:$B=$K1511)*('env Parameter'!$C:$C=$L1511),'env Parameter'!E:E,""),"")</f>
        <v>2.14</v>
      </c>
      <c r="D1511" s="10" cm="1">
        <f t="array" ref="D1511">IFERROR(_xlfn.XLOOKUP(1,('env Parameter'!$A:$A=$A1511)*('env Parameter'!$B:$B=$K1511)*('env Parameter'!$C:$C=$L1511),'env Parameter'!F:F,""),"")</f>
        <v>478</v>
      </c>
      <c r="E1511" s="10" cm="1">
        <f t="array" ref="E1511">IFERROR(_xlfn.XLOOKUP(1,('env Parameter'!$A:$A=$A1511)*('env Parameter'!$B:$B=$K1511)*('env Parameter'!$C:$C=$L1511),'env Parameter'!G:G,""),"")</f>
        <v>7.6</v>
      </c>
      <c r="F1511" t="str">
        <f>eDNA!F1511</f>
        <v>MiFish</v>
      </c>
      <c r="G1511" t="str">
        <f>eDNA!D1511</f>
        <v>Cyprinus carpio</v>
      </c>
      <c r="H1511" t="str">
        <f>_xlfn.XLOOKUP(G1511,'Common name (master file)'!$B:$B,'Common name (master file)'!$A:$A,"-------------")</f>
        <v>잉어</v>
      </c>
      <c r="I1511">
        <f>eDNA!E1511</f>
        <v>450</v>
      </c>
      <c r="J1511" t="str">
        <f>_xlfn.XLOOKUP(G1511,'Common name (master file)'!$B:$B,'Common name (master file)'!$C:$C,"")</f>
        <v>어류</v>
      </c>
      <c r="K1511">
        <f>eDNA!B1511</f>
        <v>126.8663749</v>
      </c>
      <c r="L1511">
        <f>eDNA!C1511</f>
        <v>37.492704799999998</v>
      </c>
      <c r="M1511" s="10" t="str" cm="1">
        <f t="array" ref="M1511">IFERROR(_xlfn.XLOOKUP(1,('env Parameter'!$A:$A=$A1511)*('env Parameter'!$B:$B=$K1511)*('env Parameter'!$C:$C=$L1511),'env Parameter'!D:D,""),"")</f>
        <v>안양천-22</v>
      </c>
      <c r="N1511" s="10" t="str" cm="1">
        <f t="array" ref="N1511">IFERROR(_xlfn.XLOOKUP(1,('env Parameter'!$A:$A=$A1511)*('env Parameter'!$B:$B=$K1511)*('env Parameter'!$C:$C=$L1511),'env Parameter'!I:I,""),"")</f>
        <v>YR</v>
      </c>
    </row>
    <row r="1512" spans="1:14">
      <c r="A1512">
        <f>eDNA!A1512</f>
        <v>20201024</v>
      </c>
      <c r="B1512" s="10" t="str" cm="1">
        <f t="array" ref="B1512">IFERROR(_xlfn.XLOOKUP(1,('env Parameter'!$A:$A=$A1512)*('env Parameter'!$B:$B=$K1512)*('env Parameter'!$C:$C=$L1512),'env Parameter'!H:H,""),"")</f>
        <v>생물상 조사</v>
      </c>
      <c r="C1512" s="10" cm="1">
        <f t="array" ref="C1512">IFERROR(_xlfn.XLOOKUP(1,('env Parameter'!$A:$A=$A1512)*('env Parameter'!$B:$B=$K1512)*('env Parameter'!$C:$C=$L1512),'env Parameter'!E:E,""),"")</f>
        <v>2.14</v>
      </c>
      <c r="D1512" s="10" cm="1">
        <f t="array" ref="D1512">IFERROR(_xlfn.XLOOKUP(1,('env Parameter'!$A:$A=$A1512)*('env Parameter'!$B:$B=$K1512)*('env Parameter'!$C:$C=$L1512),'env Parameter'!F:F,""),"")</f>
        <v>478</v>
      </c>
      <c r="E1512" s="10" cm="1">
        <f t="array" ref="E1512">IFERROR(_xlfn.XLOOKUP(1,('env Parameter'!$A:$A=$A1512)*('env Parameter'!$B:$B=$K1512)*('env Parameter'!$C:$C=$L1512),'env Parameter'!G:G,""),"")</f>
        <v>7.6</v>
      </c>
      <c r="F1512" t="str">
        <f>eDNA!F1512</f>
        <v>MiFish</v>
      </c>
      <c r="G1512" t="str">
        <f>eDNA!D1512</f>
        <v>Pseudogobio esocinus</v>
      </c>
      <c r="H1512" t="str">
        <f>_xlfn.XLOOKUP(G1512,'Common name (master file)'!$B:$B,'Common name (master file)'!$A:$A,"-------------")</f>
        <v>모래무지</v>
      </c>
      <c r="I1512">
        <f>eDNA!E1512</f>
        <v>1141</v>
      </c>
      <c r="J1512" t="str">
        <f>_xlfn.XLOOKUP(G1512,'Common name (master file)'!$B:$B,'Common name (master file)'!$C:$C,"")</f>
        <v>어류</v>
      </c>
      <c r="K1512">
        <f>eDNA!B1512</f>
        <v>126.8663749</v>
      </c>
      <c r="L1512">
        <f>eDNA!C1512</f>
        <v>37.492704799999998</v>
      </c>
      <c r="M1512" s="10" t="str" cm="1">
        <f t="array" ref="M1512">IFERROR(_xlfn.XLOOKUP(1,('env Parameter'!$A:$A=$A1512)*('env Parameter'!$B:$B=$K1512)*('env Parameter'!$C:$C=$L1512),'env Parameter'!D:D,""),"")</f>
        <v>안양천-22</v>
      </c>
      <c r="N1512" s="10" t="str" cm="1">
        <f t="array" ref="N1512">IFERROR(_xlfn.XLOOKUP(1,('env Parameter'!$A:$A=$A1512)*('env Parameter'!$B:$B=$K1512)*('env Parameter'!$C:$C=$L1512),'env Parameter'!I:I,""),"")</f>
        <v>YR</v>
      </c>
    </row>
    <row r="1513" spans="1:14">
      <c r="A1513">
        <f>eDNA!A1513</f>
        <v>20201024</v>
      </c>
      <c r="B1513" s="10" t="str" cm="1">
        <f t="array" ref="B1513">IFERROR(_xlfn.XLOOKUP(1,('env Parameter'!$A:$A=$A1513)*('env Parameter'!$B:$B=$K1513)*('env Parameter'!$C:$C=$L1513),'env Parameter'!H:H,""),"")</f>
        <v>생물상 조사</v>
      </c>
      <c r="C1513" s="10" cm="1">
        <f t="array" ref="C1513">IFERROR(_xlfn.XLOOKUP(1,('env Parameter'!$A:$A=$A1513)*('env Parameter'!$B:$B=$K1513)*('env Parameter'!$C:$C=$L1513),'env Parameter'!E:E,""),"")</f>
        <v>2.14</v>
      </c>
      <c r="D1513" s="10" cm="1">
        <f t="array" ref="D1513">IFERROR(_xlfn.XLOOKUP(1,('env Parameter'!$A:$A=$A1513)*('env Parameter'!$B:$B=$K1513)*('env Parameter'!$C:$C=$L1513),'env Parameter'!F:F,""),"")</f>
        <v>478</v>
      </c>
      <c r="E1513" s="10" cm="1">
        <f t="array" ref="E1513">IFERROR(_xlfn.XLOOKUP(1,('env Parameter'!$A:$A=$A1513)*('env Parameter'!$B:$B=$K1513)*('env Parameter'!$C:$C=$L1513),'env Parameter'!G:G,""),"")</f>
        <v>7.6</v>
      </c>
      <c r="F1513" t="str">
        <f>eDNA!F1513</f>
        <v>MiFish</v>
      </c>
      <c r="G1513" t="str">
        <f>eDNA!D1513</f>
        <v>Paramisgurnus dabryanus</v>
      </c>
      <c r="H1513" t="str">
        <f>_xlfn.XLOOKUP(G1513,'Common name (master file)'!$B:$B,'Common name (master file)'!$A:$A,"-------------")</f>
        <v>중국미꾸라지</v>
      </c>
      <c r="I1513">
        <f>eDNA!E1513</f>
        <v>664</v>
      </c>
      <c r="J1513" t="str">
        <f>_xlfn.XLOOKUP(G1513,'Common name (master file)'!$B:$B,'Common name (master file)'!$C:$C,"")</f>
        <v>어류</v>
      </c>
      <c r="K1513">
        <f>eDNA!B1513</f>
        <v>126.8663749</v>
      </c>
      <c r="L1513">
        <f>eDNA!C1513</f>
        <v>37.492704799999998</v>
      </c>
      <c r="M1513" s="10" t="str" cm="1">
        <f t="array" ref="M1513">IFERROR(_xlfn.XLOOKUP(1,('env Parameter'!$A:$A=$A1513)*('env Parameter'!$B:$B=$K1513)*('env Parameter'!$C:$C=$L1513),'env Parameter'!D:D,""),"")</f>
        <v>안양천-22</v>
      </c>
      <c r="N1513" s="10" t="str" cm="1">
        <f t="array" ref="N1513">IFERROR(_xlfn.XLOOKUP(1,('env Parameter'!$A:$A=$A1513)*('env Parameter'!$B:$B=$K1513)*('env Parameter'!$C:$C=$L1513),'env Parameter'!I:I,""),"")</f>
        <v>YR</v>
      </c>
    </row>
    <row r="1514" spans="1:14">
      <c r="A1514">
        <f>eDNA!A1514</f>
        <v>20201024</v>
      </c>
      <c r="B1514" s="10" t="str" cm="1">
        <f t="array" ref="B1514">IFERROR(_xlfn.XLOOKUP(1,('env Parameter'!$A:$A=$A1514)*('env Parameter'!$B:$B=$K1514)*('env Parameter'!$C:$C=$L1514),'env Parameter'!H:H,""),"")</f>
        <v>생물상 조사</v>
      </c>
      <c r="C1514" s="10" cm="1">
        <f t="array" ref="C1514">IFERROR(_xlfn.XLOOKUP(1,('env Parameter'!$A:$A=$A1514)*('env Parameter'!$B:$B=$K1514)*('env Parameter'!$C:$C=$L1514),'env Parameter'!E:E,""),"")</f>
        <v>2.14</v>
      </c>
      <c r="D1514" s="10" cm="1">
        <f t="array" ref="D1514">IFERROR(_xlfn.XLOOKUP(1,('env Parameter'!$A:$A=$A1514)*('env Parameter'!$B:$B=$K1514)*('env Parameter'!$C:$C=$L1514),'env Parameter'!F:F,""),"")</f>
        <v>478</v>
      </c>
      <c r="E1514" s="10" cm="1">
        <f t="array" ref="E1514">IFERROR(_xlfn.XLOOKUP(1,('env Parameter'!$A:$A=$A1514)*('env Parameter'!$B:$B=$K1514)*('env Parameter'!$C:$C=$L1514),'env Parameter'!G:G,""),"")</f>
        <v>7.6</v>
      </c>
      <c r="F1514" t="str">
        <f>eDNA!F1514</f>
        <v>MiFish</v>
      </c>
      <c r="G1514" t="str">
        <f>eDNA!D1514</f>
        <v>Canis lupus familiaris</v>
      </c>
      <c r="H1514" t="str">
        <f>_xlfn.XLOOKUP(G1514,'Common name (master file)'!$B:$B,'Common name (master file)'!$A:$A,"-------------")</f>
        <v>개</v>
      </c>
      <c r="I1514">
        <f>eDNA!E1514</f>
        <v>601</v>
      </c>
      <c r="J1514" t="str">
        <f>_xlfn.XLOOKUP(G1514,'Common name (master file)'!$B:$B,'Common name (master file)'!$C:$C,"")</f>
        <v>포유류</v>
      </c>
      <c r="K1514">
        <f>eDNA!B1514</f>
        <v>126.8663749</v>
      </c>
      <c r="L1514">
        <f>eDNA!C1514</f>
        <v>37.492704799999998</v>
      </c>
      <c r="M1514" s="10" t="str" cm="1">
        <f t="array" ref="M1514">IFERROR(_xlfn.XLOOKUP(1,('env Parameter'!$A:$A=$A1514)*('env Parameter'!$B:$B=$K1514)*('env Parameter'!$C:$C=$L1514),'env Parameter'!D:D,""),"")</f>
        <v>안양천-22</v>
      </c>
      <c r="N1514" s="10" t="str" cm="1">
        <f t="array" ref="N1514">IFERROR(_xlfn.XLOOKUP(1,('env Parameter'!$A:$A=$A1514)*('env Parameter'!$B:$B=$K1514)*('env Parameter'!$C:$C=$L1514),'env Parameter'!I:I,""),"")</f>
        <v>YR</v>
      </c>
    </row>
    <row r="1515" spans="1:14">
      <c r="A1515">
        <f>eDNA!A1515</f>
        <v>20201024</v>
      </c>
      <c r="B1515" s="10" t="str" cm="1">
        <f t="array" ref="B1515">IFERROR(_xlfn.XLOOKUP(1,('env Parameter'!$A:$A=$A1515)*('env Parameter'!$B:$B=$K1515)*('env Parameter'!$C:$C=$L1515),'env Parameter'!H:H,""),"")</f>
        <v>생물상 조사</v>
      </c>
      <c r="C1515" s="10" cm="1">
        <f t="array" ref="C1515">IFERROR(_xlfn.XLOOKUP(1,('env Parameter'!$A:$A=$A1515)*('env Parameter'!$B:$B=$K1515)*('env Parameter'!$C:$C=$L1515),'env Parameter'!E:E,""),"")</f>
        <v>2.14</v>
      </c>
      <c r="D1515" s="10" cm="1">
        <f t="array" ref="D1515">IFERROR(_xlfn.XLOOKUP(1,('env Parameter'!$A:$A=$A1515)*('env Parameter'!$B:$B=$K1515)*('env Parameter'!$C:$C=$L1515),'env Parameter'!F:F,""),"")</f>
        <v>478</v>
      </c>
      <c r="E1515" s="10" cm="1">
        <f t="array" ref="E1515">IFERROR(_xlfn.XLOOKUP(1,('env Parameter'!$A:$A=$A1515)*('env Parameter'!$B:$B=$K1515)*('env Parameter'!$C:$C=$L1515),'env Parameter'!G:G,""),"")</f>
        <v>7.6</v>
      </c>
      <c r="F1515" t="str">
        <f>eDNA!F1515</f>
        <v>MiFish</v>
      </c>
      <c r="G1515" t="str">
        <f>eDNA!D1515</f>
        <v>Anguilla japonica</v>
      </c>
      <c r="H1515" t="str">
        <f>_xlfn.XLOOKUP(G1515,'Common name (master file)'!$B:$B,'Common name (master file)'!$A:$A,"-------------")</f>
        <v>뱀장어</v>
      </c>
      <c r="I1515">
        <f>eDNA!E1515</f>
        <v>571</v>
      </c>
      <c r="J1515" t="str">
        <f>_xlfn.XLOOKUP(G1515,'Common name (master file)'!$B:$B,'Common name (master file)'!$C:$C,"")</f>
        <v>어류</v>
      </c>
      <c r="K1515">
        <f>eDNA!B1515</f>
        <v>126.8663749</v>
      </c>
      <c r="L1515">
        <f>eDNA!C1515</f>
        <v>37.492704799999998</v>
      </c>
      <c r="M1515" s="10" t="str" cm="1">
        <f t="array" ref="M1515">IFERROR(_xlfn.XLOOKUP(1,('env Parameter'!$A:$A=$A1515)*('env Parameter'!$B:$B=$K1515)*('env Parameter'!$C:$C=$L1515),'env Parameter'!D:D,""),"")</f>
        <v>안양천-22</v>
      </c>
      <c r="N1515" s="10" t="str" cm="1">
        <f t="array" ref="N1515">IFERROR(_xlfn.XLOOKUP(1,('env Parameter'!$A:$A=$A1515)*('env Parameter'!$B:$B=$K1515)*('env Parameter'!$C:$C=$L1515),'env Parameter'!I:I,""),"")</f>
        <v>YR</v>
      </c>
    </row>
    <row r="1516" spans="1:14">
      <c r="A1516">
        <f>eDNA!A1516</f>
        <v>20201024</v>
      </c>
      <c r="B1516" s="10" t="str" cm="1">
        <f t="array" ref="B1516">IFERROR(_xlfn.XLOOKUP(1,('env Parameter'!$A:$A=$A1516)*('env Parameter'!$B:$B=$K1516)*('env Parameter'!$C:$C=$L1516),'env Parameter'!H:H,""),"")</f>
        <v>생물상 조사</v>
      </c>
      <c r="C1516" s="10" cm="1">
        <f t="array" ref="C1516">IFERROR(_xlfn.XLOOKUP(1,('env Parameter'!$A:$A=$A1516)*('env Parameter'!$B:$B=$K1516)*('env Parameter'!$C:$C=$L1516),'env Parameter'!E:E,""),"")</f>
        <v>2.14</v>
      </c>
      <c r="D1516" s="10" cm="1">
        <f t="array" ref="D1516">IFERROR(_xlfn.XLOOKUP(1,('env Parameter'!$A:$A=$A1516)*('env Parameter'!$B:$B=$K1516)*('env Parameter'!$C:$C=$L1516),'env Parameter'!F:F,""),"")</f>
        <v>478</v>
      </c>
      <c r="E1516" s="10" cm="1">
        <f t="array" ref="E1516">IFERROR(_xlfn.XLOOKUP(1,('env Parameter'!$A:$A=$A1516)*('env Parameter'!$B:$B=$K1516)*('env Parameter'!$C:$C=$L1516),'env Parameter'!G:G,""),"")</f>
        <v>7.6</v>
      </c>
      <c r="F1516" t="str">
        <f>eDNA!F1516</f>
        <v>MiFish</v>
      </c>
      <c r="G1516" t="str">
        <f>eDNA!D1516</f>
        <v>Lepomis macrochirus</v>
      </c>
      <c r="H1516" t="str">
        <f>_xlfn.XLOOKUP(G1516,'Common name (master file)'!$B:$B,'Common name (master file)'!$A:$A,"-------------")</f>
        <v>블루길</v>
      </c>
      <c r="I1516">
        <f>eDNA!E1516</f>
        <v>668</v>
      </c>
      <c r="J1516" t="str">
        <f>_xlfn.XLOOKUP(G1516,'Common name (master file)'!$B:$B,'Common name (master file)'!$C:$C,"")</f>
        <v>어류</v>
      </c>
      <c r="K1516">
        <f>eDNA!B1516</f>
        <v>126.8663749</v>
      </c>
      <c r="L1516">
        <f>eDNA!C1516</f>
        <v>37.492704799999998</v>
      </c>
      <c r="M1516" s="10" t="str" cm="1">
        <f t="array" ref="M1516">IFERROR(_xlfn.XLOOKUP(1,('env Parameter'!$A:$A=$A1516)*('env Parameter'!$B:$B=$K1516)*('env Parameter'!$C:$C=$L1516),'env Parameter'!D:D,""),"")</f>
        <v>안양천-22</v>
      </c>
      <c r="N1516" s="10" t="str" cm="1">
        <f t="array" ref="N1516">IFERROR(_xlfn.XLOOKUP(1,('env Parameter'!$A:$A=$A1516)*('env Parameter'!$B:$B=$K1516)*('env Parameter'!$C:$C=$L1516),'env Parameter'!I:I,""),"")</f>
        <v>YR</v>
      </c>
    </row>
    <row r="1517" spans="1:14">
      <c r="A1517">
        <f>eDNA!A1517</f>
        <v>20201024</v>
      </c>
      <c r="B1517" s="10" t="str" cm="1">
        <f t="array" ref="B1517">IFERROR(_xlfn.XLOOKUP(1,('env Parameter'!$A:$A=$A1517)*('env Parameter'!$B:$B=$K1517)*('env Parameter'!$C:$C=$L1517),'env Parameter'!H:H,""),"")</f>
        <v>생물상 조사</v>
      </c>
      <c r="C1517" s="10" cm="1">
        <f t="array" ref="C1517">IFERROR(_xlfn.XLOOKUP(1,('env Parameter'!$A:$A=$A1517)*('env Parameter'!$B:$B=$K1517)*('env Parameter'!$C:$C=$L1517),'env Parameter'!E:E,""),"")</f>
        <v>2.14</v>
      </c>
      <c r="D1517" s="10" cm="1">
        <f t="array" ref="D1517">IFERROR(_xlfn.XLOOKUP(1,('env Parameter'!$A:$A=$A1517)*('env Parameter'!$B:$B=$K1517)*('env Parameter'!$C:$C=$L1517),'env Parameter'!F:F,""),"")</f>
        <v>478</v>
      </c>
      <c r="E1517" s="10" cm="1">
        <f t="array" ref="E1517">IFERROR(_xlfn.XLOOKUP(1,('env Parameter'!$A:$A=$A1517)*('env Parameter'!$B:$B=$K1517)*('env Parameter'!$C:$C=$L1517),'env Parameter'!G:G,""),"")</f>
        <v>7.6</v>
      </c>
      <c r="F1517" t="str">
        <f>eDNA!F1517</f>
        <v>MiFish</v>
      </c>
      <c r="G1517" t="str">
        <f>eDNA!D1517</f>
        <v>Zacco platypus</v>
      </c>
      <c r="H1517" t="str">
        <f>_xlfn.XLOOKUP(G1517,'Common name (master file)'!$B:$B,'Common name (master file)'!$A:$A,"-------------")</f>
        <v>피라미</v>
      </c>
      <c r="I1517">
        <f>eDNA!E1517</f>
        <v>718</v>
      </c>
      <c r="J1517" t="str">
        <f>_xlfn.XLOOKUP(G1517,'Common name (master file)'!$B:$B,'Common name (master file)'!$C:$C,"")</f>
        <v>어류</v>
      </c>
      <c r="K1517">
        <f>eDNA!B1517</f>
        <v>126.8663749</v>
      </c>
      <c r="L1517">
        <f>eDNA!C1517</f>
        <v>37.492704799999998</v>
      </c>
      <c r="M1517" s="10" t="str" cm="1">
        <f t="array" ref="M1517">IFERROR(_xlfn.XLOOKUP(1,('env Parameter'!$A:$A=$A1517)*('env Parameter'!$B:$B=$K1517)*('env Parameter'!$C:$C=$L1517),'env Parameter'!D:D,""),"")</f>
        <v>안양천-22</v>
      </c>
      <c r="N1517" s="10" t="str" cm="1">
        <f t="array" ref="N1517">IFERROR(_xlfn.XLOOKUP(1,('env Parameter'!$A:$A=$A1517)*('env Parameter'!$B:$B=$K1517)*('env Parameter'!$C:$C=$L1517),'env Parameter'!I:I,""),"")</f>
        <v>YR</v>
      </c>
    </row>
    <row r="1518" spans="1:14">
      <c r="A1518">
        <f>eDNA!A1518</f>
        <v>20201024</v>
      </c>
      <c r="B1518" s="10" t="str" cm="1">
        <f t="array" ref="B1518">IFERROR(_xlfn.XLOOKUP(1,('env Parameter'!$A:$A=$A1518)*('env Parameter'!$B:$B=$K1518)*('env Parameter'!$C:$C=$L1518),'env Parameter'!H:H,""),"")</f>
        <v>생물상 조사</v>
      </c>
      <c r="C1518" s="10" cm="1">
        <f t="array" ref="C1518">IFERROR(_xlfn.XLOOKUP(1,('env Parameter'!$A:$A=$A1518)*('env Parameter'!$B:$B=$K1518)*('env Parameter'!$C:$C=$L1518),'env Parameter'!E:E,""),"")</f>
        <v>2.14</v>
      </c>
      <c r="D1518" s="10" cm="1">
        <f t="array" ref="D1518">IFERROR(_xlfn.XLOOKUP(1,('env Parameter'!$A:$A=$A1518)*('env Parameter'!$B:$B=$K1518)*('env Parameter'!$C:$C=$L1518),'env Parameter'!F:F,""),"")</f>
        <v>478</v>
      </c>
      <c r="E1518" s="10" cm="1">
        <f t="array" ref="E1518">IFERROR(_xlfn.XLOOKUP(1,('env Parameter'!$A:$A=$A1518)*('env Parameter'!$B:$B=$K1518)*('env Parameter'!$C:$C=$L1518),'env Parameter'!G:G,""),"")</f>
        <v>7.6</v>
      </c>
      <c r="F1518" t="str">
        <f>eDNA!F1518</f>
        <v>MiFish</v>
      </c>
      <c r="G1518" t="str">
        <f>eDNA!D1518</f>
        <v>Channa argus</v>
      </c>
      <c r="H1518" t="str">
        <f>_xlfn.XLOOKUP(G1518,'Common name (master file)'!$B:$B,'Common name (master file)'!$A:$A,"-------------")</f>
        <v>가물치</v>
      </c>
      <c r="I1518">
        <f>eDNA!E1518</f>
        <v>2012</v>
      </c>
      <c r="J1518" t="str">
        <f>_xlfn.XLOOKUP(G1518,'Common name (master file)'!$B:$B,'Common name (master file)'!$C:$C,"")</f>
        <v>어류</v>
      </c>
      <c r="K1518">
        <f>eDNA!B1518</f>
        <v>126.8663749</v>
      </c>
      <c r="L1518">
        <f>eDNA!C1518</f>
        <v>37.492704799999998</v>
      </c>
      <c r="M1518" s="10" t="str" cm="1">
        <f t="array" ref="M1518">IFERROR(_xlfn.XLOOKUP(1,('env Parameter'!$A:$A=$A1518)*('env Parameter'!$B:$B=$K1518)*('env Parameter'!$C:$C=$L1518),'env Parameter'!D:D,""),"")</f>
        <v>안양천-22</v>
      </c>
      <c r="N1518" s="10" t="str" cm="1">
        <f t="array" ref="N1518">IFERROR(_xlfn.XLOOKUP(1,('env Parameter'!$A:$A=$A1518)*('env Parameter'!$B:$B=$K1518)*('env Parameter'!$C:$C=$L1518),'env Parameter'!I:I,""),"")</f>
        <v>YR</v>
      </c>
    </row>
    <row r="1519" spans="1:14">
      <c r="A1519">
        <f>eDNA!A1519</f>
        <v>20201024</v>
      </c>
      <c r="B1519" s="10" t="str" cm="1">
        <f t="array" ref="B1519">IFERROR(_xlfn.XLOOKUP(1,('env Parameter'!$A:$A=$A1519)*('env Parameter'!$B:$B=$K1519)*('env Parameter'!$C:$C=$L1519),'env Parameter'!H:H,""),"")</f>
        <v>생물상 조사</v>
      </c>
      <c r="C1519" s="10" cm="1">
        <f t="array" ref="C1519">IFERROR(_xlfn.XLOOKUP(1,('env Parameter'!$A:$A=$A1519)*('env Parameter'!$B:$B=$K1519)*('env Parameter'!$C:$C=$L1519),'env Parameter'!E:E,""),"")</f>
        <v>2.14</v>
      </c>
      <c r="D1519" s="10" cm="1">
        <f t="array" ref="D1519">IFERROR(_xlfn.XLOOKUP(1,('env Parameter'!$A:$A=$A1519)*('env Parameter'!$B:$B=$K1519)*('env Parameter'!$C:$C=$L1519),'env Parameter'!F:F,""),"")</f>
        <v>478</v>
      </c>
      <c r="E1519" s="10" cm="1">
        <f t="array" ref="E1519">IFERROR(_xlfn.XLOOKUP(1,('env Parameter'!$A:$A=$A1519)*('env Parameter'!$B:$B=$K1519)*('env Parameter'!$C:$C=$L1519),'env Parameter'!G:G,""),"")</f>
        <v>7.6</v>
      </c>
      <c r="F1519" t="str">
        <f>eDNA!F1519</f>
        <v>MiFish</v>
      </c>
      <c r="G1519" t="str">
        <f>eDNA!D1519</f>
        <v>Carassius sp.</v>
      </c>
      <c r="H1519" t="str">
        <f>_xlfn.XLOOKUP(G1519,'Common name (master file)'!$B:$B,'Common name (master file)'!$A:$A,"-------------")</f>
        <v>붕어 속</v>
      </c>
      <c r="I1519">
        <f>eDNA!E1519</f>
        <v>1328</v>
      </c>
      <c r="J1519" t="str">
        <f>_xlfn.XLOOKUP(G1519,'Common name (master file)'!$B:$B,'Common name (master file)'!$C:$C,"")</f>
        <v>어류</v>
      </c>
      <c r="K1519">
        <f>eDNA!B1519</f>
        <v>126.8663749</v>
      </c>
      <c r="L1519">
        <f>eDNA!C1519</f>
        <v>37.492704799999998</v>
      </c>
      <c r="M1519" s="10" t="str" cm="1">
        <f t="array" ref="M1519">IFERROR(_xlfn.XLOOKUP(1,('env Parameter'!$A:$A=$A1519)*('env Parameter'!$B:$B=$K1519)*('env Parameter'!$C:$C=$L1519),'env Parameter'!D:D,""),"")</f>
        <v>안양천-22</v>
      </c>
      <c r="N1519" s="10" t="str" cm="1">
        <f t="array" ref="N1519">IFERROR(_xlfn.XLOOKUP(1,('env Parameter'!$A:$A=$A1519)*('env Parameter'!$B:$B=$K1519)*('env Parameter'!$C:$C=$L1519),'env Parameter'!I:I,""),"")</f>
        <v>YR</v>
      </c>
    </row>
    <row r="1520" spans="1:14">
      <c r="A1520">
        <f>eDNA!A1520</f>
        <v>20201024</v>
      </c>
      <c r="B1520" s="10" t="str" cm="1">
        <f t="array" ref="B1520">IFERROR(_xlfn.XLOOKUP(1,('env Parameter'!$A:$A=$A1520)*('env Parameter'!$B:$B=$K1520)*('env Parameter'!$C:$C=$L1520),'env Parameter'!H:H,""),"")</f>
        <v>생물상 조사</v>
      </c>
      <c r="C1520" s="10" cm="1">
        <f t="array" ref="C1520">IFERROR(_xlfn.XLOOKUP(1,('env Parameter'!$A:$A=$A1520)*('env Parameter'!$B:$B=$K1520)*('env Parameter'!$C:$C=$L1520),'env Parameter'!E:E,""),"")</f>
        <v>2.14</v>
      </c>
      <c r="D1520" s="10" cm="1">
        <f t="array" ref="D1520">IFERROR(_xlfn.XLOOKUP(1,('env Parameter'!$A:$A=$A1520)*('env Parameter'!$B:$B=$K1520)*('env Parameter'!$C:$C=$L1520),'env Parameter'!F:F,""),"")</f>
        <v>478</v>
      </c>
      <c r="E1520" s="10" cm="1">
        <f t="array" ref="E1520">IFERROR(_xlfn.XLOOKUP(1,('env Parameter'!$A:$A=$A1520)*('env Parameter'!$B:$B=$K1520)*('env Parameter'!$C:$C=$L1520),'env Parameter'!G:G,""),"")</f>
        <v>7.6</v>
      </c>
      <c r="F1520" t="str">
        <f>eDNA!F1520</f>
        <v>MiFish</v>
      </c>
      <c r="G1520" t="str">
        <f>eDNA!D1520</f>
        <v>Plagiognathops microlepis</v>
      </c>
      <c r="H1520" t="str">
        <f>_xlfn.XLOOKUP(G1520,'Common name (master file)'!$B:$B,'Common name (master file)'!$A:$A,"-------------")</f>
        <v>왜몰개</v>
      </c>
      <c r="I1520">
        <f>eDNA!E1520</f>
        <v>1542</v>
      </c>
      <c r="J1520" t="str">
        <f>_xlfn.XLOOKUP(G1520,'Common name (master file)'!$B:$B,'Common name (master file)'!$C:$C,"")</f>
        <v>어류</v>
      </c>
      <c r="K1520">
        <f>eDNA!B1520</f>
        <v>126.8663749</v>
      </c>
      <c r="L1520">
        <f>eDNA!C1520</f>
        <v>37.492704799999998</v>
      </c>
      <c r="M1520" s="10" t="str" cm="1">
        <f t="array" ref="M1520">IFERROR(_xlfn.XLOOKUP(1,('env Parameter'!$A:$A=$A1520)*('env Parameter'!$B:$B=$K1520)*('env Parameter'!$C:$C=$L1520),'env Parameter'!D:D,""),"")</f>
        <v>안양천-22</v>
      </c>
      <c r="N1520" s="10" t="str" cm="1">
        <f t="array" ref="N1520">IFERROR(_xlfn.XLOOKUP(1,('env Parameter'!$A:$A=$A1520)*('env Parameter'!$B:$B=$K1520)*('env Parameter'!$C:$C=$L1520),'env Parameter'!I:I,""),"")</f>
        <v>YR</v>
      </c>
    </row>
    <row r="1521" spans="1:14">
      <c r="A1521">
        <f>eDNA!A1521</f>
        <v>20201024</v>
      </c>
      <c r="B1521" s="10" t="str" cm="1">
        <f t="array" ref="B1521">IFERROR(_xlfn.XLOOKUP(1,('env Parameter'!$A:$A=$A1521)*('env Parameter'!$B:$B=$K1521)*('env Parameter'!$C:$C=$L1521),'env Parameter'!H:H,""),"")</f>
        <v>생물상 조사</v>
      </c>
      <c r="C1521" s="10" cm="1">
        <f t="array" ref="C1521">IFERROR(_xlfn.XLOOKUP(1,('env Parameter'!$A:$A=$A1521)*('env Parameter'!$B:$B=$K1521)*('env Parameter'!$C:$C=$L1521),'env Parameter'!E:E,""),"")</f>
        <v>2.14</v>
      </c>
      <c r="D1521" s="10" cm="1">
        <f t="array" ref="D1521">IFERROR(_xlfn.XLOOKUP(1,('env Parameter'!$A:$A=$A1521)*('env Parameter'!$B:$B=$K1521)*('env Parameter'!$C:$C=$L1521),'env Parameter'!F:F,""),"")</f>
        <v>478</v>
      </c>
      <c r="E1521" s="10" cm="1">
        <f t="array" ref="E1521">IFERROR(_xlfn.XLOOKUP(1,('env Parameter'!$A:$A=$A1521)*('env Parameter'!$B:$B=$K1521)*('env Parameter'!$C:$C=$L1521),'env Parameter'!G:G,""),"")</f>
        <v>7.6</v>
      </c>
      <c r="F1521" t="str">
        <f>eDNA!F1521</f>
        <v>MiFish</v>
      </c>
      <c r="G1521" t="str">
        <f>eDNA!D1521</f>
        <v>Odontobutis interrupta</v>
      </c>
      <c r="H1521" t="str">
        <f>_xlfn.XLOOKUP(G1521,'Common name (master file)'!$B:$B,'Common name (master file)'!$A:$A,"-------------")</f>
        <v>얼록동사리</v>
      </c>
      <c r="I1521">
        <f>eDNA!E1521</f>
        <v>2059</v>
      </c>
      <c r="J1521" t="str">
        <f>_xlfn.XLOOKUP(G1521,'Common name (master file)'!$B:$B,'Common name (master file)'!$C:$C,"")</f>
        <v>어류</v>
      </c>
      <c r="K1521">
        <f>eDNA!B1521</f>
        <v>126.8663749</v>
      </c>
      <c r="L1521">
        <f>eDNA!C1521</f>
        <v>37.492704799999998</v>
      </c>
      <c r="M1521" s="10" t="str" cm="1">
        <f t="array" ref="M1521">IFERROR(_xlfn.XLOOKUP(1,('env Parameter'!$A:$A=$A1521)*('env Parameter'!$B:$B=$K1521)*('env Parameter'!$C:$C=$L1521),'env Parameter'!D:D,""),"")</f>
        <v>안양천-22</v>
      </c>
      <c r="N1521" s="10" t="str" cm="1">
        <f t="array" ref="N1521">IFERROR(_xlfn.XLOOKUP(1,('env Parameter'!$A:$A=$A1521)*('env Parameter'!$B:$B=$K1521)*('env Parameter'!$C:$C=$L1521),'env Parameter'!I:I,""),"")</f>
        <v>YR</v>
      </c>
    </row>
    <row r="1522" spans="1:14">
      <c r="A1522">
        <f>eDNA!A1522</f>
        <v>20201024</v>
      </c>
      <c r="B1522" s="10" t="str" cm="1">
        <f t="array" ref="B1522">IFERROR(_xlfn.XLOOKUP(1,('env Parameter'!$A:$A=$A1522)*('env Parameter'!$B:$B=$K1522)*('env Parameter'!$C:$C=$L1522),'env Parameter'!H:H,""),"")</f>
        <v>생물상 조사</v>
      </c>
      <c r="C1522" s="10" cm="1">
        <f t="array" ref="C1522">IFERROR(_xlfn.XLOOKUP(1,('env Parameter'!$A:$A=$A1522)*('env Parameter'!$B:$B=$K1522)*('env Parameter'!$C:$C=$L1522),'env Parameter'!E:E,""),"")</f>
        <v>2.14</v>
      </c>
      <c r="D1522" s="10" cm="1">
        <f t="array" ref="D1522">IFERROR(_xlfn.XLOOKUP(1,('env Parameter'!$A:$A=$A1522)*('env Parameter'!$B:$B=$K1522)*('env Parameter'!$C:$C=$L1522),'env Parameter'!F:F,""),"")</f>
        <v>478</v>
      </c>
      <c r="E1522" s="10" cm="1">
        <f t="array" ref="E1522">IFERROR(_xlfn.XLOOKUP(1,('env Parameter'!$A:$A=$A1522)*('env Parameter'!$B:$B=$K1522)*('env Parameter'!$C:$C=$L1522),'env Parameter'!G:G,""),"")</f>
        <v>7.6</v>
      </c>
      <c r="F1522" t="str">
        <f>eDNA!F1522</f>
        <v>MiFish</v>
      </c>
      <c r="G1522" t="str">
        <f>eDNA!D1522</f>
        <v>Hemibarbus sp.</v>
      </c>
      <c r="H1522" t="str">
        <f>_xlfn.XLOOKUP(G1522,'Common name (master file)'!$B:$B,'Common name (master file)'!$A:$A,"-------------")</f>
        <v>누치 속</v>
      </c>
      <c r="I1522">
        <f>eDNA!E1522</f>
        <v>2513</v>
      </c>
      <c r="J1522" t="str">
        <f>_xlfn.XLOOKUP(G1522,'Common name (master file)'!$B:$B,'Common name (master file)'!$C:$C,"")</f>
        <v>어류</v>
      </c>
      <c r="K1522">
        <f>eDNA!B1522</f>
        <v>126.8663749</v>
      </c>
      <c r="L1522">
        <f>eDNA!C1522</f>
        <v>37.492704799999998</v>
      </c>
      <c r="M1522" s="10" t="str" cm="1">
        <f t="array" ref="M1522">IFERROR(_xlfn.XLOOKUP(1,('env Parameter'!$A:$A=$A1522)*('env Parameter'!$B:$B=$K1522)*('env Parameter'!$C:$C=$L1522),'env Parameter'!D:D,""),"")</f>
        <v>안양천-22</v>
      </c>
      <c r="N1522" s="10" t="str" cm="1">
        <f t="array" ref="N1522">IFERROR(_xlfn.XLOOKUP(1,('env Parameter'!$A:$A=$A1522)*('env Parameter'!$B:$B=$K1522)*('env Parameter'!$C:$C=$L1522),'env Parameter'!I:I,""),"")</f>
        <v>YR</v>
      </c>
    </row>
    <row r="1523" spans="1:14">
      <c r="A1523">
        <f>eDNA!A1523</f>
        <v>20201024</v>
      </c>
      <c r="B1523" s="10" t="str" cm="1">
        <f t="array" ref="B1523">IFERROR(_xlfn.XLOOKUP(1,('env Parameter'!$A:$A=$A1523)*('env Parameter'!$B:$B=$K1523)*('env Parameter'!$C:$C=$L1523),'env Parameter'!H:H,""),"")</f>
        <v>생물상 조사</v>
      </c>
      <c r="C1523" s="10" cm="1">
        <f t="array" ref="C1523">IFERROR(_xlfn.XLOOKUP(1,('env Parameter'!$A:$A=$A1523)*('env Parameter'!$B:$B=$K1523)*('env Parameter'!$C:$C=$L1523),'env Parameter'!E:E,""),"")</f>
        <v>2.14</v>
      </c>
      <c r="D1523" s="10" cm="1">
        <f t="array" ref="D1523">IFERROR(_xlfn.XLOOKUP(1,('env Parameter'!$A:$A=$A1523)*('env Parameter'!$B:$B=$K1523)*('env Parameter'!$C:$C=$L1523),'env Parameter'!F:F,""),"")</f>
        <v>478</v>
      </c>
      <c r="E1523" s="10" cm="1">
        <f t="array" ref="E1523">IFERROR(_xlfn.XLOOKUP(1,('env Parameter'!$A:$A=$A1523)*('env Parameter'!$B:$B=$K1523)*('env Parameter'!$C:$C=$L1523),'env Parameter'!G:G,""),"")</f>
        <v>7.6</v>
      </c>
      <c r="F1523" t="str">
        <f>eDNA!F1523</f>
        <v>MiFish</v>
      </c>
      <c r="G1523" t="str">
        <f>eDNA!D1523</f>
        <v>Micropterus salmoides</v>
      </c>
      <c r="H1523" t="str">
        <f>_xlfn.XLOOKUP(G1523,'Common name (master file)'!$B:$B,'Common name (master file)'!$A:$A,"-------------")</f>
        <v>큰입배스</v>
      </c>
      <c r="I1523">
        <f>eDNA!E1523</f>
        <v>2886</v>
      </c>
      <c r="J1523" t="str">
        <f>_xlfn.XLOOKUP(G1523,'Common name (master file)'!$B:$B,'Common name (master file)'!$C:$C,"")</f>
        <v>어류</v>
      </c>
      <c r="K1523">
        <f>eDNA!B1523</f>
        <v>126.8663749</v>
      </c>
      <c r="L1523">
        <f>eDNA!C1523</f>
        <v>37.492704799999998</v>
      </c>
      <c r="M1523" s="10" t="str" cm="1">
        <f t="array" ref="M1523">IFERROR(_xlfn.XLOOKUP(1,('env Parameter'!$A:$A=$A1523)*('env Parameter'!$B:$B=$K1523)*('env Parameter'!$C:$C=$L1523),'env Parameter'!D:D,""),"")</f>
        <v>안양천-22</v>
      </c>
      <c r="N1523" s="10" t="str" cm="1">
        <f t="array" ref="N1523">IFERROR(_xlfn.XLOOKUP(1,('env Parameter'!$A:$A=$A1523)*('env Parameter'!$B:$B=$K1523)*('env Parameter'!$C:$C=$L1523),'env Parameter'!I:I,""),"")</f>
        <v>YR</v>
      </c>
    </row>
    <row r="1524" spans="1:14">
      <c r="A1524">
        <f>eDNA!A1524</f>
        <v>20201024</v>
      </c>
      <c r="B1524" s="10" t="str" cm="1">
        <f t="array" ref="B1524">IFERROR(_xlfn.XLOOKUP(1,('env Parameter'!$A:$A=$A1524)*('env Parameter'!$B:$B=$K1524)*('env Parameter'!$C:$C=$L1524),'env Parameter'!H:H,""),"")</f>
        <v>생물상 조사</v>
      </c>
      <c r="C1524" s="10" cm="1">
        <f t="array" ref="C1524">IFERROR(_xlfn.XLOOKUP(1,('env Parameter'!$A:$A=$A1524)*('env Parameter'!$B:$B=$K1524)*('env Parameter'!$C:$C=$L1524),'env Parameter'!E:E,""),"")</f>
        <v>2.14</v>
      </c>
      <c r="D1524" s="10" cm="1">
        <f t="array" ref="D1524">IFERROR(_xlfn.XLOOKUP(1,('env Parameter'!$A:$A=$A1524)*('env Parameter'!$B:$B=$K1524)*('env Parameter'!$C:$C=$L1524),'env Parameter'!F:F,""),"")</f>
        <v>478</v>
      </c>
      <c r="E1524" s="10" cm="1">
        <f t="array" ref="E1524">IFERROR(_xlfn.XLOOKUP(1,('env Parameter'!$A:$A=$A1524)*('env Parameter'!$B:$B=$K1524)*('env Parameter'!$C:$C=$L1524),'env Parameter'!G:G,""),"")</f>
        <v>7.6</v>
      </c>
      <c r="F1524" t="str">
        <f>eDNA!F1524</f>
        <v>MiFish</v>
      </c>
      <c r="G1524" t="str">
        <f>eDNA!D1524</f>
        <v>Gnathopogon strigatus</v>
      </c>
      <c r="H1524" t="str">
        <f>_xlfn.XLOOKUP(G1524,'Common name (master file)'!$B:$B,'Common name (master file)'!$A:$A,"-------------")</f>
        <v>줄몰개</v>
      </c>
      <c r="I1524">
        <f>eDNA!E1524</f>
        <v>2970</v>
      </c>
      <c r="J1524" t="str">
        <f>_xlfn.XLOOKUP(G1524,'Common name (master file)'!$B:$B,'Common name (master file)'!$C:$C,"")</f>
        <v>어류</v>
      </c>
      <c r="K1524">
        <f>eDNA!B1524</f>
        <v>126.8663749</v>
      </c>
      <c r="L1524">
        <f>eDNA!C1524</f>
        <v>37.492704799999998</v>
      </c>
      <c r="M1524" s="10" t="str" cm="1">
        <f t="array" ref="M1524">IFERROR(_xlfn.XLOOKUP(1,('env Parameter'!$A:$A=$A1524)*('env Parameter'!$B:$B=$K1524)*('env Parameter'!$C:$C=$L1524),'env Parameter'!D:D,""),"")</f>
        <v>안양천-22</v>
      </c>
      <c r="N1524" s="10" t="str" cm="1">
        <f t="array" ref="N1524">IFERROR(_xlfn.XLOOKUP(1,('env Parameter'!$A:$A=$A1524)*('env Parameter'!$B:$B=$K1524)*('env Parameter'!$C:$C=$L1524),'env Parameter'!I:I,""),"")</f>
        <v>YR</v>
      </c>
    </row>
    <row r="1525" spans="1:14">
      <c r="A1525">
        <f>eDNA!A1525</f>
        <v>20201024</v>
      </c>
      <c r="B1525" s="10" t="str" cm="1">
        <f t="array" ref="B1525">IFERROR(_xlfn.XLOOKUP(1,('env Parameter'!$A:$A=$A1525)*('env Parameter'!$B:$B=$K1525)*('env Parameter'!$C:$C=$L1525),'env Parameter'!H:H,""),"")</f>
        <v>생물상 조사</v>
      </c>
      <c r="C1525" s="10" cm="1">
        <f t="array" ref="C1525">IFERROR(_xlfn.XLOOKUP(1,('env Parameter'!$A:$A=$A1525)*('env Parameter'!$B:$B=$K1525)*('env Parameter'!$C:$C=$L1525),'env Parameter'!E:E,""),"")</f>
        <v>2.14</v>
      </c>
      <c r="D1525" s="10" cm="1">
        <f t="array" ref="D1525">IFERROR(_xlfn.XLOOKUP(1,('env Parameter'!$A:$A=$A1525)*('env Parameter'!$B:$B=$K1525)*('env Parameter'!$C:$C=$L1525),'env Parameter'!F:F,""),"")</f>
        <v>478</v>
      </c>
      <c r="E1525" s="10" cm="1">
        <f t="array" ref="E1525">IFERROR(_xlfn.XLOOKUP(1,('env Parameter'!$A:$A=$A1525)*('env Parameter'!$B:$B=$K1525)*('env Parameter'!$C:$C=$L1525),'env Parameter'!G:G,""),"")</f>
        <v>7.6</v>
      </c>
      <c r="F1525" t="str">
        <f>eDNA!F1525</f>
        <v>MiFish</v>
      </c>
      <c r="G1525" t="str">
        <f>eDNA!D1525</f>
        <v>Micropercops swinhonis</v>
      </c>
      <c r="H1525" t="str">
        <f>_xlfn.XLOOKUP(G1525,'Common name (master file)'!$B:$B,'Common name (master file)'!$A:$A,"-------------")</f>
        <v>좀구굴치</v>
      </c>
      <c r="I1525">
        <f>eDNA!E1525</f>
        <v>463</v>
      </c>
      <c r="J1525" t="str">
        <f>_xlfn.XLOOKUP(G1525,'Common name (master file)'!$B:$B,'Common name (master file)'!$C:$C,"")</f>
        <v>어류</v>
      </c>
      <c r="K1525">
        <f>eDNA!B1525</f>
        <v>126.87358690000001</v>
      </c>
      <c r="L1525">
        <f>eDNA!C1525</f>
        <v>37.508467699999997</v>
      </c>
      <c r="M1525" s="10" t="str" cm="1">
        <f t="array" ref="M1525">IFERROR(_xlfn.XLOOKUP(1,('env Parameter'!$A:$A=$A1525)*('env Parameter'!$B:$B=$K1525)*('env Parameter'!$C:$C=$L1525),'env Parameter'!D:D,""),"")</f>
        <v>안양천-13</v>
      </c>
      <c r="N1525" s="10" t="str" cm="1">
        <f t="array" ref="N1525">IFERROR(_xlfn.XLOOKUP(1,('env Parameter'!$A:$A=$A1525)*('env Parameter'!$B:$B=$K1525)*('env Parameter'!$C:$C=$L1525),'env Parameter'!I:I,""),"")</f>
        <v>YR</v>
      </c>
    </row>
    <row r="1526" spans="1:14">
      <c r="A1526">
        <f>eDNA!A1526</f>
        <v>20201024</v>
      </c>
      <c r="B1526" s="10" t="str" cm="1">
        <f t="array" ref="B1526">IFERROR(_xlfn.XLOOKUP(1,('env Parameter'!$A:$A=$A1526)*('env Parameter'!$B:$B=$K1526)*('env Parameter'!$C:$C=$L1526),'env Parameter'!H:H,""),"")</f>
        <v>생물상 조사</v>
      </c>
      <c r="C1526" s="10" cm="1">
        <f t="array" ref="C1526">IFERROR(_xlfn.XLOOKUP(1,('env Parameter'!$A:$A=$A1526)*('env Parameter'!$B:$B=$K1526)*('env Parameter'!$C:$C=$L1526),'env Parameter'!E:E,""),"")</f>
        <v>2.14</v>
      </c>
      <c r="D1526" s="10" cm="1">
        <f t="array" ref="D1526">IFERROR(_xlfn.XLOOKUP(1,('env Parameter'!$A:$A=$A1526)*('env Parameter'!$B:$B=$K1526)*('env Parameter'!$C:$C=$L1526),'env Parameter'!F:F,""),"")</f>
        <v>478</v>
      </c>
      <c r="E1526" s="10" cm="1">
        <f t="array" ref="E1526">IFERROR(_xlfn.XLOOKUP(1,('env Parameter'!$A:$A=$A1526)*('env Parameter'!$B:$B=$K1526)*('env Parameter'!$C:$C=$L1526),'env Parameter'!G:G,""),"")</f>
        <v>7.6</v>
      </c>
      <c r="F1526" t="str">
        <f>eDNA!F1526</f>
        <v>MiFish</v>
      </c>
      <c r="G1526" t="str">
        <f>eDNA!D1526</f>
        <v>Silurus soldatovi</v>
      </c>
      <c r="H1526" t="str">
        <f>_xlfn.XLOOKUP(G1526,'Common name (master file)'!$B:$B,'Common name (master file)'!$A:$A,"-------------")</f>
        <v>솔다토비 메기</v>
      </c>
      <c r="I1526">
        <f>eDNA!E1526</f>
        <v>3632</v>
      </c>
      <c r="J1526" t="str">
        <f>_xlfn.XLOOKUP(G1526,'Common name (master file)'!$B:$B,'Common name (master file)'!$C:$C,"")</f>
        <v>어류</v>
      </c>
      <c r="K1526">
        <f>eDNA!B1526</f>
        <v>126.8663749</v>
      </c>
      <c r="L1526">
        <f>eDNA!C1526</f>
        <v>37.492704799999998</v>
      </c>
      <c r="M1526" s="10" t="str" cm="1">
        <f t="array" ref="M1526">IFERROR(_xlfn.XLOOKUP(1,('env Parameter'!$A:$A=$A1526)*('env Parameter'!$B:$B=$K1526)*('env Parameter'!$C:$C=$L1526),'env Parameter'!D:D,""),"")</f>
        <v>안양천-22</v>
      </c>
      <c r="N1526" s="10" t="str" cm="1">
        <f t="array" ref="N1526">IFERROR(_xlfn.XLOOKUP(1,('env Parameter'!$A:$A=$A1526)*('env Parameter'!$B:$B=$K1526)*('env Parameter'!$C:$C=$L1526),'env Parameter'!I:I,""),"")</f>
        <v>YR</v>
      </c>
    </row>
    <row r="1527" spans="1:14">
      <c r="A1527">
        <f>eDNA!A1527</f>
        <v>20201024</v>
      </c>
      <c r="B1527" s="10" t="str" cm="1">
        <f t="array" ref="B1527">IFERROR(_xlfn.XLOOKUP(1,('env Parameter'!$A:$A=$A1527)*('env Parameter'!$B:$B=$K1527)*('env Parameter'!$C:$C=$L1527),'env Parameter'!H:H,""),"")</f>
        <v>생물상 조사</v>
      </c>
      <c r="C1527" s="10" cm="1">
        <f t="array" ref="C1527">IFERROR(_xlfn.XLOOKUP(1,('env Parameter'!$A:$A=$A1527)*('env Parameter'!$B:$B=$K1527)*('env Parameter'!$C:$C=$L1527),'env Parameter'!E:E,""),"")</f>
        <v>2.14</v>
      </c>
      <c r="D1527" s="10" cm="1">
        <f t="array" ref="D1527">IFERROR(_xlfn.XLOOKUP(1,('env Parameter'!$A:$A=$A1527)*('env Parameter'!$B:$B=$K1527)*('env Parameter'!$C:$C=$L1527),'env Parameter'!F:F,""),"")</f>
        <v>478</v>
      </c>
      <c r="E1527" s="10" cm="1">
        <f t="array" ref="E1527">IFERROR(_xlfn.XLOOKUP(1,('env Parameter'!$A:$A=$A1527)*('env Parameter'!$B:$B=$K1527)*('env Parameter'!$C:$C=$L1527),'env Parameter'!G:G,""),"")</f>
        <v>7.6</v>
      </c>
      <c r="F1527" t="str">
        <f>eDNA!F1527</f>
        <v>MiFish</v>
      </c>
      <c r="G1527" t="str">
        <f>eDNA!D1527</f>
        <v>Acanthorhodeus chankaensis</v>
      </c>
      <c r="H1527" t="str">
        <f>_xlfn.XLOOKUP(G1527,'Common name (master file)'!$B:$B,'Common name (master file)'!$A:$A,"-------------")</f>
        <v>가시납지리</v>
      </c>
      <c r="I1527">
        <f>eDNA!E1527</f>
        <v>4816</v>
      </c>
      <c r="J1527" t="str">
        <f>_xlfn.XLOOKUP(G1527,'Common name (master file)'!$B:$B,'Common name (master file)'!$C:$C,"")</f>
        <v>어류</v>
      </c>
      <c r="K1527">
        <f>eDNA!B1527</f>
        <v>126.8663749</v>
      </c>
      <c r="L1527">
        <f>eDNA!C1527</f>
        <v>37.492704799999998</v>
      </c>
      <c r="M1527" s="10" t="str" cm="1">
        <f t="array" ref="M1527">IFERROR(_xlfn.XLOOKUP(1,('env Parameter'!$A:$A=$A1527)*('env Parameter'!$B:$B=$K1527)*('env Parameter'!$C:$C=$L1527),'env Parameter'!D:D,""),"")</f>
        <v>안양천-22</v>
      </c>
      <c r="N1527" s="10" t="str" cm="1">
        <f t="array" ref="N1527">IFERROR(_xlfn.XLOOKUP(1,('env Parameter'!$A:$A=$A1527)*('env Parameter'!$B:$B=$K1527)*('env Parameter'!$C:$C=$L1527),'env Parameter'!I:I,""),"")</f>
        <v>YR</v>
      </c>
    </row>
    <row r="1528" spans="1:14">
      <c r="A1528">
        <f>eDNA!A1528</f>
        <v>20201024</v>
      </c>
      <c r="B1528" s="10" t="str" cm="1">
        <f t="array" ref="B1528">IFERROR(_xlfn.XLOOKUP(1,('env Parameter'!$A:$A=$A1528)*('env Parameter'!$B:$B=$K1528)*('env Parameter'!$C:$C=$L1528),'env Parameter'!H:H,""),"")</f>
        <v>생물상 조사</v>
      </c>
      <c r="C1528" s="10" cm="1">
        <f t="array" ref="C1528">IFERROR(_xlfn.XLOOKUP(1,('env Parameter'!$A:$A=$A1528)*('env Parameter'!$B:$B=$K1528)*('env Parameter'!$C:$C=$L1528),'env Parameter'!E:E,""),"")</f>
        <v>2.14</v>
      </c>
      <c r="D1528" s="10" cm="1">
        <f t="array" ref="D1528">IFERROR(_xlfn.XLOOKUP(1,('env Parameter'!$A:$A=$A1528)*('env Parameter'!$B:$B=$K1528)*('env Parameter'!$C:$C=$L1528),'env Parameter'!F:F,""),"")</f>
        <v>478</v>
      </c>
      <c r="E1528" s="10" cm="1">
        <f t="array" ref="E1528">IFERROR(_xlfn.XLOOKUP(1,('env Parameter'!$A:$A=$A1528)*('env Parameter'!$B:$B=$K1528)*('env Parameter'!$C:$C=$L1528),'env Parameter'!G:G,""),"")</f>
        <v>7.6</v>
      </c>
      <c r="F1528" t="str">
        <f>eDNA!F1528</f>
        <v>MiFish</v>
      </c>
      <c r="G1528" t="str">
        <f>eDNA!D1528</f>
        <v>Acheilognathus macropterus</v>
      </c>
      <c r="H1528" t="str">
        <f>_xlfn.XLOOKUP(G1528,'Common name (master file)'!$B:$B,'Common name (master file)'!$A:$A,"-------------")</f>
        <v>큰납지리</v>
      </c>
      <c r="I1528">
        <f>eDNA!E1528</f>
        <v>8860</v>
      </c>
      <c r="J1528" t="str">
        <f>_xlfn.XLOOKUP(G1528,'Common name (master file)'!$B:$B,'Common name (master file)'!$C:$C,"")</f>
        <v>어류</v>
      </c>
      <c r="K1528">
        <f>eDNA!B1528</f>
        <v>126.8663749</v>
      </c>
      <c r="L1528">
        <f>eDNA!C1528</f>
        <v>37.492704799999998</v>
      </c>
      <c r="M1528" s="10" t="str" cm="1">
        <f t="array" ref="M1528">IFERROR(_xlfn.XLOOKUP(1,('env Parameter'!$A:$A=$A1528)*('env Parameter'!$B:$B=$K1528)*('env Parameter'!$C:$C=$L1528),'env Parameter'!D:D,""),"")</f>
        <v>안양천-22</v>
      </c>
      <c r="N1528" s="10" t="str" cm="1">
        <f t="array" ref="N1528">IFERROR(_xlfn.XLOOKUP(1,('env Parameter'!$A:$A=$A1528)*('env Parameter'!$B:$B=$K1528)*('env Parameter'!$C:$C=$L1528),'env Parameter'!I:I,""),"")</f>
        <v>YR</v>
      </c>
    </row>
    <row r="1529" spans="1:14">
      <c r="A1529">
        <f>eDNA!A1529</f>
        <v>20201024</v>
      </c>
      <c r="B1529" s="10" t="str" cm="1">
        <f t="array" ref="B1529">IFERROR(_xlfn.XLOOKUP(1,('env Parameter'!$A:$A=$A1529)*('env Parameter'!$B:$B=$K1529)*('env Parameter'!$C:$C=$L1529),'env Parameter'!H:H,""),"")</f>
        <v>생물상 조사</v>
      </c>
      <c r="C1529" s="10" cm="1">
        <f t="array" ref="C1529">IFERROR(_xlfn.XLOOKUP(1,('env Parameter'!$A:$A=$A1529)*('env Parameter'!$B:$B=$K1529)*('env Parameter'!$C:$C=$L1529),'env Parameter'!E:E,""),"")</f>
        <v>2.14</v>
      </c>
      <c r="D1529" s="10" cm="1">
        <f t="array" ref="D1529">IFERROR(_xlfn.XLOOKUP(1,('env Parameter'!$A:$A=$A1529)*('env Parameter'!$B:$B=$K1529)*('env Parameter'!$C:$C=$L1529),'env Parameter'!F:F,""),"")</f>
        <v>478</v>
      </c>
      <c r="E1529" s="10" cm="1">
        <f t="array" ref="E1529">IFERROR(_xlfn.XLOOKUP(1,('env Parameter'!$A:$A=$A1529)*('env Parameter'!$B:$B=$K1529)*('env Parameter'!$C:$C=$L1529),'env Parameter'!G:G,""),"")</f>
        <v>7.6</v>
      </c>
      <c r="F1529" t="str">
        <f>eDNA!F1529</f>
        <v>MiFish</v>
      </c>
      <c r="G1529" t="str">
        <f>eDNA!D1529</f>
        <v>Sus scrofa</v>
      </c>
      <c r="H1529" t="str">
        <f>_xlfn.XLOOKUP(G1529,'Common name (master file)'!$B:$B,'Common name (master file)'!$A:$A,"-------------")</f>
        <v>멧돼지</v>
      </c>
      <c r="I1529">
        <f>eDNA!E1529</f>
        <v>31389</v>
      </c>
      <c r="J1529" t="str">
        <f>_xlfn.XLOOKUP(G1529,'Common name (master file)'!$B:$B,'Common name (master file)'!$C:$C,"")</f>
        <v>포유류</v>
      </c>
      <c r="K1529">
        <f>eDNA!B1529</f>
        <v>126.8663749</v>
      </c>
      <c r="L1529">
        <f>eDNA!C1529</f>
        <v>37.492704799999998</v>
      </c>
      <c r="M1529" s="10" t="str" cm="1">
        <f t="array" ref="M1529">IFERROR(_xlfn.XLOOKUP(1,('env Parameter'!$A:$A=$A1529)*('env Parameter'!$B:$B=$K1529)*('env Parameter'!$C:$C=$L1529),'env Parameter'!D:D,""),"")</f>
        <v>안양천-22</v>
      </c>
      <c r="N1529" s="10" t="str" cm="1">
        <f t="array" ref="N1529">IFERROR(_xlfn.XLOOKUP(1,('env Parameter'!$A:$A=$A1529)*('env Parameter'!$B:$B=$K1529)*('env Parameter'!$C:$C=$L1529),'env Parameter'!I:I,""),"")</f>
        <v>YR</v>
      </c>
    </row>
    <row r="1530" spans="1:14">
      <c r="A1530">
        <f>eDNA!A1530</f>
        <v>20201024</v>
      </c>
      <c r="B1530" s="10" t="str" cm="1">
        <f t="array" ref="B1530">IFERROR(_xlfn.XLOOKUP(1,('env Parameter'!$A:$A=$A1530)*('env Parameter'!$B:$B=$K1530)*('env Parameter'!$C:$C=$L1530),'env Parameter'!H:H,""),"")</f>
        <v>생물상 조사</v>
      </c>
      <c r="C1530" s="10" cm="1">
        <f t="array" ref="C1530">IFERROR(_xlfn.XLOOKUP(1,('env Parameter'!$A:$A=$A1530)*('env Parameter'!$B:$B=$K1530)*('env Parameter'!$C:$C=$L1530),'env Parameter'!E:E,""),"")</f>
        <v>2.14</v>
      </c>
      <c r="D1530" s="10" cm="1">
        <f t="array" ref="D1530">IFERROR(_xlfn.XLOOKUP(1,('env Parameter'!$A:$A=$A1530)*('env Parameter'!$B:$B=$K1530)*('env Parameter'!$C:$C=$L1530),'env Parameter'!F:F,""),"")</f>
        <v>478</v>
      </c>
      <c r="E1530" s="10" cm="1">
        <f t="array" ref="E1530">IFERROR(_xlfn.XLOOKUP(1,('env Parameter'!$A:$A=$A1530)*('env Parameter'!$B:$B=$K1530)*('env Parameter'!$C:$C=$L1530),'env Parameter'!G:G,""),"")</f>
        <v>7.6</v>
      </c>
      <c r="F1530" t="str">
        <f>eDNA!F1530</f>
        <v>MiFish</v>
      </c>
      <c r="G1530" t="str">
        <f>eDNA!D1530</f>
        <v>Pseudorasbora parva</v>
      </c>
      <c r="H1530" t="str">
        <f>_xlfn.XLOOKUP(G1530,'Common name (master file)'!$B:$B,'Common name (master file)'!$A:$A,"-------------")</f>
        <v>참붕어</v>
      </c>
      <c r="I1530">
        <f>eDNA!E1530</f>
        <v>27052</v>
      </c>
      <c r="J1530" t="str">
        <f>_xlfn.XLOOKUP(G1530,'Common name (master file)'!$B:$B,'Common name (master file)'!$C:$C,"")</f>
        <v>어류</v>
      </c>
      <c r="K1530">
        <f>eDNA!B1530</f>
        <v>126.8663749</v>
      </c>
      <c r="L1530">
        <f>eDNA!C1530</f>
        <v>37.492704799999998</v>
      </c>
      <c r="M1530" s="10" t="str" cm="1">
        <f t="array" ref="M1530">IFERROR(_xlfn.XLOOKUP(1,('env Parameter'!$A:$A=$A1530)*('env Parameter'!$B:$B=$K1530)*('env Parameter'!$C:$C=$L1530),'env Parameter'!D:D,""),"")</f>
        <v>안양천-22</v>
      </c>
      <c r="N1530" s="10" t="str" cm="1">
        <f t="array" ref="N1530">IFERROR(_xlfn.XLOOKUP(1,('env Parameter'!$A:$A=$A1530)*('env Parameter'!$B:$B=$K1530)*('env Parameter'!$C:$C=$L1530),'env Parameter'!I:I,""),"")</f>
        <v>YR</v>
      </c>
    </row>
    <row r="1531" spans="1:14">
      <c r="A1531">
        <f>eDNA!A1531</f>
        <v>20201024</v>
      </c>
      <c r="B1531" s="10" t="str" cm="1">
        <f t="array" ref="B1531">IFERROR(_xlfn.XLOOKUP(1,('env Parameter'!$A:$A=$A1531)*('env Parameter'!$B:$B=$K1531)*('env Parameter'!$C:$C=$L1531),'env Parameter'!H:H,""),"")</f>
        <v>생물상 조사</v>
      </c>
      <c r="C1531" s="10" cm="1">
        <f t="array" ref="C1531">IFERROR(_xlfn.XLOOKUP(1,('env Parameter'!$A:$A=$A1531)*('env Parameter'!$B:$B=$K1531)*('env Parameter'!$C:$C=$L1531),'env Parameter'!E:E,""),"")</f>
        <v>2.14</v>
      </c>
      <c r="D1531" s="10" cm="1">
        <f t="array" ref="D1531">IFERROR(_xlfn.XLOOKUP(1,('env Parameter'!$A:$A=$A1531)*('env Parameter'!$B:$B=$K1531)*('env Parameter'!$C:$C=$L1531),'env Parameter'!F:F,""),"")</f>
        <v>478</v>
      </c>
      <c r="E1531" s="10" cm="1">
        <f t="array" ref="E1531">IFERROR(_xlfn.XLOOKUP(1,('env Parameter'!$A:$A=$A1531)*('env Parameter'!$B:$B=$K1531)*('env Parameter'!$C:$C=$L1531),'env Parameter'!G:G,""),"")</f>
        <v>7.6</v>
      </c>
      <c r="F1531" t="str">
        <f>eDNA!F1531</f>
        <v>MiFish</v>
      </c>
      <c r="G1531" t="str">
        <f>eDNA!D1531</f>
        <v>Carassius gibelio</v>
      </c>
      <c r="H1531" t="str">
        <f>_xlfn.XLOOKUP(G1531,'Common name (master file)'!$B:$B,'Common name (master file)'!$A:$A,"-------------")</f>
        <v>기벨리오 붕어</v>
      </c>
      <c r="I1531">
        <f>eDNA!E1531</f>
        <v>58658</v>
      </c>
      <c r="J1531" t="str">
        <f>_xlfn.XLOOKUP(G1531,'Common name (master file)'!$B:$B,'Common name (master file)'!$C:$C,"")</f>
        <v>어류</v>
      </c>
      <c r="K1531">
        <f>eDNA!B1531</f>
        <v>126.8663749</v>
      </c>
      <c r="L1531">
        <f>eDNA!C1531</f>
        <v>37.492704799999998</v>
      </c>
      <c r="M1531" s="10" t="str" cm="1">
        <f t="array" ref="M1531">IFERROR(_xlfn.XLOOKUP(1,('env Parameter'!$A:$A=$A1531)*('env Parameter'!$B:$B=$K1531)*('env Parameter'!$C:$C=$L1531),'env Parameter'!D:D,""),"")</f>
        <v>안양천-22</v>
      </c>
      <c r="N1531" s="10" t="str" cm="1">
        <f t="array" ref="N1531">IFERROR(_xlfn.XLOOKUP(1,('env Parameter'!$A:$A=$A1531)*('env Parameter'!$B:$B=$K1531)*('env Parameter'!$C:$C=$L1531),'env Parameter'!I:I,""),"")</f>
        <v>YR</v>
      </c>
    </row>
    <row r="1532" spans="1:14">
      <c r="A1532">
        <f>eDNA!A1532</f>
        <v>20201024</v>
      </c>
      <c r="B1532" s="10" t="str" cm="1">
        <f t="array" ref="B1532">IFERROR(_xlfn.XLOOKUP(1,('env Parameter'!$A:$A=$A1532)*('env Parameter'!$B:$B=$K1532)*('env Parameter'!$C:$C=$L1532),'env Parameter'!H:H,""),"")</f>
        <v>생물상 조사</v>
      </c>
      <c r="C1532" s="10" cm="1">
        <f t="array" ref="C1532">IFERROR(_xlfn.XLOOKUP(1,('env Parameter'!$A:$A=$A1532)*('env Parameter'!$B:$B=$K1532)*('env Parameter'!$C:$C=$L1532),'env Parameter'!E:E,""),"")</f>
        <v>2.14</v>
      </c>
      <c r="D1532" s="10" cm="1">
        <f t="array" ref="D1532">IFERROR(_xlfn.XLOOKUP(1,('env Parameter'!$A:$A=$A1532)*('env Parameter'!$B:$B=$K1532)*('env Parameter'!$C:$C=$L1532),'env Parameter'!F:F,""),"")</f>
        <v>478</v>
      </c>
      <c r="E1532" s="10" cm="1">
        <f t="array" ref="E1532">IFERROR(_xlfn.XLOOKUP(1,('env Parameter'!$A:$A=$A1532)*('env Parameter'!$B:$B=$K1532)*('env Parameter'!$C:$C=$L1532),'env Parameter'!G:G,""),"")</f>
        <v>7.6</v>
      </c>
      <c r="F1532" t="str">
        <f>eDNA!F1532</f>
        <v>MiFish</v>
      </c>
      <c r="G1532" t="str">
        <f>eDNA!D1532</f>
        <v>Mus musculus</v>
      </c>
      <c r="H1532" t="str">
        <f>_xlfn.XLOOKUP(G1532,'Common name (master file)'!$B:$B,'Common name (master file)'!$A:$A,"-------------")</f>
        <v>생쥐</v>
      </c>
      <c r="I1532">
        <f>eDNA!E1532</f>
        <v>15</v>
      </c>
      <c r="J1532" t="str">
        <f>_xlfn.XLOOKUP(G1532,'Common name (master file)'!$B:$B,'Common name (master file)'!$C:$C,"")</f>
        <v>포유류</v>
      </c>
      <c r="K1532">
        <f>eDNA!B1532</f>
        <v>126.82462289999999</v>
      </c>
      <c r="L1532">
        <f>eDNA!C1532</f>
        <v>37.470256399999997</v>
      </c>
      <c r="M1532" s="10" t="str" cm="1">
        <f t="array" ref="M1532">IFERROR(_xlfn.XLOOKUP(1,('env Parameter'!$A:$A=$A1532)*('env Parameter'!$B:$B=$K1532)*('env Parameter'!$C:$C=$L1532),'env Parameter'!D:D,""),"")</f>
        <v>옥길천</v>
      </c>
      <c r="N1532" s="10" t="str" cm="1">
        <f t="array" ref="N1532">IFERROR(_xlfn.XLOOKUP(1,('env Parameter'!$A:$A=$A1532)*('env Parameter'!$B:$B=$K1532)*('env Parameter'!$C:$C=$L1532),'env Parameter'!I:I,""),"")</f>
        <v>YR</v>
      </c>
    </row>
    <row r="1533" spans="1:14">
      <c r="A1533">
        <f>eDNA!A1533</f>
        <v>20201024</v>
      </c>
      <c r="B1533" s="10" t="str" cm="1">
        <f t="array" ref="B1533">IFERROR(_xlfn.XLOOKUP(1,('env Parameter'!$A:$A=$A1533)*('env Parameter'!$B:$B=$K1533)*('env Parameter'!$C:$C=$L1533),'env Parameter'!H:H,""),"")</f>
        <v>생물상 조사</v>
      </c>
      <c r="C1533" s="10" cm="1">
        <f t="array" ref="C1533">IFERROR(_xlfn.XLOOKUP(1,('env Parameter'!$A:$A=$A1533)*('env Parameter'!$B:$B=$K1533)*('env Parameter'!$C:$C=$L1533),'env Parameter'!E:E,""),"")</f>
        <v>2.14</v>
      </c>
      <c r="D1533" s="10" cm="1">
        <f t="array" ref="D1533">IFERROR(_xlfn.XLOOKUP(1,('env Parameter'!$A:$A=$A1533)*('env Parameter'!$B:$B=$K1533)*('env Parameter'!$C:$C=$L1533),'env Parameter'!F:F,""),"")</f>
        <v>478</v>
      </c>
      <c r="E1533" s="10" cm="1">
        <f t="array" ref="E1533">IFERROR(_xlfn.XLOOKUP(1,('env Parameter'!$A:$A=$A1533)*('env Parameter'!$B:$B=$K1533)*('env Parameter'!$C:$C=$L1533),'env Parameter'!G:G,""),"")</f>
        <v>7.6</v>
      </c>
      <c r="F1533" t="str">
        <f>eDNA!F1533</f>
        <v>MiFish</v>
      </c>
      <c r="G1533" t="str">
        <f>eDNA!D1533</f>
        <v>Carassius auratus</v>
      </c>
      <c r="H1533" t="str">
        <f>_xlfn.XLOOKUP(G1533,'Common name (master file)'!$B:$B,'Common name (master file)'!$A:$A,"-------------")</f>
        <v>붕어</v>
      </c>
      <c r="I1533">
        <f>eDNA!E1533</f>
        <v>17</v>
      </c>
      <c r="J1533" t="str">
        <f>_xlfn.XLOOKUP(G1533,'Common name (master file)'!$B:$B,'Common name (master file)'!$C:$C,"")</f>
        <v>어류</v>
      </c>
      <c r="K1533">
        <f>eDNA!B1533</f>
        <v>126.82462289999999</v>
      </c>
      <c r="L1533">
        <f>eDNA!C1533</f>
        <v>37.470256399999997</v>
      </c>
      <c r="M1533" s="10" t="str" cm="1">
        <f t="array" ref="M1533">IFERROR(_xlfn.XLOOKUP(1,('env Parameter'!$A:$A=$A1533)*('env Parameter'!$B:$B=$K1533)*('env Parameter'!$C:$C=$L1533),'env Parameter'!D:D,""),"")</f>
        <v>옥길천</v>
      </c>
      <c r="N1533" s="10" t="str" cm="1">
        <f t="array" ref="N1533">IFERROR(_xlfn.XLOOKUP(1,('env Parameter'!$A:$A=$A1533)*('env Parameter'!$B:$B=$K1533)*('env Parameter'!$C:$C=$L1533),'env Parameter'!I:I,""),"")</f>
        <v>YR</v>
      </c>
    </row>
    <row r="1534" spans="1:14">
      <c r="A1534">
        <f>eDNA!A1534</f>
        <v>20201024</v>
      </c>
      <c r="B1534" s="10" t="str" cm="1">
        <f t="array" ref="B1534">IFERROR(_xlfn.XLOOKUP(1,('env Parameter'!$A:$A=$A1534)*('env Parameter'!$B:$B=$K1534)*('env Parameter'!$C:$C=$L1534),'env Parameter'!H:H,""),"")</f>
        <v>생물상 조사</v>
      </c>
      <c r="C1534" s="10" cm="1">
        <f t="array" ref="C1534">IFERROR(_xlfn.XLOOKUP(1,('env Parameter'!$A:$A=$A1534)*('env Parameter'!$B:$B=$K1534)*('env Parameter'!$C:$C=$L1534),'env Parameter'!E:E,""),"")</f>
        <v>2.14</v>
      </c>
      <c r="D1534" s="10" cm="1">
        <f t="array" ref="D1534">IFERROR(_xlfn.XLOOKUP(1,('env Parameter'!$A:$A=$A1534)*('env Parameter'!$B:$B=$K1534)*('env Parameter'!$C:$C=$L1534),'env Parameter'!F:F,""),"")</f>
        <v>478</v>
      </c>
      <c r="E1534" s="10" cm="1">
        <f t="array" ref="E1534">IFERROR(_xlfn.XLOOKUP(1,('env Parameter'!$A:$A=$A1534)*('env Parameter'!$B:$B=$K1534)*('env Parameter'!$C:$C=$L1534),'env Parameter'!G:G,""),"")</f>
        <v>7.6</v>
      </c>
      <c r="F1534" t="str">
        <f>eDNA!F1534</f>
        <v>MiFish</v>
      </c>
      <c r="G1534" t="str">
        <f>eDNA!D1534</f>
        <v>Rhinogobius sp.</v>
      </c>
      <c r="H1534" t="str">
        <f>_xlfn.XLOOKUP(G1534,'Common name (master file)'!$B:$B,'Common name (master file)'!$A:$A,"-------------")</f>
        <v>밀어</v>
      </c>
      <c r="I1534">
        <f>eDNA!E1534</f>
        <v>18</v>
      </c>
      <c r="J1534" t="str">
        <f>_xlfn.XLOOKUP(G1534,'Common name (master file)'!$B:$B,'Common name (master file)'!$C:$C,"")</f>
        <v>어류</v>
      </c>
      <c r="K1534">
        <f>eDNA!B1534</f>
        <v>126.82462289999999</v>
      </c>
      <c r="L1534">
        <f>eDNA!C1534</f>
        <v>37.470256399999997</v>
      </c>
      <c r="M1534" s="10" t="str" cm="1">
        <f t="array" ref="M1534">IFERROR(_xlfn.XLOOKUP(1,('env Parameter'!$A:$A=$A1534)*('env Parameter'!$B:$B=$K1534)*('env Parameter'!$C:$C=$L1534),'env Parameter'!D:D,""),"")</f>
        <v>옥길천</v>
      </c>
      <c r="N1534" s="10" t="str" cm="1">
        <f t="array" ref="N1534">IFERROR(_xlfn.XLOOKUP(1,('env Parameter'!$A:$A=$A1534)*('env Parameter'!$B:$B=$K1534)*('env Parameter'!$C:$C=$L1534),'env Parameter'!I:I,""),"")</f>
        <v>YR</v>
      </c>
    </row>
    <row r="1535" spans="1:14">
      <c r="A1535">
        <f>eDNA!A1535</f>
        <v>20201024</v>
      </c>
      <c r="B1535" s="10" t="str" cm="1">
        <f t="array" ref="B1535">IFERROR(_xlfn.XLOOKUP(1,('env Parameter'!$A:$A=$A1535)*('env Parameter'!$B:$B=$K1535)*('env Parameter'!$C:$C=$L1535),'env Parameter'!H:H,""),"")</f>
        <v>생물상 조사</v>
      </c>
      <c r="C1535" s="10" cm="1">
        <f t="array" ref="C1535">IFERROR(_xlfn.XLOOKUP(1,('env Parameter'!$A:$A=$A1535)*('env Parameter'!$B:$B=$K1535)*('env Parameter'!$C:$C=$L1535),'env Parameter'!E:E,""),"")</f>
        <v>2.14</v>
      </c>
      <c r="D1535" s="10" cm="1">
        <f t="array" ref="D1535">IFERROR(_xlfn.XLOOKUP(1,('env Parameter'!$A:$A=$A1535)*('env Parameter'!$B:$B=$K1535)*('env Parameter'!$C:$C=$L1535),'env Parameter'!F:F,""),"")</f>
        <v>478</v>
      </c>
      <c r="E1535" s="10" cm="1">
        <f t="array" ref="E1535">IFERROR(_xlfn.XLOOKUP(1,('env Parameter'!$A:$A=$A1535)*('env Parameter'!$B:$B=$K1535)*('env Parameter'!$C:$C=$L1535),'env Parameter'!G:G,""),"")</f>
        <v>7.6</v>
      </c>
      <c r="F1535" t="str">
        <f>eDNA!F1535</f>
        <v>MiFish</v>
      </c>
      <c r="G1535" t="str">
        <f>eDNA!D1535</f>
        <v>Tachysurus fulvidraco</v>
      </c>
      <c r="H1535" t="str">
        <f>_xlfn.XLOOKUP(G1535,'Common name (master file)'!$B:$B,'Common name (master file)'!$A:$A,"-------------")</f>
        <v>동자개</v>
      </c>
      <c r="I1535">
        <f>eDNA!E1535</f>
        <v>56</v>
      </c>
      <c r="J1535" t="str">
        <f>_xlfn.XLOOKUP(G1535,'Common name (master file)'!$B:$B,'Common name (master file)'!$C:$C,"")</f>
        <v>어류</v>
      </c>
      <c r="K1535">
        <f>eDNA!B1535</f>
        <v>126.82462289999999</v>
      </c>
      <c r="L1535">
        <f>eDNA!C1535</f>
        <v>37.470256399999997</v>
      </c>
      <c r="M1535" s="10" t="str" cm="1">
        <f t="array" ref="M1535">IFERROR(_xlfn.XLOOKUP(1,('env Parameter'!$A:$A=$A1535)*('env Parameter'!$B:$B=$K1535)*('env Parameter'!$C:$C=$L1535),'env Parameter'!D:D,""),"")</f>
        <v>옥길천</v>
      </c>
      <c r="N1535" s="10" t="str" cm="1">
        <f t="array" ref="N1535">IFERROR(_xlfn.XLOOKUP(1,('env Parameter'!$A:$A=$A1535)*('env Parameter'!$B:$B=$K1535)*('env Parameter'!$C:$C=$L1535),'env Parameter'!I:I,""),"")</f>
        <v>YR</v>
      </c>
    </row>
    <row r="1536" spans="1:14">
      <c r="A1536">
        <f>eDNA!A1536</f>
        <v>20201024</v>
      </c>
      <c r="B1536" s="10" t="str" cm="1">
        <f t="array" ref="B1536">IFERROR(_xlfn.XLOOKUP(1,('env Parameter'!$A:$A=$A1536)*('env Parameter'!$B:$B=$K1536)*('env Parameter'!$C:$C=$L1536),'env Parameter'!H:H,""),"")</f>
        <v>생물상 조사</v>
      </c>
      <c r="C1536" s="10" cm="1">
        <f t="array" ref="C1536">IFERROR(_xlfn.XLOOKUP(1,('env Parameter'!$A:$A=$A1536)*('env Parameter'!$B:$B=$K1536)*('env Parameter'!$C:$C=$L1536),'env Parameter'!E:E,""),"")</f>
        <v>2.14</v>
      </c>
      <c r="D1536" s="10" cm="1">
        <f t="array" ref="D1536">IFERROR(_xlfn.XLOOKUP(1,('env Parameter'!$A:$A=$A1536)*('env Parameter'!$B:$B=$K1536)*('env Parameter'!$C:$C=$L1536),'env Parameter'!F:F,""),"")</f>
        <v>478</v>
      </c>
      <c r="E1536" s="10" cm="1">
        <f t="array" ref="E1536">IFERROR(_xlfn.XLOOKUP(1,('env Parameter'!$A:$A=$A1536)*('env Parameter'!$B:$B=$K1536)*('env Parameter'!$C:$C=$L1536),'env Parameter'!G:G,""),"")</f>
        <v>7.6</v>
      </c>
      <c r="F1536" t="str">
        <f>eDNA!F1536</f>
        <v>MiFish</v>
      </c>
      <c r="G1536" t="str">
        <f>eDNA!D1536</f>
        <v>Pagrus major</v>
      </c>
      <c r="H1536" t="str">
        <f>_xlfn.XLOOKUP(G1536,'Common name (master file)'!$B:$B,'Common name (master file)'!$A:$A,"-------------")</f>
        <v>참돔</v>
      </c>
      <c r="I1536">
        <f>eDNA!E1536</f>
        <v>87</v>
      </c>
      <c r="J1536" t="str">
        <f>_xlfn.XLOOKUP(G1536,'Common name (master file)'!$B:$B,'Common name (master file)'!$C:$C,"")</f>
        <v>어류</v>
      </c>
      <c r="K1536">
        <f>eDNA!B1536</f>
        <v>126.82462289999999</v>
      </c>
      <c r="L1536">
        <f>eDNA!C1536</f>
        <v>37.470256399999997</v>
      </c>
      <c r="M1536" s="10" t="str" cm="1">
        <f t="array" ref="M1536">IFERROR(_xlfn.XLOOKUP(1,('env Parameter'!$A:$A=$A1536)*('env Parameter'!$B:$B=$K1536)*('env Parameter'!$C:$C=$L1536),'env Parameter'!D:D,""),"")</f>
        <v>옥길천</v>
      </c>
      <c r="N1536" s="10" t="str" cm="1">
        <f t="array" ref="N1536">IFERROR(_xlfn.XLOOKUP(1,('env Parameter'!$A:$A=$A1536)*('env Parameter'!$B:$B=$K1536)*('env Parameter'!$C:$C=$L1536),'env Parameter'!I:I,""),"")</f>
        <v>YR</v>
      </c>
    </row>
    <row r="1537" spans="1:14">
      <c r="A1537">
        <f>eDNA!A1537</f>
        <v>20201024</v>
      </c>
      <c r="B1537" s="10" t="str" cm="1">
        <f t="array" ref="B1537">IFERROR(_xlfn.XLOOKUP(1,('env Parameter'!$A:$A=$A1537)*('env Parameter'!$B:$B=$K1537)*('env Parameter'!$C:$C=$L1537),'env Parameter'!H:H,""),"")</f>
        <v>생물상 조사</v>
      </c>
      <c r="C1537" s="10" cm="1">
        <f t="array" ref="C1537">IFERROR(_xlfn.XLOOKUP(1,('env Parameter'!$A:$A=$A1537)*('env Parameter'!$B:$B=$K1537)*('env Parameter'!$C:$C=$L1537),'env Parameter'!E:E,""),"")</f>
        <v>2.14</v>
      </c>
      <c r="D1537" s="10" cm="1">
        <f t="array" ref="D1537">IFERROR(_xlfn.XLOOKUP(1,('env Parameter'!$A:$A=$A1537)*('env Parameter'!$B:$B=$K1537)*('env Parameter'!$C:$C=$L1537),'env Parameter'!F:F,""),"")</f>
        <v>478</v>
      </c>
      <c r="E1537" s="10" cm="1">
        <f t="array" ref="E1537">IFERROR(_xlfn.XLOOKUP(1,('env Parameter'!$A:$A=$A1537)*('env Parameter'!$B:$B=$K1537)*('env Parameter'!$C:$C=$L1537),'env Parameter'!G:G,""),"")</f>
        <v>7.6</v>
      </c>
      <c r="F1537" t="str">
        <f>eDNA!F1537</f>
        <v>MiFish</v>
      </c>
      <c r="G1537" t="str">
        <f>eDNA!D1537</f>
        <v>Synechogobius hasta</v>
      </c>
      <c r="H1537" t="str">
        <f>_xlfn.XLOOKUP(G1537,'Common name (master file)'!$B:$B,'Common name (master file)'!$A:$A,"-------------")</f>
        <v>풀망둑</v>
      </c>
      <c r="I1537">
        <f>eDNA!E1537</f>
        <v>89</v>
      </c>
      <c r="J1537" t="str">
        <f>_xlfn.XLOOKUP(G1537,'Common name (master file)'!$B:$B,'Common name (master file)'!$C:$C,"")</f>
        <v>어류</v>
      </c>
      <c r="K1537">
        <f>eDNA!B1537</f>
        <v>126.82462289999999</v>
      </c>
      <c r="L1537">
        <f>eDNA!C1537</f>
        <v>37.470256399999997</v>
      </c>
      <c r="M1537" s="10" t="str" cm="1">
        <f t="array" ref="M1537">IFERROR(_xlfn.XLOOKUP(1,('env Parameter'!$A:$A=$A1537)*('env Parameter'!$B:$B=$K1537)*('env Parameter'!$C:$C=$L1537),'env Parameter'!D:D,""),"")</f>
        <v>옥길천</v>
      </c>
      <c r="N1537" s="10" t="str" cm="1">
        <f t="array" ref="N1537">IFERROR(_xlfn.XLOOKUP(1,('env Parameter'!$A:$A=$A1537)*('env Parameter'!$B:$B=$K1537)*('env Parameter'!$C:$C=$L1537),'env Parameter'!I:I,""),"")</f>
        <v>YR</v>
      </c>
    </row>
    <row r="1538" spans="1:14">
      <c r="A1538">
        <f>eDNA!A1538</f>
        <v>20201024</v>
      </c>
      <c r="B1538" s="10" t="str" cm="1">
        <f t="array" ref="B1538">IFERROR(_xlfn.XLOOKUP(1,('env Parameter'!$A:$A=$A1538)*('env Parameter'!$B:$B=$K1538)*('env Parameter'!$C:$C=$L1538),'env Parameter'!H:H,""),"")</f>
        <v>생물상 조사</v>
      </c>
      <c r="C1538" s="10" cm="1">
        <f t="array" ref="C1538">IFERROR(_xlfn.XLOOKUP(1,('env Parameter'!$A:$A=$A1538)*('env Parameter'!$B:$B=$K1538)*('env Parameter'!$C:$C=$L1538),'env Parameter'!E:E,""),"")</f>
        <v>2.14</v>
      </c>
      <c r="D1538" s="10" cm="1">
        <f t="array" ref="D1538">IFERROR(_xlfn.XLOOKUP(1,('env Parameter'!$A:$A=$A1538)*('env Parameter'!$B:$B=$K1538)*('env Parameter'!$C:$C=$L1538),'env Parameter'!F:F,""),"")</f>
        <v>478</v>
      </c>
      <c r="E1538" s="10" cm="1">
        <f t="array" ref="E1538">IFERROR(_xlfn.XLOOKUP(1,('env Parameter'!$A:$A=$A1538)*('env Parameter'!$B:$B=$K1538)*('env Parameter'!$C:$C=$L1538),'env Parameter'!G:G,""),"")</f>
        <v>7.6</v>
      </c>
      <c r="F1538" t="str">
        <f>eDNA!F1538</f>
        <v>MiFish</v>
      </c>
      <c r="G1538" t="str">
        <f>eDNA!D1538</f>
        <v>Gymnogobius urotaenia</v>
      </c>
      <c r="H1538" t="str">
        <f>_xlfn.XLOOKUP(G1538,'Common name (master file)'!$B:$B,'Common name (master file)'!$A:$A,"-------------")</f>
        <v>꾹저구</v>
      </c>
      <c r="I1538">
        <f>eDNA!E1538</f>
        <v>99</v>
      </c>
      <c r="J1538" t="str">
        <f>_xlfn.XLOOKUP(G1538,'Common name (master file)'!$B:$B,'Common name (master file)'!$C:$C,"")</f>
        <v>어류</v>
      </c>
      <c r="K1538">
        <f>eDNA!B1538</f>
        <v>126.82462289999999</v>
      </c>
      <c r="L1538">
        <f>eDNA!C1538</f>
        <v>37.470256399999997</v>
      </c>
      <c r="M1538" s="10" t="str" cm="1">
        <f t="array" ref="M1538">IFERROR(_xlfn.XLOOKUP(1,('env Parameter'!$A:$A=$A1538)*('env Parameter'!$B:$B=$K1538)*('env Parameter'!$C:$C=$L1538),'env Parameter'!D:D,""),"")</f>
        <v>옥길천</v>
      </c>
      <c r="N1538" s="10" t="str" cm="1">
        <f t="array" ref="N1538">IFERROR(_xlfn.XLOOKUP(1,('env Parameter'!$A:$A=$A1538)*('env Parameter'!$B:$B=$K1538)*('env Parameter'!$C:$C=$L1538),'env Parameter'!I:I,""),"")</f>
        <v>YR</v>
      </c>
    </row>
    <row r="1539" spans="1:14">
      <c r="A1539">
        <f>eDNA!A1539</f>
        <v>20201024</v>
      </c>
      <c r="B1539" s="10" t="str" cm="1">
        <f t="array" ref="B1539">IFERROR(_xlfn.XLOOKUP(1,('env Parameter'!$A:$A=$A1539)*('env Parameter'!$B:$B=$K1539)*('env Parameter'!$C:$C=$L1539),'env Parameter'!H:H,""),"")</f>
        <v>생물상 조사</v>
      </c>
      <c r="C1539" s="10" cm="1">
        <f t="array" ref="C1539">IFERROR(_xlfn.XLOOKUP(1,('env Parameter'!$A:$A=$A1539)*('env Parameter'!$B:$B=$K1539)*('env Parameter'!$C:$C=$L1539),'env Parameter'!E:E,""),"")</f>
        <v>2.14</v>
      </c>
      <c r="D1539" s="10" cm="1">
        <f t="array" ref="D1539">IFERROR(_xlfn.XLOOKUP(1,('env Parameter'!$A:$A=$A1539)*('env Parameter'!$B:$B=$K1539)*('env Parameter'!$C:$C=$L1539),'env Parameter'!F:F,""),"")</f>
        <v>478</v>
      </c>
      <c r="E1539" s="10" cm="1">
        <f t="array" ref="E1539">IFERROR(_xlfn.XLOOKUP(1,('env Parameter'!$A:$A=$A1539)*('env Parameter'!$B:$B=$K1539)*('env Parameter'!$C:$C=$L1539),'env Parameter'!G:G,""),"")</f>
        <v>7.6</v>
      </c>
      <c r="F1539" t="str">
        <f>eDNA!F1539</f>
        <v>MiFish</v>
      </c>
      <c r="G1539" t="str">
        <f>eDNA!D1539</f>
        <v>Misgurnus anguillicaudatus</v>
      </c>
      <c r="H1539" t="str">
        <f>_xlfn.XLOOKUP(G1539,'Common name (master file)'!$B:$B,'Common name (master file)'!$A:$A,"-------------")</f>
        <v>미꾸리</v>
      </c>
      <c r="I1539">
        <f>eDNA!E1539</f>
        <v>397</v>
      </c>
      <c r="J1539" t="str">
        <f>_xlfn.XLOOKUP(G1539,'Common name (master file)'!$B:$B,'Common name (master file)'!$C:$C,"")</f>
        <v>어류</v>
      </c>
      <c r="K1539">
        <f>eDNA!B1539</f>
        <v>126.82462289999999</v>
      </c>
      <c r="L1539">
        <f>eDNA!C1539</f>
        <v>37.470256399999997</v>
      </c>
      <c r="M1539" s="10" t="str" cm="1">
        <f t="array" ref="M1539">IFERROR(_xlfn.XLOOKUP(1,('env Parameter'!$A:$A=$A1539)*('env Parameter'!$B:$B=$K1539)*('env Parameter'!$C:$C=$L1539),'env Parameter'!D:D,""),"")</f>
        <v>옥길천</v>
      </c>
      <c r="N1539" s="10" t="str" cm="1">
        <f t="array" ref="N1539">IFERROR(_xlfn.XLOOKUP(1,('env Parameter'!$A:$A=$A1539)*('env Parameter'!$B:$B=$K1539)*('env Parameter'!$C:$C=$L1539),'env Parameter'!I:I,""),"")</f>
        <v>YR</v>
      </c>
    </row>
    <row r="1540" spans="1:14">
      <c r="A1540">
        <f>eDNA!A1540</f>
        <v>20201024</v>
      </c>
      <c r="B1540" s="10" t="str" cm="1">
        <f t="array" ref="B1540">IFERROR(_xlfn.XLOOKUP(1,('env Parameter'!$A:$A=$A1540)*('env Parameter'!$B:$B=$K1540)*('env Parameter'!$C:$C=$L1540),'env Parameter'!H:H,""),"")</f>
        <v>생물상 조사</v>
      </c>
      <c r="C1540" s="10" cm="1">
        <f t="array" ref="C1540">IFERROR(_xlfn.XLOOKUP(1,('env Parameter'!$A:$A=$A1540)*('env Parameter'!$B:$B=$K1540)*('env Parameter'!$C:$C=$L1540),'env Parameter'!E:E,""),"")</f>
        <v>2.14</v>
      </c>
      <c r="D1540" s="10" cm="1">
        <f t="array" ref="D1540">IFERROR(_xlfn.XLOOKUP(1,('env Parameter'!$A:$A=$A1540)*('env Parameter'!$B:$B=$K1540)*('env Parameter'!$C:$C=$L1540),'env Parameter'!F:F,""),"")</f>
        <v>478</v>
      </c>
      <c r="E1540" s="10" cm="1">
        <f t="array" ref="E1540">IFERROR(_xlfn.XLOOKUP(1,('env Parameter'!$A:$A=$A1540)*('env Parameter'!$B:$B=$K1540)*('env Parameter'!$C:$C=$L1540),'env Parameter'!G:G,""),"")</f>
        <v>7.6</v>
      </c>
      <c r="F1540" t="str">
        <f>eDNA!F1540</f>
        <v>MiFish</v>
      </c>
      <c r="G1540" t="str">
        <f>eDNA!D1540</f>
        <v>Tadorna tadorna</v>
      </c>
      <c r="H1540" t="str">
        <f>_xlfn.XLOOKUP(G1540,'Common name (master file)'!$B:$B,'Common name (master file)'!$A:$A,"-------------")</f>
        <v>혹부리오리</v>
      </c>
      <c r="I1540">
        <f>eDNA!E1540</f>
        <v>201</v>
      </c>
      <c r="J1540" t="str">
        <f>_xlfn.XLOOKUP(G1540,'Common name (master file)'!$B:$B,'Common name (master file)'!$C:$C,"")</f>
        <v>조류</v>
      </c>
      <c r="K1540">
        <f>eDNA!B1540</f>
        <v>126.82462289999999</v>
      </c>
      <c r="L1540">
        <f>eDNA!C1540</f>
        <v>37.470256399999997</v>
      </c>
      <c r="M1540" s="10" t="str" cm="1">
        <f t="array" ref="M1540">IFERROR(_xlfn.XLOOKUP(1,('env Parameter'!$A:$A=$A1540)*('env Parameter'!$B:$B=$K1540)*('env Parameter'!$C:$C=$L1540),'env Parameter'!D:D,""),"")</f>
        <v>옥길천</v>
      </c>
      <c r="N1540" s="10" t="str" cm="1">
        <f t="array" ref="N1540">IFERROR(_xlfn.XLOOKUP(1,('env Parameter'!$A:$A=$A1540)*('env Parameter'!$B:$B=$K1540)*('env Parameter'!$C:$C=$L1540),'env Parameter'!I:I,""),"")</f>
        <v>YR</v>
      </c>
    </row>
    <row r="1541" spans="1:14">
      <c r="A1541">
        <f>eDNA!A1541</f>
        <v>20201024</v>
      </c>
      <c r="B1541" s="10" t="str" cm="1">
        <f t="array" ref="B1541">IFERROR(_xlfn.XLOOKUP(1,('env Parameter'!$A:$A=$A1541)*('env Parameter'!$B:$B=$K1541)*('env Parameter'!$C:$C=$L1541),'env Parameter'!H:H,""),"")</f>
        <v>생물상 조사</v>
      </c>
      <c r="C1541" s="10" cm="1">
        <f t="array" ref="C1541">IFERROR(_xlfn.XLOOKUP(1,('env Parameter'!$A:$A=$A1541)*('env Parameter'!$B:$B=$K1541)*('env Parameter'!$C:$C=$L1541),'env Parameter'!E:E,""),"")</f>
        <v>2.14</v>
      </c>
      <c r="D1541" s="10" cm="1">
        <f t="array" ref="D1541">IFERROR(_xlfn.XLOOKUP(1,('env Parameter'!$A:$A=$A1541)*('env Parameter'!$B:$B=$K1541)*('env Parameter'!$C:$C=$L1541),'env Parameter'!F:F,""),"")</f>
        <v>478</v>
      </c>
      <c r="E1541" s="10" cm="1">
        <f t="array" ref="E1541">IFERROR(_xlfn.XLOOKUP(1,('env Parameter'!$A:$A=$A1541)*('env Parameter'!$B:$B=$K1541)*('env Parameter'!$C:$C=$L1541),'env Parameter'!G:G,""),"")</f>
        <v>7.6</v>
      </c>
      <c r="F1541" t="str">
        <f>eDNA!F1541</f>
        <v>MiFish</v>
      </c>
      <c r="G1541" t="str">
        <f>eDNA!D1541</f>
        <v>Mugil cephalus</v>
      </c>
      <c r="H1541" t="str">
        <f>_xlfn.XLOOKUP(G1541,'Common name (master file)'!$B:$B,'Common name (master file)'!$A:$A,"-------------")</f>
        <v>숭어</v>
      </c>
      <c r="I1541">
        <f>eDNA!E1541</f>
        <v>205</v>
      </c>
      <c r="J1541" t="str">
        <f>_xlfn.XLOOKUP(G1541,'Common name (master file)'!$B:$B,'Common name (master file)'!$C:$C,"")</f>
        <v>어류</v>
      </c>
      <c r="K1541">
        <f>eDNA!B1541</f>
        <v>126.82462289999999</v>
      </c>
      <c r="L1541">
        <f>eDNA!C1541</f>
        <v>37.470256399999997</v>
      </c>
      <c r="M1541" s="10" t="str" cm="1">
        <f t="array" ref="M1541">IFERROR(_xlfn.XLOOKUP(1,('env Parameter'!$A:$A=$A1541)*('env Parameter'!$B:$B=$K1541)*('env Parameter'!$C:$C=$L1541),'env Parameter'!D:D,""),"")</f>
        <v>옥길천</v>
      </c>
      <c r="N1541" s="10" t="str" cm="1">
        <f t="array" ref="N1541">IFERROR(_xlfn.XLOOKUP(1,('env Parameter'!$A:$A=$A1541)*('env Parameter'!$B:$B=$K1541)*('env Parameter'!$C:$C=$L1541),'env Parameter'!I:I,""),"")</f>
        <v>YR</v>
      </c>
    </row>
    <row r="1542" spans="1:14">
      <c r="A1542">
        <f>eDNA!A1542</f>
        <v>20201024</v>
      </c>
      <c r="B1542" s="10" t="str" cm="1">
        <f t="array" ref="B1542">IFERROR(_xlfn.XLOOKUP(1,('env Parameter'!$A:$A=$A1542)*('env Parameter'!$B:$B=$K1542)*('env Parameter'!$C:$C=$L1542),'env Parameter'!H:H,""),"")</f>
        <v>생물상 조사</v>
      </c>
      <c r="C1542" s="10" cm="1">
        <f t="array" ref="C1542">IFERROR(_xlfn.XLOOKUP(1,('env Parameter'!$A:$A=$A1542)*('env Parameter'!$B:$B=$K1542)*('env Parameter'!$C:$C=$L1542),'env Parameter'!E:E,""),"")</f>
        <v>2.14</v>
      </c>
      <c r="D1542" s="10" cm="1">
        <f t="array" ref="D1542">IFERROR(_xlfn.XLOOKUP(1,('env Parameter'!$A:$A=$A1542)*('env Parameter'!$B:$B=$K1542)*('env Parameter'!$C:$C=$L1542),'env Parameter'!F:F,""),"")</f>
        <v>478</v>
      </c>
      <c r="E1542" s="10" cm="1">
        <f t="array" ref="E1542">IFERROR(_xlfn.XLOOKUP(1,('env Parameter'!$A:$A=$A1542)*('env Parameter'!$B:$B=$K1542)*('env Parameter'!$C:$C=$L1542),'env Parameter'!G:G,""),"")</f>
        <v>7.6</v>
      </c>
      <c r="F1542" t="str">
        <f>eDNA!F1542</f>
        <v>MiFish</v>
      </c>
      <c r="G1542" t="str">
        <f>eDNA!D1542</f>
        <v>Micropercops swinhonis</v>
      </c>
      <c r="H1542" t="str">
        <f>_xlfn.XLOOKUP(G1542,'Common name (master file)'!$B:$B,'Common name (master file)'!$A:$A,"-------------")</f>
        <v>좀구굴치</v>
      </c>
      <c r="I1542">
        <f>eDNA!E1542</f>
        <v>6662</v>
      </c>
      <c r="J1542" t="str">
        <f>_xlfn.XLOOKUP(G1542,'Common name (master file)'!$B:$B,'Common name (master file)'!$C:$C,"")</f>
        <v>어류</v>
      </c>
      <c r="K1542">
        <f>eDNA!B1542</f>
        <v>126.83793110000001</v>
      </c>
      <c r="L1542">
        <f>eDNA!C1542</f>
        <v>37.441797600000001</v>
      </c>
      <c r="M1542" s="10" t="str" cm="1">
        <f t="array" ref="M1542">IFERROR(_xlfn.XLOOKUP(1,('env Parameter'!$A:$A=$A1542)*('env Parameter'!$B:$B=$K1542)*('env Parameter'!$C:$C=$L1542),'env Parameter'!D:D,""),"")</f>
        <v>목감천-2</v>
      </c>
      <c r="N1542" s="10" t="str" cm="1">
        <f t="array" ref="N1542">IFERROR(_xlfn.XLOOKUP(1,('env Parameter'!$A:$A=$A1542)*('env Parameter'!$B:$B=$K1542)*('env Parameter'!$C:$C=$L1542),'env Parameter'!I:I,""),"")</f>
        <v>YR</v>
      </c>
    </row>
    <row r="1543" spans="1:14">
      <c r="A1543">
        <f>eDNA!A1543</f>
        <v>20201024</v>
      </c>
      <c r="B1543" s="10" t="str" cm="1">
        <f t="array" ref="B1543">IFERROR(_xlfn.XLOOKUP(1,('env Parameter'!$A:$A=$A1543)*('env Parameter'!$B:$B=$K1543)*('env Parameter'!$C:$C=$L1543),'env Parameter'!H:H,""),"")</f>
        <v>생물상 조사</v>
      </c>
      <c r="C1543" s="10" cm="1">
        <f t="array" ref="C1543">IFERROR(_xlfn.XLOOKUP(1,('env Parameter'!$A:$A=$A1543)*('env Parameter'!$B:$B=$K1543)*('env Parameter'!$C:$C=$L1543),'env Parameter'!E:E,""),"")</f>
        <v>2.14</v>
      </c>
      <c r="D1543" s="10" cm="1">
        <f t="array" ref="D1543">IFERROR(_xlfn.XLOOKUP(1,('env Parameter'!$A:$A=$A1543)*('env Parameter'!$B:$B=$K1543)*('env Parameter'!$C:$C=$L1543),'env Parameter'!F:F,""),"")</f>
        <v>478</v>
      </c>
      <c r="E1543" s="10" cm="1">
        <f t="array" ref="E1543">IFERROR(_xlfn.XLOOKUP(1,('env Parameter'!$A:$A=$A1543)*('env Parameter'!$B:$B=$K1543)*('env Parameter'!$C:$C=$L1543),'env Parameter'!G:G,""),"")</f>
        <v>7.6</v>
      </c>
      <c r="F1543" t="str">
        <f>eDNA!F1543</f>
        <v>MiFish</v>
      </c>
      <c r="G1543" t="str">
        <f>eDNA!D1543</f>
        <v>Sus scrofa</v>
      </c>
      <c r="H1543" t="str">
        <f>_xlfn.XLOOKUP(G1543,'Common name (master file)'!$B:$B,'Common name (master file)'!$A:$A,"-------------")</f>
        <v>멧돼지</v>
      </c>
      <c r="I1543">
        <f>eDNA!E1543</f>
        <v>496</v>
      </c>
      <c r="J1543" t="str">
        <f>_xlfn.XLOOKUP(G1543,'Common name (master file)'!$B:$B,'Common name (master file)'!$C:$C,"")</f>
        <v>포유류</v>
      </c>
      <c r="K1543">
        <f>eDNA!B1543</f>
        <v>126.82462289999999</v>
      </c>
      <c r="L1543">
        <f>eDNA!C1543</f>
        <v>37.470256399999997</v>
      </c>
      <c r="M1543" s="10" t="str" cm="1">
        <f t="array" ref="M1543">IFERROR(_xlfn.XLOOKUP(1,('env Parameter'!$A:$A=$A1543)*('env Parameter'!$B:$B=$K1543)*('env Parameter'!$C:$C=$L1543),'env Parameter'!D:D,""),"")</f>
        <v>옥길천</v>
      </c>
      <c r="N1543" s="10" t="str" cm="1">
        <f t="array" ref="N1543">IFERROR(_xlfn.XLOOKUP(1,('env Parameter'!$A:$A=$A1543)*('env Parameter'!$B:$B=$K1543)*('env Parameter'!$C:$C=$L1543),'env Parameter'!I:I,""),"")</f>
        <v>YR</v>
      </c>
    </row>
    <row r="1544" spans="1:14">
      <c r="A1544">
        <f>eDNA!A1544</f>
        <v>20201024</v>
      </c>
      <c r="B1544" s="10" t="str" cm="1">
        <f t="array" ref="B1544">IFERROR(_xlfn.XLOOKUP(1,('env Parameter'!$A:$A=$A1544)*('env Parameter'!$B:$B=$K1544)*('env Parameter'!$C:$C=$L1544),'env Parameter'!H:H,""),"")</f>
        <v>생물상 조사</v>
      </c>
      <c r="C1544" s="10" cm="1">
        <f t="array" ref="C1544">IFERROR(_xlfn.XLOOKUP(1,('env Parameter'!$A:$A=$A1544)*('env Parameter'!$B:$B=$K1544)*('env Parameter'!$C:$C=$L1544),'env Parameter'!E:E,""),"")</f>
        <v>2.14</v>
      </c>
      <c r="D1544" s="10" cm="1">
        <f t="array" ref="D1544">IFERROR(_xlfn.XLOOKUP(1,('env Parameter'!$A:$A=$A1544)*('env Parameter'!$B:$B=$K1544)*('env Parameter'!$C:$C=$L1544),'env Parameter'!F:F,""),"")</f>
        <v>478</v>
      </c>
      <c r="E1544" s="10" cm="1">
        <f t="array" ref="E1544">IFERROR(_xlfn.XLOOKUP(1,('env Parameter'!$A:$A=$A1544)*('env Parameter'!$B:$B=$K1544)*('env Parameter'!$C:$C=$L1544),'env Parameter'!G:G,""),"")</f>
        <v>7.6</v>
      </c>
      <c r="F1544" t="str">
        <f>eDNA!F1544</f>
        <v>MiFish</v>
      </c>
      <c r="G1544" t="str">
        <f>eDNA!D1544</f>
        <v>Scomberomorus niphonius</v>
      </c>
      <c r="H1544" t="str">
        <f>_xlfn.XLOOKUP(G1544,'Common name (master file)'!$B:$B,'Common name (master file)'!$A:$A,"-------------")</f>
        <v>삼치</v>
      </c>
      <c r="I1544">
        <f>eDNA!E1544</f>
        <v>270</v>
      </c>
      <c r="J1544" t="str">
        <f>_xlfn.XLOOKUP(G1544,'Common name (master file)'!$B:$B,'Common name (master file)'!$C:$C,"")</f>
        <v>어류</v>
      </c>
      <c r="K1544">
        <f>eDNA!B1544</f>
        <v>126.82462289999999</v>
      </c>
      <c r="L1544">
        <f>eDNA!C1544</f>
        <v>37.470256399999997</v>
      </c>
      <c r="M1544" s="10" t="str" cm="1">
        <f t="array" ref="M1544">IFERROR(_xlfn.XLOOKUP(1,('env Parameter'!$A:$A=$A1544)*('env Parameter'!$B:$B=$K1544)*('env Parameter'!$C:$C=$L1544),'env Parameter'!D:D,""),"")</f>
        <v>옥길천</v>
      </c>
      <c r="N1544" s="10" t="str" cm="1">
        <f t="array" ref="N1544">IFERROR(_xlfn.XLOOKUP(1,('env Parameter'!$A:$A=$A1544)*('env Parameter'!$B:$B=$K1544)*('env Parameter'!$C:$C=$L1544),'env Parameter'!I:I,""),"")</f>
        <v>YR</v>
      </c>
    </row>
    <row r="1545" spans="1:14">
      <c r="A1545">
        <f>eDNA!A1545</f>
        <v>20201024</v>
      </c>
      <c r="B1545" s="10" t="str" cm="1">
        <f t="array" ref="B1545">IFERROR(_xlfn.XLOOKUP(1,('env Parameter'!$A:$A=$A1545)*('env Parameter'!$B:$B=$K1545)*('env Parameter'!$C:$C=$L1545),'env Parameter'!H:H,""),"")</f>
        <v>생물상 조사</v>
      </c>
      <c r="C1545" s="10" cm="1">
        <f t="array" ref="C1545">IFERROR(_xlfn.XLOOKUP(1,('env Parameter'!$A:$A=$A1545)*('env Parameter'!$B:$B=$K1545)*('env Parameter'!$C:$C=$L1545),'env Parameter'!E:E,""),"")</f>
        <v>2.14</v>
      </c>
      <c r="D1545" s="10" cm="1">
        <f t="array" ref="D1545">IFERROR(_xlfn.XLOOKUP(1,('env Parameter'!$A:$A=$A1545)*('env Parameter'!$B:$B=$K1545)*('env Parameter'!$C:$C=$L1545),'env Parameter'!F:F,""),"")</f>
        <v>478</v>
      </c>
      <c r="E1545" s="10" cm="1">
        <f t="array" ref="E1545">IFERROR(_xlfn.XLOOKUP(1,('env Parameter'!$A:$A=$A1545)*('env Parameter'!$B:$B=$K1545)*('env Parameter'!$C:$C=$L1545),'env Parameter'!G:G,""),"")</f>
        <v>7.6</v>
      </c>
      <c r="F1545" t="str">
        <f>eDNA!F1545</f>
        <v>MiFish</v>
      </c>
      <c r="G1545" t="str">
        <f>eDNA!D1545</f>
        <v>Gnathopogon strigatus</v>
      </c>
      <c r="H1545" t="str">
        <f>_xlfn.XLOOKUP(G1545,'Common name (master file)'!$B:$B,'Common name (master file)'!$A:$A,"-------------")</f>
        <v>줄몰개</v>
      </c>
      <c r="I1545">
        <f>eDNA!E1545</f>
        <v>389</v>
      </c>
      <c r="J1545" t="str">
        <f>_xlfn.XLOOKUP(G1545,'Common name (master file)'!$B:$B,'Common name (master file)'!$C:$C,"")</f>
        <v>어류</v>
      </c>
      <c r="K1545">
        <f>eDNA!B1545</f>
        <v>126.82462289999999</v>
      </c>
      <c r="L1545">
        <f>eDNA!C1545</f>
        <v>37.470256399999997</v>
      </c>
      <c r="M1545" s="10" t="str" cm="1">
        <f t="array" ref="M1545">IFERROR(_xlfn.XLOOKUP(1,('env Parameter'!$A:$A=$A1545)*('env Parameter'!$B:$B=$K1545)*('env Parameter'!$C:$C=$L1545),'env Parameter'!D:D,""),"")</f>
        <v>옥길천</v>
      </c>
      <c r="N1545" s="10" t="str" cm="1">
        <f t="array" ref="N1545">IFERROR(_xlfn.XLOOKUP(1,('env Parameter'!$A:$A=$A1545)*('env Parameter'!$B:$B=$K1545)*('env Parameter'!$C:$C=$L1545),'env Parameter'!I:I,""),"")</f>
        <v>YR</v>
      </c>
    </row>
    <row r="1546" spans="1:14">
      <c r="A1546">
        <f>eDNA!A1546</f>
        <v>20201024</v>
      </c>
      <c r="B1546" s="10" t="str" cm="1">
        <f t="array" ref="B1546">IFERROR(_xlfn.XLOOKUP(1,('env Parameter'!$A:$A=$A1546)*('env Parameter'!$B:$B=$K1546)*('env Parameter'!$C:$C=$L1546),'env Parameter'!H:H,""),"")</f>
        <v>생물상 조사</v>
      </c>
      <c r="C1546" s="10" cm="1">
        <f t="array" ref="C1546">IFERROR(_xlfn.XLOOKUP(1,('env Parameter'!$A:$A=$A1546)*('env Parameter'!$B:$B=$K1546)*('env Parameter'!$C:$C=$L1546),'env Parameter'!E:E,""),"")</f>
        <v>2.14</v>
      </c>
      <c r="D1546" s="10" cm="1">
        <f t="array" ref="D1546">IFERROR(_xlfn.XLOOKUP(1,('env Parameter'!$A:$A=$A1546)*('env Parameter'!$B:$B=$K1546)*('env Parameter'!$C:$C=$L1546),'env Parameter'!F:F,""),"")</f>
        <v>478</v>
      </c>
      <c r="E1546" s="10" cm="1">
        <f t="array" ref="E1546">IFERROR(_xlfn.XLOOKUP(1,('env Parameter'!$A:$A=$A1546)*('env Parameter'!$B:$B=$K1546)*('env Parameter'!$C:$C=$L1546),'env Parameter'!G:G,""),"")</f>
        <v>7.6</v>
      </c>
      <c r="F1546" t="str">
        <f>eDNA!F1546</f>
        <v>MiFish</v>
      </c>
      <c r="G1546" t="str">
        <f>eDNA!D1546</f>
        <v>Bos taurus</v>
      </c>
      <c r="H1546" t="str">
        <f>_xlfn.XLOOKUP(G1546,'Common name (master file)'!$B:$B,'Common name (master file)'!$A:$A,"-------------")</f>
        <v>소</v>
      </c>
      <c r="I1546">
        <f>eDNA!E1546</f>
        <v>605</v>
      </c>
      <c r="J1546" t="str">
        <f>_xlfn.XLOOKUP(G1546,'Common name (master file)'!$B:$B,'Common name (master file)'!$C:$C,"")</f>
        <v>포유류</v>
      </c>
      <c r="K1546">
        <f>eDNA!B1546</f>
        <v>126.82462289999999</v>
      </c>
      <c r="L1546">
        <f>eDNA!C1546</f>
        <v>37.470256399999997</v>
      </c>
      <c r="M1546" s="10" t="str" cm="1">
        <f t="array" ref="M1546">IFERROR(_xlfn.XLOOKUP(1,('env Parameter'!$A:$A=$A1546)*('env Parameter'!$B:$B=$K1546)*('env Parameter'!$C:$C=$L1546),'env Parameter'!D:D,""),"")</f>
        <v>옥길천</v>
      </c>
      <c r="N1546" s="10" t="str" cm="1">
        <f t="array" ref="N1546">IFERROR(_xlfn.XLOOKUP(1,('env Parameter'!$A:$A=$A1546)*('env Parameter'!$B:$B=$K1546)*('env Parameter'!$C:$C=$L1546),'env Parameter'!I:I,""),"")</f>
        <v>YR</v>
      </c>
    </row>
    <row r="1547" spans="1:14">
      <c r="A1547">
        <f>eDNA!A1547</f>
        <v>20201024</v>
      </c>
      <c r="B1547" s="10" t="str" cm="1">
        <f t="array" ref="B1547">IFERROR(_xlfn.XLOOKUP(1,('env Parameter'!$A:$A=$A1547)*('env Parameter'!$B:$B=$K1547)*('env Parameter'!$C:$C=$L1547),'env Parameter'!H:H,""),"")</f>
        <v>생물상 조사</v>
      </c>
      <c r="C1547" s="10" cm="1">
        <f t="array" ref="C1547">IFERROR(_xlfn.XLOOKUP(1,('env Parameter'!$A:$A=$A1547)*('env Parameter'!$B:$B=$K1547)*('env Parameter'!$C:$C=$L1547),'env Parameter'!E:E,""),"")</f>
        <v>2.14</v>
      </c>
      <c r="D1547" s="10" cm="1">
        <f t="array" ref="D1547">IFERROR(_xlfn.XLOOKUP(1,('env Parameter'!$A:$A=$A1547)*('env Parameter'!$B:$B=$K1547)*('env Parameter'!$C:$C=$L1547),'env Parameter'!F:F,""),"")</f>
        <v>478</v>
      </c>
      <c r="E1547" s="10" cm="1">
        <f t="array" ref="E1547">IFERROR(_xlfn.XLOOKUP(1,('env Parameter'!$A:$A=$A1547)*('env Parameter'!$B:$B=$K1547)*('env Parameter'!$C:$C=$L1547),'env Parameter'!G:G,""),"")</f>
        <v>7.6</v>
      </c>
      <c r="F1547" t="str">
        <f>eDNA!F1547</f>
        <v>MiFish</v>
      </c>
      <c r="G1547" t="str">
        <f>eDNA!D1547</f>
        <v>Micropercops swinhonis</v>
      </c>
      <c r="H1547" t="str">
        <f>_xlfn.XLOOKUP(G1547,'Common name (master file)'!$B:$B,'Common name (master file)'!$A:$A,"-------------")</f>
        <v>좀구굴치</v>
      </c>
      <c r="I1547">
        <f>eDNA!E1547</f>
        <v>3051</v>
      </c>
      <c r="J1547" t="str">
        <f>_xlfn.XLOOKUP(G1547,'Common name (master file)'!$B:$B,'Common name (master file)'!$C:$C,"")</f>
        <v>어류</v>
      </c>
      <c r="K1547">
        <f>eDNA!B1547</f>
        <v>126.8499561</v>
      </c>
      <c r="L1547">
        <f>eDNA!C1547</f>
        <v>37.481606900000003</v>
      </c>
      <c r="M1547" s="10" t="str" cm="1">
        <f t="array" ref="M1547">IFERROR(_xlfn.XLOOKUP(1,('env Parameter'!$A:$A=$A1547)*('env Parameter'!$B:$B=$K1547)*('env Parameter'!$C:$C=$L1547),'env Parameter'!D:D,""),"")</f>
        <v>목감천-5</v>
      </c>
      <c r="N1547" s="10" t="str" cm="1">
        <f t="array" ref="N1547">IFERROR(_xlfn.XLOOKUP(1,('env Parameter'!$A:$A=$A1547)*('env Parameter'!$B:$B=$K1547)*('env Parameter'!$C:$C=$L1547),'env Parameter'!I:I,""),"")</f>
        <v>YR</v>
      </c>
    </row>
    <row r="1548" spans="1:14">
      <c r="A1548">
        <f>eDNA!A1548</f>
        <v>20201024</v>
      </c>
      <c r="B1548" s="10" t="str" cm="1">
        <f t="array" ref="B1548">IFERROR(_xlfn.XLOOKUP(1,('env Parameter'!$A:$A=$A1548)*('env Parameter'!$B:$B=$K1548)*('env Parameter'!$C:$C=$L1548),'env Parameter'!H:H,""),"")</f>
        <v>생물상 조사</v>
      </c>
      <c r="C1548" s="10" cm="1">
        <f t="array" ref="C1548">IFERROR(_xlfn.XLOOKUP(1,('env Parameter'!$A:$A=$A1548)*('env Parameter'!$B:$B=$K1548)*('env Parameter'!$C:$C=$L1548),'env Parameter'!E:E,""),"")</f>
        <v>2.14</v>
      </c>
      <c r="D1548" s="10" cm="1">
        <f t="array" ref="D1548">IFERROR(_xlfn.XLOOKUP(1,('env Parameter'!$A:$A=$A1548)*('env Parameter'!$B:$B=$K1548)*('env Parameter'!$C:$C=$L1548),'env Parameter'!F:F,""),"")</f>
        <v>478</v>
      </c>
      <c r="E1548" s="10" cm="1">
        <f t="array" ref="E1548">IFERROR(_xlfn.XLOOKUP(1,('env Parameter'!$A:$A=$A1548)*('env Parameter'!$B:$B=$K1548)*('env Parameter'!$C:$C=$L1548),'env Parameter'!G:G,""),"")</f>
        <v>7.6</v>
      </c>
      <c r="F1548" t="str">
        <f>eDNA!F1548</f>
        <v>MiFish</v>
      </c>
      <c r="G1548" t="str">
        <f>eDNA!D1548</f>
        <v>Homo sapiens</v>
      </c>
      <c r="H1548" t="str">
        <f>_xlfn.XLOOKUP(G1548,'Common name (master file)'!$B:$B,'Common name (master file)'!$A:$A,"-------------")</f>
        <v>사람</v>
      </c>
      <c r="I1548">
        <f>eDNA!E1548</f>
        <v>866</v>
      </c>
      <c r="J1548" t="str">
        <f>_xlfn.XLOOKUP(G1548,'Common name (master file)'!$B:$B,'Common name (master file)'!$C:$C,"")</f>
        <v>포유류</v>
      </c>
      <c r="K1548">
        <f>eDNA!B1548</f>
        <v>126.82462289999999</v>
      </c>
      <c r="L1548">
        <f>eDNA!C1548</f>
        <v>37.470256399999997</v>
      </c>
      <c r="M1548" s="10" t="str" cm="1">
        <f t="array" ref="M1548">IFERROR(_xlfn.XLOOKUP(1,('env Parameter'!$A:$A=$A1548)*('env Parameter'!$B:$B=$K1548)*('env Parameter'!$C:$C=$L1548),'env Parameter'!D:D,""),"")</f>
        <v>옥길천</v>
      </c>
      <c r="N1548" s="10" t="str" cm="1">
        <f t="array" ref="N1548">IFERROR(_xlfn.XLOOKUP(1,('env Parameter'!$A:$A=$A1548)*('env Parameter'!$B:$B=$K1548)*('env Parameter'!$C:$C=$L1548),'env Parameter'!I:I,""),"")</f>
        <v>YR</v>
      </c>
    </row>
    <row r="1549" spans="1:14">
      <c r="A1549">
        <f>eDNA!A1549</f>
        <v>20201024</v>
      </c>
      <c r="B1549" s="10" t="str" cm="1">
        <f t="array" ref="B1549">IFERROR(_xlfn.XLOOKUP(1,('env Parameter'!$A:$A=$A1549)*('env Parameter'!$B:$B=$K1549)*('env Parameter'!$C:$C=$L1549),'env Parameter'!H:H,""),"")</f>
        <v>생물상 조사</v>
      </c>
      <c r="C1549" s="10" cm="1">
        <f t="array" ref="C1549">IFERROR(_xlfn.XLOOKUP(1,('env Parameter'!$A:$A=$A1549)*('env Parameter'!$B:$B=$K1549)*('env Parameter'!$C:$C=$L1549),'env Parameter'!E:E,""),"")</f>
        <v>2.14</v>
      </c>
      <c r="D1549" s="10" cm="1">
        <f t="array" ref="D1549">IFERROR(_xlfn.XLOOKUP(1,('env Parameter'!$A:$A=$A1549)*('env Parameter'!$B:$B=$K1549)*('env Parameter'!$C:$C=$L1549),'env Parameter'!F:F,""),"")</f>
        <v>478</v>
      </c>
      <c r="E1549" s="10" cm="1">
        <f t="array" ref="E1549">IFERROR(_xlfn.XLOOKUP(1,('env Parameter'!$A:$A=$A1549)*('env Parameter'!$B:$B=$K1549)*('env Parameter'!$C:$C=$L1549),'env Parameter'!G:G,""),"")</f>
        <v>7.6</v>
      </c>
      <c r="F1549" t="str">
        <f>eDNA!F1549</f>
        <v>MiFish</v>
      </c>
      <c r="G1549" t="str">
        <f>eDNA!D1549</f>
        <v>Pseudogobio esocinus</v>
      </c>
      <c r="H1549" t="str">
        <f>_xlfn.XLOOKUP(G1549,'Common name (master file)'!$B:$B,'Common name (master file)'!$A:$A,"-------------")</f>
        <v>모래무지</v>
      </c>
      <c r="I1549">
        <f>eDNA!E1549</f>
        <v>1517</v>
      </c>
      <c r="J1549" t="str">
        <f>_xlfn.XLOOKUP(G1549,'Common name (master file)'!$B:$B,'Common name (master file)'!$C:$C,"")</f>
        <v>어류</v>
      </c>
      <c r="K1549">
        <f>eDNA!B1549</f>
        <v>126.82462289999999</v>
      </c>
      <c r="L1549">
        <f>eDNA!C1549</f>
        <v>37.470256399999997</v>
      </c>
      <c r="M1549" s="10" t="str" cm="1">
        <f t="array" ref="M1549">IFERROR(_xlfn.XLOOKUP(1,('env Parameter'!$A:$A=$A1549)*('env Parameter'!$B:$B=$K1549)*('env Parameter'!$C:$C=$L1549),'env Parameter'!D:D,""),"")</f>
        <v>옥길천</v>
      </c>
      <c r="N1549" s="10" t="str" cm="1">
        <f t="array" ref="N1549">IFERROR(_xlfn.XLOOKUP(1,('env Parameter'!$A:$A=$A1549)*('env Parameter'!$B:$B=$K1549)*('env Parameter'!$C:$C=$L1549),'env Parameter'!I:I,""),"")</f>
        <v>YR</v>
      </c>
    </row>
    <row r="1550" spans="1:14">
      <c r="A1550">
        <f>eDNA!A1550</f>
        <v>20201024</v>
      </c>
      <c r="B1550" s="10" t="str" cm="1">
        <f t="array" ref="B1550">IFERROR(_xlfn.XLOOKUP(1,('env Parameter'!$A:$A=$A1550)*('env Parameter'!$B:$B=$K1550)*('env Parameter'!$C:$C=$L1550),'env Parameter'!H:H,""),"")</f>
        <v>생물상 조사</v>
      </c>
      <c r="C1550" s="10" cm="1">
        <f t="array" ref="C1550">IFERROR(_xlfn.XLOOKUP(1,('env Parameter'!$A:$A=$A1550)*('env Parameter'!$B:$B=$K1550)*('env Parameter'!$C:$C=$L1550),'env Parameter'!E:E,""),"")</f>
        <v>2.14</v>
      </c>
      <c r="D1550" s="10" cm="1">
        <f t="array" ref="D1550">IFERROR(_xlfn.XLOOKUP(1,('env Parameter'!$A:$A=$A1550)*('env Parameter'!$B:$B=$K1550)*('env Parameter'!$C:$C=$L1550),'env Parameter'!F:F,""),"")</f>
        <v>478</v>
      </c>
      <c r="E1550" s="10" cm="1">
        <f t="array" ref="E1550">IFERROR(_xlfn.XLOOKUP(1,('env Parameter'!$A:$A=$A1550)*('env Parameter'!$B:$B=$K1550)*('env Parameter'!$C:$C=$L1550),'env Parameter'!G:G,""),"")</f>
        <v>7.6</v>
      </c>
      <c r="F1550" t="str">
        <f>eDNA!F1550</f>
        <v>MiFish</v>
      </c>
      <c r="G1550" t="str">
        <f>eDNA!D1550</f>
        <v>Channa argus</v>
      </c>
      <c r="H1550" t="str">
        <f>_xlfn.XLOOKUP(G1550,'Common name (master file)'!$B:$B,'Common name (master file)'!$A:$A,"-------------")</f>
        <v>가물치</v>
      </c>
      <c r="I1550">
        <f>eDNA!E1550</f>
        <v>880</v>
      </c>
      <c r="J1550" t="str">
        <f>_xlfn.XLOOKUP(G1550,'Common name (master file)'!$B:$B,'Common name (master file)'!$C:$C,"")</f>
        <v>어류</v>
      </c>
      <c r="K1550">
        <f>eDNA!B1550</f>
        <v>126.82462289999999</v>
      </c>
      <c r="L1550">
        <f>eDNA!C1550</f>
        <v>37.470256399999997</v>
      </c>
      <c r="M1550" s="10" t="str" cm="1">
        <f t="array" ref="M1550">IFERROR(_xlfn.XLOOKUP(1,('env Parameter'!$A:$A=$A1550)*('env Parameter'!$B:$B=$K1550)*('env Parameter'!$C:$C=$L1550),'env Parameter'!D:D,""),"")</f>
        <v>옥길천</v>
      </c>
      <c r="N1550" s="10" t="str" cm="1">
        <f t="array" ref="N1550">IFERROR(_xlfn.XLOOKUP(1,('env Parameter'!$A:$A=$A1550)*('env Parameter'!$B:$B=$K1550)*('env Parameter'!$C:$C=$L1550),'env Parameter'!I:I,""),"")</f>
        <v>YR</v>
      </c>
    </row>
    <row r="1551" spans="1:14">
      <c r="A1551">
        <f>eDNA!A1551</f>
        <v>20201024</v>
      </c>
      <c r="B1551" s="10" t="str" cm="1">
        <f t="array" ref="B1551">IFERROR(_xlfn.XLOOKUP(1,('env Parameter'!$A:$A=$A1551)*('env Parameter'!$B:$B=$K1551)*('env Parameter'!$C:$C=$L1551),'env Parameter'!H:H,""),"")</f>
        <v>생물상 조사</v>
      </c>
      <c r="C1551" s="10" cm="1">
        <f t="array" ref="C1551">IFERROR(_xlfn.XLOOKUP(1,('env Parameter'!$A:$A=$A1551)*('env Parameter'!$B:$B=$K1551)*('env Parameter'!$C:$C=$L1551),'env Parameter'!E:E,""),"")</f>
        <v>2.14</v>
      </c>
      <c r="D1551" s="10" cm="1">
        <f t="array" ref="D1551">IFERROR(_xlfn.XLOOKUP(1,('env Parameter'!$A:$A=$A1551)*('env Parameter'!$B:$B=$K1551)*('env Parameter'!$C:$C=$L1551),'env Parameter'!F:F,""),"")</f>
        <v>478</v>
      </c>
      <c r="E1551" s="10" cm="1">
        <f t="array" ref="E1551">IFERROR(_xlfn.XLOOKUP(1,('env Parameter'!$A:$A=$A1551)*('env Parameter'!$B:$B=$K1551)*('env Parameter'!$C:$C=$L1551),'env Parameter'!G:G,""),"")</f>
        <v>7.6</v>
      </c>
      <c r="F1551" t="str">
        <f>eDNA!F1551</f>
        <v>MiFish</v>
      </c>
      <c r="G1551" t="str">
        <f>eDNA!D1551</f>
        <v>Carassius sp.</v>
      </c>
      <c r="H1551" t="str">
        <f>_xlfn.XLOOKUP(G1551,'Common name (master file)'!$B:$B,'Common name (master file)'!$A:$A,"-------------")</f>
        <v>붕어 속</v>
      </c>
      <c r="I1551">
        <f>eDNA!E1551</f>
        <v>941</v>
      </c>
      <c r="J1551" t="str">
        <f>_xlfn.XLOOKUP(G1551,'Common name (master file)'!$B:$B,'Common name (master file)'!$C:$C,"")</f>
        <v>어류</v>
      </c>
      <c r="K1551">
        <f>eDNA!B1551</f>
        <v>126.82462289999999</v>
      </c>
      <c r="L1551">
        <f>eDNA!C1551</f>
        <v>37.470256399999997</v>
      </c>
      <c r="M1551" s="10" t="str" cm="1">
        <f t="array" ref="M1551">IFERROR(_xlfn.XLOOKUP(1,('env Parameter'!$A:$A=$A1551)*('env Parameter'!$B:$B=$K1551)*('env Parameter'!$C:$C=$L1551),'env Parameter'!D:D,""),"")</f>
        <v>옥길천</v>
      </c>
      <c r="N1551" s="10" t="str" cm="1">
        <f t="array" ref="N1551">IFERROR(_xlfn.XLOOKUP(1,('env Parameter'!$A:$A=$A1551)*('env Parameter'!$B:$B=$K1551)*('env Parameter'!$C:$C=$L1551),'env Parameter'!I:I,""),"")</f>
        <v>YR</v>
      </c>
    </row>
    <row r="1552" spans="1:14">
      <c r="A1552">
        <f>eDNA!A1552</f>
        <v>20201024</v>
      </c>
      <c r="B1552" s="10" t="str" cm="1">
        <f t="array" ref="B1552">IFERROR(_xlfn.XLOOKUP(1,('env Parameter'!$A:$A=$A1552)*('env Parameter'!$B:$B=$K1552)*('env Parameter'!$C:$C=$L1552),'env Parameter'!H:H,""),"")</f>
        <v>생물상 조사</v>
      </c>
      <c r="C1552" s="10" cm="1">
        <f t="array" ref="C1552">IFERROR(_xlfn.XLOOKUP(1,('env Parameter'!$A:$A=$A1552)*('env Parameter'!$B:$B=$K1552)*('env Parameter'!$C:$C=$L1552),'env Parameter'!E:E,""),"")</f>
        <v>2.14</v>
      </c>
      <c r="D1552" s="10" cm="1">
        <f t="array" ref="D1552">IFERROR(_xlfn.XLOOKUP(1,('env Parameter'!$A:$A=$A1552)*('env Parameter'!$B:$B=$K1552)*('env Parameter'!$C:$C=$L1552),'env Parameter'!F:F,""),"")</f>
        <v>478</v>
      </c>
      <c r="E1552" s="10" cm="1">
        <f t="array" ref="E1552">IFERROR(_xlfn.XLOOKUP(1,('env Parameter'!$A:$A=$A1552)*('env Parameter'!$B:$B=$K1552)*('env Parameter'!$C:$C=$L1552),'env Parameter'!G:G,""),"")</f>
        <v>7.6</v>
      </c>
      <c r="F1552" t="str">
        <f>eDNA!F1552</f>
        <v>MiFish</v>
      </c>
      <c r="G1552" t="str">
        <f>eDNA!D1552</f>
        <v>Misgurnus mizolepis</v>
      </c>
      <c r="H1552" t="str">
        <f>_xlfn.XLOOKUP(G1552,'Common name (master file)'!$B:$B,'Common name (master file)'!$A:$A,"-------------")</f>
        <v>미꾸라지</v>
      </c>
      <c r="I1552">
        <f>eDNA!E1552</f>
        <v>1544</v>
      </c>
      <c r="J1552" t="str">
        <f>_xlfn.XLOOKUP(G1552,'Common name (master file)'!$B:$B,'Common name (master file)'!$C:$C,"")</f>
        <v>어류</v>
      </c>
      <c r="K1552">
        <f>eDNA!B1552</f>
        <v>126.82462289999999</v>
      </c>
      <c r="L1552">
        <f>eDNA!C1552</f>
        <v>37.470256399999997</v>
      </c>
      <c r="M1552" s="10" t="str" cm="1">
        <f t="array" ref="M1552">IFERROR(_xlfn.XLOOKUP(1,('env Parameter'!$A:$A=$A1552)*('env Parameter'!$B:$B=$K1552)*('env Parameter'!$C:$C=$L1552),'env Parameter'!D:D,""),"")</f>
        <v>옥길천</v>
      </c>
      <c r="N1552" s="10" t="str" cm="1">
        <f t="array" ref="N1552">IFERROR(_xlfn.XLOOKUP(1,('env Parameter'!$A:$A=$A1552)*('env Parameter'!$B:$B=$K1552)*('env Parameter'!$C:$C=$L1552),'env Parameter'!I:I,""),"")</f>
        <v>YR</v>
      </c>
    </row>
    <row r="1553" spans="1:14">
      <c r="A1553">
        <f>eDNA!A1553</f>
        <v>20201024</v>
      </c>
      <c r="B1553" s="10" t="str" cm="1">
        <f t="array" ref="B1553">IFERROR(_xlfn.XLOOKUP(1,('env Parameter'!$A:$A=$A1553)*('env Parameter'!$B:$B=$K1553)*('env Parameter'!$C:$C=$L1553),'env Parameter'!H:H,""),"")</f>
        <v>생물상 조사</v>
      </c>
      <c r="C1553" s="10" cm="1">
        <f t="array" ref="C1553">IFERROR(_xlfn.XLOOKUP(1,('env Parameter'!$A:$A=$A1553)*('env Parameter'!$B:$B=$K1553)*('env Parameter'!$C:$C=$L1553),'env Parameter'!E:E,""),"")</f>
        <v>2.14</v>
      </c>
      <c r="D1553" s="10" cm="1">
        <f t="array" ref="D1553">IFERROR(_xlfn.XLOOKUP(1,('env Parameter'!$A:$A=$A1553)*('env Parameter'!$B:$B=$K1553)*('env Parameter'!$C:$C=$L1553),'env Parameter'!F:F,""),"")</f>
        <v>478</v>
      </c>
      <c r="E1553" s="10" cm="1">
        <f t="array" ref="E1553">IFERROR(_xlfn.XLOOKUP(1,('env Parameter'!$A:$A=$A1553)*('env Parameter'!$B:$B=$K1553)*('env Parameter'!$C:$C=$L1553),'env Parameter'!G:G,""),"")</f>
        <v>7.6</v>
      </c>
      <c r="F1553" t="str">
        <f>eDNA!F1553</f>
        <v>MiFish</v>
      </c>
      <c r="G1553" t="str">
        <f>eDNA!D1553</f>
        <v>Cyprinus carpio</v>
      </c>
      <c r="H1553" t="str">
        <f>_xlfn.XLOOKUP(G1553,'Common name (master file)'!$B:$B,'Common name (master file)'!$A:$A,"-------------")</f>
        <v>잉어</v>
      </c>
      <c r="I1553">
        <f>eDNA!E1553</f>
        <v>2073</v>
      </c>
      <c r="J1553" t="str">
        <f>_xlfn.XLOOKUP(G1553,'Common name (master file)'!$B:$B,'Common name (master file)'!$C:$C,"")</f>
        <v>어류</v>
      </c>
      <c r="K1553">
        <f>eDNA!B1553</f>
        <v>126.82462289999999</v>
      </c>
      <c r="L1553">
        <f>eDNA!C1553</f>
        <v>37.470256399999997</v>
      </c>
      <c r="M1553" s="10" t="str" cm="1">
        <f t="array" ref="M1553">IFERROR(_xlfn.XLOOKUP(1,('env Parameter'!$A:$A=$A1553)*('env Parameter'!$B:$B=$K1553)*('env Parameter'!$C:$C=$L1553),'env Parameter'!D:D,""),"")</f>
        <v>옥길천</v>
      </c>
      <c r="N1553" s="10" t="str" cm="1">
        <f t="array" ref="N1553">IFERROR(_xlfn.XLOOKUP(1,('env Parameter'!$A:$A=$A1553)*('env Parameter'!$B:$B=$K1553)*('env Parameter'!$C:$C=$L1553),'env Parameter'!I:I,""),"")</f>
        <v>YR</v>
      </c>
    </row>
    <row r="1554" spans="1:14">
      <c r="A1554">
        <f>eDNA!A1554</f>
        <v>20201024</v>
      </c>
      <c r="B1554" s="10" t="str" cm="1">
        <f t="array" ref="B1554">IFERROR(_xlfn.XLOOKUP(1,('env Parameter'!$A:$A=$A1554)*('env Parameter'!$B:$B=$K1554)*('env Parameter'!$C:$C=$L1554),'env Parameter'!H:H,""),"")</f>
        <v>생물상 조사</v>
      </c>
      <c r="C1554" s="10" cm="1">
        <f t="array" ref="C1554">IFERROR(_xlfn.XLOOKUP(1,('env Parameter'!$A:$A=$A1554)*('env Parameter'!$B:$B=$K1554)*('env Parameter'!$C:$C=$L1554),'env Parameter'!E:E,""),"")</f>
        <v>2.14</v>
      </c>
      <c r="D1554" s="10" cm="1">
        <f t="array" ref="D1554">IFERROR(_xlfn.XLOOKUP(1,('env Parameter'!$A:$A=$A1554)*('env Parameter'!$B:$B=$K1554)*('env Parameter'!$C:$C=$L1554),'env Parameter'!F:F,""),"")</f>
        <v>478</v>
      </c>
      <c r="E1554" s="10" cm="1">
        <f t="array" ref="E1554">IFERROR(_xlfn.XLOOKUP(1,('env Parameter'!$A:$A=$A1554)*('env Parameter'!$B:$B=$K1554)*('env Parameter'!$C:$C=$L1554),'env Parameter'!G:G,""),"")</f>
        <v>7.6</v>
      </c>
      <c r="F1554" t="str">
        <f>eDNA!F1554</f>
        <v>MiFish</v>
      </c>
      <c r="G1554" t="str">
        <f>eDNA!D1554</f>
        <v>Odontobutis interrupta</v>
      </c>
      <c r="H1554" t="str">
        <f>_xlfn.XLOOKUP(G1554,'Common name (master file)'!$B:$B,'Common name (master file)'!$A:$A,"-------------")</f>
        <v>얼록동사리</v>
      </c>
      <c r="I1554">
        <f>eDNA!E1554</f>
        <v>5277</v>
      </c>
      <c r="J1554" t="str">
        <f>_xlfn.XLOOKUP(G1554,'Common name (master file)'!$B:$B,'Common name (master file)'!$C:$C,"")</f>
        <v>어류</v>
      </c>
      <c r="K1554">
        <f>eDNA!B1554</f>
        <v>126.82462289999999</v>
      </c>
      <c r="L1554">
        <f>eDNA!C1554</f>
        <v>37.470256399999997</v>
      </c>
      <c r="M1554" s="10" t="str" cm="1">
        <f t="array" ref="M1554">IFERROR(_xlfn.XLOOKUP(1,('env Parameter'!$A:$A=$A1554)*('env Parameter'!$B:$B=$K1554)*('env Parameter'!$C:$C=$L1554),'env Parameter'!D:D,""),"")</f>
        <v>옥길천</v>
      </c>
      <c r="N1554" s="10" t="str" cm="1">
        <f t="array" ref="N1554">IFERROR(_xlfn.XLOOKUP(1,('env Parameter'!$A:$A=$A1554)*('env Parameter'!$B:$B=$K1554)*('env Parameter'!$C:$C=$L1554),'env Parameter'!I:I,""),"")</f>
        <v>YR</v>
      </c>
    </row>
    <row r="1555" spans="1:14">
      <c r="A1555">
        <f>eDNA!A1555</f>
        <v>20201024</v>
      </c>
      <c r="B1555" s="10" t="str" cm="1">
        <f t="array" ref="B1555">IFERROR(_xlfn.XLOOKUP(1,('env Parameter'!$A:$A=$A1555)*('env Parameter'!$B:$B=$K1555)*('env Parameter'!$C:$C=$L1555),'env Parameter'!H:H,""),"")</f>
        <v>생물상 조사</v>
      </c>
      <c r="C1555" s="10" cm="1">
        <f t="array" ref="C1555">IFERROR(_xlfn.XLOOKUP(1,('env Parameter'!$A:$A=$A1555)*('env Parameter'!$B:$B=$K1555)*('env Parameter'!$C:$C=$L1555),'env Parameter'!E:E,""),"")</f>
        <v>2.14</v>
      </c>
      <c r="D1555" s="10" cm="1">
        <f t="array" ref="D1555">IFERROR(_xlfn.XLOOKUP(1,('env Parameter'!$A:$A=$A1555)*('env Parameter'!$B:$B=$K1555)*('env Parameter'!$C:$C=$L1555),'env Parameter'!F:F,""),"")</f>
        <v>478</v>
      </c>
      <c r="E1555" s="10" cm="1">
        <f t="array" ref="E1555">IFERROR(_xlfn.XLOOKUP(1,('env Parameter'!$A:$A=$A1555)*('env Parameter'!$B:$B=$K1555)*('env Parameter'!$C:$C=$L1555),'env Parameter'!G:G,""),"")</f>
        <v>7.6</v>
      </c>
      <c r="F1555" t="str">
        <f>eDNA!F1555</f>
        <v>MiFish</v>
      </c>
      <c r="G1555" t="str">
        <f>eDNA!D1555</f>
        <v>Zacco platypus</v>
      </c>
      <c r="H1555" t="str">
        <f>_xlfn.XLOOKUP(G1555,'Common name (master file)'!$B:$B,'Common name (master file)'!$A:$A,"-------------")</f>
        <v>피라미</v>
      </c>
      <c r="I1555">
        <f>eDNA!E1555</f>
        <v>8977</v>
      </c>
      <c r="J1555" t="str">
        <f>_xlfn.XLOOKUP(G1555,'Common name (master file)'!$B:$B,'Common name (master file)'!$C:$C,"")</f>
        <v>어류</v>
      </c>
      <c r="K1555">
        <f>eDNA!B1555</f>
        <v>126.82462289999999</v>
      </c>
      <c r="L1555">
        <f>eDNA!C1555</f>
        <v>37.470256399999997</v>
      </c>
      <c r="M1555" s="10" t="str" cm="1">
        <f t="array" ref="M1555">IFERROR(_xlfn.XLOOKUP(1,('env Parameter'!$A:$A=$A1555)*('env Parameter'!$B:$B=$K1555)*('env Parameter'!$C:$C=$L1555),'env Parameter'!D:D,""),"")</f>
        <v>옥길천</v>
      </c>
      <c r="N1555" s="10" t="str" cm="1">
        <f t="array" ref="N1555">IFERROR(_xlfn.XLOOKUP(1,('env Parameter'!$A:$A=$A1555)*('env Parameter'!$B:$B=$K1555)*('env Parameter'!$C:$C=$L1555),'env Parameter'!I:I,""),"")</f>
        <v>YR</v>
      </c>
    </row>
    <row r="1556" spans="1:14">
      <c r="A1556">
        <f>eDNA!A1556</f>
        <v>20201024</v>
      </c>
      <c r="B1556" s="10" t="str" cm="1">
        <f t="array" ref="B1556">IFERROR(_xlfn.XLOOKUP(1,('env Parameter'!$A:$A=$A1556)*('env Parameter'!$B:$B=$K1556)*('env Parameter'!$C:$C=$L1556),'env Parameter'!H:H,""),"")</f>
        <v>생물상 조사</v>
      </c>
      <c r="C1556" s="10" cm="1">
        <f t="array" ref="C1556">IFERROR(_xlfn.XLOOKUP(1,('env Parameter'!$A:$A=$A1556)*('env Parameter'!$B:$B=$K1556)*('env Parameter'!$C:$C=$L1556),'env Parameter'!E:E,""),"")</f>
        <v>2.14</v>
      </c>
      <c r="D1556" s="10" cm="1">
        <f t="array" ref="D1556">IFERROR(_xlfn.XLOOKUP(1,('env Parameter'!$A:$A=$A1556)*('env Parameter'!$B:$B=$K1556)*('env Parameter'!$C:$C=$L1556),'env Parameter'!F:F,""),"")</f>
        <v>478</v>
      </c>
      <c r="E1556" s="10" cm="1">
        <f t="array" ref="E1556">IFERROR(_xlfn.XLOOKUP(1,('env Parameter'!$A:$A=$A1556)*('env Parameter'!$B:$B=$K1556)*('env Parameter'!$C:$C=$L1556),'env Parameter'!G:G,""),"")</f>
        <v>7.6</v>
      </c>
      <c r="F1556" t="str">
        <f>eDNA!F1556</f>
        <v>MiFish</v>
      </c>
      <c r="G1556" t="str">
        <f>eDNA!D1556</f>
        <v>Silurus soldatovi</v>
      </c>
      <c r="H1556" t="str">
        <f>_xlfn.XLOOKUP(G1556,'Common name (master file)'!$B:$B,'Common name (master file)'!$A:$A,"-------------")</f>
        <v>솔다토비 메기</v>
      </c>
      <c r="I1556">
        <f>eDNA!E1556</f>
        <v>7789</v>
      </c>
      <c r="J1556" t="str">
        <f>_xlfn.XLOOKUP(G1556,'Common name (master file)'!$B:$B,'Common name (master file)'!$C:$C,"")</f>
        <v>어류</v>
      </c>
      <c r="K1556">
        <f>eDNA!B1556</f>
        <v>126.82462289999999</v>
      </c>
      <c r="L1556">
        <f>eDNA!C1556</f>
        <v>37.470256399999997</v>
      </c>
      <c r="M1556" s="10" t="str" cm="1">
        <f t="array" ref="M1556">IFERROR(_xlfn.XLOOKUP(1,('env Parameter'!$A:$A=$A1556)*('env Parameter'!$B:$B=$K1556)*('env Parameter'!$C:$C=$L1556),'env Parameter'!D:D,""),"")</f>
        <v>옥길천</v>
      </c>
      <c r="N1556" s="10" t="str" cm="1">
        <f t="array" ref="N1556">IFERROR(_xlfn.XLOOKUP(1,('env Parameter'!$A:$A=$A1556)*('env Parameter'!$B:$B=$K1556)*('env Parameter'!$C:$C=$L1556),'env Parameter'!I:I,""),"")</f>
        <v>YR</v>
      </c>
    </row>
    <row r="1557" spans="1:14">
      <c r="A1557">
        <f>eDNA!A1557</f>
        <v>20201024</v>
      </c>
      <c r="B1557" s="10" t="str" cm="1">
        <f t="array" ref="B1557">IFERROR(_xlfn.XLOOKUP(1,('env Parameter'!$A:$A=$A1557)*('env Parameter'!$B:$B=$K1557)*('env Parameter'!$C:$C=$L1557),'env Parameter'!H:H,""),"")</f>
        <v>생물상 조사</v>
      </c>
      <c r="C1557" s="10" cm="1">
        <f t="array" ref="C1557">IFERROR(_xlfn.XLOOKUP(1,('env Parameter'!$A:$A=$A1557)*('env Parameter'!$B:$B=$K1557)*('env Parameter'!$C:$C=$L1557),'env Parameter'!E:E,""),"")</f>
        <v>2.14</v>
      </c>
      <c r="D1557" s="10" cm="1">
        <f t="array" ref="D1557">IFERROR(_xlfn.XLOOKUP(1,('env Parameter'!$A:$A=$A1557)*('env Parameter'!$B:$B=$K1557)*('env Parameter'!$C:$C=$L1557),'env Parameter'!F:F,""),"")</f>
        <v>478</v>
      </c>
      <c r="E1557" s="10" cm="1">
        <f t="array" ref="E1557">IFERROR(_xlfn.XLOOKUP(1,('env Parameter'!$A:$A=$A1557)*('env Parameter'!$B:$B=$K1557)*('env Parameter'!$C:$C=$L1557),'env Parameter'!G:G,""),"")</f>
        <v>7.6</v>
      </c>
      <c r="F1557" t="str">
        <f>eDNA!F1557</f>
        <v>MiFish</v>
      </c>
      <c r="G1557" t="str">
        <f>eDNA!D1557</f>
        <v>Pseudorasbora parva</v>
      </c>
      <c r="H1557" t="str">
        <f>_xlfn.XLOOKUP(G1557,'Common name (master file)'!$B:$B,'Common name (master file)'!$A:$A,"-------------")</f>
        <v>참붕어</v>
      </c>
      <c r="I1557">
        <f>eDNA!E1557</f>
        <v>15425</v>
      </c>
      <c r="J1557" t="str">
        <f>_xlfn.XLOOKUP(G1557,'Common name (master file)'!$B:$B,'Common name (master file)'!$C:$C,"")</f>
        <v>어류</v>
      </c>
      <c r="K1557">
        <f>eDNA!B1557</f>
        <v>126.82462289999999</v>
      </c>
      <c r="L1557">
        <f>eDNA!C1557</f>
        <v>37.470256399999997</v>
      </c>
      <c r="M1557" s="10" t="str" cm="1">
        <f t="array" ref="M1557">IFERROR(_xlfn.XLOOKUP(1,('env Parameter'!$A:$A=$A1557)*('env Parameter'!$B:$B=$K1557)*('env Parameter'!$C:$C=$L1557),'env Parameter'!D:D,""),"")</f>
        <v>옥길천</v>
      </c>
      <c r="N1557" s="10" t="str" cm="1">
        <f t="array" ref="N1557">IFERROR(_xlfn.XLOOKUP(1,('env Parameter'!$A:$A=$A1557)*('env Parameter'!$B:$B=$K1557)*('env Parameter'!$C:$C=$L1557),'env Parameter'!I:I,""),"")</f>
        <v>YR</v>
      </c>
    </row>
    <row r="1558" spans="1:14">
      <c r="A1558">
        <f>eDNA!A1558</f>
        <v>20201024</v>
      </c>
      <c r="B1558" s="10" t="str" cm="1">
        <f t="array" ref="B1558">IFERROR(_xlfn.XLOOKUP(1,('env Parameter'!$A:$A=$A1558)*('env Parameter'!$B:$B=$K1558)*('env Parameter'!$C:$C=$L1558),'env Parameter'!H:H,""),"")</f>
        <v>생물상 조사</v>
      </c>
      <c r="C1558" s="10" cm="1">
        <f t="array" ref="C1558">IFERROR(_xlfn.XLOOKUP(1,('env Parameter'!$A:$A=$A1558)*('env Parameter'!$B:$B=$K1558)*('env Parameter'!$C:$C=$L1558),'env Parameter'!E:E,""),"")</f>
        <v>2.14</v>
      </c>
      <c r="D1558" s="10" cm="1">
        <f t="array" ref="D1558">IFERROR(_xlfn.XLOOKUP(1,('env Parameter'!$A:$A=$A1558)*('env Parameter'!$B:$B=$K1558)*('env Parameter'!$C:$C=$L1558),'env Parameter'!F:F,""),"")</f>
        <v>478</v>
      </c>
      <c r="E1558" s="10" cm="1">
        <f t="array" ref="E1558">IFERROR(_xlfn.XLOOKUP(1,('env Parameter'!$A:$A=$A1558)*('env Parameter'!$B:$B=$K1558)*('env Parameter'!$C:$C=$L1558),'env Parameter'!G:G,""),"")</f>
        <v>7.6</v>
      </c>
      <c r="F1558" t="str">
        <f>eDNA!F1558</f>
        <v>MiFish</v>
      </c>
      <c r="G1558" t="str">
        <f>eDNA!D1558</f>
        <v>Carassius gibelio</v>
      </c>
      <c r="H1558" t="str">
        <f>_xlfn.XLOOKUP(G1558,'Common name (master file)'!$B:$B,'Common name (master file)'!$A:$A,"-------------")</f>
        <v>기벨리오 붕어</v>
      </c>
      <c r="I1558">
        <f>eDNA!E1558</f>
        <v>53450</v>
      </c>
      <c r="J1558" t="str">
        <f>_xlfn.XLOOKUP(G1558,'Common name (master file)'!$B:$B,'Common name (master file)'!$C:$C,"")</f>
        <v>어류</v>
      </c>
      <c r="K1558">
        <f>eDNA!B1558</f>
        <v>126.82462289999999</v>
      </c>
      <c r="L1558">
        <f>eDNA!C1558</f>
        <v>37.470256399999997</v>
      </c>
      <c r="M1558" s="10" t="str" cm="1">
        <f t="array" ref="M1558">IFERROR(_xlfn.XLOOKUP(1,('env Parameter'!$A:$A=$A1558)*('env Parameter'!$B:$B=$K1558)*('env Parameter'!$C:$C=$L1558),'env Parameter'!D:D,""),"")</f>
        <v>옥길천</v>
      </c>
      <c r="N1558" s="10" t="str" cm="1">
        <f t="array" ref="N1558">IFERROR(_xlfn.XLOOKUP(1,('env Parameter'!$A:$A=$A1558)*('env Parameter'!$B:$B=$K1558)*('env Parameter'!$C:$C=$L1558),'env Parameter'!I:I,""),"")</f>
        <v>YR</v>
      </c>
    </row>
    <row r="1559" spans="1:14">
      <c r="A1559">
        <f>eDNA!A1559</f>
        <v>20201024</v>
      </c>
      <c r="B1559" s="10" t="str" cm="1">
        <f t="array" ref="B1559">IFERROR(_xlfn.XLOOKUP(1,('env Parameter'!$A:$A=$A1559)*('env Parameter'!$B:$B=$K1559)*('env Parameter'!$C:$C=$L1559),'env Parameter'!H:H,""),"")</f>
        <v>생물상 조사</v>
      </c>
      <c r="C1559" s="10" cm="1">
        <f t="array" ref="C1559">IFERROR(_xlfn.XLOOKUP(1,('env Parameter'!$A:$A=$A1559)*('env Parameter'!$B:$B=$K1559)*('env Parameter'!$C:$C=$L1559),'env Parameter'!E:E,""),"")</f>
        <v>2.14</v>
      </c>
      <c r="D1559" s="10" cm="1">
        <f t="array" ref="D1559">IFERROR(_xlfn.XLOOKUP(1,('env Parameter'!$A:$A=$A1559)*('env Parameter'!$B:$B=$K1559)*('env Parameter'!$C:$C=$L1559),'env Parameter'!F:F,""),"")</f>
        <v>478</v>
      </c>
      <c r="E1559" s="10" cm="1">
        <f t="array" ref="E1559">IFERROR(_xlfn.XLOOKUP(1,('env Parameter'!$A:$A=$A1559)*('env Parameter'!$B:$B=$K1559)*('env Parameter'!$C:$C=$L1559),'env Parameter'!G:G,""),"")</f>
        <v>7.6</v>
      </c>
      <c r="F1559" t="str">
        <f>eDNA!F1559</f>
        <v>MiFish</v>
      </c>
      <c r="G1559" t="str">
        <f>eDNA!D1559</f>
        <v>Synechogobius hasta</v>
      </c>
      <c r="H1559" t="str">
        <f>_xlfn.XLOOKUP(G1559,'Common name (master file)'!$B:$B,'Common name (master file)'!$A:$A,"-------------")</f>
        <v>풀망둑</v>
      </c>
      <c r="I1559">
        <f>eDNA!E1559</f>
        <v>14</v>
      </c>
      <c r="J1559" t="str">
        <f>_xlfn.XLOOKUP(G1559,'Common name (master file)'!$B:$B,'Common name (master file)'!$C:$C,"")</f>
        <v>어류</v>
      </c>
      <c r="K1559">
        <f>eDNA!B1559</f>
        <v>126.99657019999999</v>
      </c>
      <c r="L1559">
        <f>eDNA!C1559</f>
        <v>37.389118600000003</v>
      </c>
      <c r="M1559" s="10" t="str" cm="1">
        <f t="array" ref="M1559">IFERROR(_xlfn.XLOOKUP(1,('env Parameter'!$A:$A=$A1559)*('env Parameter'!$B:$B=$K1559)*('env Parameter'!$C:$C=$L1559),'env Parameter'!D:D,""),"")</f>
        <v>안양천-19</v>
      </c>
      <c r="N1559" s="10" t="str" cm="1">
        <f t="array" ref="N1559">IFERROR(_xlfn.XLOOKUP(1,('env Parameter'!$A:$A=$A1559)*('env Parameter'!$B:$B=$K1559)*('env Parameter'!$C:$C=$L1559),'env Parameter'!I:I,""),"")</f>
        <v>YR</v>
      </c>
    </row>
    <row r="1560" spans="1:14">
      <c r="A1560">
        <f>eDNA!A1560</f>
        <v>20201024</v>
      </c>
      <c r="B1560" s="10" t="str" cm="1">
        <f t="array" ref="B1560">IFERROR(_xlfn.XLOOKUP(1,('env Parameter'!$A:$A=$A1560)*('env Parameter'!$B:$B=$K1560)*('env Parameter'!$C:$C=$L1560),'env Parameter'!H:H,""),"")</f>
        <v>생물상 조사</v>
      </c>
      <c r="C1560" s="10" cm="1">
        <f t="array" ref="C1560">IFERROR(_xlfn.XLOOKUP(1,('env Parameter'!$A:$A=$A1560)*('env Parameter'!$B:$B=$K1560)*('env Parameter'!$C:$C=$L1560),'env Parameter'!E:E,""),"")</f>
        <v>2.14</v>
      </c>
      <c r="D1560" s="10" cm="1">
        <f t="array" ref="D1560">IFERROR(_xlfn.XLOOKUP(1,('env Parameter'!$A:$A=$A1560)*('env Parameter'!$B:$B=$K1560)*('env Parameter'!$C:$C=$L1560),'env Parameter'!F:F,""),"")</f>
        <v>478</v>
      </c>
      <c r="E1560" s="10" cm="1">
        <f t="array" ref="E1560">IFERROR(_xlfn.XLOOKUP(1,('env Parameter'!$A:$A=$A1560)*('env Parameter'!$B:$B=$K1560)*('env Parameter'!$C:$C=$L1560),'env Parameter'!G:G,""),"")</f>
        <v>7.6</v>
      </c>
      <c r="F1560" t="str">
        <f>eDNA!F1560</f>
        <v>MiFish</v>
      </c>
      <c r="G1560" t="str">
        <f>eDNA!D1560</f>
        <v>Carassius gibelio</v>
      </c>
      <c r="H1560" t="str">
        <f>_xlfn.XLOOKUP(G1560,'Common name (master file)'!$B:$B,'Common name (master file)'!$A:$A,"-------------")</f>
        <v>기벨리오 붕어</v>
      </c>
      <c r="I1560">
        <f>eDNA!E1560</f>
        <v>38</v>
      </c>
      <c r="J1560" t="str">
        <f>_xlfn.XLOOKUP(G1560,'Common name (master file)'!$B:$B,'Common name (master file)'!$C:$C,"")</f>
        <v>어류</v>
      </c>
      <c r="K1560">
        <f>eDNA!B1560</f>
        <v>126.99657019999999</v>
      </c>
      <c r="L1560">
        <f>eDNA!C1560</f>
        <v>37.389118600000003</v>
      </c>
      <c r="M1560" s="10" t="str" cm="1">
        <f t="array" ref="M1560">IFERROR(_xlfn.XLOOKUP(1,('env Parameter'!$A:$A=$A1560)*('env Parameter'!$B:$B=$K1560)*('env Parameter'!$C:$C=$L1560),'env Parameter'!D:D,""),"")</f>
        <v>안양천-19</v>
      </c>
      <c r="N1560" s="10" t="str" cm="1">
        <f t="array" ref="N1560">IFERROR(_xlfn.XLOOKUP(1,('env Parameter'!$A:$A=$A1560)*('env Parameter'!$B:$B=$K1560)*('env Parameter'!$C:$C=$L1560),'env Parameter'!I:I,""),"")</f>
        <v>YR</v>
      </c>
    </row>
    <row r="1561" spans="1:14">
      <c r="A1561">
        <f>eDNA!A1561</f>
        <v>20201024</v>
      </c>
      <c r="B1561" s="10" t="str" cm="1">
        <f t="array" ref="B1561">IFERROR(_xlfn.XLOOKUP(1,('env Parameter'!$A:$A=$A1561)*('env Parameter'!$B:$B=$K1561)*('env Parameter'!$C:$C=$L1561),'env Parameter'!H:H,""),"")</f>
        <v>생물상 조사</v>
      </c>
      <c r="C1561" s="10" cm="1">
        <f t="array" ref="C1561">IFERROR(_xlfn.XLOOKUP(1,('env Parameter'!$A:$A=$A1561)*('env Parameter'!$B:$B=$K1561)*('env Parameter'!$C:$C=$L1561),'env Parameter'!E:E,""),"")</f>
        <v>2.14</v>
      </c>
      <c r="D1561" s="10" cm="1">
        <f t="array" ref="D1561">IFERROR(_xlfn.XLOOKUP(1,('env Parameter'!$A:$A=$A1561)*('env Parameter'!$B:$B=$K1561)*('env Parameter'!$C:$C=$L1561),'env Parameter'!F:F,""),"")</f>
        <v>478</v>
      </c>
      <c r="E1561" s="10" cm="1">
        <f t="array" ref="E1561">IFERROR(_xlfn.XLOOKUP(1,('env Parameter'!$A:$A=$A1561)*('env Parameter'!$B:$B=$K1561)*('env Parameter'!$C:$C=$L1561),'env Parameter'!G:G,""),"")</f>
        <v>7.6</v>
      </c>
      <c r="F1561" t="str">
        <f>eDNA!F1561</f>
        <v>MiFish</v>
      </c>
      <c r="G1561" t="str">
        <f>eDNA!D1561</f>
        <v>Nipponocypris temminckii</v>
      </c>
      <c r="H1561" t="str">
        <f>_xlfn.XLOOKUP(G1561,'Common name (master file)'!$B:$B,'Common name (master file)'!$A:$A,"-------------")</f>
        <v>갈겨니</v>
      </c>
      <c r="I1561">
        <f>eDNA!E1561</f>
        <v>161</v>
      </c>
      <c r="J1561" t="str">
        <f>_xlfn.XLOOKUP(G1561,'Common name (master file)'!$B:$B,'Common name (master file)'!$C:$C,"")</f>
        <v>어류</v>
      </c>
      <c r="K1561">
        <f>eDNA!B1561</f>
        <v>126.99657019999999</v>
      </c>
      <c r="L1561">
        <f>eDNA!C1561</f>
        <v>37.389118600000003</v>
      </c>
      <c r="M1561" s="10" t="str" cm="1">
        <f t="array" ref="M1561">IFERROR(_xlfn.XLOOKUP(1,('env Parameter'!$A:$A=$A1561)*('env Parameter'!$B:$B=$K1561)*('env Parameter'!$C:$C=$L1561),'env Parameter'!D:D,""),"")</f>
        <v>안양천-19</v>
      </c>
      <c r="N1561" s="10" t="str" cm="1">
        <f t="array" ref="N1561">IFERROR(_xlfn.XLOOKUP(1,('env Parameter'!$A:$A=$A1561)*('env Parameter'!$B:$B=$K1561)*('env Parameter'!$C:$C=$L1561),'env Parameter'!I:I,""),"")</f>
        <v>YR</v>
      </c>
    </row>
    <row r="1562" spans="1:14">
      <c r="A1562">
        <f>eDNA!A1562</f>
        <v>20201024</v>
      </c>
      <c r="B1562" s="10" t="str" cm="1">
        <f t="array" ref="B1562">IFERROR(_xlfn.XLOOKUP(1,('env Parameter'!$A:$A=$A1562)*('env Parameter'!$B:$B=$K1562)*('env Parameter'!$C:$C=$L1562),'env Parameter'!H:H,""),"")</f>
        <v>생물상 조사</v>
      </c>
      <c r="C1562" s="10" cm="1">
        <f t="array" ref="C1562">IFERROR(_xlfn.XLOOKUP(1,('env Parameter'!$A:$A=$A1562)*('env Parameter'!$B:$B=$K1562)*('env Parameter'!$C:$C=$L1562),'env Parameter'!E:E,""),"")</f>
        <v>2.14</v>
      </c>
      <c r="D1562" s="10" cm="1">
        <f t="array" ref="D1562">IFERROR(_xlfn.XLOOKUP(1,('env Parameter'!$A:$A=$A1562)*('env Parameter'!$B:$B=$K1562)*('env Parameter'!$C:$C=$L1562),'env Parameter'!F:F,""),"")</f>
        <v>478</v>
      </c>
      <c r="E1562" s="10" cm="1">
        <f t="array" ref="E1562">IFERROR(_xlfn.XLOOKUP(1,('env Parameter'!$A:$A=$A1562)*('env Parameter'!$B:$B=$K1562)*('env Parameter'!$C:$C=$L1562),'env Parameter'!G:G,""),"")</f>
        <v>7.6</v>
      </c>
      <c r="F1562" t="str">
        <f>eDNA!F1562</f>
        <v>MiFish</v>
      </c>
      <c r="G1562" t="str">
        <f>eDNA!D1562</f>
        <v>Micropercops swinhonis</v>
      </c>
      <c r="H1562" t="str">
        <f>_xlfn.XLOOKUP(G1562,'Common name (master file)'!$B:$B,'Common name (master file)'!$A:$A,"-------------")</f>
        <v>좀구굴치</v>
      </c>
      <c r="I1562">
        <f>eDNA!E1562</f>
        <v>3051</v>
      </c>
      <c r="J1562" t="str">
        <f>_xlfn.XLOOKUP(G1562,'Common name (master file)'!$B:$B,'Common name (master file)'!$C:$C,"")</f>
        <v>어류</v>
      </c>
      <c r="K1562">
        <f>eDNA!B1562</f>
        <v>126.8428368</v>
      </c>
      <c r="L1562">
        <f>eDNA!C1562</f>
        <v>37.4677784</v>
      </c>
      <c r="M1562" s="10" t="str" cm="1">
        <f t="array" ref="M1562">IFERROR(_xlfn.XLOOKUP(1,('env Parameter'!$A:$A=$A1562)*('env Parameter'!$B:$B=$K1562)*('env Parameter'!$C:$C=$L1562),'env Parameter'!D:D,""),"")</f>
        <v>목감천-1</v>
      </c>
      <c r="N1562" s="10" t="str" cm="1">
        <f t="array" ref="N1562">IFERROR(_xlfn.XLOOKUP(1,('env Parameter'!$A:$A=$A1562)*('env Parameter'!$B:$B=$K1562)*('env Parameter'!$C:$C=$L1562),'env Parameter'!I:I,""),"")</f>
        <v>YR</v>
      </c>
    </row>
    <row r="1563" spans="1:14">
      <c r="A1563">
        <f>eDNA!A1563</f>
        <v>20201024</v>
      </c>
      <c r="B1563" s="10" t="str" cm="1">
        <f t="array" ref="B1563">IFERROR(_xlfn.XLOOKUP(1,('env Parameter'!$A:$A=$A1563)*('env Parameter'!$B:$B=$K1563)*('env Parameter'!$C:$C=$L1563),'env Parameter'!H:H,""),"")</f>
        <v>생물상 조사</v>
      </c>
      <c r="C1563" s="10" cm="1">
        <f t="array" ref="C1563">IFERROR(_xlfn.XLOOKUP(1,('env Parameter'!$A:$A=$A1563)*('env Parameter'!$B:$B=$K1563)*('env Parameter'!$C:$C=$L1563),'env Parameter'!E:E,""),"")</f>
        <v>2.14</v>
      </c>
      <c r="D1563" s="10" cm="1">
        <f t="array" ref="D1563">IFERROR(_xlfn.XLOOKUP(1,('env Parameter'!$A:$A=$A1563)*('env Parameter'!$B:$B=$K1563)*('env Parameter'!$C:$C=$L1563),'env Parameter'!F:F,""),"")</f>
        <v>478</v>
      </c>
      <c r="E1563" s="10" cm="1">
        <f t="array" ref="E1563">IFERROR(_xlfn.XLOOKUP(1,('env Parameter'!$A:$A=$A1563)*('env Parameter'!$B:$B=$K1563)*('env Parameter'!$C:$C=$L1563),'env Parameter'!G:G,""),"")</f>
        <v>7.6</v>
      </c>
      <c r="F1563" t="str">
        <f>eDNA!F1563</f>
        <v>MiFish</v>
      </c>
      <c r="G1563" t="str">
        <f>eDNA!D1563</f>
        <v>Pseudorasbora parva</v>
      </c>
      <c r="H1563" t="str">
        <f>_xlfn.XLOOKUP(G1563,'Common name (master file)'!$B:$B,'Common name (master file)'!$A:$A,"-------------")</f>
        <v>참붕어</v>
      </c>
      <c r="I1563">
        <f>eDNA!E1563</f>
        <v>178</v>
      </c>
      <c r="J1563" t="str">
        <f>_xlfn.XLOOKUP(G1563,'Common name (master file)'!$B:$B,'Common name (master file)'!$C:$C,"")</f>
        <v>어류</v>
      </c>
      <c r="K1563">
        <f>eDNA!B1563</f>
        <v>126.99657019999999</v>
      </c>
      <c r="L1563">
        <f>eDNA!C1563</f>
        <v>37.389118600000003</v>
      </c>
      <c r="M1563" s="10" t="str" cm="1">
        <f t="array" ref="M1563">IFERROR(_xlfn.XLOOKUP(1,('env Parameter'!$A:$A=$A1563)*('env Parameter'!$B:$B=$K1563)*('env Parameter'!$C:$C=$L1563),'env Parameter'!D:D,""),"")</f>
        <v>안양천-19</v>
      </c>
      <c r="N1563" s="10" t="str" cm="1">
        <f t="array" ref="N1563">IFERROR(_xlfn.XLOOKUP(1,('env Parameter'!$A:$A=$A1563)*('env Parameter'!$B:$B=$K1563)*('env Parameter'!$C:$C=$L1563),'env Parameter'!I:I,""),"")</f>
        <v>YR</v>
      </c>
    </row>
    <row r="1564" spans="1:14">
      <c r="A1564">
        <f>eDNA!A1564</f>
        <v>20201024</v>
      </c>
      <c r="B1564" s="10" t="str" cm="1">
        <f t="array" ref="B1564">IFERROR(_xlfn.XLOOKUP(1,('env Parameter'!$A:$A=$A1564)*('env Parameter'!$B:$B=$K1564)*('env Parameter'!$C:$C=$L1564),'env Parameter'!H:H,""),"")</f>
        <v>생물상 조사</v>
      </c>
      <c r="C1564" s="10" cm="1">
        <f t="array" ref="C1564">IFERROR(_xlfn.XLOOKUP(1,('env Parameter'!$A:$A=$A1564)*('env Parameter'!$B:$B=$K1564)*('env Parameter'!$C:$C=$L1564),'env Parameter'!E:E,""),"")</f>
        <v>2.14</v>
      </c>
      <c r="D1564" s="10" cm="1">
        <f t="array" ref="D1564">IFERROR(_xlfn.XLOOKUP(1,('env Parameter'!$A:$A=$A1564)*('env Parameter'!$B:$B=$K1564)*('env Parameter'!$C:$C=$L1564),'env Parameter'!F:F,""),"")</f>
        <v>478</v>
      </c>
      <c r="E1564" s="10" cm="1">
        <f t="array" ref="E1564">IFERROR(_xlfn.XLOOKUP(1,('env Parameter'!$A:$A=$A1564)*('env Parameter'!$B:$B=$K1564)*('env Parameter'!$C:$C=$L1564),'env Parameter'!G:G,""),"")</f>
        <v>7.6</v>
      </c>
      <c r="F1564" t="str">
        <f>eDNA!F1564</f>
        <v>MiFish</v>
      </c>
      <c r="G1564" t="str">
        <f>eDNA!D1564</f>
        <v>Misgurnus bipartitus</v>
      </c>
      <c r="H1564" t="str">
        <f>_xlfn.XLOOKUP(G1564,'Common name (master file)'!$B:$B,'Common name (master file)'!$A:$A,"-------------")</f>
        <v>쌍무늬미꾸리</v>
      </c>
      <c r="I1564">
        <f>eDNA!E1564</f>
        <v>285</v>
      </c>
      <c r="J1564" t="str">
        <f>_xlfn.XLOOKUP(G1564,'Common name (master file)'!$B:$B,'Common name (master file)'!$C:$C,"")</f>
        <v>어류</v>
      </c>
      <c r="K1564">
        <f>eDNA!B1564</f>
        <v>126.99657019999999</v>
      </c>
      <c r="L1564">
        <f>eDNA!C1564</f>
        <v>37.389118600000003</v>
      </c>
      <c r="M1564" s="10" t="str" cm="1">
        <f t="array" ref="M1564">IFERROR(_xlfn.XLOOKUP(1,('env Parameter'!$A:$A=$A1564)*('env Parameter'!$B:$B=$K1564)*('env Parameter'!$C:$C=$L1564),'env Parameter'!D:D,""),"")</f>
        <v>안양천-19</v>
      </c>
      <c r="N1564" s="10" t="str" cm="1">
        <f t="array" ref="N1564">IFERROR(_xlfn.XLOOKUP(1,('env Parameter'!$A:$A=$A1564)*('env Parameter'!$B:$B=$K1564)*('env Parameter'!$C:$C=$L1564),'env Parameter'!I:I,""),"")</f>
        <v>YR</v>
      </c>
    </row>
    <row r="1565" spans="1:14">
      <c r="A1565">
        <f>eDNA!A1565</f>
        <v>20201024</v>
      </c>
      <c r="B1565" s="10" t="str" cm="1">
        <f t="array" ref="B1565">IFERROR(_xlfn.XLOOKUP(1,('env Parameter'!$A:$A=$A1565)*('env Parameter'!$B:$B=$K1565)*('env Parameter'!$C:$C=$L1565),'env Parameter'!H:H,""),"")</f>
        <v>생물상 조사</v>
      </c>
      <c r="C1565" s="10" cm="1">
        <f t="array" ref="C1565">IFERROR(_xlfn.XLOOKUP(1,('env Parameter'!$A:$A=$A1565)*('env Parameter'!$B:$B=$K1565)*('env Parameter'!$C:$C=$L1565),'env Parameter'!E:E,""),"")</f>
        <v>2.14</v>
      </c>
      <c r="D1565" s="10" cm="1">
        <f t="array" ref="D1565">IFERROR(_xlfn.XLOOKUP(1,('env Parameter'!$A:$A=$A1565)*('env Parameter'!$B:$B=$K1565)*('env Parameter'!$C:$C=$L1565),'env Parameter'!F:F,""),"")</f>
        <v>478</v>
      </c>
      <c r="E1565" s="10" cm="1">
        <f t="array" ref="E1565">IFERROR(_xlfn.XLOOKUP(1,('env Parameter'!$A:$A=$A1565)*('env Parameter'!$B:$B=$K1565)*('env Parameter'!$C:$C=$L1565),'env Parameter'!G:G,""),"")</f>
        <v>7.6</v>
      </c>
      <c r="F1565" t="str">
        <f>eDNA!F1565</f>
        <v>MiFish</v>
      </c>
      <c r="G1565" t="str">
        <f>eDNA!D1565</f>
        <v>Micropercops swinhonis</v>
      </c>
      <c r="H1565" t="str">
        <f>_xlfn.XLOOKUP(G1565,'Common name (master file)'!$B:$B,'Common name (master file)'!$A:$A,"-------------")</f>
        <v>좀구굴치</v>
      </c>
      <c r="I1565">
        <f>eDNA!E1565</f>
        <v>3268</v>
      </c>
      <c r="J1565" t="str">
        <f>_xlfn.XLOOKUP(G1565,'Common name (master file)'!$B:$B,'Common name (master file)'!$C:$C,"")</f>
        <v>어류</v>
      </c>
      <c r="K1565">
        <f>eDNA!B1565</f>
        <v>126.8663749</v>
      </c>
      <c r="L1565">
        <f>eDNA!C1565</f>
        <v>37.492704799999998</v>
      </c>
      <c r="M1565" s="10" t="str" cm="1">
        <f t="array" ref="M1565">IFERROR(_xlfn.XLOOKUP(1,('env Parameter'!$A:$A=$A1565)*('env Parameter'!$B:$B=$K1565)*('env Parameter'!$C:$C=$L1565),'env Parameter'!D:D,""),"")</f>
        <v>안양천-22</v>
      </c>
      <c r="N1565" s="10" t="str" cm="1">
        <f t="array" ref="N1565">IFERROR(_xlfn.XLOOKUP(1,('env Parameter'!$A:$A=$A1565)*('env Parameter'!$B:$B=$K1565)*('env Parameter'!$C:$C=$L1565),'env Parameter'!I:I,""),"")</f>
        <v>YR</v>
      </c>
    </row>
    <row r="1566" spans="1:14">
      <c r="A1566">
        <f>eDNA!A1566</f>
        <v>20201024</v>
      </c>
      <c r="B1566" s="10" t="str" cm="1">
        <f t="array" ref="B1566">IFERROR(_xlfn.XLOOKUP(1,('env Parameter'!$A:$A=$A1566)*('env Parameter'!$B:$B=$K1566)*('env Parameter'!$C:$C=$L1566),'env Parameter'!H:H,""),"")</f>
        <v>생물상 조사</v>
      </c>
      <c r="C1566" s="10" cm="1">
        <f t="array" ref="C1566">IFERROR(_xlfn.XLOOKUP(1,('env Parameter'!$A:$A=$A1566)*('env Parameter'!$B:$B=$K1566)*('env Parameter'!$C:$C=$L1566),'env Parameter'!E:E,""),"")</f>
        <v>2.14</v>
      </c>
      <c r="D1566" s="10" cm="1">
        <f t="array" ref="D1566">IFERROR(_xlfn.XLOOKUP(1,('env Parameter'!$A:$A=$A1566)*('env Parameter'!$B:$B=$K1566)*('env Parameter'!$C:$C=$L1566),'env Parameter'!F:F,""),"")</f>
        <v>478</v>
      </c>
      <c r="E1566" s="10" cm="1">
        <f t="array" ref="E1566">IFERROR(_xlfn.XLOOKUP(1,('env Parameter'!$A:$A=$A1566)*('env Parameter'!$B:$B=$K1566)*('env Parameter'!$C:$C=$L1566),'env Parameter'!G:G,""),"")</f>
        <v>7.6</v>
      </c>
      <c r="F1566" t="str">
        <f>eDNA!F1566</f>
        <v>MiFish</v>
      </c>
      <c r="G1566" t="str">
        <f>eDNA!D1566</f>
        <v>Tadorna tadorna</v>
      </c>
      <c r="H1566" t="str">
        <f>_xlfn.XLOOKUP(G1566,'Common name (master file)'!$B:$B,'Common name (master file)'!$A:$A,"-------------")</f>
        <v>혹부리오리</v>
      </c>
      <c r="I1566">
        <f>eDNA!E1566</f>
        <v>688</v>
      </c>
      <c r="J1566" t="str">
        <f>_xlfn.XLOOKUP(G1566,'Common name (master file)'!$B:$B,'Common name (master file)'!$C:$C,"")</f>
        <v>조류</v>
      </c>
      <c r="K1566">
        <f>eDNA!B1566</f>
        <v>126.99657019999999</v>
      </c>
      <c r="L1566">
        <f>eDNA!C1566</f>
        <v>37.389118600000003</v>
      </c>
      <c r="M1566" s="10" t="str" cm="1">
        <f t="array" ref="M1566">IFERROR(_xlfn.XLOOKUP(1,('env Parameter'!$A:$A=$A1566)*('env Parameter'!$B:$B=$K1566)*('env Parameter'!$C:$C=$L1566),'env Parameter'!D:D,""),"")</f>
        <v>안양천-19</v>
      </c>
      <c r="N1566" s="10" t="str" cm="1">
        <f t="array" ref="N1566">IFERROR(_xlfn.XLOOKUP(1,('env Parameter'!$A:$A=$A1566)*('env Parameter'!$B:$B=$K1566)*('env Parameter'!$C:$C=$L1566),'env Parameter'!I:I,""),"")</f>
        <v>YR</v>
      </c>
    </row>
    <row r="1567" spans="1:14">
      <c r="A1567">
        <f>eDNA!A1567</f>
        <v>20201024</v>
      </c>
      <c r="B1567" s="10" t="str" cm="1">
        <f t="array" ref="B1567">IFERROR(_xlfn.XLOOKUP(1,('env Parameter'!$A:$A=$A1567)*('env Parameter'!$B:$B=$K1567)*('env Parameter'!$C:$C=$L1567),'env Parameter'!H:H,""),"")</f>
        <v>생물상 조사</v>
      </c>
      <c r="C1567" s="10" cm="1">
        <f t="array" ref="C1567">IFERROR(_xlfn.XLOOKUP(1,('env Parameter'!$A:$A=$A1567)*('env Parameter'!$B:$B=$K1567)*('env Parameter'!$C:$C=$L1567),'env Parameter'!E:E,""),"")</f>
        <v>2.14</v>
      </c>
      <c r="D1567" s="10" cm="1">
        <f t="array" ref="D1567">IFERROR(_xlfn.XLOOKUP(1,('env Parameter'!$A:$A=$A1567)*('env Parameter'!$B:$B=$K1567)*('env Parameter'!$C:$C=$L1567),'env Parameter'!F:F,""),"")</f>
        <v>478</v>
      </c>
      <c r="E1567" s="10" cm="1">
        <f t="array" ref="E1567">IFERROR(_xlfn.XLOOKUP(1,('env Parameter'!$A:$A=$A1567)*('env Parameter'!$B:$B=$K1567)*('env Parameter'!$C:$C=$L1567),'env Parameter'!G:G,""),"")</f>
        <v>7.6</v>
      </c>
      <c r="F1567" t="str">
        <f>eDNA!F1567</f>
        <v>MiFish</v>
      </c>
      <c r="G1567" t="str">
        <f>eDNA!D1567</f>
        <v>Silurus soldatovi</v>
      </c>
      <c r="H1567" t="str">
        <f>_xlfn.XLOOKUP(G1567,'Common name (master file)'!$B:$B,'Common name (master file)'!$A:$A,"-------------")</f>
        <v>솔다토비 메기</v>
      </c>
      <c r="I1567">
        <f>eDNA!E1567</f>
        <v>765</v>
      </c>
      <c r="J1567" t="str">
        <f>_xlfn.XLOOKUP(G1567,'Common name (master file)'!$B:$B,'Common name (master file)'!$C:$C,"")</f>
        <v>어류</v>
      </c>
      <c r="K1567">
        <f>eDNA!B1567</f>
        <v>126.99657019999999</v>
      </c>
      <c r="L1567">
        <f>eDNA!C1567</f>
        <v>37.389118600000003</v>
      </c>
      <c r="M1567" s="10" t="str" cm="1">
        <f t="array" ref="M1567">IFERROR(_xlfn.XLOOKUP(1,('env Parameter'!$A:$A=$A1567)*('env Parameter'!$B:$B=$K1567)*('env Parameter'!$C:$C=$L1567),'env Parameter'!D:D,""),"")</f>
        <v>안양천-19</v>
      </c>
      <c r="N1567" s="10" t="str" cm="1">
        <f t="array" ref="N1567">IFERROR(_xlfn.XLOOKUP(1,('env Parameter'!$A:$A=$A1567)*('env Parameter'!$B:$B=$K1567)*('env Parameter'!$C:$C=$L1567),'env Parameter'!I:I,""),"")</f>
        <v>YR</v>
      </c>
    </row>
    <row r="1568" spans="1:14">
      <c r="A1568">
        <f>eDNA!A1568</f>
        <v>20201024</v>
      </c>
      <c r="B1568" s="10" t="str" cm="1">
        <f t="array" ref="B1568">IFERROR(_xlfn.XLOOKUP(1,('env Parameter'!$A:$A=$A1568)*('env Parameter'!$B:$B=$K1568)*('env Parameter'!$C:$C=$L1568),'env Parameter'!H:H,""),"")</f>
        <v>생물상 조사</v>
      </c>
      <c r="C1568" s="10" cm="1">
        <f t="array" ref="C1568">IFERROR(_xlfn.XLOOKUP(1,('env Parameter'!$A:$A=$A1568)*('env Parameter'!$B:$B=$K1568)*('env Parameter'!$C:$C=$L1568),'env Parameter'!E:E,""),"")</f>
        <v>2.14</v>
      </c>
      <c r="D1568" s="10" cm="1">
        <f t="array" ref="D1568">IFERROR(_xlfn.XLOOKUP(1,('env Parameter'!$A:$A=$A1568)*('env Parameter'!$B:$B=$K1568)*('env Parameter'!$C:$C=$L1568),'env Parameter'!F:F,""),"")</f>
        <v>478</v>
      </c>
      <c r="E1568" s="10" cm="1">
        <f t="array" ref="E1568">IFERROR(_xlfn.XLOOKUP(1,('env Parameter'!$A:$A=$A1568)*('env Parameter'!$B:$B=$K1568)*('env Parameter'!$C:$C=$L1568),'env Parameter'!G:G,""),"")</f>
        <v>7.6</v>
      </c>
      <c r="F1568" t="str">
        <f>eDNA!F1568</f>
        <v>MiFish</v>
      </c>
      <c r="G1568" t="str">
        <f>eDNA!D1568</f>
        <v>Misgurnus mizolepis</v>
      </c>
      <c r="H1568" t="str">
        <f>_xlfn.XLOOKUP(G1568,'Common name (master file)'!$B:$B,'Common name (master file)'!$A:$A,"-------------")</f>
        <v>미꾸라지</v>
      </c>
      <c r="I1568">
        <f>eDNA!E1568</f>
        <v>2103</v>
      </c>
      <c r="J1568" t="str">
        <f>_xlfn.XLOOKUP(G1568,'Common name (master file)'!$B:$B,'Common name (master file)'!$C:$C,"")</f>
        <v>어류</v>
      </c>
      <c r="K1568">
        <f>eDNA!B1568</f>
        <v>126.99657019999999</v>
      </c>
      <c r="L1568">
        <f>eDNA!C1568</f>
        <v>37.389118600000003</v>
      </c>
      <c r="M1568" s="10" t="str" cm="1">
        <f t="array" ref="M1568">IFERROR(_xlfn.XLOOKUP(1,('env Parameter'!$A:$A=$A1568)*('env Parameter'!$B:$B=$K1568)*('env Parameter'!$C:$C=$L1568),'env Parameter'!D:D,""),"")</f>
        <v>안양천-19</v>
      </c>
      <c r="N1568" s="10" t="str" cm="1">
        <f t="array" ref="N1568">IFERROR(_xlfn.XLOOKUP(1,('env Parameter'!$A:$A=$A1568)*('env Parameter'!$B:$B=$K1568)*('env Parameter'!$C:$C=$L1568),'env Parameter'!I:I,""),"")</f>
        <v>YR</v>
      </c>
    </row>
    <row r="1569" spans="1:14">
      <c r="A1569">
        <f>eDNA!A1569</f>
        <v>20201024</v>
      </c>
      <c r="B1569" s="10" t="str" cm="1">
        <f t="array" ref="B1569">IFERROR(_xlfn.XLOOKUP(1,('env Parameter'!$A:$A=$A1569)*('env Parameter'!$B:$B=$K1569)*('env Parameter'!$C:$C=$L1569),'env Parameter'!H:H,""),"")</f>
        <v>생물상 조사</v>
      </c>
      <c r="C1569" s="10" cm="1">
        <f t="array" ref="C1569">IFERROR(_xlfn.XLOOKUP(1,('env Parameter'!$A:$A=$A1569)*('env Parameter'!$B:$B=$K1569)*('env Parameter'!$C:$C=$L1569),'env Parameter'!E:E,""),"")</f>
        <v>2.14</v>
      </c>
      <c r="D1569" s="10" cm="1">
        <f t="array" ref="D1569">IFERROR(_xlfn.XLOOKUP(1,('env Parameter'!$A:$A=$A1569)*('env Parameter'!$B:$B=$K1569)*('env Parameter'!$C:$C=$L1569),'env Parameter'!F:F,""),"")</f>
        <v>478</v>
      </c>
      <c r="E1569" s="10" cm="1">
        <f t="array" ref="E1569">IFERROR(_xlfn.XLOOKUP(1,('env Parameter'!$A:$A=$A1569)*('env Parameter'!$B:$B=$K1569)*('env Parameter'!$C:$C=$L1569),'env Parameter'!G:G,""),"")</f>
        <v>7.6</v>
      </c>
      <c r="F1569" t="str">
        <f>eDNA!F1569</f>
        <v>MiFish</v>
      </c>
      <c r="G1569" t="str">
        <f>eDNA!D1569</f>
        <v>Paramisgurnus dabryanus</v>
      </c>
      <c r="H1569" t="str">
        <f>_xlfn.XLOOKUP(G1569,'Common name (master file)'!$B:$B,'Common name (master file)'!$A:$A,"-------------")</f>
        <v>중국미꾸라지</v>
      </c>
      <c r="I1569">
        <f>eDNA!E1569</f>
        <v>4139</v>
      </c>
      <c r="J1569" t="str">
        <f>_xlfn.XLOOKUP(G1569,'Common name (master file)'!$B:$B,'Common name (master file)'!$C:$C,"")</f>
        <v>어류</v>
      </c>
      <c r="K1569">
        <f>eDNA!B1569</f>
        <v>126.99657019999999</v>
      </c>
      <c r="L1569">
        <f>eDNA!C1569</f>
        <v>37.389118600000003</v>
      </c>
      <c r="M1569" s="10" t="str" cm="1">
        <f t="array" ref="M1569">IFERROR(_xlfn.XLOOKUP(1,('env Parameter'!$A:$A=$A1569)*('env Parameter'!$B:$B=$K1569)*('env Parameter'!$C:$C=$L1569),'env Parameter'!D:D,""),"")</f>
        <v>안양천-19</v>
      </c>
      <c r="N1569" s="10" t="str" cm="1">
        <f t="array" ref="N1569">IFERROR(_xlfn.XLOOKUP(1,('env Parameter'!$A:$A=$A1569)*('env Parameter'!$B:$B=$K1569)*('env Parameter'!$C:$C=$L1569),'env Parameter'!I:I,""),"")</f>
        <v>YR</v>
      </c>
    </row>
    <row r="1570" spans="1:14">
      <c r="A1570">
        <f>eDNA!A1570</f>
        <v>20201024</v>
      </c>
      <c r="B1570" s="10" t="str" cm="1">
        <f t="array" ref="B1570">IFERROR(_xlfn.XLOOKUP(1,('env Parameter'!$A:$A=$A1570)*('env Parameter'!$B:$B=$K1570)*('env Parameter'!$C:$C=$L1570),'env Parameter'!H:H,""),"")</f>
        <v>생물상 조사</v>
      </c>
      <c r="C1570" s="10" cm="1">
        <f t="array" ref="C1570">IFERROR(_xlfn.XLOOKUP(1,('env Parameter'!$A:$A=$A1570)*('env Parameter'!$B:$B=$K1570)*('env Parameter'!$C:$C=$L1570),'env Parameter'!E:E,""),"")</f>
        <v>2.14</v>
      </c>
      <c r="D1570" s="10" cm="1">
        <f t="array" ref="D1570">IFERROR(_xlfn.XLOOKUP(1,('env Parameter'!$A:$A=$A1570)*('env Parameter'!$B:$B=$K1570)*('env Parameter'!$C:$C=$L1570),'env Parameter'!F:F,""),"")</f>
        <v>478</v>
      </c>
      <c r="E1570" s="10" cm="1">
        <f t="array" ref="E1570">IFERROR(_xlfn.XLOOKUP(1,('env Parameter'!$A:$A=$A1570)*('env Parameter'!$B:$B=$K1570)*('env Parameter'!$C:$C=$L1570),'env Parameter'!G:G,""),"")</f>
        <v>7.6</v>
      </c>
      <c r="F1570" t="str">
        <f>eDNA!F1570</f>
        <v>MiFish</v>
      </c>
      <c r="G1570" t="str">
        <f>eDNA!D1570</f>
        <v>Zacco platypus</v>
      </c>
      <c r="H1570" t="str">
        <f>_xlfn.XLOOKUP(G1570,'Common name (master file)'!$B:$B,'Common name (master file)'!$A:$A,"-------------")</f>
        <v>피라미</v>
      </c>
      <c r="I1570">
        <f>eDNA!E1570</f>
        <v>8841</v>
      </c>
      <c r="J1570" t="str">
        <f>_xlfn.XLOOKUP(G1570,'Common name (master file)'!$B:$B,'Common name (master file)'!$C:$C,"")</f>
        <v>어류</v>
      </c>
      <c r="K1570">
        <f>eDNA!B1570</f>
        <v>126.99657019999999</v>
      </c>
      <c r="L1570">
        <f>eDNA!C1570</f>
        <v>37.389118600000003</v>
      </c>
      <c r="M1570" s="10" t="str" cm="1">
        <f t="array" ref="M1570">IFERROR(_xlfn.XLOOKUP(1,('env Parameter'!$A:$A=$A1570)*('env Parameter'!$B:$B=$K1570)*('env Parameter'!$C:$C=$L1570),'env Parameter'!D:D,""),"")</f>
        <v>안양천-19</v>
      </c>
      <c r="N1570" s="10" t="str" cm="1">
        <f t="array" ref="N1570">IFERROR(_xlfn.XLOOKUP(1,('env Parameter'!$A:$A=$A1570)*('env Parameter'!$B:$B=$K1570)*('env Parameter'!$C:$C=$L1570),'env Parameter'!I:I,""),"")</f>
        <v>YR</v>
      </c>
    </row>
    <row r="1571" spans="1:14">
      <c r="A1571">
        <f>eDNA!A1571</f>
        <v>20201024</v>
      </c>
      <c r="B1571" s="10" t="str" cm="1">
        <f t="array" ref="B1571">IFERROR(_xlfn.XLOOKUP(1,('env Parameter'!$A:$A=$A1571)*('env Parameter'!$B:$B=$K1571)*('env Parameter'!$C:$C=$L1571),'env Parameter'!H:H,""),"")</f>
        <v>생물상 조사</v>
      </c>
      <c r="C1571" s="10" cm="1">
        <f t="array" ref="C1571">IFERROR(_xlfn.XLOOKUP(1,('env Parameter'!$A:$A=$A1571)*('env Parameter'!$B:$B=$K1571)*('env Parameter'!$C:$C=$L1571),'env Parameter'!E:E,""),"")</f>
        <v>2.14</v>
      </c>
      <c r="D1571" s="10" cm="1">
        <f t="array" ref="D1571">IFERROR(_xlfn.XLOOKUP(1,('env Parameter'!$A:$A=$A1571)*('env Parameter'!$B:$B=$K1571)*('env Parameter'!$C:$C=$L1571),'env Parameter'!F:F,""),"")</f>
        <v>478</v>
      </c>
      <c r="E1571" s="10" cm="1">
        <f t="array" ref="E1571">IFERROR(_xlfn.XLOOKUP(1,('env Parameter'!$A:$A=$A1571)*('env Parameter'!$B:$B=$K1571)*('env Parameter'!$C:$C=$L1571),'env Parameter'!G:G,""),"")</f>
        <v>7.6</v>
      </c>
      <c r="F1571" t="str">
        <f>eDNA!F1571</f>
        <v>MiFish</v>
      </c>
      <c r="G1571" t="str">
        <f>eDNA!D1571</f>
        <v>Odontobutis interrupta</v>
      </c>
      <c r="H1571" t="str">
        <f>_xlfn.XLOOKUP(G1571,'Common name (master file)'!$B:$B,'Common name (master file)'!$A:$A,"-------------")</f>
        <v>얼록동사리</v>
      </c>
      <c r="I1571">
        <f>eDNA!E1571</f>
        <v>10866</v>
      </c>
      <c r="J1571" t="str">
        <f>_xlfn.XLOOKUP(G1571,'Common name (master file)'!$B:$B,'Common name (master file)'!$C:$C,"")</f>
        <v>어류</v>
      </c>
      <c r="K1571">
        <f>eDNA!B1571</f>
        <v>126.99657019999999</v>
      </c>
      <c r="L1571">
        <f>eDNA!C1571</f>
        <v>37.389118600000003</v>
      </c>
      <c r="M1571" s="10" t="str" cm="1">
        <f t="array" ref="M1571">IFERROR(_xlfn.XLOOKUP(1,('env Parameter'!$A:$A=$A1571)*('env Parameter'!$B:$B=$K1571)*('env Parameter'!$C:$C=$L1571),'env Parameter'!D:D,""),"")</f>
        <v>안양천-19</v>
      </c>
      <c r="N1571" s="10" t="str" cm="1">
        <f t="array" ref="N1571">IFERROR(_xlfn.XLOOKUP(1,('env Parameter'!$A:$A=$A1571)*('env Parameter'!$B:$B=$K1571)*('env Parameter'!$C:$C=$L1571),'env Parameter'!I:I,""),"")</f>
        <v>YR</v>
      </c>
    </row>
    <row r="1572" spans="1:14">
      <c r="A1572">
        <f>eDNA!A1572</f>
        <v>20201024</v>
      </c>
      <c r="B1572" s="10" t="str" cm="1">
        <f t="array" ref="B1572">IFERROR(_xlfn.XLOOKUP(1,('env Parameter'!$A:$A=$A1572)*('env Parameter'!$B:$B=$K1572)*('env Parameter'!$C:$C=$L1572),'env Parameter'!H:H,""),"")</f>
        <v>생물상 조사</v>
      </c>
      <c r="C1572" s="10" cm="1">
        <f t="array" ref="C1572">IFERROR(_xlfn.XLOOKUP(1,('env Parameter'!$A:$A=$A1572)*('env Parameter'!$B:$B=$K1572)*('env Parameter'!$C:$C=$L1572),'env Parameter'!E:E,""),"")</f>
        <v>2.14</v>
      </c>
      <c r="D1572" s="10" cm="1">
        <f t="array" ref="D1572">IFERROR(_xlfn.XLOOKUP(1,('env Parameter'!$A:$A=$A1572)*('env Parameter'!$B:$B=$K1572)*('env Parameter'!$C:$C=$L1572),'env Parameter'!F:F,""),"")</f>
        <v>478</v>
      </c>
      <c r="E1572" s="10" cm="1">
        <f t="array" ref="E1572">IFERROR(_xlfn.XLOOKUP(1,('env Parameter'!$A:$A=$A1572)*('env Parameter'!$B:$B=$K1572)*('env Parameter'!$C:$C=$L1572),'env Parameter'!G:G,""),"")</f>
        <v>7.6</v>
      </c>
      <c r="F1572" t="str">
        <f>eDNA!F1572</f>
        <v>MiFish</v>
      </c>
      <c r="G1572" t="str">
        <f>eDNA!D1572</f>
        <v>Rhynchocypris oxycephalus</v>
      </c>
      <c r="H1572" t="str">
        <f>_xlfn.XLOOKUP(G1572,'Common name (master file)'!$B:$B,'Common name (master file)'!$A:$A,"-------------")</f>
        <v>버들치</v>
      </c>
      <c r="I1572">
        <f>eDNA!E1572</f>
        <v>38778</v>
      </c>
      <c r="J1572" t="str">
        <f>_xlfn.XLOOKUP(G1572,'Common name (master file)'!$B:$B,'Common name (master file)'!$C:$C,"")</f>
        <v>어류</v>
      </c>
      <c r="K1572">
        <f>eDNA!B1572</f>
        <v>126.99657019999999</v>
      </c>
      <c r="L1572">
        <f>eDNA!C1572</f>
        <v>37.389118600000003</v>
      </c>
      <c r="M1572" s="10" t="str" cm="1">
        <f t="array" ref="M1572">IFERROR(_xlfn.XLOOKUP(1,('env Parameter'!$A:$A=$A1572)*('env Parameter'!$B:$B=$K1572)*('env Parameter'!$C:$C=$L1572),'env Parameter'!D:D,""),"")</f>
        <v>안양천-19</v>
      </c>
      <c r="N1572" s="10" t="str" cm="1">
        <f t="array" ref="N1572">IFERROR(_xlfn.XLOOKUP(1,('env Parameter'!$A:$A=$A1572)*('env Parameter'!$B:$B=$K1572)*('env Parameter'!$C:$C=$L1572),'env Parameter'!I:I,""),"")</f>
        <v>YR</v>
      </c>
    </row>
    <row r="1573" spans="1:14">
      <c r="A1573">
        <f>eDNA!A1573</f>
        <v>20201024</v>
      </c>
      <c r="B1573" s="10" t="str" cm="1">
        <f t="array" ref="B1573">IFERROR(_xlfn.XLOOKUP(1,('env Parameter'!$A:$A=$A1573)*('env Parameter'!$B:$B=$K1573)*('env Parameter'!$C:$C=$L1573),'env Parameter'!H:H,""),"")</f>
        <v>생물상 조사</v>
      </c>
      <c r="C1573" s="10" cm="1">
        <f t="array" ref="C1573">IFERROR(_xlfn.XLOOKUP(1,('env Parameter'!$A:$A=$A1573)*('env Parameter'!$B:$B=$K1573)*('env Parameter'!$C:$C=$L1573),'env Parameter'!E:E,""),"")</f>
        <v>2.14</v>
      </c>
      <c r="D1573" s="10" cm="1">
        <f t="array" ref="D1573">IFERROR(_xlfn.XLOOKUP(1,('env Parameter'!$A:$A=$A1573)*('env Parameter'!$B:$B=$K1573)*('env Parameter'!$C:$C=$L1573),'env Parameter'!F:F,""),"")</f>
        <v>478</v>
      </c>
      <c r="E1573" s="10" cm="1">
        <f t="array" ref="E1573">IFERROR(_xlfn.XLOOKUP(1,('env Parameter'!$A:$A=$A1573)*('env Parameter'!$B:$B=$K1573)*('env Parameter'!$C:$C=$L1573),'env Parameter'!G:G,""),"")</f>
        <v>7.6</v>
      </c>
      <c r="F1573" t="str">
        <f>eDNA!F1573</f>
        <v>MiFish</v>
      </c>
      <c r="G1573" t="str">
        <f>eDNA!D1573</f>
        <v>Synechogobius hasta</v>
      </c>
      <c r="H1573" t="str">
        <f>_xlfn.XLOOKUP(G1573,'Common name (master file)'!$B:$B,'Common name (master file)'!$A:$A,"-------------")</f>
        <v>풀망둑</v>
      </c>
      <c r="I1573">
        <f>eDNA!E1573</f>
        <v>10</v>
      </c>
      <c r="J1573" t="str">
        <f>_xlfn.XLOOKUP(G1573,'Common name (master file)'!$B:$B,'Common name (master file)'!$C:$C,"")</f>
        <v>어류</v>
      </c>
      <c r="K1573">
        <f>eDNA!B1573</f>
        <v>126.9070155</v>
      </c>
      <c r="L1573">
        <f>eDNA!C1573</f>
        <v>37.385953200000003</v>
      </c>
      <c r="M1573" s="10" t="str" cm="1">
        <f t="array" ref="M1573">IFERROR(_xlfn.XLOOKUP(1,('env Parameter'!$A:$A=$A1573)*('env Parameter'!$B:$B=$K1573)*('env Parameter'!$C:$C=$L1573),'env Parameter'!D:D,""),"")</f>
        <v>수암천</v>
      </c>
      <c r="N1573" s="10" t="str" cm="1">
        <f t="array" ref="N1573">IFERROR(_xlfn.XLOOKUP(1,('env Parameter'!$A:$A=$A1573)*('env Parameter'!$B:$B=$K1573)*('env Parameter'!$C:$C=$L1573),'env Parameter'!I:I,""),"")</f>
        <v>YR</v>
      </c>
    </row>
    <row r="1574" spans="1:14">
      <c r="A1574">
        <f>eDNA!A1574</f>
        <v>20201024</v>
      </c>
      <c r="B1574" s="10" t="str" cm="1">
        <f t="array" ref="B1574">IFERROR(_xlfn.XLOOKUP(1,('env Parameter'!$A:$A=$A1574)*('env Parameter'!$B:$B=$K1574)*('env Parameter'!$C:$C=$L1574),'env Parameter'!H:H,""),"")</f>
        <v>생물상 조사</v>
      </c>
      <c r="C1574" s="10" cm="1">
        <f t="array" ref="C1574">IFERROR(_xlfn.XLOOKUP(1,('env Parameter'!$A:$A=$A1574)*('env Parameter'!$B:$B=$K1574)*('env Parameter'!$C:$C=$L1574),'env Parameter'!E:E,""),"")</f>
        <v>2.14</v>
      </c>
      <c r="D1574" s="10" cm="1">
        <f t="array" ref="D1574">IFERROR(_xlfn.XLOOKUP(1,('env Parameter'!$A:$A=$A1574)*('env Parameter'!$B:$B=$K1574)*('env Parameter'!$C:$C=$L1574),'env Parameter'!F:F,""),"")</f>
        <v>478</v>
      </c>
      <c r="E1574" s="10" cm="1">
        <f t="array" ref="E1574">IFERROR(_xlfn.XLOOKUP(1,('env Parameter'!$A:$A=$A1574)*('env Parameter'!$B:$B=$K1574)*('env Parameter'!$C:$C=$L1574),'env Parameter'!G:G,""),"")</f>
        <v>7.6</v>
      </c>
      <c r="F1574" t="str">
        <f>eDNA!F1574</f>
        <v>MiFish</v>
      </c>
      <c r="G1574" t="str">
        <f>eDNA!D1574</f>
        <v>Rhinogobius giurinus</v>
      </c>
      <c r="H1574" t="str">
        <f>_xlfn.XLOOKUP(G1574,'Common name (master file)'!$B:$B,'Common name (master file)'!$A:$A,"-------------")</f>
        <v>갈문망둑</v>
      </c>
      <c r="I1574">
        <f>eDNA!E1574</f>
        <v>12</v>
      </c>
      <c r="J1574" t="str">
        <f>_xlfn.XLOOKUP(G1574,'Common name (master file)'!$B:$B,'Common name (master file)'!$C:$C,"")</f>
        <v>어류</v>
      </c>
      <c r="K1574">
        <f>eDNA!B1574</f>
        <v>126.9070155</v>
      </c>
      <c r="L1574">
        <f>eDNA!C1574</f>
        <v>37.385953200000003</v>
      </c>
      <c r="M1574" s="10" t="str" cm="1">
        <f t="array" ref="M1574">IFERROR(_xlfn.XLOOKUP(1,('env Parameter'!$A:$A=$A1574)*('env Parameter'!$B:$B=$K1574)*('env Parameter'!$C:$C=$L1574),'env Parameter'!D:D,""),"")</f>
        <v>수암천</v>
      </c>
      <c r="N1574" s="10" t="str" cm="1">
        <f t="array" ref="N1574">IFERROR(_xlfn.XLOOKUP(1,('env Parameter'!$A:$A=$A1574)*('env Parameter'!$B:$B=$K1574)*('env Parameter'!$C:$C=$L1574),'env Parameter'!I:I,""),"")</f>
        <v>YR</v>
      </c>
    </row>
    <row r="1575" spans="1:14">
      <c r="A1575">
        <f>eDNA!A1575</f>
        <v>20201024</v>
      </c>
      <c r="B1575" s="10" t="str" cm="1">
        <f t="array" ref="B1575">IFERROR(_xlfn.XLOOKUP(1,('env Parameter'!$A:$A=$A1575)*('env Parameter'!$B:$B=$K1575)*('env Parameter'!$C:$C=$L1575),'env Parameter'!H:H,""),"")</f>
        <v>생물상 조사</v>
      </c>
      <c r="C1575" s="10" cm="1">
        <f t="array" ref="C1575">IFERROR(_xlfn.XLOOKUP(1,('env Parameter'!$A:$A=$A1575)*('env Parameter'!$B:$B=$K1575)*('env Parameter'!$C:$C=$L1575),'env Parameter'!E:E,""),"")</f>
        <v>2.14</v>
      </c>
      <c r="D1575" s="10" cm="1">
        <f t="array" ref="D1575">IFERROR(_xlfn.XLOOKUP(1,('env Parameter'!$A:$A=$A1575)*('env Parameter'!$B:$B=$K1575)*('env Parameter'!$C:$C=$L1575),'env Parameter'!F:F,""),"")</f>
        <v>478</v>
      </c>
      <c r="E1575" s="10" cm="1">
        <f t="array" ref="E1575">IFERROR(_xlfn.XLOOKUP(1,('env Parameter'!$A:$A=$A1575)*('env Parameter'!$B:$B=$K1575)*('env Parameter'!$C:$C=$L1575),'env Parameter'!G:G,""),"")</f>
        <v>7.6</v>
      </c>
      <c r="F1575" t="str">
        <f>eDNA!F1575</f>
        <v>MiFish</v>
      </c>
      <c r="G1575" t="str">
        <f>eDNA!D1575</f>
        <v>Nuchequula nuchalis</v>
      </c>
      <c r="H1575" t="str">
        <f>_xlfn.XLOOKUP(G1575,'Common name (master file)'!$B:$B,'Common name (master file)'!$A:$A,"-------------")</f>
        <v>주둥치(남부)</v>
      </c>
      <c r="I1575">
        <f>eDNA!E1575</f>
        <v>94</v>
      </c>
      <c r="J1575" t="str">
        <f>_xlfn.XLOOKUP(G1575,'Common name (master file)'!$B:$B,'Common name (master file)'!$C:$C,"")</f>
        <v>어류</v>
      </c>
      <c r="K1575">
        <f>eDNA!B1575</f>
        <v>126.8772417</v>
      </c>
      <c r="L1575">
        <f>eDNA!C1575</f>
        <v>37.474826299999997</v>
      </c>
      <c r="M1575" s="10" t="str" cm="1">
        <f t="array" ref="M1575">IFERROR(_xlfn.XLOOKUP(1,('env Parameter'!$A:$A=$A1575)*('env Parameter'!$B:$B=$K1575)*('env Parameter'!$C:$C=$L1575),'env Parameter'!D:D,""),"")</f>
        <v>안양천-10</v>
      </c>
      <c r="N1575" s="10" t="str" cm="1">
        <f t="array" ref="N1575">IFERROR(_xlfn.XLOOKUP(1,('env Parameter'!$A:$A=$A1575)*('env Parameter'!$B:$B=$K1575)*('env Parameter'!$C:$C=$L1575),'env Parameter'!I:I,""),"")</f>
        <v>YR</v>
      </c>
    </row>
    <row r="1576" spans="1:14">
      <c r="A1576">
        <f>eDNA!A1576</f>
        <v>20200916</v>
      </c>
      <c r="B1576" s="10" t="str" cm="1">
        <f t="array" ref="B1576">IFERROR(_xlfn.XLOOKUP(1,('env Parameter'!$A:$A=$A1576)*('env Parameter'!$B:$B=$K1576)*('env Parameter'!$C:$C=$L1576),'env Parameter'!H:H,""),"")</f>
        <v>생물상 조사</v>
      </c>
      <c r="C1576" s="10" cm="1">
        <f t="array" ref="C1576">IFERROR(_xlfn.XLOOKUP(1,('env Parameter'!$A:$A=$A1576)*('env Parameter'!$B:$B=$K1576)*('env Parameter'!$C:$C=$L1576),'env Parameter'!E:E,""),"")</f>
        <v>2.14</v>
      </c>
      <c r="D1576" s="10" cm="1">
        <f t="array" ref="D1576">IFERROR(_xlfn.XLOOKUP(1,('env Parameter'!$A:$A=$A1576)*('env Parameter'!$B:$B=$K1576)*('env Parameter'!$C:$C=$L1576),'env Parameter'!F:F,""),"")</f>
        <v>478</v>
      </c>
      <c r="E1576" s="10" cm="1">
        <f t="array" ref="E1576">IFERROR(_xlfn.XLOOKUP(1,('env Parameter'!$A:$A=$A1576)*('env Parameter'!$B:$B=$K1576)*('env Parameter'!$C:$C=$L1576),'env Parameter'!G:G,""),"")</f>
        <v>7.6</v>
      </c>
      <c r="F1576" t="str">
        <f>eDNA!F1576</f>
        <v>MiFish</v>
      </c>
      <c r="G1576" t="str">
        <f>eDNA!D1576</f>
        <v>Pipistrellus abramus</v>
      </c>
      <c r="H1576" t="str">
        <f>_xlfn.XLOOKUP(G1576,'Common name (master file)'!$B:$B,'Common name (master file)'!$A:$A,"-------------")</f>
        <v>집박쥐</v>
      </c>
      <c r="I1576">
        <f>eDNA!E1576</f>
        <v>143</v>
      </c>
      <c r="J1576" t="str">
        <f>_xlfn.XLOOKUP(G1576,'Common name (master file)'!$B:$B,'Common name (master file)'!$C:$C,"")</f>
        <v>포유류</v>
      </c>
      <c r="K1576">
        <f>eDNA!B1576</f>
        <v>126.9866722</v>
      </c>
      <c r="L1576">
        <f>eDNA!C1576</f>
        <v>37.398721700000003</v>
      </c>
      <c r="M1576" s="10" t="str" cm="1">
        <f t="array" ref="M1576">IFERROR(_xlfn.XLOOKUP(1,('env Parameter'!$A:$A=$A1576)*('env Parameter'!$B:$B=$K1576)*('env Parameter'!$C:$C=$L1576),'env Parameter'!D:D,""),"")</f>
        <v>안양천-30</v>
      </c>
      <c r="N1576" s="10" t="str" cm="1">
        <f t="array" ref="N1576">IFERROR(_xlfn.XLOOKUP(1,('env Parameter'!$A:$A=$A1576)*('env Parameter'!$B:$B=$K1576)*('env Parameter'!$C:$C=$L1576),'env Parameter'!I:I,""),"")</f>
        <v>YR</v>
      </c>
    </row>
    <row r="1577" spans="1:14">
      <c r="A1577">
        <f>eDNA!A1577</f>
        <v>20201024</v>
      </c>
      <c r="B1577" s="10" t="str" cm="1">
        <f t="array" ref="B1577">IFERROR(_xlfn.XLOOKUP(1,('env Parameter'!$A:$A=$A1577)*('env Parameter'!$B:$B=$K1577)*('env Parameter'!$C:$C=$L1577),'env Parameter'!H:H,""),"")</f>
        <v>생물상 조사</v>
      </c>
      <c r="C1577" s="10" cm="1">
        <f t="array" ref="C1577">IFERROR(_xlfn.XLOOKUP(1,('env Parameter'!$A:$A=$A1577)*('env Parameter'!$B:$B=$K1577)*('env Parameter'!$C:$C=$L1577),'env Parameter'!E:E,""),"")</f>
        <v>2.14</v>
      </c>
      <c r="D1577" s="10" cm="1">
        <f t="array" ref="D1577">IFERROR(_xlfn.XLOOKUP(1,('env Parameter'!$A:$A=$A1577)*('env Parameter'!$B:$B=$K1577)*('env Parameter'!$C:$C=$L1577),'env Parameter'!F:F,""),"")</f>
        <v>478</v>
      </c>
      <c r="E1577" s="10" cm="1">
        <f t="array" ref="E1577">IFERROR(_xlfn.XLOOKUP(1,('env Parameter'!$A:$A=$A1577)*('env Parameter'!$B:$B=$K1577)*('env Parameter'!$C:$C=$L1577),'env Parameter'!G:G,""),"")</f>
        <v>7.6</v>
      </c>
      <c r="F1577" t="str">
        <f>eDNA!F1577</f>
        <v>MiFish</v>
      </c>
      <c r="G1577" t="str">
        <f>eDNA!D1577</f>
        <v>Capra hircus</v>
      </c>
      <c r="H1577" t="str">
        <f>_xlfn.XLOOKUP(G1577,'Common name (master file)'!$B:$B,'Common name (master file)'!$A:$A,"-------------")</f>
        <v>염소</v>
      </c>
      <c r="I1577">
        <f>eDNA!E1577</f>
        <v>63</v>
      </c>
      <c r="J1577" t="str">
        <f>_xlfn.XLOOKUP(G1577,'Common name (master file)'!$B:$B,'Common name (master file)'!$C:$C,"")</f>
        <v>포유류</v>
      </c>
      <c r="K1577">
        <f>eDNA!B1577</f>
        <v>126.9070155</v>
      </c>
      <c r="L1577">
        <f>eDNA!C1577</f>
        <v>37.385953200000003</v>
      </c>
      <c r="M1577" s="10" t="str" cm="1">
        <f t="array" ref="M1577">IFERROR(_xlfn.XLOOKUP(1,('env Parameter'!$A:$A=$A1577)*('env Parameter'!$B:$B=$K1577)*('env Parameter'!$C:$C=$L1577),'env Parameter'!D:D,""),"")</f>
        <v>수암천</v>
      </c>
      <c r="N1577" s="10" t="str" cm="1">
        <f t="array" ref="N1577">IFERROR(_xlfn.XLOOKUP(1,('env Parameter'!$A:$A=$A1577)*('env Parameter'!$B:$B=$K1577)*('env Parameter'!$C:$C=$L1577),'env Parameter'!I:I,""),"")</f>
        <v>YR</v>
      </c>
    </row>
    <row r="1578" spans="1:14">
      <c r="A1578">
        <f>eDNA!A1578</f>
        <v>20201024</v>
      </c>
      <c r="B1578" s="10" t="str" cm="1">
        <f t="array" ref="B1578">IFERROR(_xlfn.XLOOKUP(1,('env Parameter'!$A:$A=$A1578)*('env Parameter'!$B:$B=$K1578)*('env Parameter'!$C:$C=$L1578),'env Parameter'!H:H,""),"")</f>
        <v>생물상 조사</v>
      </c>
      <c r="C1578" s="10" cm="1">
        <f t="array" ref="C1578">IFERROR(_xlfn.XLOOKUP(1,('env Parameter'!$A:$A=$A1578)*('env Parameter'!$B:$B=$K1578)*('env Parameter'!$C:$C=$L1578),'env Parameter'!E:E,""),"")</f>
        <v>2.14</v>
      </c>
      <c r="D1578" s="10" cm="1">
        <f t="array" ref="D1578">IFERROR(_xlfn.XLOOKUP(1,('env Parameter'!$A:$A=$A1578)*('env Parameter'!$B:$B=$K1578)*('env Parameter'!$C:$C=$L1578),'env Parameter'!F:F,""),"")</f>
        <v>478</v>
      </c>
      <c r="E1578" s="10" cm="1">
        <f t="array" ref="E1578">IFERROR(_xlfn.XLOOKUP(1,('env Parameter'!$A:$A=$A1578)*('env Parameter'!$B:$B=$K1578)*('env Parameter'!$C:$C=$L1578),'env Parameter'!G:G,""),"")</f>
        <v>7.6</v>
      </c>
      <c r="F1578" t="str">
        <f>eDNA!F1578</f>
        <v>MiFish</v>
      </c>
      <c r="G1578" t="str">
        <f>eDNA!D1578</f>
        <v>Carassius cuvieri</v>
      </c>
      <c r="H1578" t="str">
        <f>_xlfn.XLOOKUP(G1578,'Common name (master file)'!$B:$B,'Common name (master file)'!$A:$A,"-------------")</f>
        <v>떡붕어</v>
      </c>
      <c r="I1578">
        <f>eDNA!E1578</f>
        <v>116</v>
      </c>
      <c r="J1578" t="str">
        <f>_xlfn.XLOOKUP(G1578,'Common name (master file)'!$B:$B,'Common name (master file)'!$C:$C,"")</f>
        <v>어류</v>
      </c>
      <c r="K1578">
        <f>eDNA!B1578</f>
        <v>126.9070155</v>
      </c>
      <c r="L1578">
        <f>eDNA!C1578</f>
        <v>37.385953200000003</v>
      </c>
      <c r="M1578" s="10" t="str" cm="1">
        <f t="array" ref="M1578">IFERROR(_xlfn.XLOOKUP(1,('env Parameter'!$A:$A=$A1578)*('env Parameter'!$B:$B=$K1578)*('env Parameter'!$C:$C=$L1578),'env Parameter'!D:D,""),"")</f>
        <v>수암천</v>
      </c>
      <c r="N1578" s="10" t="str" cm="1">
        <f t="array" ref="N1578">IFERROR(_xlfn.XLOOKUP(1,('env Parameter'!$A:$A=$A1578)*('env Parameter'!$B:$B=$K1578)*('env Parameter'!$C:$C=$L1578),'env Parameter'!I:I,""),"")</f>
        <v>YR</v>
      </c>
    </row>
    <row r="1579" spans="1:14">
      <c r="A1579">
        <f>eDNA!A1579</f>
        <v>20201024</v>
      </c>
      <c r="B1579" s="10" t="str" cm="1">
        <f t="array" ref="B1579">IFERROR(_xlfn.XLOOKUP(1,('env Parameter'!$A:$A=$A1579)*('env Parameter'!$B:$B=$K1579)*('env Parameter'!$C:$C=$L1579),'env Parameter'!H:H,""),"")</f>
        <v>생물상 조사</v>
      </c>
      <c r="C1579" s="10" cm="1">
        <f t="array" ref="C1579">IFERROR(_xlfn.XLOOKUP(1,('env Parameter'!$A:$A=$A1579)*('env Parameter'!$B:$B=$K1579)*('env Parameter'!$C:$C=$L1579),'env Parameter'!E:E,""),"")</f>
        <v>2.14</v>
      </c>
      <c r="D1579" s="10" cm="1">
        <f t="array" ref="D1579">IFERROR(_xlfn.XLOOKUP(1,('env Parameter'!$A:$A=$A1579)*('env Parameter'!$B:$B=$K1579)*('env Parameter'!$C:$C=$L1579),'env Parameter'!F:F,""),"")</f>
        <v>478</v>
      </c>
      <c r="E1579" s="10" cm="1">
        <f t="array" ref="E1579">IFERROR(_xlfn.XLOOKUP(1,('env Parameter'!$A:$A=$A1579)*('env Parameter'!$B:$B=$K1579)*('env Parameter'!$C:$C=$L1579),'env Parameter'!G:G,""),"")</f>
        <v>7.6</v>
      </c>
      <c r="F1579" t="str">
        <f>eDNA!F1579</f>
        <v>MiFish</v>
      </c>
      <c r="G1579" t="str">
        <f>eDNA!D1579</f>
        <v>Periophthalmus modestus</v>
      </c>
      <c r="H1579" t="str">
        <f>_xlfn.XLOOKUP(G1579,'Common name (master file)'!$B:$B,'Common name (master file)'!$A:$A,"-------------")</f>
        <v>짱뚱어</v>
      </c>
      <c r="I1579">
        <f>eDNA!E1579</f>
        <v>167</v>
      </c>
      <c r="J1579" t="str">
        <f>_xlfn.XLOOKUP(G1579,'Common name (master file)'!$B:$B,'Common name (master file)'!$C:$C,"")</f>
        <v>어류</v>
      </c>
      <c r="K1579">
        <f>eDNA!B1579</f>
        <v>126.99657019999999</v>
      </c>
      <c r="L1579">
        <f>eDNA!C1579</f>
        <v>37.389118600000003</v>
      </c>
      <c r="M1579" s="10" t="str" cm="1">
        <f t="array" ref="M1579">IFERROR(_xlfn.XLOOKUP(1,('env Parameter'!$A:$A=$A1579)*('env Parameter'!$B:$B=$K1579)*('env Parameter'!$C:$C=$L1579),'env Parameter'!D:D,""),"")</f>
        <v>안양천-19</v>
      </c>
      <c r="N1579" s="10" t="str" cm="1">
        <f t="array" ref="N1579">IFERROR(_xlfn.XLOOKUP(1,('env Parameter'!$A:$A=$A1579)*('env Parameter'!$B:$B=$K1579)*('env Parameter'!$C:$C=$L1579),'env Parameter'!I:I,""),"")</f>
        <v>YR</v>
      </c>
    </row>
    <row r="1580" spans="1:14">
      <c r="A1580">
        <f>eDNA!A1580</f>
        <v>20201024</v>
      </c>
      <c r="B1580" s="10" t="str" cm="1">
        <f t="array" ref="B1580">IFERROR(_xlfn.XLOOKUP(1,('env Parameter'!$A:$A=$A1580)*('env Parameter'!$B:$B=$K1580)*('env Parameter'!$C:$C=$L1580),'env Parameter'!H:H,""),"")</f>
        <v>생물상 조사</v>
      </c>
      <c r="C1580" s="10" cm="1">
        <f t="array" ref="C1580">IFERROR(_xlfn.XLOOKUP(1,('env Parameter'!$A:$A=$A1580)*('env Parameter'!$B:$B=$K1580)*('env Parameter'!$C:$C=$L1580),'env Parameter'!E:E,""),"")</f>
        <v>2.14</v>
      </c>
      <c r="D1580" s="10" cm="1">
        <f t="array" ref="D1580">IFERROR(_xlfn.XLOOKUP(1,('env Parameter'!$A:$A=$A1580)*('env Parameter'!$B:$B=$K1580)*('env Parameter'!$C:$C=$L1580),'env Parameter'!F:F,""),"")</f>
        <v>478</v>
      </c>
      <c r="E1580" s="10" cm="1">
        <f t="array" ref="E1580">IFERROR(_xlfn.XLOOKUP(1,('env Parameter'!$A:$A=$A1580)*('env Parameter'!$B:$B=$K1580)*('env Parameter'!$C:$C=$L1580),'env Parameter'!G:G,""),"")</f>
        <v>7.6</v>
      </c>
      <c r="F1580" t="str">
        <f>eDNA!F1580</f>
        <v>MiFish</v>
      </c>
      <c r="G1580" t="str">
        <f>eDNA!D1580</f>
        <v>Pseudorasbora parva</v>
      </c>
      <c r="H1580" t="str">
        <f>_xlfn.XLOOKUP(G1580,'Common name (master file)'!$B:$B,'Common name (master file)'!$A:$A,"-------------")</f>
        <v>참붕어</v>
      </c>
      <c r="I1580">
        <f>eDNA!E1580</f>
        <v>123</v>
      </c>
      <c r="J1580" t="str">
        <f>_xlfn.XLOOKUP(G1580,'Common name (master file)'!$B:$B,'Common name (master file)'!$C:$C,"")</f>
        <v>어류</v>
      </c>
      <c r="K1580">
        <f>eDNA!B1580</f>
        <v>126.9070155</v>
      </c>
      <c r="L1580">
        <f>eDNA!C1580</f>
        <v>37.385953200000003</v>
      </c>
      <c r="M1580" s="10" t="str" cm="1">
        <f t="array" ref="M1580">IFERROR(_xlfn.XLOOKUP(1,('env Parameter'!$A:$A=$A1580)*('env Parameter'!$B:$B=$K1580)*('env Parameter'!$C:$C=$L1580),'env Parameter'!D:D,""),"")</f>
        <v>수암천</v>
      </c>
      <c r="N1580" s="10" t="str" cm="1">
        <f t="array" ref="N1580">IFERROR(_xlfn.XLOOKUP(1,('env Parameter'!$A:$A=$A1580)*('env Parameter'!$B:$B=$K1580)*('env Parameter'!$C:$C=$L1580),'env Parameter'!I:I,""),"")</f>
        <v>YR</v>
      </c>
    </row>
    <row r="1581" spans="1:14">
      <c r="A1581">
        <f>eDNA!A1581</f>
        <v>20201024</v>
      </c>
      <c r="B1581" s="10" t="str" cm="1">
        <f t="array" ref="B1581">IFERROR(_xlfn.XLOOKUP(1,('env Parameter'!$A:$A=$A1581)*('env Parameter'!$B:$B=$K1581)*('env Parameter'!$C:$C=$L1581),'env Parameter'!H:H,""),"")</f>
        <v>생물상 조사</v>
      </c>
      <c r="C1581" s="10" cm="1">
        <f t="array" ref="C1581">IFERROR(_xlfn.XLOOKUP(1,('env Parameter'!$A:$A=$A1581)*('env Parameter'!$B:$B=$K1581)*('env Parameter'!$C:$C=$L1581),'env Parameter'!E:E,""),"")</f>
        <v>2.14</v>
      </c>
      <c r="D1581" s="10" cm="1">
        <f t="array" ref="D1581">IFERROR(_xlfn.XLOOKUP(1,('env Parameter'!$A:$A=$A1581)*('env Parameter'!$B:$B=$K1581)*('env Parameter'!$C:$C=$L1581),'env Parameter'!F:F,""),"")</f>
        <v>478</v>
      </c>
      <c r="E1581" s="10" cm="1">
        <f t="array" ref="E1581">IFERROR(_xlfn.XLOOKUP(1,('env Parameter'!$A:$A=$A1581)*('env Parameter'!$B:$B=$K1581)*('env Parameter'!$C:$C=$L1581),'env Parameter'!G:G,""),"")</f>
        <v>7.6</v>
      </c>
      <c r="F1581" t="str">
        <f>eDNA!F1581</f>
        <v>MiFish</v>
      </c>
      <c r="G1581" t="str">
        <f>eDNA!D1581</f>
        <v>Sus scrofa</v>
      </c>
      <c r="H1581" t="str">
        <f>_xlfn.XLOOKUP(G1581,'Common name (master file)'!$B:$B,'Common name (master file)'!$A:$A,"-------------")</f>
        <v>멧돼지</v>
      </c>
      <c r="I1581">
        <f>eDNA!E1581</f>
        <v>164</v>
      </c>
      <c r="J1581" t="str">
        <f>_xlfn.XLOOKUP(G1581,'Common name (master file)'!$B:$B,'Common name (master file)'!$C:$C,"")</f>
        <v>포유류</v>
      </c>
      <c r="K1581">
        <f>eDNA!B1581</f>
        <v>126.9070155</v>
      </c>
      <c r="L1581">
        <f>eDNA!C1581</f>
        <v>37.385953200000003</v>
      </c>
      <c r="M1581" s="10" t="str" cm="1">
        <f t="array" ref="M1581">IFERROR(_xlfn.XLOOKUP(1,('env Parameter'!$A:$A=$A1581)*('env Parameter'!$B:$B=$K1581)*('env Parameter'!$C:$C=$L1581),'env Parameter'!D:D,""),"")</f>
        <v>수암천</v>
      </c>
      <c r="N1581" s="10" t="str" cm="1">
        <f t="array" ref="N1581">IFERROR(_xlfn.XLOOKUP(1,('env Parameter'!$A:$A=$A1581)*('env Parameter'!$B:$B=$K1581)*('env Parameter'!$C:$C=$L1581),'env Parameter'!I:I,""),"")</f>
        <v>YR</v>
      </c>
    </row>
    <row r="1582" spans="1:14">
      <c r="A1582">
        <f>eDNA!A1582</f>
        <v>20201024</v>
      </c>
      <c r="B1582" s="10" t="str" cm="1">
        <f t="array" ref="B1582">IFERROR(_xlfn.XLOOKUP(1,('env Parameter'!$A:$A=$A1582)*('env Parameter'!$B:$B=$K1582)*('env Parameter'!$C:$C=$L1582),'env Parameter'!H:H,""),"")</f>
        <v>생물상 조사</v>
      </c>
      <c r="C1582" s="10" cm="1">
        <f t="array" ref="C1582">IFERROR(_xlfn.XLOOKUP(1,('env Parameter'!$A:$A=$A1582)*('env Parameter'!$B:$B=$K1582)*('env Parameter'!$C:$C=$L1582),'env Parameter'!E:E,""),"")</f>
        <v>2.14</v>
      </c>
      <c r="D1582" s="10" cm="1">
        <f t="array" ref="D1582">IFERROR(_xlfn.XLOOKUP(1,('env Parameter'!$A:$A=$A1582)*('env Parameter'!$B:$B=$K1582)*('env Parameter'!$C:$C=$L1582),'env Parameter'!F:F,""),"")</f>
        <v>478</v>
      </c>
      <c r="E1582" s="10" cm="1">
        <f t="array" ref="E1582">IFERROR(_xlfn.XLOOKUP(1,('env Parameter'!$A:$A=$A1582)*('env Parameter'!$B:$B=$K1582)*('env Parameter'!$C:$C=$L1582),'env Parameter'!G:G,""),"")</f>
        <v>7.6</v>
      </c>
      <c r="F1582" t="str">
        <f>eDNA!F1582</f>
        <v>MiFish</v>
      </c>
      <c r="G1582" t="str">
        <f>eDNA!D1582</f>
        <v>Bos taurus</v>
      </c>
      <c r="H1582" t="str">
        <f>_xlfn.XLOOKUP(G1582,'Common name (master file)'!$B:$B,'Common name (master file)'!$A:$A,"-------------")</f>
        <v>소</v>
      </c>
      <c r="I1582">
        <f>eDNA!E1582</f>
        <v>332</v>
      </c>
      <c r="J1582" t="str">
        <f>_xlfn.XLOOKUP(G1582,'Common name (master file)'!$B:$B,'Common name (master file)'!$C:$C,"")</f>
        <v>포유류</v>
      </c>
      <c r="K1582">
        <f>eDNA!B1582</f>
        <v>126.9070155</v>
      </c>
      <c r="L1582">
        <f>eDNA!C1582</f>
        <v>37.385953200000003</v>
      </c>
      <c r="M1582" s="10" t="str" cm="1">
        <f t="array" ref="M1582">IFERROR(_xlfn.XLOOKUP(1,('env Parameter'!$A:$A=$A1582)*('env Parameter'!$B:$B=$K1582)*('env Parameter'!$C:$C=$L1582),'env Parameter'!D:D,""),"")</f>
        <v>수암천</v>
      </c>
      <c r="N1582" s="10" t="str" cm="1">
        <f t="array" ref="N1582">IFERROR(_xlfn.XLOOKUP(1,('env Parameter'!$A:$A=$A1582)*('env Parameter'!$B:$B=$K1582)*('env Parameter'!$C:$C=$L1582),'env Parameter'!I:I,""),"")</f>
        <v>YR</v>
      </c>
    </row>
    <row r="1583" spans="1:14">
      <c r="A1583">
        <f>eDNA!A1583</f>
        <v>20201024</v>
      </c>
      <c r="B1583" s="10" t="str" cm="1">
        <f t="array" ref="B1583">IFERROR(_xlfn.XLOOKUP(1,('env Parameter'!$A:$A=$A1583)*('env Parameter'!$B:$B=$K1583)*('env Parameter'!$C:$C=$L1583),'env Parameter'!H:H,""),"")</f>
        <v>생물상 조사</v>
      </c>
      <c r="C1583" s="10" cm="1">
        <f t="array" ref="C1583">IFERROR(_xlfn.XLOOKUP(1,('env Parameter'!$A:$A=$A1583)*('env Parameter'!$B:$B=$K1583)*('env Parameter'!$C:$C=$L1583),'env Parameter'!E:E,""),"")</f>
        <v>2.14</v>
      </c>
      <c r="D1583" s="10" cm="1">
        <f t="array" ref="D1583">IFERROR(_xlfn.XLOOKUP(1,('env Parameter'!$A:$A=$A1583)*('env Parameter'!$B:$B=$K1583)*('env Parameter'!$C:$C=$L1583),'env Parameter'!F:F,""),"")</f>
        <v>478</v>
      </c>
      <c r="E1583" s="10" cm="1">
        <f t="array" ref="E1583">IFERROR(_xlfn.XLOOKUP(1,('env Parameter'!$A:$A=$A1583)*('env Parameter'!$B:$B=$K1583)*('env Parameter'!$C:$C=$L1583),'env Parameter'!G:G,""),"")</f>
        <v>7.6</v>
      </c>
      <c r="F1583" t="str">
        <f>eDNA!F1583</f>
        <v>MiFish</v>
      </c>
      <c r="G1583" t="str">
        <f>eDNA!D1583</f>
        <v>Rattus norvegicus</v>
      </c>
      <c r="H1583" t="str">
        <f>_xlfn.XLOOKUP(G1583,'Common name (master file)'!$B:$B,'Common name (master file)'!$A:$A,"-------------")</f>
        <v>시궁쥐</v>
      </c>
      <c r="I1583">
        <f>eDNA!E1583</f>
        <v>288</v>
      </c>
      <c r="J1583" t="str">
        <f>_xlfn.XLOOKUP(G1583,'Common name (master file)'!$B:$B,'Common name (master file)'!$C:$C,"")</f>
        <v>포유류</v>
      </c>
      <c r="K1583">
        <f>eDNA!B1583</f>
        <v>126.9070155</v>
      </c>
      <c r="L1583">
        <f>eDNA!C1583</f>
        <v>37.385953200000003</v>
      </c>
      <c r="M1583" s="10" t="str" cm="1">
        <f t="array" ref="M1583">IFERROR(_xlfn.XLOOKUP(1,('env Parameter'!$A:$A=$A1583)*('env Parameter'!$B:$B=$K1583)*('env Parameter'!$C:$C=$L1583),'env Parameter'!D:D,""),"")</f>
        <v>수암천</v>
      </c>
      <c r="N1583" s="10" t="str" cm="1">
        <f t="array" ref="N1583">IFERROR(_xlfn.XLOOKUP(1,('env Parameter'!$A:$A=$A1583)*('env Parameter'!$B:$B=$K1583)*('env Parameter'!$C:$C=$L1583),'env Parameter'!I:I,""),"")</f>
        <v>YR</v>
      </c>
    </row>
    <row r="1584" spans="1:14">
      <c r="A1584">
        <f>eDNA!A1584</f>
        <v>20201024</v>
      </c>
      <c r="B1584" s="10" t="str" cm="1">
        <f t="array" ref="B1584">IFERROR(_xlfn.XLOOKUP(1,('env Parameter'!$A:$A=$A1584)*('env Parameter'!$B:$B=$K1584)*('env Parameter'!$C:$C=$L1584),'env Parameter'!H:H,""),"")</f>
        <v>생물상 조사</v>
      </c>
      <c r="C1584" s="10" cm="1">
        <f t="array" ref="C1584">IFERROR(_xlfn.XLOOKUP(1,('env Parameter'!$A:$A=$A1584)*('env Parameter'!$B:$B=$K1584)*('env Parameter'!$C:$C=$L1584),'env Parameter'!E:E,""),"")</f>
        <v>2.14</v>
      </c>
      <c r="D1584" s="10" cm="1">
        <f t="array" ref="D1584">IFERROR(_xlfn.XLOOKUP(1,('env Parameter'!$A:$A=$A1584)*('env Parameter'!$B:$B=$K1584)*('env Parameter'!$C:$C=$L1584),'env Parameter'!F:F,""),"")</f>
        <v>478</v>
      </c>
      <c r="E1584" s="10" cm="1">
        <f t="array" ref="E1584">IFERROR(_xlfn.XLOOKUP(1,('env Parameter'!$A:$A=$A1584)*('env Parameter'!$B:$B=$K1584)*('env Parameter'!$C:$C=$L1584),'env Parameter'!G:G,""),"")</f>
        <v>7.6</v>
      </c>
      <c r="F1584" t="str">
        <f>eDNA!F1584</f>
        <v>MiFish</v>
      </c>
      <c r="G1584" t="str">
        <f>eDNA!D1584</f>
        <v>Tadorna tadorna</v>
      </c>
      <c r="H1584" t="str">
        <f>_xlfn.XLOOKUP(G1584,'Common name (master file)'!$B:$B,'Common name (master file)'!$A:$A,"-------------")</f>
        <v>혹부리오리</v>
      </c>
      <c r="I1584">
        <f>eDNA!E1584</f>
        <v>343</v>
      </c>
      <c r="J1584" t="str">
        <f>_xlfn.XLOOKUP(G1584,'Common name (master file)'!$B:$B,'Common name (master file)'!$C:$C,"")</f>
        <v>조류</v>
      </c>
      <c r="K1584">
        <f>eDNA!B1584</f>
        <v>126.9070155</v>
      </c>
      <c r="L1584">
        <f>eDNA!C1584</f>
        <v>37.385953200000003</v>
      </c>
      <c r="M1584" s="10" t="str" cm="1">
        <f t="array" ref="M1584">IFERROR(_xlfn.XLOOKUP(1,('env Parameter'!$A:$A=$A1584)*('env Parameter'!$B:$B=$K1584)*('env Parameter'!$C:$C=$L1584),'env Parameter'!D:D,""),"")</f>
        <v>수암천</v>
      </c>
      <c r="N1584" s="10" t="str" cm="1">
        <f t="array" ref="N1584">IFERROR(_xlfn.XLOOKUP(1,('env Parameter'!$A:$A=$A1584)*('env Parameter'!$B:$B=$K1584)*('env Parameter'!$C:$C=$L1584),'env Parameter'!I:I,""),"")</f>
        <v>YR</v>
      </c>
    </row>
    <row r="1585" spans="1:14">
      <c r="A1585">
        <f>eDNA!A1585</f>
        <v>20201024</v>
      </c>
      <c r="B1585" s="10" t="str" cm="1">
        <f t="array" ref="B1585">IFERROR(_xlfn.XLOOKUP(1,('env Parameter'!$A:$A=$A1585)*('env Parameter'!$B:$B=$K1585)*('env Parameter'!$C:$C=$L1585),'env Parameter'!H:H,""),"")</f>
        <v>생물상 조사</v>
      </c>
      <c r="C1585" s="10" cm="1">
        <f t="array" ref="C1585">IFERROR(_xlfn.XLOOKUP(1,('env Parameter'!$A:$A=$A1585)*('env Parameter'!$B:$B=$K1585)*('env Parameter'!$C:$C=$L1585),'env Parameter'!E:E,""),"")</f>
        <v>2.14</v>
      </c>
      <c r="D1585" s="10" cm="1">
        <f t="array" ref="D1585">IFERROR(_xlfn.XLOOKUP(1,('env Parameter'!$A:$A=$A1585)*('env Parameter'!$B:$B=$K1585)*('env Parameter'!$C:$C=$L1585),'env Parameter'!F:F,""),"")</f>
        <v>478</v>
      </c>
      <c r="E1585" s="10" cm="1">
        <f t="array" ref="E1585">IFERROR(_xlfn.XLOOKUP(1,('env Parameter'!$A:$A=$A1585)*('env Parameter'!$B:$B=$K1585)*('env Parameter'!$C:$C=$L1585),'env Parameter'!G:G,""),"")</f>
        <v>7.6</v>
      </c>
      <c r="F1585" t="str">
        <f>eDNA!F1585</f>
        <v>MiFish</v>
      </c>
      <c r="G1585" t="str">
        <f>eDNA!D1585</f>
        <v>Pica serica</v>
      </c>
      <c r="H1585" t="str">
        <f>_xlfn.XLOOKUP(G1585,'Common name (master file)'!$B:$B,'Common name (master file)'!$A:$A,"-------------")</f>
        <v>까치</v>
      </c>
      <c r="I1585">
        <f>eDNA!E1585</f>
        <v>369</v>
      </c>
      <c r="J1585" t="str">
        <f>_xlfn.XLOOKUP(G1585,'Common name (master file)'!$B:$B,'Common name (master file)'!$C:$C,"")</f>
        <v>조류</v>
      </c>
      <c r="K1585">
        <f>eDNA!B1585</f>
        <v>126.9070155</v>
      </c>
      <c r="L1585">
        <f>eDNA!C1585</f>
        <v>37.385953200000003</v>
      </c>
      <c r="M1585" s="10" t="str" cm="1">
        <f t="array" ref="M1585">IFERROR(_xlfn.XLOOKUP(1,('env Parameter'!$A:$A=$A1585)*('env Parameter'!$B:$B=$K1585)*('env Parameter'!$C:$C=$L1585),'env Parameter'!D:D,""),"")</f>
        <v>수암천</v>
      </c>
      <c r="N1585" s="10" t="str" cm="1">
        <f t="array" ref="N1585">IFERROR(_xlfn.XLOOKUP(1,('env Parameter'!$A:$A=$A1585)*('env Parameter'!$B:$B=$K1585)*('env Parameter'!$C:$C=$L1585),'env Parameter'!I:I,""),"")</f>
        <v>YR</v>
      </c>
    </row>
    <row r="1586" spans="1:14">
      <c r="A1586">
        <f>eDNA!A1586</f>
        <v>20201024</v>
      </c>
      <c r="B1586" s="10" t="str" cm="1">
        <f t="array" ref="B1586">IFERROR(_xlfn.XLOOKUP(1,('env Parameter'!$A:$A=$A1586)*('env Parameter'!$B:$B=$K1586)*('env Parameter'!$C:$C=$L1586),'env Parameter'!H:H,""),"")</f>
        <v>생물상 조사</v>
      </c>
      <c r="C1586" s="10" cm="1">
        <f t="array" ref="C1586">IFERROR(_xlfn.XLOOKUP(1,('env Parameter'!$A:$A=$A1586)*('env Parameter'!$B:$B=$K1586)*('env Parameter'!$C:$C=$L1586),'env Parameter'!E:E,""),"")</f>
        <v>2.14</v>
      </c>
      <c r="D1586" s="10" cm="1">
        <f t="array" ref="D1586">IFERROR(_xlfn.XLOOKUP(1,('env Parameter'!$A:$A=$A1586)*('env Parameter'!$B:$B=$K1586)*('env Parameter'!$C:$C=$L1586),'env Parameter'!F:F,""),"")</f>
        <v>478</v>
      </c>
      <c r="E1586" s="10" cm="1">
        <f t="array" ref="E1586">IFERROR(_xlfn.XLOOKUP(1,('env Parameter'!$A:$A=$A1586)*('env Parameter'!$B:$B=$K1586)*('env Parameter'!$C:$C=$L1586),'env Parameter'!G:G,""),"")</f>
        <v>7.6</v>
      </c>
      <c r="F1586" t="str">
        <f>eDNA!F1586</f>
        <v>MiFish</v>
      </c>
      <c r="G1586" t="str">
        <f>eDNA!D1586</f>
        <v>Homo sapiens</v>
      </c>
      <c r="H1586" t="str">
        <f>_xlfn.XLOOKUP(G1586,'Common name (master file)'!$B:$B,'Common name (master file)'!$A:$A,"-------------")</f>
        <v>사람</v>
      </c>
      <c r="I1586">
        <f>eDNA!E1586</f>
        <v>1273</v>
      </c>
      <c r="J1586" t="str">
        <f>_xlfn.XLOOKUP(G1586,'Common name (master file)'!$B:$B,'Common name (master file)'!$C:$C,"")</f>
        <v>포유류</v>
      </c>
      <c r="K1586">
        <f>eDNA!B1586</f>
        <v>126.9070155</v>
      </c>
      <c r="L1586">
        <f>eDNA!C1586</f>
        <v>37.385953200000003</v>
      </c>
      <c r="M1586" s="10" t="str" cm="1">
        <f t="array" ref="M1586">IFERROR(_xlfn.XLOOKUP(1,('env Parameter'!$A:$A=$A1586)*('env Parameter'!$B:$B=$K1586)*('env Parameter'!$C:$C=$L1586),'env Parameter'!D:D,""),"")</f>
        <v>수암천</v>
      </c>
      <c r="N1586" s="10" t="str" cm="1">
        <f t="array" ref="N1586">IFERROR(_xlfn.XLOOKUP(1,('env Parameter'!$A:$A=$A1586)*('env Parameter'!$B:$B=$K1586)*('env Parameter'!$C:$C=$L1586),'env Parameter'!I:I,""),"")</f>
        <v>YR</v>
      </c>
    </row>
    <row r="1587" spans="1:14">
      <c r="A1587">
        <f>eDNA!A1587</f>
        <v>20201024</v>
      </c>
      <c r="B1587" s="10" t="str" cm="1">
        <f t="array" ref="B1587">IFERROR(_xlfn.XLOOKUP(1,('env Parameter'!$A:$A=$A1587)*('env Parameter'!$B:$B=$K1587)*('env Parameter'!$C:$C=$L1587),'env Parameter'!H:H,""),"")</f>
        <v>생물상 조사</v>
      </c>
      <c r="C1587" s="10" cm="1">
        <f t="array" ref="C1587">IFERROR(_xlfn.XLOOKUP(1,('env Parameter'!$A:$A=$A1587)*('env Parameter'!$B:$B=$K1587)*('env Parameter'!$C:$C=$L1587),'env Parameter'!E:E,""),"")</f>
        <v>2.14</v>
      </c>
      <c r="D1587" s="10" cm="1">
        <f t="array" ref="D1587">IFERROR(_xlfn.XLOOKUP(1,('env Parameter'!$A:$A=$A1587)*('env Parameter'!$B:$B=$K1587)*('env Parameter'!$C:$C=$L1587),'env Parameter'!F:F,""),"")</f>
        <v>478</v>
      </c>
      <c r="E1587" s="10" cm="1">
        <f t="array" ref="E1587">IFERROR(_xlfn.XLOOKUP(1,('env Parameter'!$A:$A=$A1587)*('env Parameter'!$B:$B=$K1587)*('env Parameter'!$C:$C=$L1587),'env Parameter'!G:G,""),"")</f>
        <v>7.6</v>
      </c>
      <c r="F1587" t="str">
        <f>eDNA!F1587</f>
        <v>MiFish</v>
      </c>
      <c r="G1587" t="str">
        <f>eDNA!D1587</f>
        <v>Carassius gibelio</v>
      </c>
      <c r="H1587" t="str">
        <f>_xlfn.XLOOKUP(G1587,'Common name (master file)'!$B:$B,'Common name (master file)'!$A:$A,"-------------")</f>
        <v>기벨리오 붕어</v>
      </c>
      <c r="I1587">
        <f>eDNA!E1587</f>
        <v>5221</v>
      </c>
      <c r="J1587" t="str">
        <f>_xlfn.XLOOKUP(G1587,'Common name (master file)'!$B:$B,'Common name (master file)'!$C:$C,"")</f>
        <v>어류</v>
      </c>
      <c r="K1587">
        <f>eDNA!B1587</f>
        <v>126.9070155</v>
      </c>
      <c r="L1587">
        <f>eDNA!C1587</f>
        <v>37.385953200000003</v>
      </c>
      <c r="M1587" s="10" t="str" cm="1">
        <f t="array" ref="M1587">IFERROR(_xlfn.XLOOKUP(1,('env Parameter'!$A:$A=$A1587)*('env Parameter'!$B:$B=$K1587)*('env Parameter'!$C:$C=$L1587),'env Parameter'!D:D,""),"")</f>
        <v>수암천</v>
      </c>
      <c r="N1587" s="10" t="str" cm="1">
        <f t="array" ref="N1587">IFERROR(_xlfn.XLOOKUP(1,('env Parameter'!$A:$A=$A1587)*('env Parameter'!$B:$B=$K1587)*('env Parameter'!$C:$C=$L1587),'env Parameter'!I:I,""),"")</f>
        <v>YR</v>
      </c>
    </row>
    <row r="1588" spans="1:14">
      <c r="A1588">
        <f>eDNA!A1588</f>
        <v>20201024</v>
      </c>
      <c r="B1588" s="10" t="str" cm="1">
        <f t="array" ref="B1588">IFERROR(_xlfn.XLOOKUP(1,('env Parameter'!$A:$A=$A1588)*('env Parameter'!$B:$B=$K1588)*('env Parameter'!$C:$C=$L1588),'env Parameter'!H:H,""),"")</f>
        <v>생물상 조사</v>
      </c>
      <c r="C1588" s="10" cm="1">
        <f t="array" ref="C1588">IFERROR(_xlfn.XLOOKUP(1,('env Parameter'!$A:$A=$A1588)*('env Parameter'!$B:$B=$K1588)*('env Parameter'!$C:$C=$L1588),'env Parameter'!E:E,""),"")</f>
        <v>2.14</v>
      </c>
      <c r="D1588" s="10" cm="1">
        <f t="array" ref="D1588">IFERROR(_xlfn.XLOOKUP(1,('env Parameter'!$A:$A=$A1588)*('env Parameter'!$B:$B=$K1588)*('env Parameter'!$C:$C=$L1588),'env Parameter'!F:F,""),"")</f>
        <v>478</v>
      </c>
      <c r="E1588" s="10" cm="1">
        <f t="array" ref="E1588">IFERROR(_xlfn.XLOOKUP(1,('env Parameter'!$A:$A=$A1588)*('env Parameter'!$B:$B=$K1588)*('env Parameter'!$C:$C=$L1588),'env Parameter'!G:G,""),"")</f>
        <v>7.6</v>
      </c>
      <c r="F1588" t="str">
        <f>eDNA!F1588</f>
        <v>MiFish</v>
      </c>
      <c r="G1588" t="str">
        <f>eDNA!D1588</f>
        <v>Misgurnus mizolepis</v>
      </c>
      <c r="H1588" t="str">
        <f>_xlfn.XLOOKUP(G1588,'Common name (master file)'!$B:$B,'Common name (master file)'!$A:$A,"-------------")</f>
        <v>미꾸라지</v>
      </c>
      <c r="I1588">
        <f>eDNA!E1588</f>
        <v>11322</v>
      </c>
      <c r="J1588" t="str">
        <f>_xlfn.XLOOKUP(G1588,'Common name (master file)'!$B:$B,'Common name (master file)'!$C:$C,"")</f>
        <v>어류</v>
      </c>
      <c r="K1588">
        <f>eDNA!B1588</f>
        <v>126.9070155</v>
      </c>
      <c r="L1588">
        <f>eDNA!C1588</f>
        <v>37.385953200000003</v>
      </c>
      <c r="M1588" s="10" t="str" cm="1">
        <f t="array" ref="M1588">IFERROR(_xlfn.XLOOKUP(1,('env Parameter'!$A:$A=$A1588)*('env Parameter'!$B:$B=$K1588)*('env Parameter'!$C:$C=$L1588),'env Parameter'!D:D,""),"")</f>
        <v>수암천</v>
      </c>
      <c r="N1588" s="10" t="str" cm="1">
        <f t="array" ref="N1588">IFERROR(_xlfn.XLOOKUP(1,('env Parameter'!$A:$A=$A1588)*('env Parameter'!$B:$B=$K1588)*('env Parameter'!$C:$C=$L1588),'env Parameter'!I:I,""),"")</f>
        <v>YR</v>
      </c>
    </row>
    <row r="1589" spans="1:14">
      <c r="A1589">
        <f>eDNA!A1589</f>
        <v>20201024</v>
      </c>
      <c r="B1589" s="10" t="str" cm="1">
        <f t="array" ref="B1589">IFERROR(_xlfn.XLOOKUP(1,('env Parameter'!$A:$A=$A1589)*('env Parameter'!$B:$B=$K1589)*('env Parameter'!$C:$C=$L1589),'env Parameter'!H:H,""),"")</f>
        <v>생물상 조사</v>
      </c>
      <c r="C1589" s="10" cm="1">
        <f t="array" ref="C1589">IFERROR(_xlfn.XLOOKUP(1,('env Parameter'!$A:$A=$A1589)*('env Parameter'!$B:$B=$K1589)*('env Parameter'!$C:$C=$L1589),'env Parameter'!E:E,""),"")</f>
        <v>2.14</v>
      </c>
      <c r="D1589" s="10" cm="1">
        <f t="array" ref="D1589">IFERROR(_xlfn.XLOOKUP(1,('env Parameter'!$A:$A=$A1589)*('env Parameter'!$B:$B=$K1589)*('env Parameter'!$C:$C=$L1589),'env Parameter'!F:F,""),"")</f>
        <v>478</v>
      </c>
      <c r="E1589" s="10" cm="1">
        <f t="array" ref="E1589">IFERROR(_xlfn.XLOOKUP(1,('env Parameter'!$A:$A=$A1589)*('env Parameter'!$B:$B=$K1589)*('env Parameter'!$C:$C=$L1589),'env Parameter'!G:G,""),"")</f>
        <v>7.6</v>
      </c>
      <c r="F1589" t="str">
        <f>eDNA!F1589</f>
        <v>MiFish</v>
      </c>
      <c r="G1589" t="str">
        <f>eDNA!D1589</f>
        <v>Lepomis macrochirus</v>
      </c>
      <c r="H1589" t="str">
        <f>_xlfn.XLOOKUP(G1589,'Common name (master file)'!$B:$B,'Common name (master file)'!$A:$A,"-------------")</f>
        <v>블루길</v>
      </c>
      <c r="I1589">
        <f>eDNA!E1589</f>
        <v>22547</v>
      </c>
      <c r="J1589" t="str">
        <f>_xlfn.XLOOKUP(G1589,'Common name (master file)'!$B:$B,'Common name (master file)'!$C:$C,"")</f>
        <v>어류</v>
      </c>
      <c r="K1589">
        <f>eDNA!B1589</f>
        <v>126.9070155</v>
      </c>
      <c r="L1589">
        <f>eDNA!C1589</f>
        <v>37.385953200000003</v>
      </c>
      <c r="M1589" s="10" t="str" cm="1">
        <f t="array" ref="M1589">IFERROR(_xlfn.XLOOKUP(1,('env Parameter'!$A:$A=$A1589)*('env Parameter'!$B:$B=$K1589)*('env Parameter'!$C:$C=$L1589),'env Parameter'!D:D,""),"")</f>
        <v>수암천</v>
      </c>
      <c r="N1589" s="10" t="str" cm="1">
        <f t="array" ref="N1589">IFERROR(_xlfn.XLOOKUP(1,('env Parameter'!$A:$A=$A1589)*('env Parameter'!$B:$B=$K1589)*('env Parameter'!$C:$C=$L1589),'env Parameter'!I:I,""),"")</f>
        <v>YR</v>
      </c>
    </row>
    <row r="1590" spans="1:14">
      <c r="A1590">
        <f>eDNA!A1590</f>
        <v>20201024</v>
      </c>
      <c r="B1590" s="10" t="str" cm="1">
        <f t="array" ref="B1590">IFERROR(_xlfn.XLOOKUP(1,('env Parameter'!$A:$A=$A1590)*('env Parameter'!$B:$B=$K1590)*('env Parameter'!$C:$C=$L1590),'env Parameter'!H:H,""),"")</f>
        <v>생물상 조사</v>
      </c>
      <c r="C1590" s="10" cm="1">
        <f t="array" ref="C1590">IFERROR(_xlfn.XLOOKUP(1,('env Parameter'!$A:$A=$A1590)*('env Parameter'!$B:$B=$K1590)*('env Parameter'!$C:$C=$L1590),'env Parameter'!E:E,""),"")</f>
        <v>2.14</v>
      </c>
      <c r="D1590" s="10" cm="1">
        <f t="array" ref="D1590">IFERROR(_xlfn.XLOOKUP(1,('env Parameter'!$A:$A=$A1590)*('env Parameter'!$B:$B=$K1590)*('env Parameter'!$C:$C=$L1590),'env Parameter'!F:F,""),"")</f>
        <v>478</v>
      </c>
      <c r="E1590" s="10" cm="1">
        <f t="array" ref="E1590">IFERROR(_xlfn.XLOOKUP(1,('env Parameter'!$A:$A=$A1590)*('env Parameter'!$B:$B=$K1590)*('env Parameter'!$C:$C=$L1590),'env Parameter'!G:G,""),"")</f>
        <v>7.6</v>
      </c>
      <c r="F1590" t="str">
        <f>eDNA!F1590</f>
        <v>MiFish</v>
      </c>
      <c r="G1590" t="str">
        <f>eDNA!D1590</f>
        <v>Rhynchocypris oxycephalus</v>
      </c>
      <c r="H1590" t="str">
        <f>_xlfn.XLOOKUP(G1590,'Common name (master file)'!$B:$B,'Common name (master file)'!$A:$A,"-------------")</f>
        <v>버들치</v>
      </c>
      <c r="I1590">
        <f>eDNA!E1590</f>
        <v>191166</v>
      </c>
      <c r="J1590" t="str">
        <f>_xlfn.XLOOKUP(G1590,'Common name (master file)'!$B:$B,'Common name (master file)'!$C:$C,"")</f>
        <v>어류</v>
      </c>
      <c r="K1590">
        <f>eDNA!B1590</f>
        <v>126.9070155</v>
      </c>
      <c r="L1590">
        <f>eDNA!C1590</f>
        <v>37.385953200000003</v>
      </c>
      <c r="M1590" s="10" t="str" cm="1">
        <f t="array" ref="M1590">IFERROR(_xlfn.XLOOKUP(1,('env Parameter'!$A:$A=$A1590)*('env Parameter'!$B:$B=$K1590)*('env Parameter'!$C:$C=$L1590),'env Parameter'!D:D,""),"")</f>
        <v>수암천</v>
      </c>
      <c r="N1590" s="10" t="str" cm="1">
        <f t="array" ref="N1590">IFERROR(_xlfn.XLOOKUP(1,('env Parameter'!$A:$A=$A1590)*('env Parameter'!$B:$B=$K1590)*('env Parameter'!$C:$C=$L1590),'env Parameter'!I:I,""),"")</f>
        <v>YR</v>
      </c>
    </row>
    <row r="1591" spans="1:14">
      <c r="A1591">
        <f>eDNA!A1591</f>
        <v>20201024</v>
      </c>
      <c r="B1591" s="10" t="str" cm="1">
        <f t="array" ref="B1591">IFERROR(_xlfn.XLOOKUP(1,('env Parameter'!$A:$A=$A1591)*('env Parameter'!$B:$B=$K1591)*('env Parameter'!$C:$C=$L1591),'env Parameter'!H:H,""),"")</f>
        <v>생물상 조사</v>
      </c>
      <c r="C1591" s="10" cm="1">
        <f t="array" ref="C1591">IFERROR(_xlfn.XLOOKUP(1,('env Parameter'!$A:$A=$A1591)*('env Parameter'!$B:$B=$K1591)*('env Parameter'!$C:$C=$L1591),'env Parameter'!E:E,""),"")</f>
        <v>2.14</v>
      </c>
      <c r="D1591" s="10" cm="1">
        <f t="array" ref="D1591">IFERROR(_xlfn.XLOOKUP(1,('env Parameter'!$A:$A=$A1591)*('env Parameter'!$B:$B=$K1591)*('env Parameter'!$C:$C=$L1591),'env Parameter'!F:F,""),"")</f>
        <v>478</v>
      </c>
      <c r="E1591" s="10" cm="1">
        <f t="array" ref="E1591">IFERROR(_xlfn.XLOOKUP(1,('env Parameter'!$A:$A=$A1591)*('env Parameter'!$B:$B=$K1591)*('env Parameter'!$C:$C=$L1591),'env Parameter'!G:G,""),"")</f>
        <v>7.6</v>
      </c>
      <c r="F1591" t="str">
        <f>eDNA!F1591</f>
        <v>MiFish</v>
      </c>
      <c r="G1591" t="str">
        <f>eDNA!D1591</f>
        <v>Carassius gibelio</v>
      </c>
      <c r="H1591" t="str">
        <f>_xlfn.XLOOKUP(G1591,'Common name (master file)'!$B:$B,'Common name (master file)'!$A:$A,"-------------")</f>
        <v>기벨리오 붕어</v>
      </c>
      <c r="I1591">
        <f>eDNA!E1591</f>
        <v>13</v>
      </c>
      <c r="J1591" t="str">
        <f>_xlfn.XLOOKUP(G1591,'Common name (master file)'!$B:$B,'Common name (master file)'!$C:$C,"")</f>
        <v>어류</v>
      </c>
      <c r="K1591">
        <f>eDNA!B1591</f>
        <v>126.92050639999999</v>
      </c>
      <c r="L1591">
        <f>eDNA!C1591</f>
        <v>37.418606500000003</v>
      </c>
      <c r="M1591" s="10" t="str" cm="1">
        <f t="array" ref="M1591">IFERROR(_xlfn.XLOOKUP(1,('env Parameter'!$A:$A=$A1591)*('env Parameter'!$B:$B=$K1591)*('env Parameter'!$C:$C=$L1591),'env Parameter'!D:D,""),"")</f>
        <v>삼성천-1</v>
      </c>
      <c r="N1591" s="10" t="str" cm="1">
        <f t="array" ref="N1591">IFERROR(_xlfn.XLOOKUP(1,('env Parameter'!$A:$A=$A1591)*('env Parameter'!$B:$B=$K1591)*('env Parameter'!$C:$C=$L1591),'env Parameter'!I:I,""),"")</f>
        <v>YR</v>
      </c>
    </row>
    <row r="1592" spans="1:14">
      <c r="A1592">
        <f>eDNA!A1592</f>
        <v>20201024</v>
      </c>
      <c r="B1592" s="10" t="str" cm="1">
        <f t="array" ref="B1592">IFERROR(_xlfn.XLOOKUP(1,('env Parameter'!$A:$A=$A1592)*('env Parameter'!$B:$B=$K1592)*('env Parameter'!$C:$C=$L1592),'env Parameter'!H:H,""),"")</f>
        <v>생물상 조사</v>
      </c>
      <c r="C1592" s="10" cm="1">
        <f t="array" ref="C1592">IFERROR(_xlfn.XLOOKUP(1,('env Parameter'!$A:$A=$A1592)*('env Parameter'!$B:$B=$K1592)*('env Parameter'!$C:$C=$L1592),'env Parameter'!E:E,""),"")</f>
        <v>2.14</v>
      </c>
      <c r="D1592" s="10" cm="1">
        <f t="array" ref="D1592">IFERROR(_xlfn.XLOOKUP(1,('env Parameter'!$A:$A=$A1592)*('env Parameter'!$B:$B=$K1592)*('env Parameter'!$C:$C=$L1592),'env Parameter'!F:F,""),"")</f>
        <v>478</v>
      </c>
      <c r="E1592" s="10" cm="1">
        <f t="array" ref="E1592">IFERROR(_xlfn.XLOOKUP(1,('env Parameter'!$A:$A=$A1592)*('env Parameter'!$B:$B=$K1592)*('env Parameter'!$C:$C=$L1592),'env Parameter'!G:G,""),"")</f>
        <v>7.6</v>
      </c>
      <c r="F1592" t="str">
        <f>eDNA!F1592</f>
        <v>MiFish</v>
      </c>
      <c r="G1592" t="str">
        <f>eDNA!D1592</f>
        <v>Mareca falcata</v>
      </c>
      <c r="H1592" t="str">
        <f>_xlfn.XLOOKUP(G1592,'Common name (master file)'!$B:$B,'Common name (master file)'!$A:$A,"-------------")</f>
        <v>청머리오리</v>
      </c>
      <c r="I1592">
        <f>eDNA!E1592</f>
        <v>10</v>
      </c>
      <c r="J1592" t="str">
        <f>_xlfn.XLOOKUP(G1592,'Common name (master file)'!$B:$B,'Common name (master file)'!$C:$C,"")</f>
        <v>조류</v>
      </c>
      <c r="K1592">
        <f>eDNA!B1592</f>
        <v>126.970473</v>
      </c>
      <c r="L1592">
        <f>eDNA!C1592</f>
        <v>37.401905599999999</v>
      </c>
      <c r="M1592" s="10" t="str" cm="1">
        <f t="array" ref="M1592">IFERROR(_xlfn.XLOOKUP(1,('env Parameter'!$A:$A=$A1592)*('env Parameter'!$B:$B=$K1592)*('env Parameter'!$C:$C=$L1592),'env Parameter'!D:D,""),"")</f>
        <v>안양천-29</v>
      </c>
      <c r="N1592" s="10" t="str" cm="1">
        <f t="array" ref="N1592">IFERROR(_xlfn.XLOOKUP(1,('env Parameter'!$A:$A=$A1592)*('env Parameter'!$B:$B=$K1592)*('env Parameter'!$C:$C=$L1592),'env Parameter'!I:I,""),"")</f>
        <v>YR</v>
      </c>
    </row>
    <row r="1593" spans="1:14">
      <c r="A1593">
        <f>eDNA!A1593</f>
        <v>20201024</v>
      </c>
      <c r="B1593" s="10" t="str" cm="1">
        <f t="array" ref="B1593">IFERROR(_xlfn.XLOOKUP(1,('env Parameter'!$A:$A=$A1593)*('env Parameter'!$B:$B=$K1593)*('env Parameter'!$C:$C=$L1593),'env Parameter'!H:H,""),"")</f>
        <v>생물상 조사</v>
      </c>
      <c r="C1593" s="10" cm="1">
        <f t="array" ref="C1593">IFERROR(_xlfn.XLOOKUP(1,('env Parameter'!$A:$A=$A1593)*('env Parameter'!$B:$B=$K1593)*('env Parameter'!$C:$C=$L1593),'env Parameter'!E:E,""),"")</f>
        <v>2.14</v>
      </c>
      <c r="D1593" s="10" cm="1">
        <f t="array" ref="D1593">IFERROR(_xlfn.XLOOKUP(1,('env Parameter'!$A:$A=$A1593)*('env Parameter'!$B:$B=$K1593)*('env Parameter'!$C:$C=$L1593),'env Parameter'!F:F,""),"")</f>
        <v>478</v>
      </c>
      <c r="E1593" s="10" cm="1">
        <f t="array" ref="E1593">IFERROR(_xlfn.XLOOKUP(1,('env Parameter'!$A:$A=$A1593)*('env Parameter'!$B:$B=$K1593)*('env Parameter'!$C:$C=$L1593),'env Parameter'!G:G,""),"")</f>
        <v>7.6</v>
      </c>
      <c r="F1593" t="str">
        <f>eDNA!F1593</f>
        <v>MiFish</v>
      </c>
      <c r="G1593" t="str">
        <f>eDNA!D1593</f>
        <v>Cyprinus megalophthalmus</v>
      </c>
      <c r="H1593" t="str">
        <f>_xlfn.XLOOKUP(G1593,'Common name (master file)'!$B:$B,'Common name (master file)'!$A:$A,"-------------")</f>
        <v>큰눈잉어</v>
      </c>
      <c r="I1593">
        <f>eDNA!E1593</f>
        <v>33</v>
      </c>
      <c r="J1593" t="str">
        <f>_xlfn.XLOOKUP(G1593,'Common name (master file)'!$B:$B,'Common name (master file)'!$C:$C,"")</f>
        <v>어류</v>
      </c>
      <c r="K1593">
        <f>eDNA!B1593</f>
        <v>126.92050639999999</v>
      </c>
      <c r="L1593">
        <f>eDNA!C1593</f>
        <v>37.418606500000003</v>
      </c>
      <c r="M1593" s="10" t="str" cm="1">
        <f t="array" ref="M1593">IFERROR(_xlfn.XLOOKUP(1,('env Parameter'!$A:$A=$A1593)*('env Parameter'!$B:$B=$K1593)*('env Parameter'!$C:$C=$L1593),'env Parameter'!D:D,""),"")</f>
        <v>삼성천-1</v>
      </c>
      <c r="N1593" s="10" t="str" cm="1">
        <f t="array" ref="N1593">IFERROR(_xlfn.XLOOKUP(1,('env Parameter'!$A:$A=$A1593)*('env Parameter'!$B:$B=$K1593)*('env Parameter'!$C:$C=$L1593),'env Parameter'!I:I,""),"")</f>
        <v>YR</v>
      </c>
    </row>
    <row r="1594" spans="1:14">
      <c r="A1594">
        <f>eDNA!A1594</f>
        <v>20201024</v>
      </c>
      <c r="B1594" s="10" t="str" cm="1">
        <f t="array" ref="B1594">IFERROR(_xlfn.XLOOKUP(1,('env Parameter'!$A:$A=$A1594)*('env Parameter'!$B:$B=$K1594)*('env Parameter'!$C:$C=$L1594),'env Parameter'!H:H,""),"")</f>
        <v>생물상 조사</v>
      </c>
      <c r="C1594" s="10" cm="1">
        <f t="array" ref="C1594">IFERROR(_xlfn.XLOOKUP(1,('env Parameter'!$A:$A=$A1594)*('env Parameter'!$B:$B=$K1594)*('env Parameter'!$C:$C=$L1594),'env Parameter'!E:E,""),"")</f>
        <v>2.14</v>
      </c>
      <c r="D1594" s="10" cm="1">
        <f t="array" ref="D1594">IFERROR(_xlfn.XLOOKUP(1,('env Parameter'!$A:$A=$A1594)*('env Parameter'!$B:$B=$K1594)*('env Parameter'!$C:$C=$L1594),'env Parameter'!F:F,""),"")</f>
        <v>478</v>
      </c>
      <c r="E1594" s="10" cm="1">
        <f t="array" ref="E1594">IFERROR(_xlfn.XLOOKUP(1,('env Parameter'!$A:$A=$A1594)*('env Parameter'!$B:$B=$K1594)*('env Parameter'!$C:$C=$L1594),'env Parameter'!G:G,""),"")</f>
        <v>7.6</v>
      </c>
      <c r="F1594" t="str">
        <f>eDNA!F1594</f>
        <v>MiFish</v>
      </c>
      <c r="G1594" t="str">
        <f>eDNA!D1594</f>
        <v>Mus musculus</v>
      </c>
      <c r="H1594" t="str">
        <f>_xlfn.XLOOKUP(G1594,'Common name (master file)'!$B:$B,'Common name (master file)'!$A:$A,"-------------")</f>
        <v>생쥐</v>
      </c>
      <c r="I1594">
        <f>eDNA!E1594</f>
        <v>35</v>
      </c>
      <c r="J1594" t="str">
        <f>_xlfn.XLOOKUP(G1594,'Common name (master file)'!$B:$B,'Common name (master file)'!$C:$C,"")</f>
        <v>포유류</v>
      </c>
      <c r="K1594">
        <f>eDNA!B1594</f>
        <v>126.92050639999999</v>
      </c>
      <c r="L1594">
        <f>eDNA!C1594</f>
        <v>37.418606500000003</v>
      </c>
      <c r="M1594" s="10" t="str" cm="1">
        <f t="array" ref="M1594">IFERROR(_xlfn.XLOOKUP(1,('env Parameter'!$A:$A=$A1594)*('env Parameter'!$B:$B=$K1594)*('env Parameter'!$C:$C=$L1594),'env Parameter'!D:D,""),"")</f>
        <v>삼성천-1</v>
      </c>
      <c r="N1594" s="10" t="str" cm="1">
        <f t="array" ref="N1594">IFERROR(_xlfn.XLOOKUP(1,('env Parameter'!$A:$A=$A1594)*('env Parameter'!$B:$B=$K1594)*('env Parameter'!$C:$C=$L1594),'env Parameter'!I:I,""),"")</f>
        <v>YR</v>
      </c>
    </row>
    <row r="1595" spans="1:14">
      <c r="A1595">
        <f>eDNA!A1595</f>
        <v>20201024</v>
      </c>
      <c r="B1595" s="10" t="str" cm="1">
        <f t="array" ref="B1595">IFERROR(_xlfn.XLOOKUP(1,('env Parameter'!$A:$A=$A1595)*('env Parameter'!$B:$B=$K1595)*('env Parameter'!$C:$C=$L1595),'env Parameter'!H:H,""),"")</f>
        <v>생물상 조사</v>
      </c>
      <c r="C1595" s="10" cm="1">
        <f t="array" ref="C1595">IFERROR(_xlfn.XLOOKUP(1,('env Parameter'!$A:$A=$A1595)*('env Parameter'!$B:$B=$K1595)*('env Parameter'!$C:$C=$L1595),'env Parameter'!E:E,""),"")</f>
        <v>2.14</v>
      </c>
      <c r="D1595" s="10" cm="1">
        <f t="array" ref="D1595">IFERROR(_xlfn.XLOOKUP(1,('env Parameter'!$A:$A=$A1595)*('env Parameter'!$B:$B=$K1595)*('env Parameter'!$C:$C=$L1595),'env Parameter'!F:F,""),"")</f>
        <v>478</v>
      </c>
      <c r="E1595" s="10" cm="1">
        <f t="array" ref="E1595">IFERROR(_xlfn.XLOOKUP(1,('env Parameter'!$A:$A=$A1595)*('env Parameter'!$B:$B=$K1595)*('env Parameter'!$C:$C=$L1595),'env Parameter'!G:G,""),"")</f>
        <v>7.6</v>
      </c>
      <c r="F1595" t="str">
        <f>eDNA!F1595</f>
        <v>MiFish</v>
      </c>
      <c r="G1595" t="str">
        <f>eDNA!D1595</f>
        <v>Pseudorasbora parva</v>
      </c>
      <c r="H1595" t="str">
        <f>_xlfn.XLOOKUP(G1595,'Common name (master file)'!$B:$B,'Common name (master file)'!$A:$A,"-------------")</f>
        <v>참붕어</v>
      </c>
      <c r="I1595">
        <f>eDNA!E1595</f>
        <v>475</v>
      </c>
      <c r="J1595" t="str">
        <f>_xlfn.XLOOKUP(G1595,'Common name (master file)'!$B:$B,'Common name (master file)'!$C:$C,"")</f>
        <v>어류</v>
      </c>
      <c r="K1595">
        <f>eDNA!B1595</f>
        <v>126.92050639999999</v>
      </c>
      <c r="L1595">
        <f>eDNA!C1595</f>
        <v>37.418606500000003</v>
      </c>
      <c r="M1595" s="10" t="str" cm="1">
        <f t="array" ref="M1595">IFERROR(_xlfn.XLOOKUP(1,('env Parameter'!$A:$A=$A1595)*('env Parameter'!$B:$B=$K1595)*('env Parameter'!$C:$C=$L1595),'env Parameter'!D:D,""),"")</f>
        <v>삼성천-1</v>
      </c>
      <c r="N1595" s="10" t="str" cm="1">
        <f t="array" ref="N1595">IFERROR(_xlfn.XLOOKUP(1,('env Parameter'!$A:$A=$A1595)*('env Parameter'!$B:$B=$K1595)*('env Parameter'!$C:$C=$L1595),'env Parameter'!I:I,""),"")</f>
        <v>YR</v>
      </c>
    </row>
    <row r="1596" spans="1:14">
      <c r="A1596">
        <f>eDNA!A1596</f>
        <v>20201024</v>
      </c>
      <c r="B1596" s="10" t="str" cm="1">
        <f t="array" ref="B1596">IFERROR(_xlfn.XLOOKUP(1,('env Parameter'!$A:$A=$A1596)*('env Parameter'!$B:$B=$K1596)*('env Parameter'!$C:$C=$L1596),'env Parameter'!H:H,""),"")</f>
        <v>생물상 조사</v>
      </c>
      <c r="C1596" s="10" cm="1">
        <f t="array" ref="C1596">IFERROR(_xlfn.XLOOKUP(1,('env Parameter'!$A:$A=$A1596)*('env Parameter'!$B:$B=$K1596)*('env Parameter'!$C:$C=$L1596),'env Parameter'!E:E,""),"")</f>
        <v>2.14</v>
      </c>
      <c r="D1596" s="10" cm="1">
        <f t="array" ref="D1596">IFERROR(_xlfn.XLOOKUP(1,('env Parameter'!$A:$A=$A1596)*('env Parameter'!$B:$B=$K1596)*('env Parameter'!$C:$C=$L1596),'env Parameter'!F:F,""),"")</f>
        <v>478</v>
      </c>
      <c r="E1596" s="10" cm="1">
        <f t="array" ref="E1596">IFERROR(_xlfn.XLOOKUP(1,('env Parameter'!$A:$A=$A1596)*('env Parameter'!$B:$B=$K1596)*('env Parameter'!$C:$C=$L1596),'env Parameter'!G:G,""),"")</f>
        <v>7.6</v>
      </c>
      <c r="F1596" t="str">
        <f>eDNA!F1596</f>
        <v>MiFish</v>
      </c>
      <c r="G1596" t="str">
        <f>eDNA!D1596</f>
        <v>Tadorna tadorna</v>
      </c>
      <c r="H1596" t="str">
        <f>_xlfn.XLOOKUP(G1596,'Common name (master file)'!$B:$B,'Common name (master file)'!$A:$A,"-------------")</f>
        <v>혹부리오리</v>
      </c>
      <c r="I1596">
        <f>eDNA!E1596</f>
        <v>352</v>
      </c>
      <c r="J1596" t="str">
        <f>_xlfn.XLOOKUP(G1596,'Common name (master file)'!$B:$B,'Common name (master file)'!$C:$C,"")</f>
        <v>조류</v>
      </c>
      <c r="K1596">
        <f>eDNA!B1596</f>
        <v>126.92050639999999</v>
      </c>
      <c r="L1596">
        <f>eDNA!C1596</f>
        <v>37.418606500000003</v>
      </c>
      <c r="M1596" s="10" t="str" cm="1">
        <f t="array" ref="M1596">IFERROR(_xlfn.XLOOKUP(1,('env Parameter'!$A:$A=$A1596)*('env Parameter'!$B:$B=$K1596)*('env Parameter'!$C:$C=$L1596),'env Parameter'!D:D,""),"")</f>
        <v>삼성천-1</v>
      </c>
      <c r="N1596" s="10" t="str" cm="1">
        <f t="array" ref="N1596">IFERROR(_xlfn.XLOOKUP(1,('env Parameter'!$A:$A=$A1596)*('env Parameter'!$B:$B=$K1596)*('env Parameter'!$C:$C=$L1596),'env Parameter'!I:I,""),"")</f>
        <v>YR</v>
      </c>
    </row>
    <row r="1597" spans="1:14">
      <c r="A1597">
        <f>eDNA!A1597</f>
        <v>20201024</v>
      </c>
      <c r="B1597" s="10" t="str" cm="1">
        <f t="array" ref="B1597">IFERROR(_xlfn.XLOOKUP(1,('env Parameter'!$A:$A=$A1597)*('env Parameter'!$B:$B=$K1597)*('env Parameter'!$C:$C=$L1597),'env Parameter'!H:H,""),"")</f>
        <v>생물상 조사</v>
      </c>
      <c r="C1597" s="10" cm="1">
        <f t="array" ref="C1597">IFERROR(_xlfn.XLOOKUP(1,('env Parameter'!$A:$A=$A1597)*('env Parameter'!$B:$B=$K1597)*('env Parameter'!$C:$C=$L1597),'env Parameter'!E:E,""),"")</f>
        <v>2.14</v>
      </c>
      <c r="D1597" s="10" cm="1">
        <f t="array" ref="D1597">IFERROR(_xlfn.XLOOKUP(1,('env Parameter'!$A:$A=$A1597)*('env Parameter'!$B:$B=$K1597)*('env Parameter'!$C:$C=$L1597),'env Parameter'!F:F,""),"")</f>
        <v>478</v>
      </c>
      <c r="E1597" s="10" cm="1">
        <f t="array" ref="E1597">IFERROR(_xlfn.XLOOKUP(1,('env Parameter'!$A:$A=$A1597)*('env Parameter'!$B:$B=$K1597)*('env Parameter'!$C:$C=$L1597),'env Parameter'!G:G,""),"")</f>
        <v>7.6</v>
      </c>
      <c r="F1597" t="str">
        <f>eDNA!F1597</f>
        <v>MiFish</v>
      </c>
      <c r="G1597" t="str">
        <f>eDNA!D1597</f>
        <v>Nipponocypris temminckii</v>
      </c>
      <c r="H1597" t="str">
        <f>_xlfn.XLOOKUP(G1597,'Common name (master file)'!$B:$B,'Common name (master file)'!$A:$A,"-------------")</f>
        <v>갈겨니</v>
      </c>
      <c r="I1597">
        <f>eDNA!E1597</f>
        <v>751</v>
      </c>
      <c r="J1597" t="str">
        <f>_xlfn.XLOOKUP(G1597,'Common name (master file)'!$B:$B,'Common name (master file)'!$C:$C,"")</f>
        <v>어류</v>
      </c>
      <c r="K1597">
        <f>eDNA!B1597</f>
        <v>126.92050639999999</v>
      </c>
      <c r="L1597">
        <f>eDNA!C1597</f>
        <v>37.418606500000003</v>
      </c>
      <c r="M1597" s="10" t="str" cm="1">
        <f t="array" ref="M1597">IFERROR(_xlfn.XLOOKUP(1,('env Parameter'!$A:$A=$A1597)*('env Parameter'!$B:$B=$K1597)*('env Parameter'!$C:$C=$L1597),'env Parameter'!D:D,""),"")</f>
        <v>삼성천-1</v>
      </c>
      <c r="N1597" s="10" t="str" cm="1">
        <f t="array" ref="N1597">IFERROR(_xlfn.XLOOKUP(1,('env Parameter'!$A:$A=$A1597)*('env Parameter'!$B:$B=$K1597)*('env Parameter'!$C:$C=$L1597),'env Parameter'!I:I,""),"")</f>
        <v>YR</v>
      </c>
    </row>
    <row r="1598" spans="1:14">
      <c r="A1598">
        <f>eDNA!A1598</f>
        <v>20201024</v>
      </c>
      <c r="B1598" s="10" t="str" cm="1">
        <f t="array" ref="B1598">IFERROR(_xlfn.XLOOKUP(1,('env Parameter'!$A:$A=$A1598)*('env Parameter'!$B:$B=$K1598)*('env Parameter'!$C:$C=$L1598),'env Parameter'!H:H,""),"")</f>
        <v>생물상 조사</v>
      </c>
      <c r="C1598" s="10" cm="1">
        <f t="array" ref="C1598">IFERROR(_xlfn.XLOOKUP(1,('env Parameter'!$A:$A=$A1598)*('env Parameter'!$B:$B=$K1598)*('env Parameter'!$C:$C=$L1598),'env Parameter'!E:E,""),"")</f>
        <v>2.14</v>
      </c>
      <c r="D1598" s="10" cm="1">
        <f t="array" ref="D1598">IFERROR(_xlfn.XLOOKUP(1,('env Parameter'!$A:$A=$A1598)*('env Parameter'!$B:$B=$K1598)*('env Parameter'!$C:$C=$L1598),'env Parameter'!F:F,""),"")</f>
        <v>478</v>
      </c>
      <c r="E1598" s="10" cm="1">
        <f t="array" ref="E1598">IFERROR(_xlfn.XLOOKUP(1,('env Parameter'!$A:$A=$A1598)*('env Parameter'!$B:$B=$K1598)*('env Parameter'!$C:$C=$L1598),'env Parameter'!G:G,""),"")</f>
        <v>7.6</v>
      </c>
      <c r="F1598" t="str">
        <f>eDNA!F1598</f>
        <v>MiFish</v>
      </c>
      <c r="G1598" t="str">
        <f>eDNA!D1598</f>
        <v>Misgurnus mizolepis</v>
      </c>
      <c r="H1598" t="str">
        <f>_xlfn.XLOOKUP(G1598,'Common name (master file)'!$B:$B,'Common name (master file)'!$A:$A,"-------------")</f>
        <v>미꾸라지</v>
      </c>
      <c r="I1598">
        <f>eDNA!E1598</f>
        <v>471</v>
      </c>
      <c r="J1598" t="str">
        <f>_xlfn.XLOOKUP(G1598,'Common name (master file)'!$B:$B,'Common name (master file)'!$C:$C,"")</f>
        <v>어류</v>
      </c>
      <c r="K1598">
        <f>eDNA!B1598</f>
        <v>126.92050639999999</v>
      </c>
      <c r="L1598">
        <f>eDNA!C1598</f>
        <v>37.418606500000003</v>
      </c>
      <c r="M1598" s="10" t="str" cm="1">
        <f t="array" ref="M1598">IFERROR(_xlfn.XLOOKUP(1,('env Parameter'!$A:$A=$A1598)*('env Parameter'!$B:$B=$K1598)*('env Parameter'!$C:$C=$L1598),'env Parameter'!D:D,""),"")</f>
        <v>삼성천-1</v>
      </c>
      <c r="N1598" s="10" t="str" cm="1">
        <f t="array" ref="N1598">IFERROR(_xlfn.XLOOKUP(1,('env Parameter'!$A:$A=$A1598)*('env Parameter'!$B:$B=$K1598)*('env Parameter'!$C:$C=$L1598),'env Parameter'!I:I,""),"")</f>
        <v>YR</v>
      </c>
    </row>
    <row r="1599" spans="1:14">
      <c r="A1599">
        <f>eDNA!A1599</f>
        <v>20201024</v>
      </c>
      <c r="B1599" s="10" t="str" cm="1">
        <f t="array" ref="B1599">IFERROR(_xlfn.XLOOKUP(1,('env Parameter'!$A:$A=$A1599)*('env Parameter'!$B:$B=$K1599)*('env Parameter'!$C:$C=$L1599),'env Parameter'!H:H,""),"")</f>
        <v>생물상 조사</v>
      </c>
      <c r="C1599" s="10" cm="1">
        <f t="array" ref="C1599">IFERROR(_xlfn.XLOOKUP(1,('env Parameter'!$A:$A=$A1599)*('env Parameter'!$B:$B=$K1599)*('env Parameter'!$C:$C=$L1599),'env Parameter'!E:E,""),"")</f>
        <v>2.14</v>
      </c>
      <c r="D1599" s="10" cm="1">
        <f t="array" ref="D1599">IFERROR(_xlfn.XLOOKUP(1,('env Parameter'!$A:$A=$A1599)*('env Parameter'!$B:$B=$K1599)*('env Parameter'!$C:$C=$L1599),'env Parameter'!F:F,""),"")</f>
        <v>478</v>
      </c>
      <c r="E1599" s="10" cm="1">
        <f t="array" ref="E1599">IFERROR(_xlfn.XLOOKUP(1,('env Parameter'!$A:$A=$A1599)*('env Parameter'!$B:$B=$K1599)*('env Parameter'!$C:$C=$L1599),'env Parameter'!G:G,""),"")</f>
        <v>7.6</v>
      </c>
      <c r="F1599" t="str">
        <f>eDNA!F1599</f>
        <v>MiFish</v>
      </c>
      <c r="G1599" t="str">
        <f>eDNA!D1599</f>
        <v>Misgurnus anguillicaudatus</v>
      </c>
      <c r="H1599" t="str">
        <f>_xlfn.XLOOKUP(G1599,'Common name (master file)'!$B:$B,'Common name (master file)'!$A:$A,"-------------")</f>
        <v>미꾸리</v>
      </c>
      <c r="I1599">
        <f>eDNA!E1599</f>
        <v>731</v>
      </c>
      <c r="J1599" t="str">
        <f>_xlfn.XLOOKUP(G1599,'Common name (master file)'!$B:$B,'Common name (master file)'!$C:$C,"")</f>
        <v>어류</v>
      </c>
      <c r="K1599">
        <f>eDNA!B1599</f>
        <v>126.92050639999999</v>
      </c>
      <c r="L1599">
        <f>eDNA!C1599</f>
        <v>37.418606500000003</v>
      </c>
      <c r="M1599" s="10" t="str" cm="1">
        <f t="array" ref="M1599">IFERROR(_xlfn.XLOOKUP(1,('env Parameter'!$A:$A=$A1599)*('env Parameter'!$B:$B=$K1599)*('env Parameter'!$C:$C=$L1599),'env Parameter'!D:D,""),"")</f>
        <v>삼성천-1</v>
      </c>
      <c r="N1599" s="10" t="str" cm="1">
        <f t="array" ref="N1599">IFERROR(_xlfn.XLOOKUP(1,('env Parameter'!$A:$A=$A1599)*('env Parameter'!$B:$B=$K1599)*('env Parameter'!$C:$C=$L1599),'env Parameter'!I:I,""),"")</f>
        <v>YR</v>
      </c>
    </row>
    <row r="1600" spans="1:14">
      <c r="A1600">
        <f>eDNA!A1600</f>
        <v>20201024</v>
      </c>
      <c r="B1600" s="10" t="str" cm="1">
        <f t="array" ref="B1600">IFERROR(_xlfn.XLOOKUP(1,('env Parameter'!$A:$A=$A1600)*('env Parameter'!$B:$B=$K1600)*('env Parameter'!$C:$C=$L1600),'env Parameter'!H:H,""),"")</f>
        <v>생물상 조사</v>
      </c>
      <c r="C1600" s="10" cm="1">
        <f t="array" ref="C1600">IFERROR(_xlfn.XLOOKUP(1,('env Parameter'!$A:$A=$A1600)*('env Parameter'!$B:$B=$K1600)*('env Parameter'!$C:$C=$L1600),'env Parameter'!E:E,""),"")</f>
        <v>2.14</v>
      </c>
      <c r="D1600" s="10" cm="1">
        <f t="array" ref="D1600">IFERROR(_xlfn.XLOOKUP(1,('env Parameter'!$A:$A=$A1600)*('env Parameter'!$B:$B=$K1600)*('env Parameter'!$C:$C=$L1600),'env Parameter'!F:F,""),"")</f>
        <v>478</v>
      </c>
      <c r="E1600" s="10" cm="1">
        <f t="array" ref="E1600">IFERROR(_xlfn.XLOOKUP(1,('env Parameter'!$A:$A=$A1600)*('env Parameter'!$B:$B=$K1600)*('env Parameter'!$C:$C=$L1600),'env Parameter'!G:G,""),"")</f>
        <v>7.6</v>
      </c>
      <c r="F1600" t="str">
        <f>eDNA!F1600</f>
        <v>MiFish</v>
      </c>
      <c r="G1600" t="str">
        <f>eDNA!D1600</f>
        <v>Thryssa kammalensis</v>
      </c>
      <c r="H1600" t="str">
        <f>_xlfn.XLOOKUP(G1600,'Common name (master file)'!$B:$B,'Common name (master file)'!$A:$A,"-------------")</f>
        <v>청멸</v>
      </c>
      <c r="I1600">
        <f>eDNA!E1600</f>
        <v>116</v>
      </c>
      <c r="J1600" t="str">
        <f>_xlfn.XLOOKUP(G1600,'Common name (master file)'!$B:$B,'Common name (master file)'!$C:$C,"")</f>
        <v>어류</v>
      </c>
      <c r="K1600">
        <f>eDNA!B1600</f>
        <v>126.8772417</v>
      </c>
      <c r="L1600">
        <f>eDNA!C1600</f>
        <v>37.474826299999997</v>
      </c>
      <c r="M1600" s="10" t="str" cm="1">
        <f t="array" ref="M1600">IFERROR(_xlfn.XLOOKUP(1,('env Parameter'!$A:$A=$A1600)*('env Parameter'!$B:$B=$K1600)*('env Parameter'!$C:$C=$L1600),'env Parameter'!D:D,""),"")</f>
        <v>안양천-10</v>
      </c>
      <c r="N1600" s="10" t="str" cm="1">
        <f t="array" ref="N1600">IFERROR(_xlfn.XLOOKUP(1,('env Parameter'!$A:$A=$A1600)*('env Parameter'!$B:$B=$K1600)*('env Parameter'!$C:$C=$L1600),'env Parameter'!I:I,""),"")</f>
        <v>YR</v>
      </c>
    </row>
    <row r="1601" spans="1:14">
      <c r="A1601">
        <f>eDNA!A1601</f>
        <v>20201024</v>
      </c>
      <c r="B1601" s="10" t="str" cm="1">
        <f t="array" ref="B1601">IFERROR(_xlfn.XLOOKUP(1,('env Parameter'!$A:$A=$A1601)*('env Parameter'!$B:$B=$K1601)*('env Parameter'!$C:$C=$L1601),'env Parameter'!H:H,""),"")</f>
        <v>생물상 조사</v>
      </c>
      <c r="C1601" s="10" cm="1">
        <f t="array" ref="C1601">IFERROR(_xlfn.XLOOKUP(1,('env Parameter'!$A:$A=$A1601)*('env Parameter'!$B:$B=$K1601)*('env Parameter'!$C:$C=$L1601),'env Parameter'!E:E,""),"")</f>
        <v>2.14</v>
      </c>
      <c r="D1601" s="10" cm="1">
        <f t="array" ref="D1601">IFERROR(_xlfn.XLOOKUP(1,('env Parameter'!$A:$A=$A1601)*('env Parameter'!$B:$B=$K1601)*('env Parameter'!$C:$C=$L1601),'env Parameter'!F:F,""),"")</f>
        <v>478</v>
      </c>
      <c r="E1601" s="10" cm="1">
        <f t="array" ref="E1601">IFERROR(_xlfn.XLOOKUP(1,('env Parameter'!$A:$A=$A1601)*('env Parameter'!$B:$B=$K1601)*('env Parameter'!$C:$C=$L1601),'env Parameter'!G:G,""),"")</f>
        <v>7.6</v>
      </c>
      <c r="F1601" t="str">
        <f>eDNA!F1601</f>
        <v>MiFish</v>
      </c>
      <c r="G1601" t="str">
        <f>eDNA!D1601</f>
        <v>Homo sapiens</v>
      </c>
      <c r="H1601" t="str">
        <f>_xlfn.XLOOKUP(G1601,'Common name (master file)'!$B:$B,'Common name (master file)'!$A:$A,"-------------")</f>
        <v>사람</v>
      </c>
      <c r="I1601">
        <f>eDNA!E1601</f>
        <v>1685</v>
      </c>
      <c r="J1601" t="str">
        <f>_xlfn.XLOOKUP(G1601,'Common name (master file)'!$B:$B,'Common name (master file)'!$C:$C,"")</f>
        <v>포유류</v>
      </c>
      <c r="K1601">
        <f>eDNA!B1601</f>
        <v>126.92050639999999</v>
      </c>
      <c r="L1601">
        <f>eDNA!C1601</f>
        <v>37.418606500000003</v>
      </c>
      <c r="M1601" s="10" t="str" cm="1">
        <f t="array" ref="M1601">IFERROR(_xlfn.XLOOKUP(1,('env Parameter'!$A:$A=$A1601)*('env Parameter'!$B:$B=$K1601)*('env Parameter'!$C:$C=$L1601),'env Parameter'!D:D,""),"")</f>
        <v>삼성천-1</v>
      </c>
      <c r="N1601" s="10" t="str" cm="1">
        <f t="array" ref="N1601">IFERROR(_xlfn.XLOOKUP(1,('env Parameter'!$A:$A=$A1601)*('env Parameter'!$B:$B=$K1601)*('env Parameter'!$C:$C=$L1601),'env Parameter'!I:I,""),"")</f>
        <v>YR</v>
      </c>
    </row>
    <row r="1602" spans="1:14">
      <c r="A1602">
        <f>eDNA!A1602</f>
        <v>20201024</v>
      </c>
      <c r="B1602" s="10" t="str" cm="1">
        <f t="array" ref="B1602">IFERROR(_xlfn.XLOOKUP(1,('env Parameter'!$A:$A=$A1602)*('env Parameter'!$B:$B=$K1602)*('env Parameter'!$C:$C=$L1602),'env Parameter'!H:H,""),"")</f>
        <v>생물상 조사</v>
      </c>
      <c r="C1602" s="10" cm="1">
        <f t="array" ref="C1602">IFERROR(_xlfn.XLOOKUP(1,('env Parameter'!$A:$A=$A1602)*('env Parameter'!$B:$B=$K1602)*('env Parameter'!$C:$C=$L1602),'env Parameter'!E:E,""),"")</f>
        <v>2.14</v>
      </c>
      <c r="D1602" s="10" cm="1">
        <f t="array" ref="D1602">IFERROR(_xlfn.XLOOKUP(1,('env Parameter'!$A:$A=$A1602)*('env Parameter'!$B:$B=$K1602)*('env Parameter'!$C:$C=$L1602),'env Parameter'!F:F,""),"")</f>
        <v>478</v>
      </c>
      <c r="E1602" s="10" cm="1">
        <f t="array" ref="E1602">IFERROR(_xlfn.XLOOKUP(1,('env Parameter'!$A:$A=$A1602)*('env Parameter'!$B:$B=$K1602)*('env Parameter'!$C:$C=$L1602),'env Parameter'!G:G,""),"")</f>
        <v>7.6</v>
      </c>
      <c r="F1602" t="str">
        <f>eDNA!F1602</f>
        <v>MiFish</v>
      </c>
      <c r="G1602" t="str">
        <f>eDNA!D1602</f>
        <v>Canis latrans</v>
      </c>
      <c r="H1602" t="str">
        <f>_xlfn.XLOOKUP(G1602,'Common name (master file)'!$B:$B,'Common name (master file)'!$A:$A,"-------------")</f>
        <v>코요테</v>
      </c>
      <c r="I1602">
        <f>eDNA!E1602</f>
        <v>10</v>
      </c>
      <c r="J1602" t="str">
        <f>_xlfn.XLOOKUP(G1602,'Common name (master file)'!$B:$B,'Common name (master file)'!$C:$C,"")</f>
        <v>포유류</v>
      </c>
      <c r="K1602">
        <f>eDNA!B1602</f>
        <v>126.8446659</v>
      </c>
      <c r="L1602">
        <f>eDNA!C1602</f>
        <v>37.420618699999999</v>
      </c>
      <c r="M1602" s="10" t="str" cm="1">
        <f t="array" ref="M1602">IFERROR(_xlfn.XLOOKUP(1,('env Parameter'!$A:$A=$A1602)*('env Parameter'!$B:$B=$K1602)*('env Parameter'!$C:$C=$L1602),'env Parameter'!D:D,""),"")</f>
        <v>목감천-3</v>
      </c>
      <c r="N1602" s="10" t="str" cm="1">
        <f t="array" ref="N1602">IFERROR(_xlfn.XLOOKUP(1,('env Parameter'!$A:$A=$A1602)*('env Parameter'!$B:$B=$K1602)*('env Parameter'!$C:$C=$L1602),'env Parameter'!I:I,""),"")</f>
        <v>YR</v>
      </c>
    </row>
    <row r="1603" spans="1:14">
      <c r="A1603">
        <f>eDNA!A1603</f>
        <v>20201024</v>
      </c>
      <c r="B1603" s="10" t="str" cm="1">
        <f t="array" ref="B1603">IFERROR(_xlfn.XLOOKUP(1,('env Parameter'!$A:$A=$A1603)*('env Parameter'!$B:$B=$K1603)*('env Parameter'!$C:$C=$L1603),'env Parameter'!H:H,""),"")</f>
        <v>생물상 조사</v>
      </c>
      <c r="C1603" s="10" cm="1">
        <f t="array" ref="C1603">IFERROR(_xlfn.XLOOKUP(1,('env Parameter'!$A:$A=$A1603)*('env Parameter'!$B:$B=$K1603)*('env Parameter'!$C:$C=$L1603),'env Parameter'!E:E,""),"")</f>
        <v>2.14</v>
      </c>
      <c r="D1603" s="10" cm="1">
        <f t="array" ref="D1603">IFERROR(_xlfn.XLOOKUP(1,('env Parameter'!$A:$A=$A1603)*('env Parameter'!$B:$B=$K1603)*('env Parameter'!$C:$C=$L1603),'env Parameter'!F:F,""),"")</f>
        <v>478</v>
      </c>
      <c r="E1603" s="10" cm="1">
        <f t="array" ref="E1603">IFERROR(_xlfn.XLOOKUP(1,('env Parameter'!$A:$A=$A1603)*('env Parameter'!$B:$B=$K1603)*('env Parameter'!$C:$C=$L1603),'env Parameter'!G:G,""),"")</f>
        <v>7.6</v>
      </c>
      <c r="F1603" t="str">
        <f>eDNA!F1603</f>
        <v>MiFish</v>
      </c>
      <c r="G1603" t="str">
        <f>eDNA!D1603</f>
        <v>Zacco platypus</v>
      </c>
      <c r="H1603" t="str">
        <f>_xlfn.XLOOKUP(G1603,'Common name (master file)'!$B:$B,'Common name (master file)'!$A:$A,"-------------")</f>
        <v>피라미</v>
      </c>
      <c r="I1603">
        <f>eDNA!E1603</f>
        <v>20168</v>
      </c>
      <c r="J1603" t="str">
        <f>_xlfn.XLOOKUP(G1603,'Common name (master file)'!$B:$B,'Common name (master file)'!$C:$C,"")</f>
        <v>어류</v>
      </c>
      <c r="K1603">
        <f>eDNA!B1603</f>
        <v>126.92050639999999</v>
      </c>
      <c r="L1603">
        <f>eDNA!C1603</f>
        <v>37.418606500000003</v>
      </c>
      <c r="M1603" s="10" t="str" cm="1">
        <f t="array" ref="M1603">IFERROR(_xlfn.XLOOKUP(1,('env Parameter'!$A:$A=$A1603)*('env Parameter'!$B:$B=$K1603)*('env Parameter'!$C:$C=$L1603),'env Parameter'!D:D,""),"")</f>
        <v>삼성천-1</v>
      </c>
      <c r="N1603" s="10" t="str" cm="1">
        <f t="array" ref="N1603">IFERROR(_xlfn.XLOOKUP(1,('env Parameter'!$A:$A=$A1603)*('env Parameter'!$B:$B=$K1603)*('env Parameter'!$C:$C=$L1603),'env Parameter'!I:I,""),"")</f>
        <v>YR</v>
      </c>
    </row>
    <row r="1604" spans="1:14">
      <c r="A1604">
        <f>eDNA!A1604</f>
        <v>20201024</v>
      </c>
      <c r="B1604" s="10" t="str" cm="1">
        <f t="array" ref="B1604">IFERROR(_xlfn.XLOOKUP(1,('env Parameter'!$A:$A=$A1604)*('env Parameter'!$B:$B=$K1604)*('env Parameter'!$C:$C=$L1604),'env Parameter'!H:H,""),"")</f>
        <v>생물상 조사</v>
      </c>
      <c r="C1604" s="10" cm="1">
        <f t="array" ref="C1604">IFERROR(_xlfn.XLOOKUP(1,('env Parameter'!$A:$A=$A1604)*('env Parameter'!$B:$B=$K1604)*('env Parameter'!$C:$C=$L1604),'env Parameter'!E:E,""),"")</f>
        <v>2.14</v>
      </c>
      <c r="D1604" s="10" cm="1">
        <f t="array" ref="D1604">IFERROR(_xlfn.XLOOKUP(1,('env Parameter'!$A:$A=$A1604)*('env Parameter'!$B:$B=$K1604)*('env Parameter'!$C:$C=$L1604),'env Parameter'!F:F,""),"")</f>
        <v>478</v>
      </c>
      <c r="E1604" s="10" cm="1">
        <f t="array" ref="E1604">IFERROR(_xlfn.XLOOKUP(1,('env Parameter'!$A:$A=$A1604)*('env Parameter'!$B:$B=$K1604)*('env Parameter'!$C:$C=$L1604),'env Parameter'!G:G,""),"")</f>
        <v>7.6</v>
      </c>
      <c r="F1604" t="str">
        <f>eDNA!F1604</f>
        <v>MiFish</v>
      </c>
      <c r="G1604" t="str">
        <f>eDNA!D1604</f>
        <v>Rhynchocypris oxycephalus</v>
      </c>
      <c r="H1604" t="str">
        <f>_xlfn.XLOOKUP(G1604,'Common name (master file)'!$B:$B,'Common name (master file)'!$A:$A,"-------------")</f>
        <v>버들치</v>
      </c>
      <c r="I1604">
        <f>eDNA!E1604</f>
        <v>26972</v>
      </c>
      <c r="J1604" t="str">
        <f>_xlfn.XLOOKUP(G1604,'Common name (master file)'!$B:$B,'Common name (master file)'!$C:$C,"")</f>
        <v>어류</v>
      </c>
      <c r="K1604">
        <f>eDNA!B1604</f>
        <v>126.92050639999999</v>
      </c>
      <c r="L1604">
        <f>eDNA!C1604</f>
        <v>37.418606500000003</v>
      </c>
      <c r="M1604" s="10" t="str" cm="1">
        <f t="array" ref="M1604">IFERROR(_xlfn.XLOOKUP(1,('env Parameter'!$A:$A=$A1604)*('env Parameter'!$B:$B=$K1604)*('env Parameter'!$C:$C=$L1604),'env Parameter'!D:D,""),"")</f>
        <v>삼성천-1</v>
      </c>
      <c r="N1604" s="10" t="str" cm="1">
        <f t="array" ref="N1604">IFERROR(_xlfn.XLOOKUP(1,('env Parameter'!$A:$A=$A1604)*('env Parameter'!$B:$B=$K1604)*('env Parameter'!$C:$C=$L1604),'env Parameter'!I:I,""),"")</f>
        <v>YR</v>
      </c>
    </row>
    <row r="1605" spans="1:14">
      <c r="A1605">
        <f>eDNA!A1605</f>
        <v>20201024</v>
      </c>
      <c r="B1605" s="10" t="str" cm="1">
        <f t="array" ref="B1605">IFERROR(_xlfn.XLOOKUP(1,('env Parameter'!$A:$A=$A1605)*('env Parameter'!$B:$B=$K1605)*('env Parameter'!$C:$C=$L1605),'env Parameter'!H:H,""),"")</f>
        <v>생물상 조사</v>
      </c>
      <c r="C1605" s="10" cm="1">
        <f t="array" ref="C1605">IFERROR(_xlfn.XLOOKUP(1,('env Parameter'!$A:$A=$A1605)*('env Parameter'!$B:$B=$K1605)*('env Parameter'!$C:$C=$L1605),'env Parameter'!E:E,""),"")</f>
        <v>2.14</v>
      </c>
      <c r="D1605" s="10" cm="1">
        <f t="array" ref="D1605">IFERROR(_xlfn.XLOOKUP(1,('env Parameter'!$A:$A=$A1605)*('env Parameter'!$B:$B=$K1605)*('env Parameter'!$C:$C=$L1605),'env Parameter'!F:F,""),"")</f>
        <v>478</v>
      </c>
      <c r="E1605" s="10" cm="1">
        <f t="array" ref="E1605">IFERROR(_xlfn.XLOOKUP(1,('env Parameter'!$A:$A=$A1605)*('env Parameter'!$B:$B=$K1605)*('env Parameter'!$C:$C=$L1605),'env Parameter'!G:G,""),"")</f>
        <v>7.6</v>
      </c>
      <c r="F1605" t="str">
        <f>eDNA!F1605</f>
        <v>MiFish</v>
      </c>
      <c r="G1605" t="str">
        <f>eDNA!D1605</f>
        <v>Squalidus gracilis majimae</v>
      </c>
      <c r="H1605" t="str">
        <f>_xlfn.XLOOKUP(G1605,'Common name (master file)'!$B:$B,'Common name (master file)'!$A:$A,"-------------")</f>
        <v>긴몰개</v>
      </c>
      <c r="I1605">
        <f>eDNA!E1605</f>
        <v>34617</v>
      </c>
      <c r="J1605" t="str">
        <f>_xlfn.XLOOKUP(G1605,'Common name (master file)'!$B:$B,'Common name (master file)'!$C:$C,"")</f>
        <v>어류</v>
      </c>
      <c r="K1605">
        <f>eDNA!B1605</f>
        <v>126.92050639999999</v>
      </c>
      <c r="L1605">
        <f>eDNA!C1605</f>
        <v>37.418606500000003</v>
      </c>
      <c r="M1605" s="10" t="str" cm="1">
        <f t="array" ref="M1605">IFERROR(_xlfn.XLOOKUP(1,('env Parameter'!$A:$A=$A1605)*('env Parameter'!$B:$B=$K1605)*('env Parameter'!$C:$C=$L1605),'env Parameter'!D:D,""),"")</f>
        <v>삼성천-1</v>
      </c>
      <c r="N1605" s="10" t="str" cm="1">
        <f t="array" ref="N1605">IFERROR(_xlfn.XLOOKUP(1,('env Parameter'!$A:$A=$A1605)*('env Parameter'!$B:$B=$K1605)*('env Parameter'!$C:$C=$L1605),'env Parameter'!I:I,""),"")</f>
        <v>YR</v>
      </c>
    </row>
    <row r="1606" spans="1:14">
      <c r="A1606">
        <f>eDNA!A1606</f>
        <v>20201024</v>
      </c>
      <c r="B1606" s="10" t="str" cm="1">
        <f t="array" ref="B1606">IFERROR(_xlfn.XLOOKUP(1,('env Parameter'!$A:$A=$A1606)*('env Parameter'!$B:$B=$K1606)*('env Parameter'!$C:$C=$L1606),'env Parameter'!H:H,""),"")</f>
        <v>생물상 조사</v>
      </c>
      <c r="C1606" s="10" cm="1">
        <f t="array" ref="C1606">IFERROR(_xlfn.XLOOKUP(1,('env Parameter'!$A:$A=$A1606)*('env Parameter'!$B:$B=$K1606)*('env Parameter'!$C:$C=$L1606),'env Parameter'!E:E,""),"")</f>
        <v>2.14</v>
      </c>
      <c r="D1606" s="10" cm="1">
        <f t="array" ref="D1606">IFERROR(_xlfn.XLOOKUP(1,('env Parameter'!$A:$A=$A1606)*('env Parameter'!$B:$B=$K1606)*('env Parameter'!$C:$C=$L1606),'env Parameter'!F:F,""),"")</f>
        <v>478</v>
      </c>
      <c r="E1606" s="10" cm="1">
        <f t="array" ref="E1606">IFERROR(_xlfn.XLOOKUP(1,('env Parameter'!$A:$A=$A1606)*('env Parameter'!$B:$B=$K1606)*('env Parameter'!$C:$C=$L1606),'env Parameter'!G:G,""),"")</f>
        <v>7.6</v>
      </c>
      <c r="F1606" t="str">
        <f>eDNA!F1606</f>
        <v>MiFish</v>
      </c>
      <c r="G1606" t="str">
        <f>eDNA!D1606</f>
        <v>Odontobutis interrupta</v>
      </c>
      <c r="H1606" t="str">
        <f>_xlfn.XLOOKUP(G1606,'Common name (master file)'!$B:$B,'Common name (master file)'!$A:$A,"-------------")</f>
        <v>얼록동사리</v>
      </c>
      <c r="I1606">
        <f>eDNA!E1606</f>
        <v>44976</v>
      </c>
      <c r="J1606" t="str">
        <f>_xlfn.XLOOKUP(G1606,'Common name (master file)'!$B:$B,'Common name (master file)'!$C:$C,"")</f>
        <v>어류</v>
      </c>
      <c r="K1606">
        <f>eDNA!B1606</f>
        <v>126.92050639999999</v>
      </c>
      <c r="L1606">
        <f>eDNA!C1606</f>
        <v>37.418606500000003</v>
      </c>
      <c r="M1606" s="10" t="str" cm="1">
        <f t="array" ref="M1606">IFERROR(_xlfn.XLOOKUP(1,('env Parameter'!$A:$A=$A1606)*('env Parameter'!$B:$B=$K1606)*('env Parameter'!$C:$C=$L1606),'env Parameter'!D:D,""),"")</f>
        <v>삼성천-1</v>
      </c>
      <c r="N1606" s="10" t="str" cm="1">
        <f t="array" ref="N1606">IFERROR(_xlfn.XLOOKUP(1,('env Parameter'!$A:$A=$A1606)*('env Parameter'!$B:$B=$K1606)*('env Parameter'!$C:$C=$L1606),'env Parameter'!I:I,""),"")</f>
        <v>YR</v>
      </c>
    </row>
    <row r="1607" spans="1:14">
      <c r="A1607">
        <f>eDNA!A1607</f>
        <v>20201024</v>
      </c>
      <c r="B1607" s="10" t="str" cm="1">
        <f t="array" ref="B1607">IFERROR(_xlfn.XLOOKUP(1,('env Parameter'!$A:$A=$A1607)*('env Parameter'!$B:$B=$K1607)*('env Parameter'!$C:$C=$L1607),'env Parameter'!H:H,""),"")</f>
        <v>생물상 조사</v>
      </c>
      <c r="C1607" s="10" cm="1">
        <f t="array" ref="C1607">IFERROR(_xlfn.XLOOKUP(1,('env Parameter'!$A:$A=$A1607)*('env Parameter'!$B:$B=$K1607)*('env Parameter'!$C:$C=$L1607),'env Parameter'!E:E,""),"")</f>
        <v>2.14</v>
      </c>
      <c r="D1607" s="10" cm="1">
        <f t="array" ref="D1607">IFERROR(_xlfn.XLOOKUP(1,('env Parameter'!$A:$A=$A1607)*('env Parameter'!$B:$B=$K1607)*('env Parameter'!$C:$C=$L1607),'env Parameter'!F:F,""),"")</f>
        <v>478</v>
      </c>
      <c r="E1607" s="10" cm="1">
        <f t="array" ref="E1607">IFERROR(_xlfn.XLOOKUP(1,('env Parameter'!$A:$A=$A1607)*('env Parameter'!$B:$B=$K1607)*('env Parameter'!$C:$C=$L1607),'env Parameter'!G:G,""),"")</f>
        <v>7.6</v>
      </c>
      <c r="F1607" t="str">
        <f>eDNA!F1607</f>
        <v>MiFish</v>
      </c>
      <c r="G1607" t="str">
        <f>eDNA!D1607</f>
        <v>Carassius gibelio</v>
      </c>
      <c r="H1607" t="str">
        <f>_xlfn.XLOOKUP(G1607,'Common name (master file)'!$B:$B,'Common name (master file)'!$A:$A,"-------------")</f>
        <v>기벨리오 붕어</v>
      </c>
      <c r="I1607">
        <f>eDNA!E1607</f>
        <v>18</v>
      </c>
      <c r="J1607" t="str">
        <f>_xlfn.XLOOKUP(G1607,'Common name (master file)'!$B:$B,'Common name (master file)'!$C:$C,"")</f>
        <v>어류</v>
      </c>
      <c r="K1607">
        <f>eDNA!B1607</f>
        <v>126.9350989</v>
      </c>
      <c r="L1607">
        <f>eDNA!C1607</f>
        <v>37.419096199999998</v>
      </c>
      <c r="M1607" s="10" t="str" cm="1">
        <f t="array" ref="M1607">IFERROR(_xlfn.XLOOKUP(1,('env Parameter'!$A:$A=$A1607)*('env Parameter'!$B:$B=$K1607)*('env Parameter'!$C:$C=$L1607),'env Parameter'!D:D,""),"")</f>
        <v>삼성천-2</v>
      </c>
      <c r="N1607" s="10" t="str" cm="1">
        <f t="array" ref="N1607">IFERROR(_xlfn.XLOOKUP(1,('env Parameter'!$A:$A=$A1607)*('env Parameter'!$B:$B=$K1607)*('env Parameter'!$C:$C=$L1607),'env Parameter'!I:I,""),"")</f>
        <v>YR</v>
      </c>
    </row>
    <row r="1608" spans="1:14">
      <c r="A1608">
        <f>eDNA!A1608</f>
        <v>20201024</v>
      </c>
      <c r="B1608" s="10" t="str" cm="1">
        <f t="array" ref="B1608">IFERROR(_xlfn.XLOOKUP(1,('env Parameter'!$A:$A=$A1608)*('env Parameter'!$B:$B=$K1608)*('env Parameter'!$C:$C=$L1608),'env Parameter'!H:H,""),"")</f>
        <v>생물상 조사</v>
      </c>
      <c r="C1608" s="10" cm="1">
        <f t="array" ref="C1608">IFERROR(_xlfn.XLOOKUP(1,('env Parameter'!$A:$A=$A1608)*('env Parameter'!$B:$B=$K1608)*('env Parameter'!$C:$C=$L1608),'env Parameter'!E:E,""),"")</f>
        <v>2.14</v>
      </c>
      <c r="D1608" s="10" cm="1">
        <f t="array" ref="D1608">IFERROR(_xlfn.XLOOKUP(1,('env Parameter'!$A:$A=$A1608)*('env Parameter'!$B:$B=$K1608)*('env Parameter'!$C:$C=$L1608),'env Parameter'!F:F,""),"")</f>
        <v>478</v>
      </c>
      <c r="E1608" s="10" cm="1">
        <f t="array" ref="E1608">IFERROR(_xlfn.XLOOKUP(1,('env Parameter'!$A:$A=$A1608)*('env Parameter'!$B:$B=$K1608)*('env Parameter'!$C:$C=$L1608),'env Parameter'!G:G,""),"")</f>
        <v>7.6</v>
      </c>
      <c r="F1608" t="str">
        <f>eDNA!F1608</f>
        <v>MiFish</v>
      </c>
      <c r="G1608" t="str">
        <f>eDNA!D1608</f>
        <v>Canis latrans</v>
      </c>
      <c r="H1608" t="str">
        <f>_xlfn.XLOOKUP(G1608,'Common name (master file)'!$B:$B,'Common name (master file)'!$A:$A,"-------------")</f>
        <v>코요테</v>
      </c>
      <c r="I1608">
        <f>eDNA!E1608</f>
        <v>16</v>
      </c>
      <c r="J1608" t="str">
        <f>_xlfn.XLOOKUP(G1608,'Common name (master file)'!$B:$B,'Common name (master file)'!$C:$C,"")</f>
        <v>포유류</v>
      </c>
      <c r="K1608">
        <f>eDNA!B1608</f>
        <v>126.8343934</v>
      </c>
      <c r="L1608">
        <f>eDNA!C1608</f>
        <v>37.4648574</v>
      </c>
      <c r="M1608" s="10" t="str" cm="1">
        <f t="array" ref="M1608">IFERROR(_xlfn.XLOOKUP(1,('env Parameter'!$A:$A=$A1608)*('env Parameter'!$B:$B=$K1608)*('env Parameter'!$C:$C=$L1608),'env Parameter'!D:D,""),"")</f>
        <v>옥길천-2</v>
      </c>
      <c r="N1608" s="10" t="str" cm="1">
        <f t="array" ref="N1608">IFERROR(_xlfn.XLOOKUP(1,('env Parameter'!$A:$A=$A1608)*('env Parameter'!$B:$B=$K1608)*('env Parameter'!$C:$C=$L1608),'env Parameter'!I:I,""),"")</f>
        <v>YR</v>
      </c>
    </row>
    <row r="1609" spans="1:14">
      <c r="A1609">
        <f>eDNA!A1609</f>
        <v>20201024</v>
      </c>
      <c r="B1609" s="10" t="str" cm="1">
        <f t="array" ref="B1609">IFERROR(_xlfn.XLOOKUP(1,('env Parameter'!$A:$A=$A1609)*('env Parameter'!$B:$B=$K1609)*('env Parameter'!$C:$C=$L1609),'env Parameter'!H:H,""),"")</f>
        <v>생물상 조사</v>
      </c>
      <c r="C1609" s="10" cm="1">
        <f t="array" ref="C1609">IFERROR(_xlfn.XLOOKUP(1,('env Parameter'!$A:$A=$A1609)*('env Parameter'!$B:$B=$K1609)*('env Parameter'!$C:$C=$L1609),'env Parameter'!E:E,""),"")</f>
        <v>2.14</v>
      </c>
      <c r="D1609" s="10" cm="1">
        <f t="array" ref="D1609">IFERROR(_xlfn.XLOOKUP(1,('env Parameter'!$A:$A=$A1609)*('env Parameter'!$B:$B=$K1609)*('env Parameter'!$C:$C=$L1609),'env Parameter'!F:F,""),"")</f>
        <v>478</v>
      </c>
      <c r="E1609" s="10" cm="1">
        <f t="array" ref="E1609">IFERROR(_xlfn.XLOOKUP(1,('env Parameter'!$A:$A=$A1609)*('env Parameter'!$B:$B=$K1609)*('env Parameter'!$C:$C=$L1609),'env Parameter'!G:G,""),"")</f>
        <v>7.6</v>
      </c>
      <c r="F1609" t="str">
        <f>eDNA!F1609</f>
        <v>MiFish</v>
      </c>
      <c r="G1609" t="str">
        <f>eDNA!D1609</f>
        <v>Homo sapiens</v>
      </c>
      <c r="H1609" t="str">
        <f>_xlfn.XLOOKUP(G1609,'Common name (master file)'!$B:$B,'Common name (master file)'!$A:$A,"-------------")</f>
        <v>사람</v>
      </c>
      <c r="I1609">
        <f>eDNA!E1609</f>
        <v>106</v>
      </c>
      <c r="J1609" t="str">
        <f>_xlfn.XLOOKUP(G1609,'Common name (master file)'!$B:$B,'Common name (master file)'!$C:$C,"")</f>
        <v>포유류</v>
      </c>
      <c r="K1609">
        <f>eDNA!B1609</f>
        <v>126.9350989</v>
      </c>
      <c r="L1609">
        <f>eDNA!C1609</f>
        <v>37.419096199999998</v>
      </c>
      <c r="M1609" s="10" t="str" cm="1">
        <f t="array" ref="M1609">IFERROR(_xlfn.XLOOKUP(1,('env Parameter'!$A:$A=$A1609)*('env Parameter'!$B:$B=$K1609)*('env Parameter'!$C:$C=$L1609),'env Parameter'!D:D,""),"")</f>
        <v>삼성천-2</v>
      </c>
      <c r="N1609" s="10" t="str" cm="1">
        <f t="array" ref="N1609">IFERROR(_xlfn.XLOOKUP(1,('env Parameter'!$A:$A=$A1609)*('env Parameter'!$B:$B=$K1609)*('env Parameter'!$C:$C=$L1609),'env Parameter'!I:I,""),"")</f>
        <v>YR</v>
      </c>
    </row>
    <row r="1610" spans="1:14">
      <c r="A1610">
        <f>eDNA!A1610</f>
        <v>20201024</v>
      </c>
      <c r="B1610" s="10" t="str" cm="1">
        <f t="array" ref="B1610">IFERROR(_xlfn.XLOOKUP(1,('env Parameter'!$A:$A=$A1610)*('env Parameter'!$B:$B=$K1610)*('env Parameter'!$C:$C=$L1610),'env Parameter'!H:H,""),"")</f>
        <v>생물상 조사</v>
      </c>
      <c r="C1610" s="10" cm="1">
        <f t="array" ref="C1610">IFERROR(_xlfn.XLOOKUP(1,('env Parameter'!$A:$A=$A1610)*('env Parameter'!$B:$B=$K1610)*('env Parameter'!$C:$C=$L1610),'env Parameter'!E:E,""),"")</f>
        <v>2.14</v>
      </c>
      <c r="D1610" s="10" cm="1">
        <f t="array" ref="D1610">IFERROR(_xlfn.XLOOKUP(1,('env Parameter'!$A:$A=$A1610)*('env Parameter'!$B:$B=$K1610)*('env Parameter'!$C:$C=$L1610),'env Parameter'!F:F,""),"")</f>
        <v>478</v>
      </c>
      <c r="E1610" s="10" cm="1">
        <f t="array" ref="E1610">IFERROR(_xlfn.XLOOKUP(1,('env Parameter'!$A:$A=$A1610)*('env Parameter'!$B:$B=$K1610)*('env Parameter'!$C:$C=$L1610),'env Parameter'!G:G,""),"")</f>
        <v>7.6</v>
      </c>
      <c r="F1610" t="str">
        <f>eDNA!F1610</f>
        <v>MiFish</v>
      </c>
      <c r="G1610" t="str">
        <f>eDNA!D1610</f>
        <v>Tribolodon hakonensis</v>
      </c>
      <c r="H1610" t="str">
        <f>_xlfn.XLOOKUP(G1610,'Common name (master file)'!$B:$B,'Common name (master file)'!$A:$A,"-------------")</f>
        <v>황어</v>
      </c>
      <c r="I1610">
        <f>eDNA!E1610</f>
        <v>31</v>
      </c>
      <c r="J1610" t="str">
        <f>_xlfn.XLOOKUP(G1610,'Common name (master file)'!$B:$B,'Common name (master file)'!$C:$C,"")</f>
        <v>어류</v>
      </c>
      <c r="K1610">
        <f>eDNA!B1610</f>
        <v>126.9070155</v>
      </c>
      <c r="L1610">
        <f>eDNA!C1610</f>
        <v>37.385953200000003</v>
      </c>
      <c r="M1610" s="10" t="str" cm="1">
        <f t="array" ref="M1610">IFERROR(_xlfn.XLOOKUP(1,('env Parameter'!$A:$A=$A1610)*('env Parameter'!$B:$B=$K1610)*('env Parameter'!$C:$C=$L1610),'env Parameter'!D:D,""),"")</f>
        <v>수암천</v>
      </c>
      <c r="N1610" s="10" t="str" cm="1">
        <f t="array" ref="N1610">IFERROR(_xlfn.XLOOKUP(1,('env Parameter'!$A:$A=$A1610)*('env Parameter'!$B:$B=$K1610)*('env Parameter'!$C:$C=$L1610),'env Parameter'!I:I,""),"")</f>
        <v>YR</v>
      </c>
    </row>
    <row r="1611" spans="1:14">
      <c r="A1611">
        <f>eDNA!A1611</f>
        <v>20201024</v>
      </c>
      <c r="B1611" s="10" t="str" cm="1">
        <f t="array" ref="B1611">IFERROR(_xlfn.XLOOKUP(1,('env Parameter'!$A:$A=$A1611)*('env Parameter'!$B:$B=$K1611)*('env Parameter'!$C:$C=$L1611),'env Parameter'!H:H,""),"")</f>
        <v>생물상 조사</v>
      </c>
      <c r="C1611" s="10" cm="1">
        <f t="array" ref="C1611">IFERROR(_xlfn.XLOOKUP(1,('env Parameter'!$A:$A=$A1611)*('env Parameter'!$B:$B=$K1611)*('env Parameter'!$C:$C=$L1611),'env Parameter'!E:E,""),"")</f>
        <v>2.14</v>
      </c>
      <c r="D1611" s="10" cm="1">
        <f t="array" ref="D1611">IFERROR(_xlfn.XLOOKUP(1,('env Parameter'!$A:$A=$A1611)*('env Parameter'!$B:$B=$K1611)*('env Parameter'!$C:$C=$L1611),'env Parameter'!F:F,""),"")</f>
        <v>478</v>
      </c>
      <c r="E1611" s="10" cm="1">
        <f t="array" ref="E1611">IFERROR(_xlfn.XLOOKUP(1,('env Parameter'!$A:$A=$A1611)*('env Parameter'!$B:$B=$K1611)*('env Parameter'!$C:$C=$L1611),'env Parameter'!G:G,""),"")</f>
        <v>7.6</v>
      </c>
      <c r="F1611" t="str">
        <f>eDNA!F1611</f>
        <v>MiFish</v>
      </c>
      <c r="G1611" t="str">
        <f>eDNA!D1611</f>
        <v>Zacco platypus</v>
      </c>
      <c r="H1611" t="str">
        <f>_xlfn.XLOOKUP(G1611,'Common name (master file)'!$B:$B,'Common name (master file)'!$A:$A,"-------------")</f>
        <v>피라미</v>
      </c>
      <c r="I1611">
        <f>eDNA!E1611</f>
        <v>393</v>
      </c>
      <c r="J1611" t="str">
        <f>_xlfn.XLOOKUP(G1611,'Common name (master file)'!$B:$B,'Common name (master file)'!$C:$C,"")</f>
        <v>어류</v>
      </c>
      <c r="K1611">
        <f>eDNA!B1611</f>
        <v>126.9350989</v>
      </c>
      <c r="L1611">
        <f>eDNA!C1611</f>
        <v>37.419096199999998</v>
      </c>
      <c r="M1611" s="10" t="str" cm="1">
        <f t="array" ref="M1611">IFERROR(_xlfn.XLOOKUP(1,('env Parameter'!$A:$A=$A1611)*('env Parameter'!$B:$B=$K1611)*('env Parameter'!$C:$C=$L1611),'env Parameter'!D:D,""),"")</f>
        <v>삼성천-2</v>
      </c>
      <c r="N1611" s="10" t="str" cm="1">
        <f t="array" ref="N1611">IFERROR(_xlfn.XLOOKUP(1,('env Parameter'!$A:$A=$A1611)*('env Parameter'!$B:$B=$K1611)*('env Parameter'!$C:$C=$L1611),'env Parameter'!I:I,""),"")</f>
        <v>YR</v>
      </c>
    </row>
    <row r="1612" spans="1:14">
      <c r="A1612">
        <f>eDNA!A1612</f>
        <v>20201024</v>
      </c>
      <c r="B1612" s="10" t="str" cm="1">
        <f t="array" ref="B1612">IFERROR(_xlfn.XLOOKUP(1,('env Parameter'!$A:$A=$A1612)*('env Parameter'!$B:$B=$K1612)*('env Parameter'!$C:$C=$L1612),'env Parameter'!H:H,""),"")</f>
        <v>생물상 조사</v>
      </c>
      <c r="C1612" s="10" cm="1">
        <f t="array" ref="C1612">IFERROR(_xlfn.XLOOKUP(1,('env Parameter'!$A:$A=$A1612)*('env Parameter'!$B:$B=$K1612)*('env Parameter'!$C:$C=$L1612),'env Parameter'!E:E,""),"")</f>
        <v>2.14</v>
      </c>
      <c r="D1612" s="10" cm="1">
        <f t="array" ref="D1612">IFERROR(_xlfn.XLOOKUP(1,('env Parameter'!$A:$A=$A1612)*('env Parameter'!$B:$B=$K1612)*('env Parameter'!$C:$C=$L1612),'env Parameter'!F:F,""),"")</f>
        <v>478</v>
      </c>
      <c r="E1612" s="10" cm="1">
        <f t="array" ref="E1612">IFERROR(_xlfn.XLOOKUP(1,('env Parameter'!$A:$A=$A1612)*('env Parameter'!$B:$B=$K1612)*('env Parameter'!$C:$C=$L1612),'env Parameter'!G:G,""),"")</f>
        <v>7.6</v>
      </c>
      <c r="F1612" t="str">
        <f>eDNA!F1612</f>
        <v>MiFish</v>
      </c>
      <c r="G1612" t="str">
        <f>eDNA!D1612</f>
        <v>Micropterus salmoides</v>
      </c>
      <c r="H1612" t="str">
        <f>_xlfn.XLOOKUP(G1612,'Common name (master file)'!$B:$B,'Common name (master file)'!$A:$A,"-------------")</f>
        <v>큰입배스</v>
      </c>
      <c r="I1612">
        <f>eDNA!E1612</f>
        <v>457</v>
      </c>
      <c r="J1612" t="str">
        <f>_xlfn.XLOOKUP(G1612,'Common name (master file)'!$B:$B,'Common name (master file)'!$C:$C,"")</f>
        <v>어류</v>
      </c>
      <c r="K1612">
        <f>eDNA!B1612</f>
        <v>126.9350989</v>
      </c>
      <c r="L1612">
        <f>eDNA!C1612</f>
        <v>37.419096199999998</v>
      </c>
      <c r="M1612" s="10" t="str" cm="1">
        <f t="array" ref="M1612">IFERROR(_xlfn.XLOOKUP(1,('env Parameter'!$A:$A=$A1612)*('env Parameter'!$B:$B=$K1612)*('env Parameter'!$C:$C=$L1612),'env Parameter'!D:D,""),"")</f>
        <v>삼성천-2</v>
      </c>
      <c r="N1612" s="10" t="str" cm="1">
        <f t="array" ref="N1612">IFERROR(_xlfn.XLOOKUP(1,('env Parameter'!$A:$A=$A1612)*('env Parameter'!$B:$B=$K1612)*('env Parameter'!$C:$C=$L1612),'env Parameter'!I:I,""),"")</f>
        <v>YR</v>
      </c>
    </row>
    <row r="1613" spans="1:14">
      <c r="A1613">
        <f>eDNA!A1613</f>
        <v>20201024</v>
      </c>
      <c r="B1613" s="10" t="str" cm="1">
        <f t="array" ref="B1613">IFERROR(_xlfn.XLOOKUP(1,('env Parameter'!$A:$A=$A1613)*('env Parameter'!$B:$B=$K1613)*('env Parameter'!$C:$C=$L1613),'env Parameter'!H:H,""),"")</f>
        <v>생물상 조사</v>
      </c>
      <c r="C1613" s="10" cm="1">
        <f t="array" ref="C1613">IFERROR(_xlfn.XLOOKUP(1,('env Parameter'!$A:$A=$A1613)*('env Parameter'!$B:$B=$K1613)*('env Parameter'!$C:$C=$L1613),'env Parameter'!E:E,""),"")</f>
        <v>2.14</v>
      </c>
      <c r="D1613" s="10" cm="1">
        <f t="array" ref="D1613">IFERROR(_xlfn.XLOOKUP(1,('env Parameter'!$A:$A=$A1613)*('env Parameter'!$B:$B=$K1613)*('env Parameter'!$C:$C=$L1613),'env Parameter'!F:F,""),"")</f>
        <v>478</v>
      </c>
      <c r="E1613" s="10" cm="1">
        <f t="array" ref="E1613">IFERROR(_xlfn.XLOOKUP(1,('env Parameter'!$A:$A=$A1613)*('env Parameter'!$B:$B=$K1613)*('env Parameter'!$C:$C=$L1613),'env Parameter'!G:G,""),"")</f>
        <v>7.6</v>
      </c>
      <c r="F1613" t="str">
        <f>eDNA!F1613</f>
        <v>MiFish</v>
      </c>
      <c r="G1613" t="str">
        <f>eDNA!D1613</f>
        <v>Rhinogobius giurinus</v>
      </c>
      <c r="H1613" t="str">
        <f>_xlfn.XLOOKUP(G1613,'Common name (master file)'!$B:$B,'Common name (master file)'!$A:$A,"-------------")</f>
        <v>갈문망둑</v>
      </c>
      <c r="I1613">
        <f>eDNA!E1613</f>
        <v>544</v>
      </c>
      <c r="J1613" t="str">
        <f>_xlfn.XLOOKUP(G1613,'Common name (master file)'!$B:$B,'Common name (master file)'!$C:$C,"")</f>
        <v>어류</v>
      </c>
      <c r="K1613">
        <f>eDNA!B1613</f>
        <v>126.9350989</v>
      </c>
      <c r="L1613">
        <f>eDNA!C1613</f>
        <v>37.419096199999998</v>
      </c>
      <c r="M1613" s="10" t="str" cm="1">
        <f t="array" ref="M1613">IFERROR(_xlfn.XLOOKUP(1,('env Parameter'!$A:$A=$A1613)*('env Parameter'!$B:$B=$K1613)*('env Parameter'!$C:$C=$L1613),'env Parameter'!D:D,""),"")</f>
        <v>삼성천-2</v>
      </c>
      <c r="N1613" s="10" t="str" cm="1">
        <f t="array" ref="N1613">IFERROR(_xlfn.XLOOKUP(1,('env Parameter'!$A:$A=$A1613)*('env Parameter'!$B:$B=$K1613)*('env Parameter'!$C:$C=$L1613),'env Parameter'!I:I,""),"")</f>
        <v>YR</v>
      </c>
    </row>
    <row r="1614" spans="1:14">
      <c r="A1614">
        <f>eDNA!A1614</f>
        <v>20201024</v>
      </c>
      <c r="B1614" s="10" t="str" cm="1">
        <f t="array" ref="B1614">IFERROR(_xlfn.XLOOKUP(1,('env Parameter'!$A:$A=$A1614)*('env Parameter'!$B:$B=$K1614)*('env Parameter'!$C:$C=$L1614),'env Parameter'!H:H,""),"")</f>
        <v>생물상 조사</v>
      </c>
      <c r="C1614" s="10" cm="1">
        <f t="array" ref="C1614">IFERROR(_xlfn.XLOOKUP(1,('env Parameter'!$A:$A=$A1614)*('env Parameter'!$B:$B=$K1614)*('env Parameter'!$C:$C=$L1614),'env Parameter'!E:E,""),"")</f>
        <v>2.14</v>
      </c>
      <c r="D1614" s="10" cm="1">
        <f t="array" ref="D1614">IFERROR(_xlfn.XLOOKUP(1,('env Parameter'!$A:$A=$A1614)*('env Parameter'!$B:$B=$K1614)*('env Parameter'!$C:$C=$L1614),'env Parameter'!F:F,""),"")</f>
        <v>478</v>
      </c>
      <c r="E1614" s="10" cm="1">
        <f t="array" ref="E1614">IFERROR(_xlfn.XLOOKUP(1,('env Parameter'!$A:$A=$A1614)*('env Parameter'!$B:$B=$K1614)*('env Parameter'!$C:$C=$L1614),'env Parameter'!G:G,""),"")</f>
        <v>7.6</v>
      </c>
      <c r="F1614" t="str">
        <f>eDNA!F1614</f>
        <v>MiFish</v>
      </c>
      <c r="G1614" t="str">
        <f>eDNA!D1614</f>
        <v>Rhinogobius sp.</v>
      </c>
      <c r="H1614" t="str">
        <f>_xlfn.XLOOKUP(G1614,'Common name (master file)'!$B:$B,'Common name (master file)'!$A:$A,"-------------")</f>
        <v>밀어</v>
      </c>
      <c r="I1614">
        <f>eDNA!E1614</f>
        <v>985</v>
      </c>
      <c r="J1614" t="str">
        <f>_xlfn.XLOOKUP(G1614,'Common name (master file)'!$B:$B,'Common name (master file)'!$C:$C,"")</f>
        <v>어류</v>
      </c>
      <c r="K1614">
        <f>eDNA!B1614</f>
        <v>126.9350989</v>
      </c>
      <c r="L1614">
        <f>eDNA!C1614</f>
        <v>37.419096199999998</v>
      </c>
      <c r="M1614" s="10" t="str" cm="1">
        <f t="array" ref="M1614">IFERROR(_xlfn.XLOOKUP(1,('env Parameter'!$A:$A=$A1614)*('env Parameter'!$B:$B=$K1614)*('env Parameter'!$C:$C=$L1614),'env Parameter'!D:D,""),"")</f>
        <v>삼성천-2</v>
      </c>
      <c r="N1614" s="10" t="str" cm="1">
        <f t="array" ref="N1614">IFERROR(_xlfn.XLOOKUP(1,('env Parameter'!$A:$A=$A1614)*('env Parameter'!$B:$B=$K1614)*('env Parameter'!$C:$C=$L1614),'env Parameter'!I:I,""),"")</f>
        <v>YR</v>
      </c>
    </row>
    <row r="1615" spans="1:14">
      <c r="A1615">
        <f>eDNA!A1615</f>
        <v>20201024</v>
      </c>
      <c r="B1615" s="10" t="str" cm="1">
        <f t="array" ref="B1615">IFERROR(_xlfn.XLOOKUP(1,('env Parameter'!$A:$A=$A1615)*('env Parameter'!$B:$B=$K1615)*('env Parameter'!$C:$C=$L1615),'env Parameter'!H:H,""),"")</f>
        <v>생물상 조사</v>
      </c>
      <c r="C1615" s="10" cm="1">
        <f t="array" ref="C1615">IFERROR(_xlfn.XLOOKUP(1,('env Parameter'!$A:$A=$A1615)*('env Parameter'!$B:$B=$K1615)*('env Parameter'!$C:$C=$L1615),'env Parameter'!E:E,""),"")</f>
        <v>2.14</v>
      </c>
      <c r="D1615" s="10" cm="1">
        <f t="array" ref="D1615">IFERROR(_xlfn.XLOOKUP(1,('env Parameter'!$A:$A=$A1615)*('env Parameter'!$B:$B=$K1615)*('env Parameter'!$C:$C=$L1615),'env Parameter'!F:F,""),"")</f>
        <v>478</v>
      </c>
      <c r="E1615" s="10" cm="1">
        <f t="array" ref="E1615">IFERROR(_xlfn.XLOOKUP(1,('env Parameter'!$A:$A=$A1615)*('env Parameter'!$B:$B=$K1615)*('env Parameter'!$C:$C=$L1615),'env Parameter'!G:G,""),"")</f>
        <v>7.6</v>
      </c>
      <c r="F1615" t="str">
        <f>eDNA!F1615</f>
        <v>MiFish</v>
      </c>
      <c r="G1615" t="str">
        <f>eDNA!D1615</f>
        <v>Acanthorhodeus chankaensis</v>
      </c>
      <c r="H1615" t="str">
        <f>_xlfn.XLOOKUP(G1615,'Common name (master file)'!$B:$B,'Common name (master file)'!$A:$A,"-------------")</f>
        <v>가시납지리</v>
      </c>
      <c r="I1615">
        <f>eDNA!E1615</f>
        <v>747</v>
      </c>
      <c r="J1615" t="str">
        <f>_xlfn.XLOOKUP(G1615,'Common name (master file)'!$B:$B,'Common name (master file)'!$C:$C,"")</f>
        <v>어류</v>
      </c>
      <c r="K1615">
        <f>eDNA!B1615</f>
        <v>126.9350989</v>
      </c>
      <c r="L1615">
        <f>eDNA!C1615</f>
        <v>37.419096199999998</v>
      </c>
      <c r="M1615" s="10" t="str" cm="1">
        <f t="array" ref="M1615">IFERROR(_xlfn.XLOOKUP(1,('env Parameter'!$A:$A=$A1615)*('env Parameter'!$B:$B=$K1615)*('env Parameter'!$C:$C=$L1615),'env Parameter'!D:D,""),"")</f>
        <v>삼성천-2</v>
      </c>
      <c r="N1615" s="10" t="str" cm="1">
        <f t="array" ref="N1615">IFERROR(_xlfn.XLOOKUP(1,('env Parameter'!$A:$A=$A1615)*('env Parameter'!$B:$B=$K1615)*('env Parameter'!$C:$C=$L1615),'env Parameter'!I:I,""),"")</f>
        <v>YR</v>
      </c>
    </row>
    <row r="1616" spans="1:14">
      <c r="A1616">
        <f>eDNA!A1616</f>
        <v>20201024</v>
      </c>
      <c r="B1616" s="10" t="str" cm="1">
        <f t="array" ref="B1616">IFERROR(_xlfn.XLOOKUP(1,('env Parameter'!$A:$A=$A1616)*('env Parameter'!$B:$B=$K1616)*('env Parameter'!$C:$C=$L1616),'env Parameter'!H:H,""),"")</f>
        <v>생물상 조사</v>
      </c>
      <c r="C1616" s="10" cm="1">
        <f t="array" ref="C1616">IFERROR(_xlfn.XLOOKUP(1,('env Parameter'!$A:$A=$A1616)*('env Parameter'!$B:$B=$K1616)*('env Parameter'!$C:$C=$L1616),'env Parameter'!E:E,""),"")</f>
        <v>2.14</v>
      </c>
      <c r="D1616" s="10" cm="1">
        <f t="array" ref="D1616">IFERROR(_xlfn.XLOOKUP(1,('env Parameter'!$A:$A=$A1616)*('env Parameter'!$B:$B=$K1616)*('env Parameter'!$C:$C=$L1616),'env Parameter'!F:F,""),"")</f>
        <v>478</v>
      </c>
      <c r="E1616" s="10" cm="1">
        <f t="array" ref="E1616">IFERROR(_xlfn.XLOOKUP(1,('env Parameter'!$A:$A=$A1616)*('env Parameter'!$B:$B=$K1616)*('env Parameter'!$C:$C=$L1616),'env Parameter'!G:G,""),"")</f>
        <v>7.6</v>
      </c>
      <c r="F1616" t="str">
        <f>eDNA!F1616</f>
        <v>MiFish</v>
      </c>
      <c r="G1616" t="str">
        <f>eDNA!D1616</f>
        <v>Pseudorasbora parva</v>
      </c>
      <c r="H1616" t="str">
        <f>_xlfn.XLOOKUP(G1616,'Common name (master file)'!$B:$B,'Common name (master file)'!$A:$A,"-------------")</f>
        <v>참붕어</v>
      </c>
      <c r="I1616">
        <f>eDNA!E1616</f>
        <v>1280</v>
      </c>
      <c r="J1616" t="str">
        <f>_xlfn.XLOOKUP(G1616,'Common name (master file)'!$B:$B,'Common name (master file)'!$C:$C,"")</f>
        <v>어류</v>
      </c>
      <c r="K1616">
        <f>eDNA!B1616</f>
        <v>126.9350989</v>
      </c>
      <c r="L1616">
        <f>eDNA!C1616</f>
        <v>37.419096199999998</v>
      </c>
      <c r="M1616" s="10" t="str" cm="1">
        <f t="array" ref="M1616">IFERROR(_xlfn.XLOOKUP(1,('env Parameter'!$A:$A=$A1616)*('env Parameter'!$B:$B=$K1616)*('env Parameter'!$C:$C=$L1616),'env Parameter'!D:D,""),"")</f>
        <v>삼성천-2</v>
      </c>
      <c r="N1616" s="10" t="str" cm="1">
        <f t="array" ref="N1616">IFERROR(_xlfn.XLOOKUP(1,('env Parameter'!$A:$A=$A1616)*('env Parameter'!$B:$B=$K1616)*('env Parameter'!$C:$C=$L1616),'env Parameter'!I:I,""),"")</f>
        <v>YR</v>
      </c>
    </row>
    <row r="1617" spans="1:14">
      <c r="A1617">
        <f>eDNA!A1617</f>
        <v>20201024</v>
      </c>
      <c r="B1617" s="10" t="str" cm="1">
        <f t="array" ref="B1617">IFERROR(_xlfn.XLOOKUP(1,('env Parameter'!$A:$A=$A1617)*('env Parameter'!$B:$B=$K1617)*('env Parameter'!$C:$C=$L1617),'env Parameter'!H:H,""),"")</f>
        <v>생물상 조사</v>
      </c>
      <c r="C1617" s="10" cm="1">
        <f t="array" ref="C1617">IFERROR(_xlfn.XLOOKUP(1,('env Parameter'!$A:$A=$A1617)*('env Parameter'!$B:$B=$K1617)*('env Parameter'!$C:$C=$L1617),'env Parameter'!E:E,""),"")</f>
        <v>2.14</v>
      </c>
      <c r="D1617" s="10" cm="1">
        <f t="array" ref="D1617">IFERROR(_xlfn.XLOOKUP(1,('env Parameter'!$A:$A=$A1617)*('env Parameter'!$B:$B=$K1617)*('env Parameter'!$C:$C=$L1617),'env Parameter'!F:F,""),"")</f>
        <v>478</v>
      </c>
      <c r="E1617" s="10" cm="1">
        <f t="array" ref="E1617">IFERROR(_xlfn.XLOOKUP(1,('env Parameter'!$A:$A=$A1617)*('env Parameter'!$B:$B=$K1617)*('env Parameter'!$C:$C=$L1617),'env Parameter'!G:G,""),"")</f>
        <v>7.6</v>
      </c>
      <c r="F1617" t="str">
        <f>eDNA!F1617</f>
        <v>MiFish</v>
      </c>
      <c r="G1617" t="str">
        <f>eDNA!D1617</f>
        <v>Silurus soldatovi</v>
      </c>
      <c r="H1617" t="str">
        <f>_xlfn.XLOOKUP(G1617,'Common name (master file)'!$B:$B,'Common name (master file)'!$A:$A,"-------------")</f>
        <v>솔다토비 메기</v>
      </c>
      <c r="I1617">
        <f>eDNA!E1617</f>
        <v>1266</v>
      </c>
      <c r="J1617" t="str">
        <f>_xlfn.XLOOKUP(G1617,'Common name (master file)'!$B:$B,'Common name (master file)'!$C:$C,"")</f>
        <v>어류</v>
      </c>
      <c r="K1617">
        <f>eDNA!B1617</f>
        <v>126.9350989</v>
      </c>
      <c r="L1617">
        <f>eDNA!C1617</f>
        <v>37.419096199999998</v>
      </c>
      <c r="M1617" s="10" t="str" cm="1">
        <f t="array" ref="M1617">IFERROR(_xlfn.XLOOKUP(1,('env Parameter'!$A:$A=$A1617)*('env Parameter'!$B:$B=$K1617)*('env Parameter'!$C:$C=$L1617),'env Parameter'!D:D,""),"")</f>
        <v>삼성천-2</v>
      </c>
      <c r="N1617" s="10" t="str" cm="1">
        <f t="array" ref="N1617">IFERROR(_xlfn.XLOOKUP(1,('env Parameter'!$A:$A=$A1617)*('env Parameter'!$B:$B=$K1617)*('env Parameter'!$C:$C=$L1617),'env Parameter'!I:I,""),"")</f>
        <v>YR</v>
      </c>
    </row>
    <row r="1618" spans="1:14">
      <c r="A1618">
        <f>eDNA!A1618</f>
        <v>20201024</v>
      </c>
      <c r="B1618" s="10" t="str" cm="1">
        <f t="array" ref="B1618">IFERROR(_xlfn.XLOOKUP(1,('env Parameter'!$A:$A=$A1618)*('env Parameter'!$B:$B=$K1618)*('env Parameter'!$C:$C=$L1618),'env Parameter'!H:H,""),"")</f>
        <v>생물상 조사</v>
      </c>
      <c r="C1618" s="10" cm="1">
        <f t="array" ref="C1618">IFERROR(_xlfn.XLOOKUP(1,('env Parameter'!$A:$A=$A1618)*('env Parameter'!$B:$B=$K1618)*('env Parameter'!$C:$C=$L1618),'env Parameter'!E:E,""),"")</f>
        <v>2.14</v>
      </c>
      <c r="D1618" s="10" cm="1">
        <f t="array" ref="D1618">IFERROR(_xlfn.XLOOKUP(1,('env Parameter'!$A:$A=$A1618)*('env Parameter'!$B:$B=$K1618)*('env Parameter'!$C:$C=$L1618),'env Parameter'!F:F,""),"")</f>
        <v>478</v>
      </c>
      <c r="E1618" s="10" cm="1">
        <f t="array" ref="E1618">IFERROR(_xlfn.XLOOKUP(1,('env Parameter'!$A:$A=$A1618)*('env Parameter'!$B:$B=$K1618)*('env Parameter'!$C:$C=$L1618),'env Parameter'!G:G,""),"")</f>
        <v>7.6</v>
      </c>
      <c r="F1618" t="str">
        <f>eDNA!F1618</f>
        <v>MiFish</v>
      </c>
      <c r="G1618" t="str">
        <f>eDNA!D1618</f>
        <v>Mugil cephalus</v>
      </c>
      <c r="H1618" t="str">
        <f>_xlfn.XLOOKUP(G1618,'Common name (master file)'!$B:$B,'Common name (master file)'!$A:$A,"-------------")</f>
        <v>숭어</v>
      </c>
      <c r="I1618">
        <f>eDNA!E1618</f>
        <v>5726</v>
      </c>
      <c r="J1618" t="str">
        <f>_xlfn.XLOOKUP(G1618,'Common name (master file)'!$B:$B,'Common name (master file)'!$C:$C,"")</f>
        <v>어류</v>
      </c>
      <c r="K1618">
        <f>eDNA!B1618</f>
        <v>126.9350989</v>
      </c>
      <c r="L1618">
        <f>eDNA!C1618</f>
        <v>37.419096199999998</v>
      </c>
      <c r="M1618" s="10" t="str" cm="1">
        <f t="array" ref="M1618">IFERROR(_xlfn.XLOOKUP(1,('env Parameter'!$A:$A=$A1618)*('env Parameter'!$B:$B=$K1618)*('env Parameter'!$C:$C=$L1618),'env Parameter'!D:D,""),"")</f>
        <v>삼성천-2</v>
      </c>
      <c r="N1618" s="10" t="str" cm="1">
        <f t="array" ref="N1618">IFERROR(_xlfn.XLOOKUP(1,('env Parameter'!$A:$A=$A1618)*('env Parameter'!$B:$B=$K1618)*('env Parameter'!$C:$C=$L1618),'env Parameter'!I:I,""),"")</f>
        <v>YR</v>
      </c>
    </row>
    <row r="1619" spans="1:14">
      <c r="A1619">
        <f>eDNA!A1619</f>
        <v>20201024</v>
      </c>
      <c r="B1619" s="10" t="str" cm="1">
        <f t="array" ref="B1619">IFERROR(_xlfn.XLOOKUP(1,('env Parameter'!$A:$A=$A1619)*('env Parameter'!$B:$B=$K1619)*('env Parameter'!$C:$C=$L1619),'env Parameter'!H:H,""),"")</f>
        <v>생물상 조사</v>
      </c>
      <c r="C1619" s="10" cm="1">
        <f t="array" ref="C1619">IFERROR(_xlfn.XLOOKUP(1,('env Parameter'!$A:$A=$A1619)*('env Parameter'!$B:$B=$K1619)*('env Parameter'!$C:$C=$L1619),'env Parameter'!E:E,""),"")</f>
        <v>2.14</v>
      </c>
      <c r="D1619" s="10" cm="1">
        <f t="array" ref="D1619">IFERROR(_xlfn.XLOOKUP(1,('env Parameter'!$A:$A=$A1619)*('env Parameter'!$B:$B=$K1619)*('env Parameter'!$C:$C=$L1619),'env Parameter'!F:F,""),"")</f>
        <v>478</v>
      </c>
      <c r="E1619" s="10" cm="1">
        <f t="array" ref="E1619">IFERROR(_xlfn.XLOOKUP(1,('env Parameter'!$A:$A=$A1619)*('env Parameter'!$B:$B=$K1619)*('env Parameter'!$C:$C=$L1619),'env Parameter'!G:G,""),"")</f>
        <v>7.6</v>
      </c>
      <c r="F1619" t="str">
        <f>eDNA!F1619</f>
        <v>MiFish</v>
      </c>
      <c r="G1619" t="str">
        <f>eDNA!D1619</f>
        <v>Squalidus gracilis majimae</v>
      </c>
      <c r="H1619" t="str">
        <f>_xlfn.XLOOKUP(G1619,'Common name (master file)'!$B:$B,'Common name (master file)'!$A:$A,"-------------")</f>
        <v>긴몰개</v>
      </c>
      <c r="I1619">
        <f>eDNA!E1619</f>
        <v>12460</v>
      </c>
      <c r="J1619" t="str">
        <f>_xlfn.XLOOKUP(G1619,'Common name (master file)'!$B:$B,'Common name (master file)'!$C:$C,"")</f>
        <v>어류</v>
      </c>
      <c r="K1619">
        <f>eDNA!B1619</f>
        <v>126.9350989</v>
      </c>
      <c r="L1619">
        <f>eDNA!C1619</f>
        <v>37.419096199999998</v>
      </c>
      <c r="M1619" s="10" t="str" cm="1">
        <f t="array" ref="M1619">IFERROR(_xlfn.XLOOKUP(1,('env Parameter'!$A:$A=$A1619)*('env Parameter'!$B:$B=$K1619)*('env Parameter'!$C:$C=$L1619),'env Parameter'!D:D,""),"")</f>
        <v>삼성천-2</v>
      </c>
      <c r="N1619" s="10" t="str" cm="1">
        <f t="array" ref="N1619">IFERROR(_xlfn.XLOOKUP(1,('env Parameter'!$A:$A=$A1619)*('env Parameter'!$B:$B=$K1619)*('env Parameter'!$C:$C=$L1619),'env Parameter'!I:I,""),"")</f>
        <v>YR</v>
      </c>
    </row>
    <row r="1620" spans="1:14">
      <c r="A1620">
        <f>eDNA!A1620</f>
        <v>20201024</v>
      </c>
      <c r="B1620" s="10" t="str" cm="1">
        <f t="array" ref="B1620">IFERROR(_xlfn.XLOOKUP(1,('env Parameter'!$A:$A=$A1620)*('env Parameter'!$B:$B=$K1620)*('env Parameter'!$C:$C=$L1620),'env Parameter'!H:H,""),"")</f>
        <v>생물상 조사</v>
      </c>
      <c r="C1620" s="10" cm="1">
        <f t="array" ref="C1620">IFERROR(_xlfn.XLOOKUP(1,('env Parameter'!$A:$A=$A1620)*('env Parameter'!$B:$B=$K1620)*('env Parameter'!$C:$C=$L1620),'env Parameter'!E:E,""),"")</f>
        <v>2.14</v>
      </c>
      <c r="D1620" s="10" cm="1">
        <f t="array" ref="D1620">IFERROR(_xlfn.XLOOKUP(1,('env Parameter'!$A:$A=$A1620)*('env Parameter'!$B:$B=$K1620)*('env Parameter'!$C:$C=$L1620),'env Parameter'!F:F,""),"")</f>
        <v>478</v>
      </c>
      <c r="E1620" s="10" cm="1">
        <f t="array" ref="E1620">IFERROR(_xlfn.XLOOKUP(1,('env Parameter'!$A:$A=$A1620)*('env Parameter'!$B:$B=$K1620)*('env Parameter'!$C:$C=$L1620),'env Parameter'!G:G,""),"")</f>
        <v>7.6</v>
      </c>
      <c r="F1620" t="str">
        <f>eDNA!F1620</f>
        <v>MiFish</v>
      </c>
      <c r="G1620" t="str">
        <f>eDNA!D1620</f>
        <v>Rhynchocypris oxycephalus</v>
      </c>
      <c r="H1620" t="str">
        <f>_xlfn.XLOOKUP(G1620,'Common name (master file)'!$B:$B,'Common name (master file)'!$A:$A,"-------------")</f>
        <v>버들치</v>
      </c>
      <c r="I1620">
        <f>eDNA!E1620</f>
        <v>134639</v>
      </c>
      <c r="J1620" t="str">
        <f>_xlfn.XLOOKUP(G1620,'Common name (master file)'!$B:$B,'Common name (master file)'!$C:$C,"")</f>
        <v>어류</v>
      </c>
      <c r="K1620">
        <f>eDNA!B1620</f>
        <v>126.9350989</v>
      </c>
      <c r="L1620">
        <f>eDNA!C1620</f>
        <v>37.419096199999998</v>
      </c>
      <c r="M1620" s="10" t="str" cm="1">
        <f t="array" ref="M1620">IFERROR(_xlfn.XLOOKUP(1,('env Parameter'!$A:$A=$A1620)*('env Parameter'!$B:$B=$K1620)*('env Parameter'!$C:$C=$L1620),'env Parameter'!D:D,""),"")</f>
        <v>삼성천-2</v>
      </c>
      <c r="N1620" s="10" t="str" cm="1">
        <f t="array" ref="N1620">IFERROR(_xlfn.XLOOKUP(1,('env Parameter'!$A:$A=$A1620)*('env Parameter'!$B:$B=$K1620)*('env Parameter'!$C:$C=$L1620),'env Parameter'!I:I,""),"")</f>
        <v>YR</v>
      </c>
    </row>
    <row r="1621" spans="1:14">
      <c r="A1621">
        <f>eDNA!A1621</f>
        <v>20201024</v>
      </c>
      <c r="B1621" s="10" t="str" cm="1">
        <f t="array" ref="B1621">IFERROR(_xlfn.XLOOKUP(1,('env Parameter'!$A:$A=$A1621)*('env Parameter'!$B:$B=$K1621)*('env Parameter'!$C:$C=$L1621),'env Parameter'!H:H,""),"")</f>
        <v>생물상 조사</v>
      </c>
      <c r="C1621" s="10" cm="1">
        <f t="array" ref="C1621">IFERROR(_xlfn.XLOOKUP(1,('env Parameter'!$A:$A=$A1621)*('env Parameter'!$B:$B=$K1621)*('env Parameter'!$C:$C=$L1621),'env Parameter'!E:E,""),"")</f>
        <v>2.14</v>
      </c>
      <c r="D1621" s="10" cm="1">
        <f t="array" ref="D1621">IFERROR(_xlfn.XLOOKUP(1,('env Parameter'!$A:$A=$A1621)*('env Parameter'!$B:$B=$K1621)*('env Parameter'!$C:$C=$L1621),'env Parameter'!F:F,""),"")</f>
        <v>478</v>
      </c>
      <c r="E1621" s="10" cm="1">
        <f t="array" ref="E1621">IFERROR(_xlfn.XLOOKUP(1,('env Parameter'!$A:$A=$A1621)*('env Parameter'!$B:$B=$K1621)*('env Parameter'!$C:$C=$L1621),'env Parameter'!G:G,""),"")</f>
        <v>7.6</v>
      </c>
      <c r="F1621" t="str">
        <f>eDNA!F1621</f>
        <v>MiFish</v>
      </c>
      <c r="G1621" t="str">
        <f>eDNA!D1621</f>
        <v>Rhinogobius sp.</v>
      </c>
      <c r="H1621" t="str">
        <f>_xlfn.XLOOKUP(G1621,'Common name (master file)'!$B:$B,'Common name (master file)'!$A:$A,"-------------")</f>
        <v>밀어</v>
      </c>
      <c r="I1621">
        <f>eDNA!E1621</f>
        <v>11</v>
      </c>
      <c r="J1621" t="str">
        <f>_xlfn.XLOOKUP(G1621,'Common name (master file)'!$B:$B,'Common name (master file)'!$C:$C,"")</f>
        <v>어류</v>
      </c>
      <c r="K1621">
        <f>eDNA!B1621</f>
        <v>126.9187098</v>
      </c>
      <c r="L1621">
        <f>eDNA!C1621</f>
        <v>37.431417699999997</v>
      </c>
      <c r="M1621" s="10" t="str" cm="1">
        <f t="array" ref="M1621">IFERROR(_xlfn.XLOOKUP(1,('env Parameter'!$A:$A=$A1621)*('env Parameter'!$B:$B=$K1621)*('env Parameter'!$C:$C=$L1621),'env Parameter'!D:D,""),"")</f>
        <v>삼막천</v>
      </c>
      <c r="N1621" s="10" t="str" cm="1">
        <f t="array" ref="N1621">IFERROR(_xlfn.XLOOKUP(1,('env Parameter'!$A:$A=$A1621)*('env Parameter'!$B:$B=$K1621)*('env Parameter'!$C:$C=$L1621),'env Parameter'!I:I,""),"")</f>
        <v>YR</v>
      </c>
    </row>
    <row r="1622" spans="1:14">
      <c r="A1622">
        <f>eDNA!A1622</f>
        <v>20201024</v>
      </c>
      <c r="B1622" s="10" t="str" cm="1">
        <f t="array" ref="B1622">IFERROR(_xlfn.XLOOKUP(1,('env Parameter'!$A:$A=$A1622)*('env Parameter'!$B:$B=$K1622)*('env Parameter'!$C:$C=$L1622),'env Parameter'!H:H,""),"")</f>
        <v>생물상 조사</v>
      </c>
      <c r="C1622" s="10" cm="1">
        <f t="array" ref="C1622">IFERROR(_xlfn.XLOOKUP(1,('env Parameter'!$A:$A=$A1622)*('env Parameter'!$B:$B=$K1622)*('env Parameter'!$C:$C=$L1622),'env Parameter'!E:E,""),"")</f>
        <v>2.14</v>
      </c>
      <c r="D1622" s="10" cm="1">
        <f t="array" ref="D1622">IFERROR(_xlfn.XLOOKUP(1,('env Parameter'!$A:$A=$A1622)*('env Parameter'!$B:$B=$K1622)*('env Parameter'!$C:$C=$L1622),'env Parameter'!F:F,""),"")</f>
        <v>478</v>
      </c>
      <c r="E1622" s="10" cm="1">
        <f t="array" ref="E1622">IFERROR(_xlfn.XLOOKUP(1,('env Parameter'!$A:$A=$A1622)*('env Parameter'!$B:$B=$K1622)*('env Parameter'!$C:$C=$L1622),'env Parameter'!G:G,""),"")</f>
        <v>7.6</v>
      </c>
      <c r="F1622" t="str">
        <f>eDNA!F1622</f>
        <v>MiFish</v>
      </c>
      <c r="G1622" t="str">
        <f>eDNA!D1622</f>
        <v>Carassius sp.</v>
      </c>
      <c r="H1622" t="str">
        <f>_xlfn.XLOOKUP(G1622,'Common name (master file)'!$B:$B,'Common name (master file)'!$A:$A,"-------------")</f>
        <v>붕어 속</v>
      </c>
      <c r="I1622">
        <f>eDNA!E1622</f>
        <v>336</v>
      </c>
      <c r="J1622" t="str">
        <f>_xlfn.XLOOKUP(G1622,'Common name (master file)'!$B:$B,'Common name (master file)'!$C:$C,"")</f>
        <v>어류</v>
      </c>
      <c r="K1622">
        <f>eDNA!B1622</f>
        <v>126.9187098</v>
      </c>
      <c r="L1622">
        <f>eDNA!C1622</f>
        <v>37.431417699999997</v>
      </c>
      <c r="M1622" s="10" t="str" cm="1">
        <f t="array" ref="M1622">IFERROR(_xlfn.XLOOKUP(1,('env Parameter'!$A:$A=$A1622)*('env Parameter'!$B:$B=$K1622)*('env Parameter'!$C:$C=$L1622),'env Parameter'!D:D,""),"")</f>
        <v>삼막천</v>
      </c>
      <c r="N1622" s="10" t="str" cm="1">
        <f t="array" ref="N1622">IFERROR(_xlfn.XLOOKUP(1,('env Parameter'!$A:$A=$A1622)*('env Parameter'!$B:$B=$K1622)*('env Parameter'!$C:$C=$L1622),'env Parameter'!I:I,""),"")</f>
        <v>YR</v>
      </c>
    </row>
    <row r="1623" spans="1:14">
      <c r="A1623">
        <f>eDNA!A1623</f>
        <v>20201024</v>
      </c>
      <c r="B1623" s="10" t="str" cm="1">
        <f t="array" ref="B1623">IFERROR(_xlfn.XLOOKUP(1,('env Parameter'!$A:$A=$A1623)*('env Parameter'!$B:$B=$K1623)*('env Parameter'!$C:$C=$L1623),'env Parameter'!H:H,""),"")</f>
        <v>생물상 조사</v>
      </c>
      <c r="C1623" s="10" cm="1">
        <f t="array" ref="C1623">IFERROR(_xlfn.XLOOKUP(1,('env Parameter'!$A:$A=$A1623)*('env Parameter'!$B:$B=$K1623)*('env Parameter'!$C:$C=$L1623),'env Parameter'!E:E,""),"")</f>
        <v>2.14</v>
      </c>
      <c r="D1623" s="10" cm="1">
        <f t="array" ref="D1623">IFERROR(_xlfn.XLOOKUP(1,('env Parameter'!$A:$A=$A1623)*('env Parameter'!$B:$B=$K1623)*('env Parameter'!$C:$C=$L1623),'env Parameter'!F:F,""),"")</f>
        <v>478</v>
      </c>
      <c r="E1623" s="10" cm="1">
        <f t="array" ref="E1623">IFERROR(_xlfn.XLOOKUP(1,('env Parameter'!$A:$A=$A1623)*('env Parameter'!$B:$B=$K1623)*('env Parameter'!$C:$C=$L1623),'env Parameter'!G:G,""),"")</f>
        <v>7.6</v>
      </c>
      <c r="F1623" t="str">
        <f>eDNA!F1623</f>
        <v>MiFish</v>
      </c>
      <c r="G1623" t="str">
        <f>eDNA!D1623</f>
        <v>Homo sapiens</v>
      </c>
      <c r="H1623" t="str">
        <f>_xlfn.XLOOKUP(G1623,'Common name (master file)'!$B:$B,'Common name (master file)'!$A:$A,"-------------")</f>
        <v>사람</v>
      </c>
      <c r="I1623">
        <f>eDNA!E1623</f>
        <v>599</v>
      </c>
      <c r="J1623" t="str">
        <f>_xlfn.XLOOKUP(G1623,'Common name (master file)'!$B:$B,'Common name (master file)'!$C:$C,"")</f>
        <v>포유류</v>
      </c>
      <c r="K1623">
        <f>eDNA!B1623</f>
        <v>126.9187098</v>
      </c>
      <c r="L1623">
        <f>eDNA!C1623</f>
        <v>37.431417699999997</v>
      </c>
      <c r="M1623" s="10" t="str" cm="1">
        <f t="array" ref="M1623">IFERROR(_xlfn.XLOOKUP(1,('env Parameter'!$A:$A=$A1623)*('env Parameter'!$B:$B=$K1623)*('env Parameter'!$C:$C=$L1623),'env Parameter'!D:D,""),"")</f>
        <v>삼막천</v>
      </c>
      <c r="N1623" s="10" t="str" cm="1">
        <f t="array" ref="N1623">IFERROR(_xlfn.XLOOKUP(1,('env Parameter'!$A:$A=$A1623)*('env Parameter'!$B:$B=$K1623)*('env Parameter'!$C:$C=$L1623),'env Parameter'!I:I,""),"")</f>
        <v>YR</v>
      </c>
    </row>
    <row r="1624" spans="1:14">
      <c r="A1624">
        <f>eDNA!A1624</f>
        <v>20201024</v>
      </c>
      <c r="B1624" s="10" t="str" cm="1">
        <f t="array" ref="B1624">IFERROR(_xlfn.XLOOKUP(1,('env Parameter'!$A:$A=$A1624)*('env Parameter'!$B:$B=$K1624)*('env Parameter'!$C:$C=$L1624),'env Parameter'!H:H,""),"")</f>
        <v>생물상 조사</v>
      </c>
      <c r="C1624" s="10" cm="1">
        <f t="array" ref="C1624">IFERROR(_xlfn.XLOOKUP(1,('env Parameter'!$A:$A=$A1624)*('env Parameter'!$B:$B=$K1624)*('env Parameter'!$C:$C=$L1624),'env Parameter'!E:E,""),"")</f>
        <v>2.14</v>
      </c>
      <c r="D1624" s="10" cm="1">
        <f t="array" ref="D1624">IFERROR(_xlfn.XLOOKUP(1,('env Parameter'!$A:$A=$A1624)*('env Parameter'!$B:$B=$K1624)*('env Parameter'!$C:$C=$L1624),'env Parameter'!F:F,""),"")</f>
        <v>478</v>
      </c>
      <c r="E1624" s="10" cm="1">
        <f t="array" ref="E1624">IFERROR(_xlfn.XLOOKUP(1,('env Parameter'!$A:$A=$A1624)*('env Parameter'!$B:$B=$K1624)*('env Parameter'!$C:$C=$L1624),'env Parameter'!G:G,""),"")</f>
        <v>7.6</v>
      </c>
      <c r="F1624" t="str">
        <f>eDNA!F1624</f>
        <v>MiFish</v>
      </c>
      <c r="G1624" t="str">
        <f>eDNA!D1624</f>
        <v>Sus scrofa</v>
      </c>
      <c r="H1624" t="str">
        <f>_xlfn.XLOOKUP(G1624,'Common name (master file)'!$B:$B,'Common name (master file)'!$A:$A,"-------------")</f>
        <v>멧돼지</v>
      </c>
      <c r="I1624">
        <f>eDNA!E1624</f>
        <v>4031</v>
      </c>
      <c r="J1624" t="str">
        <f>_xlfn.XLOOKUP(G1624,'Common name (master file)'!$B:$B,'Common name (master file)'!$C:$C,"")</f>
        <v>포유류</v>
      </c>
      <c r="K1624">
        <f>eDNA!B1624</f>
        <v>126.9187098</v>
      </c>
      <c r="L1624">
        <f>eDNA!C1624</f>
        <v>37.431417699999997</v>
      </c>
      <c r="M1624" s="10" t="str" cm="1">
        <f t="array" ref="M1624">IFERROR(_xlfn.XLOOKUP(1,('env Parameter'!$A:$A=$A1624)*('env Parameter'!$B:$B=$K1624)*('env Parameter'!$C:$C=$L1624),'env Parameter'!D:D,""),"")</f>
        <v>삼막천</v>
      </c>
      <c r="N1624" s="10" t="str" cm="1">
        <f t="array" ref="N1624">IFERROR(_xlfn.XLOOKUP(1,('env Parameter'!$A:$A=$A1624)*('env Parameter'!$B:$B=$K1624)*('env Parameter'!$C:$C=$L1624),'env Parameter'!I:I,""),"")</f>
        <v>YR</v>
      </c>
    </row>
    <row r="1625" spans="1:14">
      <c r="A1625">
        <f>eDNA!A1625</f>
        <v>20201024</v>
      </c>
      <c r="B1625" s="10" t="str" cm="1">
        <f t="array" ref="B1625">IFERROR(_xlfn.XLOOKUP(1,('env Parameter'!$A:$A=$A1625)*('env Parameter'!$B:$B=$K1625)*('env Parameter'!$C:$C=$L1625),'env Parameter'!H:H,""),"")</f>
        <v>생물상 조사</v>
      </c>
      <c r="C1625" s="10" cm="1">
        <f t="array" ref="C1625">IFERROR(_xlfn.XLOOKUP(1,('env Parameter'!$A:$A=$A1625)*('env Parameter'!$B:$B=$K1625)*('env Parameter'!$C:$C=$L1625),'env Parameter'!E:E,""),"")</f>
        <v>2.14</v>
      </c>
      <c r="D1625" s="10" cm="1">
        <f t="array" ref="D1625">IFERROR(_xlfn.XLOOKUP(1,('env Parameter'!$A:$A=$A1625)*('env Parameter'!$B:$B=$K1625)*('env Parameter'!$C:$C=$L1625),'env Parameter'!F:F,""),"")</f>
        <v>478</v>
      </c>
      <c r="E1625" s="10" cm="1">
        <f t="array" ref="E1625">IFERROR(_xlfn.XLOOKUP(1,('env Parameter'!$A:$A=$A1625)*('env Parameter'!$B:$B=$K1625)*('env Parameter'!$C:$C=$L1625),'env Parameter'!G:G,""),"")</f>
        <v>7.6</v>
      </c>
      <c r="F1625" t="str">
        <f>eDNA!F1625</f>
        <v>MiFish</v>
      </c>
      <c r="G1625" t="str">
        <f>eDNA!D1625</f>
        <v>Misgurnus mizolepis</v>
      </c>
      <c r="H1625" t="str">
        <f>_xlfn.XLOOKUP(G1625,'Common name (master file)'!$B:$B,'Common name (master file)'!$A:$A,"-------------")</f>
        <v>미꾸라지</v>
      </c>
      <c r="I1625">
        <f>eDNA!E1625</f>
        <v>2606</v>
      </c>
      <c r="J1625" t="str">
        <f>_xlfn.XLOOKUP(G1625,'Common name (master file)'!$B:$B,'Common name (master file)'!$C:$C,"")</f>
        <v>어류</v>
      </c>
      <c r="K1625">
        <f>eDNA!B1625</f>
        <v>126.9187098</v>
      </c>
      <c r="L1625">
        <f>eDNA!C1625</f>
        <v>37.431417699999997</v>
      </c>
      <c r="M1625" s="10" t="str" cm="1">
        <f t="array" ref="M1625">IFERROR(_xlfn.XLOOKUP(1,('env Parameter'!$A:$A=$A1625)*('env Parameter'!$B:$B=$K1625)*('env Parameter'!$C:$C=$L1625),'env Parameter'!D:D,""),"")</f>
        <v>삼막천</v>
      </c>
      <c r="N1625" s="10" t="str" cm="1">
        <f t="array" ref="N1625">IFERROR(_xlfn.XLOOKUP(1,('env Parameter'!$A:$A=$A1625)*('env Parameter'!$B:$B=$K1625)*('env Parameter'!$C:$C=$L1625),'env Parameter'!I:I,""),"")</f>
        <v>YR</v>
      </c>
    </row>
    <row r="1626" spans="1:14">
      <c r="A1626">
        <f>eDNA!A1626</f>
        <v>20201024</v>
      </c>
      <c r="B1626" s="10" t="str" cm="1">
        <f t="array" ref="B1626">IFERROR(_xlfn.XLOOKUP(1,('env Parameter'!$A:$A=$A1626)*('env Parameter'!$B:$B=$K1626)*('env Parameter'!$C:$C=$L1626),'env Parameter'!H:H,""),"")</f>
        <v>생물상 조사</v>
      </c>
      <c r="C1626" s="10" cm="1">
        <f t="array" ref="C1626">IFERROR(_xlfn.XLOOKUP(1,('env Parameter'!$A:$A=$A1626)*('env Parameter'!$B:$B=$K1626)*('env Parameter'!$C:$C=$L1626),'env Parameter'!E:E,""),"")</f>
        <v>2.14</v>
      </c>
      <c r="D1626" s="10" cm="1">
        <f t="array" ref="D1626">IFERROR(_xlfn.XLOOKUP(1,('env Parameter'!$A:$A=$A1626)*('env Parameter'!$B:$B=$K1626)*('env Parameter'!$C:$C=$L1626),'env Parameter'!F:F,""),"")</f>
        <v>478</v>
      </c>
      <c r="E1626" s="10" cm="1">
        <f t="array" ref="E1626">IFERROR(_xlfn.XLOOKUP(1,('env Parameter'!$A:$A=$A1626)*('env Parameter'!$B:$B=$K1626)*('env Parameter'!$C:$C=$L1626),'env Parameter'!G:G,""),"")</f>
        <v>7.6</v>
      </c>
      <c r="F1626" t="str">
        <f>eDNA!F1626</f>
        <v>MiFish</v>
      </c>
      <c r="G1626" t="str">
        <f>eDNA!D1626</f>
        <v>Pseudogobio esocinus</v>
      </c>
      <c r="H1626" t="str">
        <f>_xlfn.XLOOKUP(G1626,'Common name (master file)'!$B:$B,'Common name (master file)'!$A:$A,"-------------")</f>
        <v>모래무지</v>
      </c>
      <c r="I1626">
        <f>eDNA!E1626</f>
        <v>5583</v>
      </c>
      <c r="J1626" t="str">
        <f>_xlfn.XLOOKUP(G1626,'Common name (master file)'!$B:$B,'Common name (master file)'!$C:$C,"")</f>
        <v>어류</v>
      </c>
      <c r="K1626">
        <f>eDNA!B1626</f>
        <v>126.9187098</v>
      </c>
      <c r="L1626">
        <f>eDNA!C1626</f>
        <v>37.431417699999997</v>
      </c>
      <c r="M1626" s="10" t="str" cm="1">
        <f t="array" ref="M1626">IFERROR(_xlfn.XLOOKUP(1,('env Parameter'!$A:$A=$A1626)*('env Parameter'!$B:$B=$K1626)*('env Parameter'!$C:$C=$L1626),'env Parameter'!D:D,""),"")</f>
        <v>삼막천</v>
      </c>
      <c r="N1626" s="10" t="str" cm="1">
        <f t="array" ref="N1626">IFERROR(_xlfn.XLOOKUP(1,('env Parameter'!$A:$A=$A1626)*('env Parameter'!$B:$B=$K1626)*('env Parameter'!$C:$C=$L1626),'env Parameter'!I:I,""),"")</f>
        <v>YR</v>
      </c>
    </row>
    <row r="1627" spans="1:14">
      <c r="A1627">
        <f>eDNA!A1627</f>
        <v>20201024</v>
      </c>
      <c r="B1627" s="10" t="str" cm="1">
        <f t="array" ref="B1627">IFERROR(_xlfn.XLOOKUP(1,('env Parameter'!$A:$A=$A1627)*('env Parameter'!$B:$B=$K1627)*('env Parameter'!$C:$C=$L1627),'env Parameter'!H:H,""),"")</f>
        <v>생물상 조사</v>
      </c>
      <c r="C1627" s="10" cm="1">
        <f t="array" ref="C1627">IFERROR(_xlfn.XLOOKUP(1,('env Parameter'!$A:$A=$A1627)*('env Parameter'!$B:$B=$K1627)*('env Parameter'!$C:$C=$L1627),'env Parameter'!E:E,""),"")</f>
        <v>2.14</v>
      </c>
      <c r="D1627" s="10" cm="1">
        <f t="array" ref="D1627">IFERROR(_xlfn.XLOOKUP(1,('env Parameter'!$A:$A=$A1627)*('env Parameter'!$B:$B=$K1627)*('env Parameter'!$C:$C=$L1627),'env Parameter'!F:F,""),"")</f>
        <v>478</v>
      </c>
      <c r="E1627" s="10" cm="1">
        <f t="array" ref="E1627">IFERROR(_xlfn.XLOOKUP(1,('env Parameter'!$A:$A=$A1627)*('env Parameter'!$B:$B=$K1627)*('env Parameter'!$C:$C=$L1627),'env Parameter'!G:G,""),"")</f>
        <v>7.6</v>
      </c>
      <c r="F1627" t="str">
        <f>eDNA!F1627</f>
        <v>MiFish</v>
      </c>
      <c r="G1627" t="str">
        <f>eDNA!D1627</f>
        <v>Rhynchocypris oxycephalus</v>
      </c>
      <c r="H1627" t="str">
        <f>_xlfn.XLOOKUP(G1627,'Common name (master file)'!$B:$B,'Common name (master file)'!$A:$A,"-------------")</f>
        <v>버들치</v>
      </c>
      <c r="I1627">
        <f>eDNA!E1627</f>
        <v>2745</v>
      </c>
      <c r="J1627" t="str">
        <f>_xlfn.XLOOKUP(G1627,'Common name (master file)'!$B:$B,'Common name (master file)'!$C:$C,"")</f>
        <v>어류</v>
      </c>
      <c r="K1627">
        <f>eDNA!B1627</f>
        <v>126.9187098</v>
      </c>
      <c r="L1627">
        <f>eDNA!C1627</f>
        <v>37.431417699999997</v>
      </c>
      <c r="M1627" s="10" t="str" cm="1">
        <f t="array" ref="M1627">IFERROR(_xlfn.XLOOKUP(1,('env Parameter'!$A:$A=$A1627)*('env Parameter'!$B:$B=$K1627)*('env Parameter'!$C:$C=$L1627),'env Parameter'!D:D,""),"")</f>
        <v>삼막천</v>
      </c>
      <c r="N1627" s="10" t="str" cm="1">
        <f t="array" ref="N1627">IFERROR(_xlfn.XLOOKUP(1,('env Parameter'!$A:$A=$A1627)*('env Parameter'!$B:$B=$K1627)*('env Parameter'!$C:$C=$L1627),'env Parameter'!I:I,""),"")</f>
        <v>YR</v>
      </c>
    </row>
    <row r="1628" spans="1:14">
      <c r="A1628">
        <f>eDNA!A1628</f>
        <v>20201024</v>
      </c>
      <c r="B1628" s="10" t="str" cm="1">
        <f t="array" ref="B1628">IFERROR(_xlfn.XLOOKUP(1,('env Parameter'!$A:$A=$A1628)*('env Parameter'!$B:$B=$K1628)*('env Parameter'!$C:$C=$L1628),'env Parameter'!H:H,""),"")</f>
        <v>생물상 조사</v>
      </c>
      <c r="C1628" s="10" cm="1">
        <f t="array" ref="C1628">IFERROR(_xlfn.XLOOKUP(1,('env Parameter'!$A:$A=$A1628)*('env Parameter'!$B:$B=$K1628)*('env Parameter'!$C:$C=$L1628),'env Parameter'!E:E,""),"")</f>
        <v>2.14</v>
      </c>
      <c r="D1628" s="10" cm="1">
        <f t="array" ref="D1628">IFERROR(_xlfn.XLOOKUP(1,('env Parameter'!$A:$A=$A1628)*('env Parameter'!$B:$B=$K1628)*('env Parameter'!$C:$C=$L1628),'env Parameter'!F:F,""),"")</f>
        <v>478</v>
      </c>
      <c r="E1628" s="10" cm="1">
        <f t="array" ref="E1628">IFERROR(_xlfn.XLOOKUP(1,('env Parameter'!$A:$A=$A1628)*('env Parameter'!$B:$B=$K1628)*('env Parameter'!$C:$C=$L1628),'env Parameter'!G:G,""),"")</f>
        <v>7.6</v>
      </c>
      <c r="F1628" t="str">
        <f>eDNA!F1628</f>
        <v>MiFish</v>
      </c>
      <c r="G1628" t="str">
        <f>eDNA!D1628</f>
        <v>Odontobutis interrupta</v>
      </c>
      <c r="H1628" t="str">
        <f>_xlfn.XLOOKUP(G1628,'Common name (master file)'!$B:$B,'Common name (master file)'!$A:$A,"-------------")</f>
        <v>얼록동사리</v>
      </c>
      <c r="I1628">
        <f>eDNA!E1628</f>
        <v>3234</v>
      </c>
      <c r="J1628" t="str">
        <f>_xlfn.XLOOKUP(G1628,'Common name (master file)'!$B:$B,'Common name (master file)'!$C:$C,"")</f>
        <v>어류</v>
      </c>
      <c r="K1628">
        <f>eDNA!B1628</f>
        <v>126.9187098</v>
      </c>
      <c r="L1628">
        <f>eDNA!C1628</f>
        <v>37.431417699999997</v>
      </c>
      <c r="M1628" s="10" t="str" cm="1">
        <f t="array" ref="M1628">IFERROR(_xlfn.XLOOKUP(1,('env Parameter'!$A:$A=$A1628)*('env Parameter'!$B:$B=$K1628)*('env Parameter'!$C:$C=$L1628),'env Parameter'!D:D,""),"")</f>
        <v>삼막천</v>
      </c>
      <c r="N1628" s="10" t="str" cm="1">
        <f t="array" ref="N1628">IFERROR(_xlfn.XLOOKUP(1,('env Parameter'!$A:$A=$A1628)*('env Parameter'!$B:$B=$K1628)*('env Parameter'!$C:$C=$L1628),'env Parameter'!I:I,""),"")</f>
        <v>YR</v>
      </c>
    </row>
    <row r="1629" spans="1:14">
      <c r="A1629">
        <f>eDNA!A1629</f>
        <v>20201024</v>
      </c>
      <c r="B1629" s="10" t="str" cm="1">
        <f t="array" ref="B1629">IFERROR(_xlfn.XLOOKUP(1,('env Parameter'!$A:$A=$A1629)*('env Parameter'!$B:$B=$K1629)*('env Parameter'!$C:$C=$L1629),'env Parameter'!H:H,""),"")</f>
        <v>생물상 조사</v>
      </c>
      <c r="C1629" s="10" cm="1">
        <f t="array" ref="C1629">IFERROR(_xlfn.XLOOKUP(1,('env Parameter'!$A:$A=$A1629)*('env Parameter'!$B:$B=$K1629)*('env Parameter'!$C:$C=$L1629),'env Parameter'!E:E,""),"")</f>
        <v>2.14</v>
      </c>
      <c r="D1629" s="10" cm="1">
        <f t="array" ref="D1629">IFERROR(_xlfn.XLOOKUP(1,('env Parameter'!$A:$A=$A1629)*('env Parameter'!$B:$B=$K1629)*('env Parameter'!$C:$C=$L1629),'env Parameter'!F:F,""),"")</f>
        <v>478</v>
      </c>
      <c r="E1629" s="10" cm="1">
        <f t="array" ref="E1629">IFERROR(_xlfn.XLOOKUP(1,('env Parameter'!$A:$A=$A1629)*('env Parameter'!$B:$B=$K1629)*('env Parameter'!$C:$C=$L1629),'env Parameter'!G:G,""),"")</f>
        <v>7.6</v>
      </c>
      <c r="F1629" t="str">
        <f>eDNA!F1629</f>
        <v>MiFish</v>
      </c>
      <c r="G1629" t="str">
        <f>eDNA!D1629</f>
        <v>Carassius gibelio</v>
      </c>
      <c r="H1629" t="str">
        <f>_xlfn.XLOOKUP(G1629,'Common name (master file)'!$B:$B,'Common name (master file)'!$A:$A,"-------------")</f>
        <v>기벨리오 붕어</v>
      </c>
      <c r="I1629">
        <f>eDNA!E1629</f>
        <v>17736</v>
      </c>
      <c r="J1629" t="str">
        <f>_xlfn.XLOOKUP(G1629,'Common name (master file)'!$B:$B,'Common name (master file)'!$C:$C,"")</f>
        <v>어류</v>
      </c>
      <c r="K1629">
        <f>eDNA!B1629</f>
        <v>126.9187098</v>
      </c>
      <c r="L1629">
        <f>eDNA!C1629</f>
        <v>37.431417699999997</v>
      </c>
      <c r="M1629" s="10" t="str" cm="1">
        <f t="array" ref="M1629">IFERROR(_xlfn.XLOOKUP(1,('env Parameter'!$A:$A=$A1629)*('env Parameter'!$B:$B=$K1629)*('env Parameter'!$C:$C=$L1629),'env Parameter'!D:D,""),"")</f>
        <v>삼막천</v>
      </c>
      <c r="N1629" s="10" t="str" cm="1">
        <f t="array" ref="N1629">IFERROR(_xlfn.XLOOKUP(1,('env Parameter'!$A:$A=$A1629)*('env Parameter'!$B:$B=$K1629)*('env Parameter'!$C:$C=$L1629),'env Parameter'!I:I,""),"")</f>
        <v>YR</v>
      </c>
    </row>
    <row r="1630" spans="1:14">
      <c r="A1630">
        <f>eDNA!A1630</f>
        <v>20201024</v>
      </c>
      <c r="B1630" s="10" t="str" cm="1">
        <f t="array" ref="B1630">IFERROR(_xlfn.XLOOKUP(1,('env Parameter'!$A:$A=$A1630)*('env Parameter'!$B:$B=$K1630)*('env Parameter'!$C:$C=$L1630),'env Parameter'!H:H,""),"")</f>
        <v>생물상 조사</v>
      </c>
      <c r="C1630" s="10" cm="1">
        <f t="array" ref="C1630">IFERROR(_xlfn.XLOOKUP(1,('env Parameter'!$A:$A=$A1630)*('env Parameter'!$B:$B=$K1630)*('env Parameter'!$C:$C=$L1630),'env Parameter'!E:E,""),"")</f>
        <v>2.14</v>
      </c>
      <c r="D1630" s="10" cm="1">
        <f t="array" ref="D1630">IFERROR(_xlfn.XLOOKUP(1,('env Parameter'!$A:$A=$A1630)*('env Parameter'!$B:$B=$K1630)*('env Parameter'!$C:$C=$L1630),'env Parameter'!F:F,""),"")</f>
        <v>478</v>
      </c>
      <c r="E1630" s="10" cm="1">
        <f t="array" ref="E1630">IFERROR(_xlfn.XLOOKUP(1,('env Parameter'!$A:$A=$A1630)*('env Parameter'!$B:$B=$K1630)*('env Parameter'!$C:$C=$L1630),'env Parameter'!G:G,""),"")</f>
        <v>7.6</v>
      </c>
      <c r="F1630" t="str">
        <f>eDNA!F1630</f>
        <v>MiFish</v>
      </c>
      <c r="G1630" t="str">
        <f>eDNA!D1630</f>
        <v>Zacco platypus</v>
      </c>
      <c r="H1630" t="str">
        <f>_xlfn.XLOOKUP(G1630,'Common name (master file)'!$B:$B,'Common name (master file)'!$A:$A,"-------------")</f>
        <v>피라미</v>
      </c>
      <c r="I1630">
        <f>eDNA!E1630</f>
        <v>34906</v>
      </c>
      <c r="J1630" t="str">
        <f>_xlfn.XLOOKUP(G1630,'Common name (master file)'!$B:$B,'Common name (master file)'!$C:$C,"")</f>
        <v>어류</v>
      </c>
      <c r="K1630">
        <f>eDNA!B1630</f>
        <v>126.9187098</v>
      </c>
      <c r="L1630">
        <f>eDNA!C1630</f>
        <v>37.431417699999997</v>
      </c>
      <c r="M1630" s="10" t="str" cm="1">
        <f t="array" ref="M1630">IFERROR(_xlfn.XLOOKUP(1,('env Parameter'!$A:$A=$A1630)*('env Parameter'!$B:$B=$K1630)*('env Parameter'!$C:$C=$L1630),'env Parameter'!D:D,""),"")</f>
        <v>삼막천</v>
      </c>
      <c r="N1630" s="10" t="str" cm="1">
        <f t="array" ref="N1630">IFERROR(_xlfn.XLOOKUP(1,('env Parameter'!$A:$A=$A1630)*('env Parameter'!$B:$B=$K1630)*('env Parameter'!$C:$C=$L1630),'env Parameter'!I:I,""),"")</f>
        <v>YR</v>
      </c>
    </row>
    <row r="1631" spans="1:14">
      <c r="A1631">
        <f>eDNA!A1631</f>
        <v>20201024</v>
      </c>
      <c r="B1631" s="10" t="str" cm="1">
        <f t="array" ref="B1631">IFERROR(_xlfn.XLOOKUP(1,('env Parameter'!$A:$A=$A1631)*('env Parameter'!$B:$B=$K1631)*('env Parameter'!$C:$C=$L1631),'env Parameter'!H:H,""),"")</f>
        <v>생물상 조사</v>
      </c>
      <c r="C1631" s="10" cm="1">
        <f t="array" ref="C1631">IFERROR(_xlfn.XLOOKUP(1,('env Parameter'!$A:$A=$A1631)*('env Parameter'!$B:$B=$K1631)*('env Parameter'!$C:$C=$L1631),'env Parameter'!E:E,""),"")</f>
        <v>2.14</v>
      </c>
      <c r="D1631" s="10" cm="1">
        <f t="array" ref="D1631">IFERROR(_xlfn.XLOOKUP(1,('env Parameter'!$A:$A=$A1631)*('env Parameter'!$B:$B=$K1631)*('env Parameter'!$C:$C=$L1631),'env Parameter'!F:F,""),"")</f>
        <v>478</v>
      </c>
      <c r="E1631" s="10" cm="1">
        <f t="array" ref="E1631">IFERROR(_xlfn.XLOOKUP(1,('env Parameter'!$A:$A=$A1631)*('env Parameter'!$B:$B=$K1631)*('env Parameter'!$C:$C=$L1631),'env Parameter'!G:G,""),"")</f>
        <v>7.6</v>
      </c>
      <c r="F1631" t="str">
        <f>eDNA!F1631</f>
        <v>MiFish</v>
      </c>
      <c r="G1631" t="str">
        <f>eDNA!D1631</f>
        <v>Pseudorasbora parva</v>
      </c>
      <c r="H1631" t="str">
        <f>_xlfn.XLOOKUP(G1631,'Common name (master file)'!$B:$B,'Common name (master file)'!$A:$A,"-------------")</f>
        <v>참붕어</v>
      </c>
      <c r="I1631">
        <f>eDNA!E1631</f>
        <v>38408</v>
      </c>
      <c r="J1631" t="str">
        <f>_xlfn.XLOOKUP(G1631,'Common name (master file)'!$B:$B,'Common name (master file)'!$C:$C,"")</f>
        <v>어류</v>
      </c>
      <c r="K1631">
        <f>eDNA!B1631</f>
        <v>126.9187098</v>
      </c>
      <c r="L1631">
        <f>eDNA!C1631</f>
        <v>37.431417699999997</v>
      </c>
      <c r="M1631" s="10" t="str" cm="1">
        <f t="array" ref="M1631">IFERROR(_xlfn.XLOOKUP(1,('env Parameter'!$A:$A=$A1631)*('env Parameter'!$B:$B=$K1631)*('env Parameter'!$C:$C=$L1631),'env Parameter'!D:D,""),"")</f>
        <v>삼막천</v>
      </c>
      <c r="N1631" s="10" t="str" cm="1">
        <f t="array" ref="N1631">IFERROR(_xlfn.XLOOKUP(1,('env Parameter'!$A:$A=$A1631)*('env Parameter'!$B:$B=$K1631)*('env Parameter'!$C:$C=$L1631),'env Parameter'!I:I,""),"")</f>
        <v>YR</v>
      </c>
    </row>
    <row r="1632" spans="1:14">
      <c r="A1632">
        <f>eDNA!A1632</f>
        <v>20201024</v>
      </c>
      <c r="B1632" s="10" t="str" cm="1">
        <f t="array" ref="B1632">IFERROR(_xlfn.XLOOKUP(1,('env Parameter'!$A:$A=$A1632)*('env Parameter'!$B:$B=$K1632)*('env Parameter'!$C:$C=$L1632),'env Parameter'!H:H,""),"")</f>
        <v>생물상 조사</v>
      </c>
      <c r="C1632" s="10" cm="1">
        <f t="array" ref="C1632">IFERROR(_xlfn.XLOOKUP(1,('env Parameter'!$A:$A=$A1632)*('env Parameter'!$B:$B=$K1632)*('env Parameter'!$C:$C=$L1632),'env Parameter'!E:E,""),"")</f>
        <v>2.14</v>
      </c>
      <c r="D1632" s="10" cm="1">
        <f t="array" ref="D1632">IFERROR(_xlfn.XLOOKUP(1,('env Parameter'!$A:$A=$A1632)*('env Parameter'!$B:$B=$K1632)*('env Parameter'!$C:$C=$L1632),'env Parameter'!F:F,""),"")</f>
        <v>478</v>
      </c>
      <c r="E1632" s="10" cm="1">
        <f t="array" ref="E1632">IFERROR(_xlfn.XLOOKUP(1,('env Parameter'!$A:$A=$A1632)*('env Parameter'!$B:$B=$K1632)*('env Parameter'!$C:$C=$L1632),'env Parameter'!G:G,""),"")</f>
        <v>7.6</v>
      </c>
      <c r="F1632" t="str">
        <f>eDNA!F1632</f>
        <v>MiFish</v>
      </c>
      <c r="G1632" t="str">
        <f>eDNA!D1632</f>
        <v>Rattus norvegicus</v>
      </c>
      <c r="H1632" t="str">
        <f>_xlfn.XLOOKUP(G1632,'Common name (master file)'!$B:$B,'Common name (master file)'!$A:$A,"-------------")</f>
        <v>시궁쥐</v>
      </c>
      <c r="I1632">
        <f>eDNA!E1632</f>
        <v>27</v>
      </c>
      <c r="J1632" t="str">
        <f>_xlfn.XLOOKUP(G1632,'Common name (master file)'!$B:$B,'Common name (master file)'!$C:$C,"")</f>
        <v>포유류</v>
      </c>
      <c r="K1632">
        <f>eDNA!B1632</f>
        <v>126.8343934</v>
      </c>
      <c r="L1632">
        <f>eDNA!C1632</f>
        <v>37.4648574</v>
      </c>
      <c r="M1632" s="10" t="str" cm="1">
        <f t="array" ref="M1632">IFERROR(_xlfn.XLOOKUP(1,('env Parameter'!$A:$A=$A1632)*('env Parameter'!$B:$B=$K1632)*('env Parameter'!$C:$C=$L1632),'env Parameter'!D:D,""),"")</f>
        <v>옥길천-2</v>
      </c>
      <c r="N1632" s="10" t="str" cm="1">
        <f t="array" ref="N1632">IFERROR(_xlfn.XLOOKUP(1,('env Parameter'!$A:$A=$A1632)*('env Parameter'!$B:$B=$K1632)*('env Parameter'!$C:$C=$L1632),'env Parameter'!I:I,""),"")</f>
        <v>YR</v>
      </c>
    </row>
    <row r="1633" spans="1:14">
      <c r="A1633">
        <f>eDNA!A1633</f>
        <v>20201024</v>
      </c>
      <c r="B1633" s="10" t="str" cm="1">
        <f t="array" ref="B1633">IFERROR(_xlfn.XLOOKUP(1,('env Parameter'!$A:$A=$A1633)*('env Parameter'!$B:$B=$K1633)*('env Parameter'!$C:$C=$L1633),'env Parameter'!H:H,""),"")</f>
        <v>생물상 조사</v>
      </c>
      <c r="C1633" s="10" cm="1">
        <f t="array" ref="C1633">IFERROR(_xlfn.XLOOKUP(1,('env Parameter'!$A:$A=$A1633)*('env Parameter'!$B:$B=$K1633)*('env Parameter'!$C:$C=$L1633),'env Parameter'!E:E,""),"")</f>
        <v>2.14</v>
      </c>
      <c r="D1633" s="10" cm="1">
        <f t="array" ref="D1633">IFERROR(_xlfn.XLOOKUP(1,('env Parameter'!$A:$A=$A1633)*('env Parameter'!$B:$B=$K1633)*('env Parameter'!$C:$C=$L1633),'env Parameter'!F:F,""),"")</f>
        <v>478</v>
      </c>
      <c r="E1633" s="10" cm="1">
        <f t="array" ref="E1633">IFERROR(_xlfn.XLOOKUP(1,('env Parameter'!$A:$A=$A1633)*('env Parameter'!$B:$B=$K1633)*('env Parameter'!$C:$C=$L1633),'env Parameter'!G:G,""),"")</f>
        <v>7.6</v>
      </c>
      <c r="F1633" t="str">
        <f>eDNA!F1633</f>
        <v>MiFish</v>
      </c>
      <c r="G1633" t="str">
        <f>eDNA!D1633</f>
        <v>Carassius auratus</v>
      </c>
      <c r="H1633" t="str">
        <f>_xlfn.XLOOKUP(G1633,'Common name (master file)'!$B:$B,'Common name (master file)'!$A:$A,"-------------")</f>
        <v>붕어</v>
      </c>
      <c r="I1633">
        <f>eDNA!E1633</f>
        <v>94</v>
      </c>
      <c r="J1633" t="str">
        <f>_xlfn.XLOOKUP(G1633,'Common name (master file)'!$B:$B,'Common name (master file)'!$C:$C,"")</f>
        <v>어류</v>
      </c>
      <c r="K1633">
        <f>eDNA!B1633</f>
        <v>126.8343934</v>
      </c>
      <c r="L1633">
        <f>eDNA!C1633</f>
        <v>37.4648574</v>
      </c>
      <c r="M1633" s="10" t="str" cm="1">
        <f t="array" ref="M1633">IFERROR(_xlfn.XLOOKUP(1,('env Parameter'!$A:$A=$A1633)*('env Parameter'!$B:$B=$K1633)*('env Parameter'!$C:$C=$L1633),'env Parameter'!D:D,""),"")</f>
        <v>옥길천-2</v>
      </c>
      <c r="N1633" s="10" t="str" cm="1">
        <f t="array" ref="N1633">IFERROR(_xlfn.XLOOKUP(1,('env Parameter'!$A:$A=$A1633)*('env Parameter'!$B:$B=$K1633)*('env Parameter'!$C:$C=$L1633),'env Parameter'!I:I,""),"")</f>
        <v>YR</v>
      </c>
    </row>
    <row r="1634" spans="1:14">
      <c r="A1634">
        <f>eDNA!A1634</f>
        <v>20201024</v>
      </c>
      <c r="B1634" s="10" t="str" cm="1">
        <f t="array" ref="B1634">IFERROR(_xlfn.XLOOKUP(1,('env Parameter'!$A:$A=$A1634)*('env Parameter'!$B:$B=$K1634)*('env Parameter'!$C:$C=$L1634),'env Parameter'!H:H,""),"")</f>
        <v>생물상 조사</v>
      </c>
      <c r="C1634" s="10" cm="1">
        <f t="array" ref="C1634">IFERROR(_xlfn.XLOOKUP(1,('env Parameter'!$A:$A=$A1634)*('env Parameter'!$B:$B=$K1634)*('env Parameter'!$C:$C=$L1634),'env Parameter'!E:E,""),"")</f>
        <v>2.14</v>
      </c>
      <c r="D1634" s="10" cm="1">
        <f t="array" ref="D1634">IFERROR(_xlfn.XLOOKUP(1,('env Parameter'!$A:$A=$A1634)*('env Parameter'!$B:$B=$K1634)*('env Parameter'!$C:$C=$L1634),'env Parameter'!F:F,""),"")</f>
        <v>478</v>
      </c>
      <c r="E1634" s="10" cm="1">
        <f t="array" ref="E1634">IFERROR(_xlfn.XLOOKUP(1,('env Parameter'!$A:$A=$A1634)*('env Parameter'!$B:$B=$K1634)*('env Parameter'!$C:$C=$L1634),'env Parameter'!G:G,""),"")</f>
        <v>7.6</v>
      </c>
      <c r="F1634" t="str">
        <f>eDNA!F1634</f>
        <v>MiFish</v>
      </c>
      <c r="G1634" t="str">
        <f>eDNA!D1634</f>
        <v>Misgurnus anguillicaudatus</v>
      </c>
      <c r="H1634" t="str">
        <f>_xlfn.XLOOKUP(G1634,'Common name (master file)'!$B:$B,'Common name (master file)'!$A:$A,"-------------")</f>
        <v>미꾸리</v>
      </c>
      <c r="I1634">
        <f>eDNA!E1634</f>
        <v>49</v>
      </c>
      <c r="J1634" t="str">
        <f>_xlfn.XLOOKUP(G1634,'Common name (master file)'!$B:$B,'Common name (master file)'!$C:$C,"")</f>
        <v>어류</v>
      </c>
      <c r="K1634">
        <f>eDNA!B1634</f>
        <v>126.8343934</v>
      </c>
      <c r="L1634">
        <f>eDNA!C1634</f>
        <v>37.4648574</v>
      </c>
      <c r="M1634" s="10" t="str" cm="1">
        <f t="array" ref="M1634">IFERROR(_xlfn.XLOOKUP(1,('env Parameter'!$A:$A=$A1634)*('env Parameter'!$B:$B=$K1634)*('env Parameter'!$C:$C=$L1634),'env Parameter'!D:D,""),"")</f>
        <v>옥길천-2</v>
      </c>
      <c r="N1634" s="10" t="str" cm="1">
        <f t="array" ref="N1634">IFERROR(_xlfn.XLOOKUP(1,('env Parameter'!$A:$A=$A1634)*('env Parameter'!$B:$B=$K1634)*('env Parameter'!$C:$C=$L1634),'env Parameter'!I:I,""),"")</f>
        <v>YR</v>
      </c>
    </row>
    <row r="1635" spans="1:14">
      <c r="A1635">
        <f>eDNA!A1635</f>
        <v>20201024</v>
      </c>
      <c r="B1635" s="10" t="str" cm="1">
        <f t="array" ref="B1635">IFERROR(_xlfn.XLOOKUP(1,('env Parameter'!$A:$A=$A1635)*('env Parameter'!$B:$B=$K1635)*('env Parameter'!$C:$C=$L1635),'env Parameter'!H:H,""),"")</f>
        <v>생물상 조사</v>
      </c>
      <c r="C1635" s="10" cm="1">
        <f t="array" ref="C1635">IFERROR(_xlfn.XLOOKUP(1,('env Parameter'!$A:$A=$A1635)*('env Parameter'!$B:$B=$K1635)*('env Parameter'!$C:$C=$L1635),'env Parameter'!E:E,""),"")</f>
        <v>2.14</v>
      </c>
      <c r="D1635" s="10" cm="1">
        <f t="array" ref="D1635">IFERROR(_xlfn.XLOOKUP(1,('env Parameter'!$A:$A=$A1635)*('env Parameter'!$B:$B=$K1635)*('env Parameter'!$C:$C=$L1635),'env Parameter'!F:F,""),"")</f>
        <v>478</v>
      </c>
      <c r="E1635" s="10" cm="1">
        <f t="array" ref="E1635">IFERROR(_xlfn.XLOOKUP(1,('env Parameter'!$A:$A=$A1635)*('env Parameter'!$B:$B=$K1635)*('env Parameter'!$C:$C=$L1635),'env Parameter'!G:G,""),"")</f>
        <v>7.6</v>
      </c>
      <c r="F1635" t="str">
        <f>eDNA!F1635</f>
        <v>MiFish</v>
      </c>
      <c r="G1635" t="str">
        <f>eDNA!D1635</f>
        <v>Tadorna tadorna</v>
      </c>
      <c r="H1635" t="str">
        <f>_xlfn.XLOOKUP(G1635,'Common name (master file)'!$B:$B,'Common name (master file)'!$A:$A,"-------------")</f>
        <v>혹부리오리</v>
      </c>
      <c r="I1635">
        <f>eDNA!E1635</f>
        <v>64</v>
      </c>
      <c r="J1635" t="str">
        <f>_xlfn.XLOOKUP(G1635,'Common name (master file)'!$B:$B,'Common name (master file)'!$C:$C,"")</f>
        <v>조류</v>
      </c>
      <c r="K1635">
        <f>eDNA!B1635</f>
        <v>126.8343934</v>
      </c>
      <c r="L1635">
        <f>eDNA!C1635</f>
        <v>37.4648574</v>
      </c>
      <c r="M1635" s="10" t="str" cm="1">
        <f t="array" ref="M1635">IFERROR(_xlfn.XLOOKUP(1,('env Parameter'!$A:$A=$A1635)*('env Parameter'!$B:$B=$K1635)*('env Parameter'!$C:$C=$L1635),'env Parameter'!D:D,""),"")</f>
        <v>옥길천-2</v>
      </c>
      <c r="N1635" s="10" t="str" cm="1">
        <f t="array" ref="N1635">IFERROR(_xlfn.XLOOKUP(1,('env Parameter'!$A:$A=$A1635)*('env Parameter'!$B:$B=$K1635)*('env Parameter'!$C:$C=$L1635),'env Parameter'!I:I,""),"")</f>
        <v>YR</v>
      </c>
    </row>
    <row r="1636" spans="1:14">
      <c r="A1636">
        <f>eDNA!A1636</f>
        <v>20201024</v>
      </c>
      <c r="B1636" s="10" t="str" cm="1">
        <f t="array" ref="B1636">IFERROR(_xlfn.XLOOKUP(1,('env Parameter'!$A:$A=$A1636)*('env Parameter'!$B:$B=$K1636)*('env Parameter'!$C:$C=$L1636),'env Parameter'!H:H,""),"")</f>
        <v>생물상 조사</v>
      </c>
      <c r="C1636" s="10" cm="1">
        <f t="array" ref="C1636">IFERROR(_xlfn.XLOOKUP(1,('env Parameter'!$A:$A=$A1636)*('env Parameter'!$B:$B=$K1636)*('env Parameter'!$C:$C=$L1636),'env Parameter'!E:E,""),"")</f>
        <v>2.14</v>
      </c>
      <c r="D1636" s="10" cm="1">
        <f t="array" ref="D1636">IFERROR(_xlfn.XLOOKUP(1,('env Parameter'!$A:$A=$A1636)*('env Parameter'!$B:$B=$K1636)*('env Parameter'!$C:$C=$L1636),'env Parameter'!F:F,""),"")</f>
        <v>478</v>
      </c>
      <c r="E1636" s="10" cm="1">
        <f t="array" ref="E1636">IFERROR(_xlfn.XLOOKUP(1,('env Parameter'!$A:$A=$A1636)*('env Parameter'!$B:$B=$K1636)*('env Parameter'!$C:$C=$L1636),'env Parameter'!G:G,""),"")</f>
        <v>7.6</v>
      </c>
      <c r="F1636" t="str">
        <f>eDNA!F1636</f>
        <v>MiFish</v>
      </c>
      <c r="G1636" t="str">
        <f>eDNA!D1636</f>
        <v>Oryzias sinensis</v>
      </c>
      <c r="H1636" t="str">
        <f>_xlfn.XLOOKUP(G1636,'Common name (master file)'!$B:$B,'Common name (master file)'!$A:$A,"-------------")</f>
        <v>대륙송사리</v>
      </c>
      <c r="I1636">
        <f>eDNA!E1636</f>
        <v>121</v>
      </c>
      <c r="J1636" t="str">
        <f>_xlfn.XLOOKUP(G1636,'Common name (master file)'!$B:$B,'Common name (master file)'!$C:$C,"")</f>
        <v>어류</v>
      </c>
      <c r="K1636">
        <f>eDNA!B1636</f>
        <v>126.8343934</v>
      </c>
      <c r="L1636">
        <f>eDNA!C1636</f>
        <v>37.4648574</v>
      </c>
      <c r="M1636" s="10" t="str" cm="1">
        <f t="array" ref="M1636">IFERROR(_xlfn.XLOOKUP(1,('env Parameter'!$A:$A=$A1636)*('env Parameter'!$B:$B=$K1636)*('env Parameter'!$C:$C=$L1636),'env Parameter'!D:D,""),"")</f>
        <v>옥길천-2</v>
      </c>
      <c r="N1636" s="10" t="str" cm="1">
        <f t="array" ref="N1636">IFERROR(_xlfn.XLOOKUP(1,('env Parameter'!$A:$A=$A1636)*('env Parameter'!$B:$B=$K1636)*('env Parameter'!$C:$C=$L1636),'env Parameter'!I:I,""),"")</f>
        <v>YR</v>
      </c>
    </row>
    <row r="1637" spans="1:14">
      <c r="A1637">
        <f>eDNA!A1637</f>
        <v>20201024</v>
      </c>
      <c r="B1637" s="10" t="str" cm="1">
        <f t="array" ref="B1637">IFERROR(_xlfn.XLOOKUP(1,('env Parameter'!$A:$A=$A1637)*('env Parameter'!$B:$B=$K1637)*('env Parameter'!$C:$C=$L1637),'env Parameter'!H:H,""),"")</f>
        <v>생물상 조사</v>
      </c>
      <c r="C1637" s="10" cm="1">
        <f t="array" ref="C1637">IFERROR(_xlfn.XLOOKUP(1,('env Parameter'!$A:$A=$A1637)*('env Parameter'!$B:$B=$K1637)*('env Parameter'!$C:$C=$L1637),'env Parameter'!E:E,""),"")</f>
        <v>2.14</v>
      </c>
      <c r="D1637" s="10" cm="1">
        <f t="array" ref="D1637">IFERROR(_xlfn.XLOOKUP(1,('env Parameter'!$A:$A=$A1637)*('env Parameter'!$B:$B=$K1637)*('env Parameter'!$C:$C=$L1637),'env Parameter'!F:F,""),"")</f>
        <v>478</v>
      </c>
      <c r="E1637" s="10" cm="1">
        <f t="array" ref="E1637">IFERROR(_xlfn.XLOOKUP(1,('env Parameter'!$A:$A=$A1637)*('env Parameter'!$B:$B=$K1637)*('env Parameter'!$C:$C=$L1637),'env Parameter'!G:G,""),"")</f>
        <v>7.6</v>
      </c>
      <c r="F1637" t="str">
        <f>eDNA!F1637</f>
        <v>MiFish</v>
      </c>
      <c r="G1637" t="str">
        <f>eDNA!D1637</f>
        <v>Pelodiscus sinensis</v>
      </c>
      <c r="H1637" t="str">
        <f>_xlfn.XLOOKUP(G1637,'Common name (master file)'!$B:$B,'Common name (master file)'!$A:$A,"-------------")</f>
        <v>중국자라</v>
      </c>
      <c r="I1637">
        <f>eDNA!E1637</f>
        <v>128</v>
      </c>
      <c r="J1637" t="str">
        <f>_xlfn.XLOOKUP(G1637,'Common name (master file)'!$B:$B,'Common name (master file)'!$C:$C,"")</f>
        <v>양서파충류</v>
      </c>
      <c r="K1637">
        <f>eDNA!B1637</f>
        <v>126.8343934</v>
      </c>
      <c r="L1637">
        <f>eDNA!C1637</f>
        <v>37.4648574</v>
      </c>
      <c r="M1637" s="10" t="str" cm="1">
        <f t="array" ref="M1637">IFERROR(_xlfn.XLOOKUP(1,('env Parameter'!$A:$A=$A1637)*('env Parameter'!$B:$B=$K1637)*('env Parameter'!$C:$C=$L1637),'env Parameter'!D:D,""),"")</f>
        <v>옥길천-2</v>
      </c>
      <c r="N1637" s="10" t="str" cm="1">
        <f t="array" ref="N1637">IFERROR(_xlfn.XLOOKUP(1,('env Parameter'!$A:$A=$A1637)*('env Parameter'!$B:$B=$K1637)*('env Parameter'!$C:$C=$L1637),'env Parameter'!I:I,""),"")</f>
        <v>YR</v>
      </c>
    </row>
    <row r="1638" spans="1:14">
      <c r="A1638">
        <f>eDNA!A1638</f>
        <v>20201024</v>
      </c>
      <c r="B1638" s="10" t="str" cm="1">
        <f t="array" ref="B1638">IFERROR(_xlfn.XLOOKUP(1,('env Parameter'!$A:$A=$A1638)*('env Parameter'!$B:$B=$K1638)*('env Parameter'!$C:$C=$L1638),'env Parameter'!H:H,""),"")</f>
        <v>생물상 조사</v>
      </c>
      <c r="C1638" s="10" cm="1">
        <f t="array" ref="C1638">IFERROR(_xlfn.XLOOKUP(1,('env Parameter'!$A:$A=$A1638)*('env Parameter'!$B:$B=$K1638)*('env Parameter'!$C:$C=$L1638),'env Parameter'!E:E,""),"")</f>
        <v>2.14</v>
      </c>
      <c r="D1638" s="10" cm="1">
        <f t="array" ref="D1638">IFERROR(_xlfn.XLOOKUP(1,('env Parameter'!$A:$A=$A1638)*('env Parameter'!$B:$B=$K1638)*('env Parameter'!$C:$C=$L1638),'env Parameter'!F:F,""),"")</f>
        <v>478</v>
      </c>
      <c r="E1638" s="10" cm="1">
        <f t="array" ref="E1638">IFERROR(_xlfn.XLOOKUP(1,('env Parameter'!$A:$A=$A1638)*('env Parameter'!$B:$B=$K1638)*('env Parameter'!$C:$C=$L1638),'env Parameter'!G:G,""),"")</f>
        <v>7.6</v>
      </c>
      <c r="F1638" t="str">
        <f>eDNA!F1638</f>
        <v>MiFish</v>
      </c>
      <c r="G1638" t="str">
        <f>eDNA!D1638</f>
        <v>Synechogobius hasta</v>
      </c>
      <c r="H1638" t="str">
        <f>_xlfn.XLOOKUP(G1638,'Common name (master file)'!$B:$B,'Common name (master file)'!$A:$A,"-------------")</f>
        <v>풀망둑</v>
      </c>
      <c r="I1638">
        <f>eDNA!E1638</f>
        <v>188</v>
      </c>
      <c r="J1638" t="str">
        <f>_xlfn.XLOOKUP(G1638,'Common name (master file)'!$B:$B,'Common name (master file)'!$C:$C,"")</f>
        <v>어류</v>
      </c>
      <c r="K1638">
        <f>eDNA!B1638</f>
        <v>126.8343934</v>
      </c>
      <c r="L1638">
        <f>eDNA!C1638</f>
        <v>37.4648574</v>
      </c>
      <c r="M1638" s="10" t="str" cm="1">
        <f t="array" ref="M1638">IFERROR(_xlfn.XLOOKUP(1,('env Parameter'!$A:$A=$A1638)*('env Parameter'!$B:$B=$K1638)*('env Parameter'!$C:$C=$L1638),'env Parameter'!D:D,""),"")</f>
        <v>옥길천-2</v>
      </c>
      <c r="N1638" s="10" t="str" cm="1">
        <f t="array" ref="N1638">IFERROR(_xlfn.XLOOKUP(1,('env Parameter'!$A:$A=$A1638)*('env Parameter'!$B:$B=$K1638)*('env Parameter'!$C:$C=$L1638),'env Parameter'!I:I,""),"")</f>
        <v>YR</v>
      </c>
    </row>
    <row r="1639" spans="1:14">
      <c r="A1639">
        <f>eDNA!A1639</f>
        <v>20201024</v>
      </c>
      <c r="B1639" s="10" t="str" cm="1">
        <f t="array" ref="B1639">IFERROR(_xlfn.XLOOKUP(1,('env Parameter'!$A:$A=$A1639)*('env Parameter'!$B:$B=$K1639)*('env Parameter'!$C:$C=$L1639),'env Parameter'!H:H,""),"")</f>
        <v>생물상 조사</v>
      </c>
      <c r="C1639" s="10" cm="1">
        <f t="array" ref="C1639">IFERROR(_xlfn.XLOOKUP(1,('env Parameter'!$A:$A=$A1639)*('env Parameter'!$B:$B=$K1639)*('env Parameter'!$C:$C=$L1639),'env Parameter'!E:E,""),"")</f>
        <v>2.14</v>
      </c>
      <c r="D1639" s="10" cm="1">
        <f t="array" ref="D1639">IFERROR(_xlfn.XLOOKUP(1,('env Parameter'!$A:$A=$A1639)*('env Parameter'!$B:$B=$K1639)*('env Parameter'!$C:$C=$L1639),'env Parameter'!F:F,""),"")</f>
        <v>478</v>
      </c>
      <c r="E1639" s="10" cm="1">
        <f t="array" ref="E1639">IFERROR(_xlfn.XLOOKUP(1,('env Parameter'!$A:$A=$A1639)*('env Parameter'!$B:$B=$K1639)*('env Parameter'!$C:$C=$L1639),'env Parameter'!G:G,""),"")</f>
        <v>7.6</v>
      </c>
      <c r="F1639" t="str">
        <f>eDNA!F1639</f>
        <v>MiFish</v>
      </c>
      <c r="G1639" t="str">
        <f>eDNA!D1639</f>
        <v>Rhinogobius giurinus</v>
      </c>
      <c r="H1639" t="str">
        <f>_xlfn.XLOOKUP(G1639,'Common name (master file)'!$B:$B,'Common name (master file)'!$A:$A,"-------------")</f>
        <v>갈문망둑</v>
      </c>
      <c r="I1639">
        <f>eDNA!E1639</f>
        <v>183</v>
      </c>
      <c r="J1639" t="str">
        <f>_xlfn.XLOOKUP(G1639,'Common name (master file)'!$B:$B,'Common name (master file)'!$C:$C,"")</f>
        <v>어류</v>
      </c>
      <c r="K1639">
        <f>eDNA!B1639</f>
        <v>126.8343934</v>
      </c>
      <c r="L1639">
        <f>eDNA!C1639</f>
        <v>37.4648574</v>
      </c>
      <c r="M1639" s="10" t="str" cm="1">
        <f t="array" ref="M1639">IFERROR(_xlfn.XLOOKUP(1,('env Parameter'!$A:$A=$A1639)*('env Parameter'!$B:$B=$K1639)*('env Parameter'!$C:$C=$L1639),'env Parameter'!D:D,""),"")</f>
        <v>옥길천-2</v>
      </c>
      <c r="N1639" s="10" t="str" cm="1">
        <f t="array" ref="N1639">IFERROR(_xlfn.XLOOKUP(1,('env Parameter'!$A:$A=$A1639)*('env Parameter'!$B:$B=$K1639)*('env Parameter'!$C:$C=$L1639),'env Parameter'!I:I,""),"")</f>
        <v>YR</v>
      </c>
    </row>
    <row r="1640" spans="1:14">
      <c r="A1640">
        <f>eDNA!A1640</f>
        <v>20201024</v>
      </c>
      <c r="B1640" s="10" t="str" cm="1">
        <f t="array" ref="B1640">IFERROR(_xlfn.XLOOKUP(1,('env Parameter'!$A:$A=$A1640)*('env Parameter'!$B:$B=$K1640)*('env Parameter'!$C:$C=$L1640),'env Parameter'!H:H,""),"")</f>
        <v>생물상 조사</v>
      </c>
      <c r="C1640" s="10" cm="1">
        <f t="array" ref="C1640">IFERROR(_xlfn.XLOOKUP(1,('env Parameter'!$A:$A=$A1640)*('env Parameter'!$B:$B=$K1640)*('env Parameter'!$C:$C=$L1640),'env Parameter'!E:E,""),"")</f>
        <v>2.14</v>
      </c>
      <c r="D1640" s="10" cm="1">
        <f t="array" ref="D1640">IFERROR(_xlfn.XLOOKUP(1,('env Parameter'!$A:$A=$A1640)*('env Parameter'!$B:$B=$K1640)*('env Parameter'!$C:$C=$L1640),'env Parameter'!F:F,""),"")</f>
        <v>478</v>
      </c>
      <c r="E1640" s="10" cm="1">
        <f t="array" ref="E1640">IFERROR(_xlfn.XLOOKUP(1,('env Parameter'!$A:$A=$A1640)*('env Parameter'!$B:$B=$K1640)*('env Parameter'!$C:$C=$L1640),'env Parameter'!G:G,""),"")</f>
        <v>7.6</v>
      </c>
      <c r="F1640" t="str">
        <f>eDNA!F1640</f>
        <v>MiFish</v>
      </c>
      <c r="G1640" t="str">
        <f>eDNA!D1640</f>
        <v>Abbottina rivularis</v>
      </c>
      <c r="H1640" t="str">
        <f>_xlfn.XLOOKUP(G1640,'Common name (master file)'!$B:$B,'Common name (master file)'!$A:$A,"-------------")</f>
        <v>버들매치</v>
      </c>
      <c r="I1640">
        <f>eDNA!E1640</f>
        <v>199</v>
      </c>
      <c r="J1640" t="str">
        <f>_xlfn.XLOOKUP(G1640,'Common name (master file)'!$B:$B,'Common name (master file)'!$C:$C,"")</f>
        <v>어류</v>
      </c>
      <c r="K1640">
        <f>eDNA!B1640</f>
        <v>126.8343934</v>
      </c>
      <c r="L1640">
        <f>eDNA!C1640</f>
        <v>37.4648574</v>
      </c>
      <c r="M1640" s="10" t="str" cm="1">
        <f t="array" ref="M1640">IFERROR(_xlfn.XLOOKUP(1,('env Parameter'!$A:$A=$A1640)*('env Parameter'!$B:$B=$K1640)*('env Parameter'!$C:$C=$L1640),'env Parameter'!D:D,""),"")</f>
        <v>옥길천-2</v>
      </c>
      <c r="N1640" s="10" t="str" cm="1">
        <f t="array" ref="N1640">IFERROR(_xlfn.XLOOKUP(1,('env Parameter'!$A:$A=$A1640)*('env Parameter'!$B:$B=$K1640)*('env Parameter'!$C:$C=$L1640),'env Parameter'!I:I,""),"")</f>
        <v>YR</v>
      </c>
    </row>
    <row r="1641" spans="1:14">
      <c r="A1641">
        <f>eDNA!A1641</f>
        <v>20201024</v>
      </c>
      <c r="B1641" s="10" t="str" cm="1">
        <f t="array" ref="B1641">IFERROR(_xlfn.XLOOKUP(1,('env Parameter'!$A:$A=$A1641)*('env Parameter'!$B:$B=$K1641)*('env Parameter'!$C:$C=$L1641),'env Parameter'!H:H,""),"")</f>
        <v>생물상 조사</v>
      </c>
      <c r="C1641" s="10" cm="1">
        <f t="array" ref="C1641">IFERROR(_xlfn.XLOOKUP(1,('env Parameter'!$A:$A=$A1641)*('env Parameter'!$B:$B=$K1641)*('env Parameter'!$C:$C=$L1641),'env Parameter'!E:E,""),"")</f>
        <v>2.14</v>
      </c>
      <c r="D1641" s="10" cm="1">
        <f t="array" ref="D1641">IFERROR(_xlfn.XLOOKUP(1,('env Parameter'!$A:$A=$A1641)*('env Parameter'!$B:$B=$K1641)*('env Parameter'!$C:$C=$L1641),'env Parameter'!F:F,""),"")</f>
        <v>478</v>
      </c>
      <c r="E1641" s="10" cm="1">
        <f t="array" ref="E1641">IFERROR(_xlfn.XLOOKUP(1,('env Parameter'!$A:$A=$A1641)*('env Parameter'!$B:$B=$K1641)*('env Parameter'!$C:$C=$L1641),'env Parameter'!G:G,""),"")</f>
        <v>7.6</v>
      </c>
      <c r="F1641" t="str">
        <f>eDNA!F1641</f>
        <v>MiFish</v>
      </c>
      <c r="G1641" t="str">
        <f>eDNA!D1641</f>
        <v>Lepomis macrochirus</v>
      </c>
      <c r="H1641" t="str">
        <f>_xlfn.XLOOKUP(G1641,'Common name (master file)'!$B:$B,'Common name (master file)'!$A:$A,"-------------")</f>
        <v>블루길</v>
      </c>
      <c r="I1641">
        <f>eDNA!E1641</f>
        <v>193</v>
      </c>
      <c r="J1641" t="str">
        <f>_xlfn.XLOOKUP(G1641,'Common name (master file)'!$B:$B,'Common name (master file)'!$C:$C,"")</f>
        <v>어류</v>
      </c>
      <c r="K1641">
        <f>eDNA!B1641</f>
        <v>126.8343934</v>
      </c>
      <c r="L1641">
        <f>eDNA!C1641</f>
        <v>37.4648574</v>
      </c>
      <c r="M1641" s="10" t="str" cm="1">
        <f t="array" ref="M1641">IFERROR(_xlfn.XLOOKUP(1,('env Parameter'!$A:$A=$A1641)*('env Parameter'!$B:$B=$K1641)*('env Parameter'!$C:$C=$L1641),'env Parameter'!D:D,""),"")</f>
        <v>옥길천-2</v>
      </c>
      <c r="N1641" s="10" t="str" cm="1">
        <f t="array" ref="N1641">IFERROR(_xlfn.XLOOKUP(1,('env Parameter'!$A:$A=$A1641)*('env Parameter'!$B:$B=$K1641)*('env Parameter'!$C:$C=$L1641),'env Parameter'!I:I,""),"")</f>
        <v>YR</v>
      </c>
    </row>
    <row r="1642" spans="1:14">
      <c r="A1642">
        <f>eDNA!A1642</f>
        <v>20201024</v>
      </c>
      <c r="B1642" s="10" t="str" cm="1">
        <f t="array" ref="B1642">IFERROR(_xlfn.XLOOKUP(1,('env Parameter'!$A:$A=$A1642)*('env Parameter'!$B:$B=$K1642)*('env Parameter'!$C:$C=$L1642),'env Parameter'!H:H,""),"")</f>
        <v>생물상 조사</v>
      </c>
      <c r="C1642" s="10" cm="1">
        <f t="array" ref="C1642">IFERROR(_xlfn.XLOOKUP(1,('env Parameter'!$A:$A=$A1642)*('env Parameter'!$B:$B=$K1642)*('env Parameter'!$C:$C=$L1642),'env Parameter'!E:E,""),"")</f>
        <v>2.14</v>
      </c>
      <c r="D1642" s="10" cm="1">
        <f t="array" ref="D1642">IFERROR(_xlfn.XLOOKUP(1,('env Parameter'!$A:$A=$A1642)*('env Parameter'!$B:$B=$K1642)*('env Parameter'!$C:$C=$L1642),'env Parameter'!F:F,""),"")</f>
        <v>478</v>
      </c>
      <c r="E1642" s="10" cm="1">
        <f t="array" ref="E1642">IFERROR(_xlfn.XLOOKUP(1,('env Parameter'!$A:$A=$A1642)*('env Parameter'!$B:$B=$K1642)*('env Parameter'!$C:$C=$L1642),'env Parameter'!G:G,""),"")</f>
        <v>7.6</v>
      </c>
      <c r="F1642" t="str">
        <f>eDNA!F1642</f>
        <v>MiFish</v>
      </c>
      <c r="G1642" t="str">
        <f>eDNA!D1642</f>
        <v>Bos taurus</v>
      </c>
      <c r="H1642" t="str">
        <f>_xlfn.XLOOKUP(G1642,'Common name (master file)'!$B:$B,'Common name (master file)'!$A:$A,"-------------")</f>
        <v>소</v>
      </c>
      <c r="I1642">
        <f>eDNA!E1642</f>
        <v>239</v>
      </c>
      <c r="J1642" t="str">
        <f>_xlfn.XLOOKUP(G1642,'Common name (master file)'!$B:$B,'Common name (master file)'!$C:$C,"")</f>
        <v>포유류</v>
      </c>
      <c r="K1642">
        <f>eDNA!B1642</f>
        <v>126.8343934</v>
      </c>
      <c r="L1642">
        <f>eDNA!C1642</f>
        <v>37.4648574</v>
      </c>
      <c r="M1642" s="10" t="str" cm="1">
        <f t="array" ref="M1642">IFERROR(_xlfn.XLOOKUP(1,('env Parameter'!$A:$A=$A1642)*('env Parameter'!$B:$B=$K1642)*('env Parameter'!$C:$C=$L1642),'env Parameter'!D:D,""),"")</f>
        <v>옥길천-2</v>
      </c>
      <c r="N1642" s="10" t="str" cm="1">
        <f t="array" ref="N1642">IFERROR(_xlfn.XLOOKUP(1,('env Parameter'!$A:$A=$A1642)*('env Parameter'!$B:$B=$K1642)*('env Parameter'!$C:$C=$L1642),'env Parameter'!I:I,""),"")</f>
        <v>YR</v>
      </c>
    </row>
    <row r="1643" spans="1:14">
      <c r="A1643">
        <f>eDNA!A1643</f>
        <v>20201024</v>
      </c>
      <c r="B1643" s="10" t="str" cm="1">
        <f t="array" ref="B1643">IFERROR(_xlfn.XLOOKUP(1,('env Parameter'!$A:$A=$A1643)*('env Parameter'!$B:$B=$K1643)*('env Parameter'!$C:$C=$L1643),'env Parameter'!H:H,""),"")</f>
        <v>생물상 조사</v>
      </c>
      <c r="C1643" s="10" cm="1">
        <f t="array" ref="C1643">IFERROR(_xlfn.XLOOKUP(1,('env Parameter'!$A:$A=$A1643)*('env Parameter'!$B:$B=$K1643)*('env Parameter'!$C:$C=$L1643),'env Parameter'!E:E,""),"")</f>
        <v>2.14</v>
      </c>
      <c r="D1643" s="10" cm="1">
        <f t="array" ref="D1643">IFERROR(_xlfn.XLOOKUP(1,('env Parameter'!$A:$A=$A1643)*('env Parameter'!$B:$B=$K1643)*('env Parameter'!$C:$C=$L1643),'env Parameter'!F:F,""),"")</f>
        <v>478</v>
      </c>
      <c r="E1643" s="10" cm="1">
        <f t="array" ref="E1643">IFERROR(_xlfn.XLOOKUP(1,('env Parameter'!$A:$A=$A1643)*('env Parameter'!$B:$B=$K1643)*('env Parameter'!$C:$C=$L1643),'env Parameter'!G:G,""),"")</f>
        <v>7.6</v>
      </c>
      <c r="F1643" t="str">
        <f>eDNA!F1643</f>
        <v>MiFish</v>
      </c>
      <c r="G1643" t="str">
        <f>eDNA!D1643</f>
        <v>Culter dabryi</v>
      </c>
      <c r="H1643" t="str">
        <f>_xlfn.XLOOKUP(G1643,'Common name (master file)'!$B:$B,'Common name (master file)'!$A:$A,"-------------")</f>
        <v>다브리날카로운입치</v>
      </c>
      <c r="I1643">
        <f>eDNA!E1643</f>
        <v>404</v>
      </c>
      <c r="J1643" t="str">
        <f>_xlfn.XLOOKUP(G1643,'Common name (master file)'!$B:$B,'Common name (master file)'!$C:$C,"")</f>
        <v>어류</v>
      </c>
      <c r="K1643">
        <f>eDNA!B1643</f>
        <v>126.8343934</v>
      </c>
      <c r="L1643">
        <f>eDNA!C1643</f>
        <v>37.4648574</v>
      </c>
      <c r="M1643" s="10" t="str" cm="1">
        <f t="array" ref="M1643">IFERROR(_xlfn.XLOOKUP(1,('env Parameter'!$A:$A=$A1643)*('env Parameter'!$B:$B=$K1643)*('env Parameter'!$C:$C=$L1643),'env Parameter'!D:D,""),"")</f>
        <v>옥길천-2</v>
      </c>
      <c r="N1643" s="10" t="str" cm="1">
        <f t="array" ref="N1643">IFERROR(_xlfn.XLOOKUP(1,('env Parameter'!$A:$A=$A1643)*('env Parameter'!$B:$B=$K1643)*('env Parameter'!$C:$C=$L1643),'env Parameter'!I:I,""),"")</f>
        <v>YR</v>
      </c>
    </row>
    <row r="1644" spans="1:14">
      <c r="A1644">
        <f>eDNA!A1644</f>
        <v>20201024</v>
      </c>
      <c r="B1644" s="10" t="str" cm="1">
        <f t="array" ref="B1644">IFERROR(_xlfn.XLOOKUP(1,('env Parameter'!$A:$A=$A1644)*('env Parameter'!$B:$B=$K1644)*('env Parameter'!$C:$C=$L1644),'env Parameter'!H:H,""),"")</f>
        <v>생물상 조사</v>
      </c>
      <c r="C1644" s="10" cm="1">
        <f t="array" ref="C1644">IFERROR(_xlfn.XLOOKUP(1,('env Parameter'!$A:$A=$A1644)*('env Parameter'!$B:$B=$K1644)*('env Parameter'!$C:$C=$L1644),'env Parameter'!E:E,""),"")</f>
        <v>2.14</v>
      </c>
      <c r="D1644" s="10" cm="1">
        <f t="array" ref="D1644">IFERROR(_xlfn.XLOOKUP(1,('env Parameter'!$A:$A=$A1644)*('env Parameter'!$B:$B=$K1644)*('env Parameter'!$C:$C=$L1644),'env Parameter'!F:F,""),"")</f>
        <v>478</v>
      </c>
      <c r="E1644" s="10" cm="1">
        <f t="array" ref="E1644">IFERROR(_xlfn.XLOOKUP(1,('env Parameter'!$A:$A=$A1644)*('env Parameter'!$B:$B=$K1644)*('env Parameter'!$C:$C=$L1644),'env Parameter'!G:G,""),"")</f>
        <v>7.6</v>
      </c>
      <c r="F1644" t="str">
        <f>eDNA!F1644</f>
        <v>MiFish</v>
      </c>
      <c r="G1644" t="str">
        <f>eDNA!D1644</f>
        <v>Micropterus salmoides</v>
      </c>
      <c r="H1644" t="str">
        <f>_xlfn.XLOOKUP(G1644,'Common name (master file)'!$B:$B,'Common name (master file)'!$A:$A,"-------------")</f>
        <v>큰입배스</v>
      </c>
      <c r="I1644">
        <f>eDNA!E1644</f>
        <v>770</v>
      </c>
      <c r="J1644" t="str">
        <f>_xlfn.XLOOKUP(G1644,'Common name (master file)'!$B:$B,'Common name (master file)'!$C:$C,"")</f>
        <v>어류</v>
      </c>
      <c r="K1644">
        <f>eDNA!B1644</f>
        <v>126.8343934</v>
      </c>
      <c r="L1644">
        <f>eDNA!C1644</f>
        <v>37.4648574</v>
      </c>
      <c r="M1644" s="10" t="str" cm="1">
        <f t="array" ref="M1644">IFERROR(_xlfn.XLOOKUP(1,('env Parameter'!$A:$A=$A1644)*('env Parameter'!$B:$B=$K1644)*('env Parameter'!$C:$C=$L1644),'env Parameter'!D:D,""),"")</f>
        <v>옥길천-2</v>
      </c>
      <c r="N1644" s="10" t="str" cm="1">
        <f t="array" ref="N1644">IFERROR(_xlfn.XLOOKUP(1,('env Parameter'!$A:$A=$A1644)*('env Parameter'!$B:$B=$K1644)*('env Parameter'!$C:$C=$L1644),'env Parameter'!I:I,""),"")</f>
        <v>YR</v>
      </c>
    </row>
    <row r="1645" spans="1:14">
      <c r="A1645">
        <f>eDNA!A1645</f>
        <v>20201024</v>
      </c>
      <c r="B1645" s="10" t="str" cm="1">
        <f t="array" ref="B1645">IFERROR(_xlfn.XLOOKUP(1,('env Parameter'!$A:$A=$A1645)*('env Parameter'!$B:$B=$K1645)*('env Parameter'!$C:$C=$L1645),'env Parameter'!H:H,""),"")</f>
        <v>생물상 조사</v>
      </c>
      <c r="C1645" s="10" cm="1">
        <f t="array" ref="C1645">IFERROR(_xlfn.XLOOKUP(1,('env Parameter'!$A:$A=$A1645)*('env Parameter'!$B:$B=$K1645)*('env Parameter'!$C:$C=$L1645),'env Parameter'!E:E,""),"")</f>
        <v>2.14</v>
      </c>
      <c r="D1645" s="10" cm="1">
        <f t="array" ref="D1645">IFERROR(_xlfn.XLOOKUP(1,('env Parameter'!$A:$A=$A1645)*('env Parameter'!$B:$B=$K1645)*('env Parameter'!$C:$C=$L1645),'env Parameter'!F:F,""),"")</f>
        <v>478</v>
      </c>
      <c r="E1645" s="10" cm="1">
        <f t="array" ref="E1645">IFERROR(_xlfn.XLOOKUP(1,('env Parameter'!$A:$A=$A1645)*('env Parameter'!$B:$B=$K1645)*('env Parameter'!$C:$C=$L1645),'env Parameter'!G:G,""),"")</f>
        <v>7.6</v>
      </c>
      <c r="F1645" t="str">
        <f>eDNA!F1645</f>
        <v>MiFish</v>
      </c>
      <c r="G1645" t="str">
        <f>eDNA!D1645</f>
        <v>Rhynchocypris oxycephalus</v>
      </c>
      <c r="H1645" t="str">
        <f>_xlfn.XLOOKUP(G1645,'Common name (master file)'!$B:$B,'Common name (master file)'!$A:$A,"-------------")</f>
        <v>버들치</v>
      </c>
      <c r="I1645">
        <f>eDNA!E1645</f>
        <v>723</v>
      </c>
      <c r="J1645" t="str">
        <f>_xlfn.XLOOKUP(G1645,'Common name (master file)'!$B:$B,'Common name (master file)'!$C:$C,"")</f>
        <v>어류</v>
      </c>
      <c r="K1645">
        <f>eDNA!B1645</f>
        <v>126.8343934</v>
      </c>
      <c r="L1645">
        <f>eDNA!C1645</f>
        <v>37.4648574</v>
      </c>
      <c r="M1645" s="10" t="str" cm="1">
        <f t="array" ref="M1645">IFERROR(_xlfn.XLOOKUP(1,('env Parameter'!$A:$A=$A1645)*('env Parameter'!$B:$B=$K1645)*('env Parameter'!$C:$C=$L1645),'env Parameter'!D:D,""),"")</f>
        <v>옥길천-2</v>
      </c>
      <c r="N1645" s="10" t="str" cm="1">
        <f t="array" ref="N1645">IFERROR(_xlfn.XLOOKUP(1,('env Parameter'!$A:$A=$A1645)*('env Parameter'!$B:$B=$K1645)*('env Parameter'!$C:$C=$L1645),'env Parameter'!I:I,""),"")</f>
        <v>YR</v>
      </c>
    </row>
    <row r="1646" spans="1:14">
      <c r="A1646">
        <f>eDNA!A1646</f>
        <v>20201024</v>
      </c>
      <c r="B1646" s="10" t="str" cm="1">
        <f t="array" ref="B1646">IFERROR(_xlfn.XLOOKUP(1,('env Parameter'!$A:$A=$A1646)*('env Parameter'!$B:$B=$K1646)*('env Parameter'!$C:$C=$L1646),'env Parameter'!H:H,""),"")</f>
        <v>생물상 조사</v>
      </c>
      <c r="C1646" s="10" cm="1">
        <f t="array" ref="C1646">IFERROR(_xlfn.XLOOKUP(1,('env Parameter'!$A:$A=$A1646)*('env Parameter'!$B:$B=$K1646)*('env Parameter'!$C:$C=$L1646),'env Parameter'!E:E,""),"")</f>
        <v>2.14</v>
      </c>
      <c r="D1646" s="10" cm="1">
        <f t="array" ref="D1646">IFERROR(_xlfn.XLOOKUP(1,('env Parameter'!$A:$A=$A1646)*('env Parameter'!$B:$B=$K1646)*('env Parameter'!$C:$C=$L1646),'env Parameter'!F:F,""),"")</f>
        <v>478</v>
      </c>
      <c r="E1646" s="10" cm="1">
        <f t="array" ref="E1646">IFERROR(_xlfn.XLOOKUP(1,('env Parameter'!$A:$A=$A1646)*('env Parameter'!$B:$B=$K1646)*('env Parameter'!$C:$C=$L1646),'env Parameter'!G:G,""),"")</f>
        <v>7.6</v>
      </c>
      <c r="F1646" t="str">
        <f>eDNA!F1646</f>
        <v>MiFish</v>
      </c>
      <c r="G1646" t="str">
        <f>eDNA!D1646</f>
        <v>Rhinogobius sp.</v>
      </c>
      <c r="H1646" t="str">
        <f>_xlfn.XLOOKUP(G1646,'Common name (master file)'!$B:$B,'Common name (master file)'!$A:$A,"-------------")</f>
        <v>밀어</v>
      </c>
      <c r="I1646">
        <f>eDNA!E1646</f>
        <v>552</v>
      </c>
      <c r="J1646" t="str">
        <f>_xlfn.XLOOKUP(G1646,'Common name (master file)'!$B:$B,'Common name (master file)'!$C:$C,"")</f>
        <v>어류</v>
      </c>
      <c r="K1646">
        <f>eDNA!B1646</f>
        <v>126.8343934</v>
      </c>
      <c r="L1646">
        <f>eDNA!C1646</f>
        <v>37.4648574</v>
      </c>
      <c r="M1646" s="10" t="str" cm="1">
        <f t="array" ref="M1646">IFERROR(_xlfn.XLOOKUP(1,('env Parameter'!$A:$A=$A1646)*('env Parameter'!$B:$B=$K1646)*('env Parameter'!$C:$C=$L1646),'env Parameter'!D:D,""),"")</f>
        <v>옥길천-2</v>
      </c>
      <c r="N1646" s="10" t="str" cm="1">
        <f t="array" ref="N1646">IFERROR(_xlfn.XLOOKUP(1,('env Parameter'!$A:$A=$A1646)*('env Parameter'!$B:$B=$K1646)*('env Parameter'!$C:$C=$L1646),'env Parameter'!I:I,""),"")</f>
        <v>YR</v>
      </c>
    </row>
    <row r="1647" spans="1:14">
      <c r="A1647">
        <f>eDNA!A1647</f>
        <v>20201024</v>
      </c>
      <c r="B1647" s="10" t="str" cm="1">
        <f t="array" ref="B1647">IFERROR(_xlfn.XLOOKUP(1,('env Parameter'!$A:$A=$A1647)*('env Parameter'!$B:$B=$K1647)*('env Parameter'!$C:$C=$L1647),'env Parameter'!H:H,""),"")</f>
        <v>생물상 조사</v>
      </c>
      <c r="C1647" s="10" cm="1">
        <f t="array" ref="C1647">IFERROR(_xlfn.XLOOKUP(1,('env Parameter'!$A:$A=$A1647)*('env Parameter'!$B:$B=$K1647)*('env Parameter'!$C:$C=$L1647),'env Parameter'!E:E,""),"")</f>
        <v>2.14</v>
      </c>
      <c r="D1647" s="10" cm="1">
        <f t="array" ref="D1647">IFERROR(_xlfn.XLOOKUP(1,('env Parameter'!$A:$A=$A1647)*('env Parameter'!$B:$B=$K1647)*('env Parameter'!$C:$C=$L1647),'env Parameter'!F:F,""),"")</f>
        <v>478</v>
      </c>
      <c r="E1647" s="10" cm="1">
        <f t="array" ref="E1647">IFERROR(_xlfn.XLOOKUP(1,('env Parameter'!$A:$A=$A1647)*('env Parameter'!$B:$B=$K1647)*('env Parameter'!$C:$C=$L1647),'env Parameter'!G:G,""),"")</f>
        <v>7.6</v>
      </c>
      <c r="F1647" t="str">
        <f>eDNA!F1647</f>
        <v>MiFish</v>
      </c>
      <c r="G1647" t="str">
        <f>eDNA!D1647</f>
        <v>Canis lupus familiaris</v>
      </c>
      <c r="H1647" t="str">
        <f>_xlfn.XLOOKUP(G1647,'Common name (master file)'!$B:$B,'Common name (master file)'!$A:$A,"-------------")</f>
        <v>개</v>
      </c>
      <c r="I1647">
        <f>eDNA!E1647</f>
        <v>821</v>
      </c>
      <c r="J1647" t="str">
        <f>_xlfn.XLOOKUP(G1647,'Common name (master file)'!$B:$B,'Common name (master file)'!$C:$C,"")</f>
        <v>포유류</v>
      </c>
      <c r="K1647">
        <f>eDNA!B1647</f>
        <v>126.8343934</v>
      </c>
      <c r="L1647">
        <f>eDNA!C1647</f>
        <v>37.4648574</v>
      </c>
      <c r="M1647" s="10" t="str" cm="1">
        <f t="array" ref="M1647">IFERROR(_xlfn.XLOOKUP(1,('env Parameter'!$A:$A=$A1647)*('env Parameter'!$B:$B=$K1647)*('env Parameter'!$C:$C=$L1647),'env Parameter'!D:D,""),"")</f>
        <v>옥길천-2</v>
      </c>
      <c r="N1647" s="10" t="str" cm="1">
        <f t="array" ref="N1647">IFERROR(_xlfn.XLOOKUP(1,('env Parameter'!$A:$A=$A1647)*('env Parameter'!$B:$B=$K1647)*('env Parameter'!$C:$C=$L1647),'env Parameter'!I:I,""),"")</f>
        <v>YR</v>
      </c>
    </row>
    <row r="1648" spans="1:14">
      <c r="A1648">
        <f>eDNA!A1648</f>
        <v>20201024</v>
      </c>
      <c r="B1648" s="10" t="str" cm="1">
        <f t="array" ref="B1648">IFERROR(_xlfn.XLOOKUP(1,('env Parameter'!$A:$A=$A1648)*('env Parameter'!$B:$B=$K1648)*('env Parameter'!$C:$C=$L1648),'env Parameter'!H:H,""),"")</f>
        <v>생물상 조사</v>
      </c>
      <c r="C1648" s="10" cm="1">
        <f t="array" ref="C1648">IFERROR(_xlfn.XLOOKUP(1,('env Parameter'!$A:$A=$A1648)*('env Parameter'!$B:$B=$K1648)*('env Parameter'!$C:$C=$L1648),'env Parameter'!E:E,""),"")</f>
        <v>2.14</v>
      </c>
      <c r="D1648" s="10" cm="1">
        <f t="array" ref="D1648">IFERROR(_xlfn.XLOOKUP(1,('env Parameter'!$A:$A=$A1648)*('env Parameter'!$B:$B=$K1648)*('env Parameter'!$C:$C=$L1648),'env Parameter'!F:F,""),"")</f>
        <v>478</v>
      </c>
      <c r="E1648" s="10" cm="1">
        <f t="array" ref="E1648">IFERROR(_xlfn.XLOOKUP(1,('env Parameter'!$A:$A=$A1648)*('env Parameter'!$B:$B=$K1648)*('env Parameter'!$C:$C=$L1648),'env Parameter'!G:G,""),"")</f>
        <v>7.6</v>
      </c>
      <c r="F1648" t="str">
        <f>eDNA!F1648</f>
        <v>MiFish</v>
      </c>
      <c r="G1648" t="str">
        <f>eDNA!D1648</f>
        <v>Sus scrofa</v>
      </c>
      <c r="H1648" t="str">
        <f>_xlfn.XLOOKUP(G1648,'Common name (master file)'!$B:$B,'Common name (master file)'!$A:$A,"-------------")</f>
        <v>멧돼지</v>
      </c>
      <c r="I1648">
        <f>eDNA!E1648</f>
        <v>978</v>
      </c>
      <c r="J1648" t="str">
        <f>_xlfn.XLOOKUP(G1648,'Common name (master file)'!$B:$B,'Common name (master file)'!$C:$C,"")</f>
        <v>포유류</v>
      </c>
      <c r="K1648">
        <f>eDNA!B1648</f>
        <v>126.8343934</v>
      </c>
      <c r="L1648">
        <f>eDNA!C1648</f>
        <v>37.4648574</v>
      </c>
      <c r="M1648" s="10" t="str" cm="1">
        <f t="array" ref="M1648">IFERROR(_xlfn.XLOOKUP(1,('env Parameter'!$A:$A=$A1648)*('env Parameter'!$B:$B=$K1648)*('env Parameter'!$C:$C=$L1648),'env Parameter'!D:D,""),"")</f>
        <v>옥길천-2</v>
      </c>
      <c r="N1648" s="10" t="str" cm="1">
        <f t="array" ref="N1648">IFERROR(_xlfn.XLOOKUP(1,('env Parameter'!$A:$A=$A1648)*('env Parameter'!$B:$B=$K1648)*('env Parameter'!$C:$C=$L1648),'env Parameter'!I:I,""),"")</f>
        <v>YR</v>
      </c>
    </row>
    <row r="1649" spans="1:14">
      <c r="A1649">
        <f>eDNA!A1649</f>
        <v>20201024</v>
      </c>
      <c r="B1649" s="10" t="str" cm="1">
        <f t="array" ref="B1649">IFERROR(_xlfn.XLOOKUP(1,('env Parameter'!$A:$A=$A1649)*('env Parameter'!$B:$B=$K1649)*('env Parameter'!$C:$C=$L1649),'env Parameter'!H:H,""),"")</f>
        <v>생물상 조사</v>
      </c>
      <c r="C1649" s="10" cm="1">
        <f t="array" ref="C1649">IFERROR(_xlfn.XLOOKUP(1,('env Parameter'!$A:$A=$A1649)*('env Parameter'!$B:$B=$K1649)*('env Parameter'!$C:$C=$L1649),'env Parameter'!E:E,""),"")</f>
        <v>2.14</v>
      </c>
      <c r="D1649" s="10" cm="1">
        <f t="array" ref="D1649">IFERROR(_xlfn.XLOOKUP(1,('env Parameter'!$A:$A=$A1649)*('env Parameter'!$B:$B=$K1649)*('env Parameter'!$C:$C=$L1649),'env Parameter'!F:F,""),"")</f>
        <v>478</v>
      </c>
      <c r="E1649" s="10" cm="1">
        <f t="array" ref="E1649">IFERROR(_xlfn.XLOOKUP(1,('env Parameter'!$A:$A=$A1649)*('env Parameter'!$B:$B=$K1649)*('env Parameter'!$C:$C=$L1649),'env Parameter'!G:G,""),"")</f>
        <v>7.6</v>
      </c>
      <c r="F1649" t="str">
        <f>eDNA!F1649</f>
        <v>MiFish</v>
      </c>
      <c r="G1649" t="str">
        <f>eDNA!D1649</f>
        <v>Misgurnus mizolepis</v>
      </c>
      <c r="H1649" t="str">
        <f>_xlfn.XLOOKUP(G1649,'Common name (master file)'!$B:$B,'Common name (master file)'!$A:$A,"-------------")</f>
        <v>미꾸라지</v>
      </c>
      <c r="I1649">
        <f>eDNA!E1649</f>
        <v>945</v>
      </c>
      <c r="J1649" t="str">
        <f>_xlfn.XLOOKUP(G1649,'Common name (master file)'!$B:$B,'Common name (master file)'!$C:$C,"")</f>
        <v>어류</v>
      </c>
      <c r="K1649">
        <f>eDNA!B1649</f>
        <v>126.8343934</v>
      </c>
      <c r="L1649">
        <f>eDNA!C1649</f>
        <v>37.4648574</v>
      </c>
      <c r="M1649" s="10" t="str" cm="1">
        <f t="array" ref="M1649">IFERROR(_xlfn.XLOOKUP(1,('env Parameter'!$A:$A=$A1649)*('env Parameter'!$B:$B=$K1649)*('env Parameter'!$C:$C=$L1649),'env Parameter'!D:D,""),"")</f>
        <v>옥길천-2</v>
      </c>
      <c r="N1649" s="10" t="str" cm="1">
        <f t="array" ref="N1649">IFERROR(_xlfn.XLOOKUP(1,('env Parameter'!$A:$A=$A1649)*('env Parameter'!$B:$B=$K1649)*('env Parameter'!$C:$C=$L1649),'env Parameter'!I:I,""),"")</f>
        <v>YR</v>
      </c>
    </row>
    <row r="1650" spans="1:14">
      <c r="A1650">
        <f>eDNA!A1650</f>
        <v>20201024</v>
      </c>
      <c r="B1650" s="10" t="str" cm="1">
        <f t="array" ref="B1650">IFERROR(_xlfn.XLOOKUP(1,('env Parameter'!$A:$A=$A1650)*('env Parameter'!$B:$B=$K1650)*('env Parameter'!$C:$C=$L1650),'env Parameter'!H:H,""),"")</f>
        <v>생물상 조사</v>
      </c>
      <c r="C1650" s="10" cm="1">
        <f t="array" ref="C1650">IFERROR(_xlfn.XLOOKUP(1,('env Parameter'!$A:$A=$A1650)*('env Parameter'!$B:$B=$K1650)*('env Parameter'!$C:$C=$L1650),'env Parameter'!E:E,""),"")</f>
        <v>2.14</v>
      </c>
      <c r="D1650" s="10" cm="1">
        <f t="array" ref="D1650">IFERROR(_xlfn.XLOOKUP(1,('env Parameter'!$A:$A=$A1650)*('env Parameter'!$B:$B=$K1650)*('env Parameter'!$C:$C=$L1650),'env Parameter'!F:F,""),"")</f>
        <v>478</v>
      </c>
      <c r="E1650" s="10" cm="1">
        <f t="array" ref="E1650">IFERROR(_xlfn.XLOOKUP(1,('env Parameter'!$A:$A=$A1650)*('env Parameter'!$B:$B=$K1650)*('env Parameter'!$C:$C=$L1650),'env Parameter'!G:G,""),"")</f>
        <v>7.6</v>
      </c>
      <c r="F1650" t="str">
        <f>eDNA!F1650</f>
        <v>MiFish</v>
      </c>
      <c r="G1650" t="str">
        <f>eDNA!D1650</f>
        <v>Acheilognathus macropterus</v>
      </c>
      <c r="H1650" t="str">
        <f>_xlfn.XLOOKUP(G1650,'Common name (master file)'!$B:$B,'Common name (master file)'!$A:$A,"-------------")</f>
        <v>큰납지리</v>
      </c>
      <c r="I1650">
        <f>eDNA!E1650</f>
        <v>873</v>
      </c>
      <c r="J1650" t="str">
        <f>_xlfn.XLOOKUP(G1650,'Common name (master file)'!$B:$B,'Common name (master file)'!$C:$C,"")</f>
        <v>어류</v>
      </c>
      <c r="K1650">
        <f>eDNA!B1650</f>
        <v>126.8343934</v>
      </c>
      <c r="L1650">
        <f>eDNA!C1650</f>
        <v>37.4648574</v>
      </c>
      <c r="M1650" s="10" t="str" cm="1">
        <f t="array" ref="M1650">IFERROR(_xlfn.XLOOKUP(1,('env Parameter'!$A:$A=$A1650)*('env Parameter'!$B:$B=$K1650)*('env Parameter'!$C:$C=$L1650),'env Parameter'!D:D,""),"")</f>
        <v>옥길천-2</v>
      </c>
      <c r="N1650" s="10" t="str" cm="1">
        <f t="array" ref="N1650">IFERROR(_xlfn.XLOOKUP(1,('env Parameter'!$A:$A=$A1650)*('env Parameter'!$B:$B=$K1650)*('env Parameter'!$C:$C=$L1650),'env Parameter'!I:I,""),"")</f>
        <v>YR</v>
      </c>
    </row>
    <row r="1651" spans="1:14">
      <c r="A1651">
        <f>eDNA!A1651</f>
        <v>20201024</v>
      </c>
      <c r="B1651" s="10" t="str" cm="1">
        <f t="array" ref="B1651">IFERROR(_xlfn.XLOOKUP(1,('env Parameter'!$A:$A=$A1651)*('env Parameter'!$B:$B=$K1651)*('env Parameter'!$C:$C=$L1651),'env Parameter'!H:H,""),"")</f>
        <v>생물상 조사</v>
      </c>
      <c r="C1651" s="10" cm="1">
        <f t="array" ref="C1651">IFERROR(_xlfn.XLOOKUP(1,('env Parameter'!$A:$A=$A1651)*('env Parameter'!$B:$B=$K1651)*('env Parameter'!$C:$C=$L1651),'env Parameter'!E:E,""),"")</f>
        <v>2.14</v>
      </c>
      <c r="D1651" s="10" cm="1">
        <f t="array" ref="D1651">IFERROR(_xlfn.XLOOKUP(1,('env Parameter'!$A:$A=$A1651)*('env Parameter'!$B:$B=$K1651)*('env Parameter'!$C:$C=$L1651),'env Parameter'!F:F,""),"")</f>
        <v>478</v>
      </c>
      <c r="E1651" s="10" cm="1">
        <f t="array" ref="E1651">IFERROR(_xlfn.XLOOKUP(1,('env Parameter'!$A:$A=$A1651)*('env Parameter'!$B:$B=$K1651)*('env Parameter'!$C:$C=$L1651),'env Parameter'!G:G,""),"")</f>
        <v>7.6</v>
      </c>
      <c r="F1651" t="str">
        <f>eDNA!F1651</f>
        <v>MiFish</v>
      </c>
      <c r="G1651" t="str">
        <f>eDNA!D1651</f>
        <v>Gnathopogon strigatus</v>
      </c>
      <c r="H1651" t="str">
        <f>_xlfn.XLOOKUP(G1651,'Common name (master file)'!$B:$B,'Common name (master file)'!$A:$A,"-------------")</f>
        <v>줄몰개</v>
      </c>
      <c r="I1651">
        <f>eDNA!E1651</f>
        <v>945</v>
      </c>
      <c r="J1651" t="str">
        <f>_xlfn.XLOOKUP(G1651,'Common name (master file)'!$B:$B,'Common name (master file)'!$C:$C,"")</f>
        <v>어류</v>
      </c>
      <c r="K1651">
        <f>eDNA!B1651</f>
        <v>126.8343934</v>
      </c>
      <c r="L1651">
        <f>eDNA!C1651</f>
        <v>37.4648574</v>
      </c>
      <c r="M1651" s="10" t="str" cm="1">
        <f t="array" ref="M1651">IFERROR(_xlfn.XLOOKUP(1,('env Parameter'!$A:$A=$A1651)*('env Parameter'!$B:$B=$K1651)*('env Parameter'!$C:$C=$L1651),'env Parameter'!D:D,""),"")</f>
        <v>옥길천-2</v>
      </c>
      <c r="N1651" s="10" t="str" cm="1">
        <f t="array" ref="N1651">IFERROR(_xlfn.XLOOKUP(1,('env Parameter'!$A:$A=$A1651)*('env Parameter'!$B:$B=$K1651)*('env Parameter'!$C:$C=$L1651),'env Parameter'!I:I,""),"")</f>
        <v>YR</v>
      </c>
    </row>
    <row r="1652" spans="1:14">
      <c r="A1652">
        <f>eDNA!A1652</f>
        <v>20201024</v>
      </c>
      <c r="B1652" s="10" t="str" cm="1">
        <f t="array" ref="B1652">IFERROR(_xlfn.XLOOKUP(1,('env Parameter'!$A:$A=$A1652)*('env Parameter'!$B:$B=$K1652)*('env Parameter'!$C:$C=$L1652),'env Parameter'!H:H,""),"")</f>
        <v>생물상 조사</v>
      </c>
      <c r="C1652" s="10" cm="1">
        <f t="array" ref="C1652">IFERROR(_xlfn.XLOOKUP(1,('env Parameter'!$A:$A=$A1652)*('env Parameter'!$B:$B=$K1652)*('env Parameter'!$C:$C=$L1652),'env Parameter'!E:E,""),"")</f>
        <v>2.14</v>
      </c>
      <c r="D1652" s="10" cm="1">
        <f t="array" ref="D1652">IFERROR(_xlfn.XLOOKUP(1,('env Parameter'!$A:$A=$A1652)*('env Parameter'!$B:$B=$K1652)*('env Parameter'!$C:$C=$L1652),'env Parameter'!F:F,""),"")</f>
        <v>478</v>
      </c>
      <c r="E1652" s="10" cm="1">
        <f t="array" ref="E1652">IFERROR(_xlfn.XLOOKUP(1,('env Parameter'!$A:$A=$A1652)*('env Parameter'!$B:$B=$K1652)*('env Parameter'!$C:$C=$L1652),'env Parameter'!G:G,""),"")</f>
        <v>7.6</v>
      </c>
      <c r="F1652" t="str">
        <f>eDNA!F1652</f>
        <v>MiFish</v>
      </c>
      <c r="G1652" t="str">
        <f>eDNA!D1652</f>
        <v>Pseudogobio esocinus</v>
      </c>
      <c r="H1652" t="str">
        <f>_xlfn.XLOOKUP(G1652,'Common name (master file)'!$B:$B,'Common name (master file)'!$A:$A,"-------------")</f>
        <v>모래무지</v>
      </c>
      <c r="I1652">
        <f>eDNA!E1652</f>
        <v>1360</v>
      </c>
      <c r="J1652" t="str">
        <f>_xlfn.XLOOKUP(G1652,'Common name (master file)'!$B:$B,'Common name (master file)'!$C:$C,"")</f>
        <v>어류</v>
      </c>
      <c r="K1652">
        <f>eDNA!B1652</f>
        <v>126.8343934</v>
      </c>
      <c r="L1652">
        <f>eDNA!C1652</f>
        <v>37.4648574</v>
      </c>
      <c r="M1652" s="10" t="str" cm="1">
        <f t="array" ref="M1652">IFERROR(_xlfn.XLOOKUP(1,('env Parameter'!$A:$A=$A1652)*('env Parameter'!$B:$B=$K1652)*('env Parameter'!$C:$C=$L1652),'env Parameter'!D:D,""),"")</f>
        <v>옥길천-2</v>
      </c>
      <c r="N1652" s="10" t="str" cm="1">
        <f t="array" ref="N1652">IFERROR(_xlfn.XLOOKUP(1,('env Parameter'!$A:$A=$A1652)*('env Parameter'!$B:$B=$K1652)*('env Parameter'!$C:$C=$L1652),'env Parameter'!I:I,""),"")</f>
        <v>YR</v>
      </c>
    </row>
    <row r="1653" spans="1:14">
      <c r="A1653">
        <f>eDNA!A1653</f>
        <v>20201024</v>
      </c>
      <c r="B1653" s="10" t="str" cm="1">
        <f t="array" ref="B1653">IFERROR(_xlfn.XLOOKUP(1,('env Parameter'!$A:$A=$A1653)*('env Parameter'!$B:$B=$K1653)*('env Parameter'!$C:$C=$L1653),'env Parameter'!H:H,""),"")</f>
        <v>생물상 조사</v>
      </c>
      <c r="C1653" s="10" cm="1">
        <f t="array" ref="C1653">IFERROR(_xlfn.XLOOKUP(1,('env Parameter'!$A:$A=$A1653)*('env Parameter'!$B:$B=$K1653)*('env Parameter'!$C:$C=$L1653),'env Parameter'!E:E,""),"")</f>
        <v>2.14</v>
      </c>
      <c r="D1653" s="10" cm="1">
        <f t="array" ref="D1653">IFERROR(_xlfn.XLOOKUP(1,('env Parameter'!$A:$A=$A1653)*('env Parameter'!$B:$B=$K1653)*('env Parameter'!$C:$C=$L1653),'env Parameter'!F:F,""),"")</f>
        <v>478</v>
      </c>
      <c r="E1653" s="10" cm="1">
        <f t="array" ref="E1653">IFERROR(_xlfn.XLOOKUP(1,('env Parameter'!$A:$A=$A1653)*('env Parameter'!$B:$B=$K1653)*('env Parameter'!$C:$C=$L1653),'env Parameter'!G:G,""),"")</f>
        <v>7.6</v>
      </c>
      <c r="F1653" t="str">
        <f>eDNA!F1653</f>
        <v>MiFish</v>
      </c>
      <c r="G1653" t="str">
        <f>eDNA!D1653</f>
        <v>Homo sapiens</v>
      </c>
      <c r="H1653" t="str">
        <f>_xlfn.XLOOKUP(G1653,'Common name (master file)'!$B:$B,'Common name (master file)'!$A:$A,"-------------")</f>
        <v>사람</v>
      </c>
      <c r="I1653">
        <f>eDNA!E1653</f>
        <v>1186</v>
      </c>
      <c r="J1653" t="str">
        <f>_xlfn.XLOOKUP(G1653,'Common name (master file)'!$B:$B,'Common name (master file)'!$C:$C,"")</f>
        <v>포유류</v>
      </c>
      <c r="K1653">
        <f>eDNA!B1653</f>
        <v>126.8343934</v>
      </c>
      <c r="L1653">
        <f>eDNA!C1653</f>
        <v>37.4648574</v>
      </c>
      <c r="M1653" s="10" t="str" cm="1">
        <f t="array" ref="M1653">IFERROR(_xlfn.XLOOKUP(1,('env Parameter'!$A:$A=$A1653)*('env Parameter'!$B:$B=$K1653)*('env Parameter'!$C:$C=$L1653),'env Parameter'!D:D,""),"")</f>
        <v>옥길천-2</v>
      </c>
      <c r="N1653" s="10" t="str" cm="1">
        <f t="array" ref="N1653">IFERROR(_xlfn.XLOOKUP(1,('env Parameter'!$A:$A=$A1653)*('env Parameter'!$B:$B=$K1653)*('env Parameter'!$C:$C=$L1653),'env Parameter'!I:I,""),"")</f>
        <v>YR</v>
      </c>
    </row>
    <row r="1654" spans="1:14">
      <c r="A1654">
        <f>eDNA!A1654</f>
        <v>20201024</v>
      </c>
      <c r="B1654" s="10" t="str" cm="1">
        <f t="array" ref="B1654">IFERROR(_xlfn.XLOOKUP(1,('env Parameter'!$A:$A=$A1654)*('env Parameter'!$B:$B=$K1654)*('env Parameter'!$C:$C=$L1654),'env Parameter'!H:H,""),"")</f>
        <v>생물상 조사</v>
      </c>
      <c r="C1654" s="10" cm="1">
        <f t="array" ref="C1654">IFERROR(_xlfn.XLOOKUP(1,('env Parameter'!$A:$A=$A1654)*('env Parameter'!$B:$B=$K1654)*('env Parameter'!$C:$C=$L1654),'env Parameter'!E:E,""),"")</f>
        <v>2.14</v>
      </c>
      <c r="D1654" s="10" cm="1">
        <f t="array" ref="D1654">IFERROR(_xlfn.XLOOKUP(1,('env Parameter'!$A:$A=$A1654)*('env Parameter'!$B:$B=$K1654)*('env Parameter'!$C:$C=$L1654),'env Parameter'!F:F,""),"")</f>
        <v>478</v>
      </c>
      <c r="E1654" s="10" cm="1">
        <f t="array" ref="E1654">IFERROR(_xlfn.XLOOKUP(1,('env Parameter'!$A:$A=$A1654)*('env Parameter'!$B:$B=$K1654)*('env Parameter'!$C:$C=$L1654),'env Parameter'!G:G,""),"")</f>
        <v>7.6</v>
      </c>
      <c r="F1654" t="str">
        <f>eDNA!F1654</f>
        <v>MiFish</v>
      </c>
      <c r="G1654" t="str">
        <f>eDNA!D1654</f>
        <v>Capra hircus</v>
      </c>
      <c r="H1654" t="str">
        <f>_xlfn.XLOOKUP(G1654,'Common name (master file)'!$B:$B,'Common name (master file)'!$A:$A,"-------------")</f>
        <v>염소</v>
      </c>
      <c r="I1654">
        <f>eDNA!E1654</f>
        <v>1252</v>
      </c>
      <c r="J1654" t="str">
        <f>_xlfn.XLOOKUP(G1654,'Common name (master file)'!$B:$B,'Common name (master file)'!$C:$C,"")</f>
        <v>포유류</v>
      </c>
      <c r="K1654">
        <f>eDNA!B1654</f>
        <v>126.8343934</v>
      </c>
      <c r="L1654">
        <f>eDNA!C1654</f>
        <v>37.4648574</v>
      </c>
      <c r="M1654" s="10" t="str" cm="1">
        <f t="array" ref="M1654">IFERROR(_xlfn.XLOOKUP(1,('env Parameter'!$A:$A=$A1654)*('env Parameter'!$B:$B=$K1654)*('env Parameter'!$C:$C=$L1654),'env Parameter'!D:D,""),"")</f>
        <v>옥길천-2</v>
      </c>
      <c r="N1654" s="10" t="str" cm="1">
        <f t="array" ref="N1654">IFERROR(_xlfn.XLOOKUP(1,('env Parameter'!$A:$A=$A1654)*('env Parameter'!$B:$B=$K1654)*('env Parameter'!$C:$C=$L1654),'env Parameter'!I:I,""),"")</f>
        <v>YR</v>
      </c>
    </row>
    <row r="1655" spans="1:14">
      <c r="A1655">
        <f>eDNA!A1655</f>
        <v>20201024</v>
      </c>
      <c r="B1655" s="10" t="str" cm="1">
        <f t="array" ref="B1655">IFERROR(_xlfn.XLOOKUP(1,('env Parameter'!$A:$A=$A1655)*('env Parameter'!$B:$B=$K1655)*('env Parameter'!$C:$C=$L1655),'env Parameter'!H:H,""),"")</f>
        <v>생물상 조사</v>
      </c>
      <c r="C1655" s="10" cm="1">
        <f t="array" ref="C1655">IFERROR(_xlfn.XLOOKUP(1,('env Parameter'!$A:$A=$A1655)*('env Parameter'!$B:$B=$K1655)*('env Parameter'!$C:$C=$L1655),'env Parameter'!E:E,""),"")</f>
        <v>2.14</v>
      </c>
      <c r="D1655" s="10" cm="1">
        <f t="array" ref="D1655">IFERROR(_xlfn.XLOOKUP(1,('env Parameter'!$A:$A=$A1655)*('env Parameter'!$B:$B=$K1655)*('env Parameter'!$C:$C=$L1655),'env Parameter'!F:F,""),"")</f>
        <v>478</v>
      </c>
      <c r="E1655" s="10" cm="1">
        <f t="array" ref="E1655">IFERROR(_xlfn.XLOOKUP(1,('env Parameter'!$A:$A=$A1655)*('env Parameter'!$B:$B=$K1655)*('env Parameter'!$C:$C=$L1655),'env Parameter'!G:G,""),"")</f>
        <v>7.6</v>
      </c>
      <c r="F1655" t="str">
        <f>eDNA!F1655</f>
        <v>MiFish</v>
      </c>
      <c r="G1655" t="str">
        <f>eDNA!D1655</f>
        <v>Cyprinus carpio</v>
      </c>
      <c r="H1655" t="str">
        <f>_xlfn.XLOOKUP(G1655,'Common name (master file)'!$B:$B,'Common name (master file)'!$A:$A,"-------------")</f>
        <v>잉어</v>
      </c>
      <c r="I1655">
        <f>eDNA!E1655</f>
        <v>1403</v>
      </c>
      <c r="J1655" t="str">
        <f>_xlfn.XLOOKUP(G1655,'Common name (master file)'!$B:$B,'Common name (master file)'!$C:$C,"")</f>
        <v>어류</v>
      </c>
      <c r="K1655">
        <f>eDNA!B1655</f>
        <v>126.8343934</v>
      </c>
      <c r="L1655">
        <f>eDNA!C1655</f>
        <v>37.4648574</v>
      </c>
      <c r="M1655" s="10" t="str" cm="1">
        <f t="array" ref="M1655">IFERROR(_xlfn.XLOOKUP(1,('env Parameter'!$A:$A=$A1655)*('env Parameter'!$B:$B=$K1655)*('env Parameter'!$C:$C=$L1655),'env Parameter'!D:D,""),"")</f>
        <v>옥길천-2</v>
      </c>
      <c r="N1655" s="10" t="str" cm="1">
        <f t="array" ref="N1655">IFERROR(_xlfn.XLOOKUP(1,('env Parameter'!$A:$A=$A1655)*('env Parameter'!$B:$B=$K1655)*('env Parameter'!$C:$C=$L1655),'env Parameter'!I:I,""),"")</f>
        <v>YR</v>
      </c>
    </row>
    <row r="1656" spans="1:14">
      <c r="A1656">
        <f>eDNA!A1656</f>
        <v>20201024</v>
      </c>
      <c r="B1656" s="10" t="str" cm="1">
        <f t="array" ref="B1656">IFERROR(_xlfn.XLOOKUP(1,('env Parameter'!$A:$A=$A1656)*('env Parameter'!$B:$B=$K1656)*('env Parameter'!$C:$C=$L1656),'env Parameter'!H:H,""),"")</f>
        <v>생물상 조사</v>
      </c>
      <c r="C1656" s="10" cm="1">
        <f t="array" ref="C1656">IFERROR(_xlfn.XLOOKUP(1,('env Parameter'!$A:$A=$A1656)*('env Parameter'!$B:$B=$K1656)*('env Parameter'!$C:$C=$L1656),'env Parameter'!E:E,""),"")</f>
        <v>2.14</v>
      </c>
      <c r="D1656" s="10" cm="1">
        <f t="array" ref="D1656">IFERROR(_xlfn.XLOOKUP(1,('env Parameter'!$A:$A=$A1656)*('env Parameter'!$B:$B=$K1656)*('env Parameter'!$C:$C=$L1656),'env Parameter'!F:F,""),"")</f>
        <v>478</v>
      </c>
      <c r="E1656" s="10" cm="1">
        <f t="array" ref="E1656">IFERROR(_xlfn.XLOOKUP(1,('env Parameter'!$A:$A=$A1656)*('env Parameter'!$B:$B=$K1656)*('env Parameter'!$C:$C=$L1656),'env Parameter'!G:G,""),"")</f>
        <v>7.6</v>
      </c>
      <c r="F1656" t="str">
        <f>eDNA!F1656</f>
        <v>MiFish</v>
      </c>
      <c r="G1656" t="str">
        <f>eDNA!D1656</f>
        <v>Channa argus</v>
      </c>
      <c r="H1656" t="str">
        <f>_xlfn.XLOOKUP(G1656,'Common name (master file)'!$B:$B,'Common name (master file)'!$A:$A,"-------------")</f>
        <v>가물치</v>
      </c>
      <c r="I1656">
        <f>eDNA!E1656</f>
        <v>1399</v>
      </c>
      <c r="J1656" t="str">
        <f>_xlfn.XLOOKUP(G1656,'Common name (master file)'!$B:$B,'Common name (master file)'!$C:$C,"")</f>
        <v>어류</v>
      </c>
      <c r="K1656">
        <f>eDNA!B1656</f>
        <v>126.8343934</v>
      </c>
      <c r="L1656">
        <f>eDNA!C1656</f>
        <v>37.4648574</v>
      </c>
      <c r="M1656" s="10" t="str" cm="1">
        <f t="array" ref="M1656">IFERROR(_xlfn.XLOOKUP(1,('env Parameter'!$A:$A=$A1656)*('env Parameter'!$B:$B=$K1656)*('env Parameter'!$C:$C=$L1656),'env Parameter'!D:D,""),"")</f>
        <v>옥길천-2</v>
      </c>
      <c r="N1656" s="10" t="str" cm="1">
        <f t="array" ref="N1656">IFERROR(_xlfn.XLOOKUP(1,('env Parameter'!$A:$A=$A1656)*('env Parameter'!$B:$B=$K1656)*('env Parameter'!$C:$C=$L1656),'env Parameter'!I:I,""),"")</f>
        <v>YR</v>
      </c>
    </row>
    <row r="1657" spans="1:14">
      <c r="A1657">
        <f>eDNA!A1657</f>
        <v>20201024</v>
      </c>
      <c r="B1657" s="10" t="str" cm="1">
        <f t="array" ref="B1657">IFERROR(_xlfn.XLOOKUP(1,('env Parameter'!$A:$A=$A1657)*('env Parameter'!$B:$B=$K1657)*('env Parameter'!$C:$C=$L1657),'env Parameter'!H:H,""),"")</f>
        <v>생물상 조사</v>
      </c>
      <c r="C1657" s="10" cm="1">
        <f t="array" ref="C1657">IFERROR(_xlfn.XLOOKUP(1,('env Parameter'!$A:$A=$A1657)*('env Parameter'!$B:$B=$K1657)*('env Parameter'!$C:$C=$L1657),'env Parameter'!E:E,""),"")</f>
        <v>2.14</v>
      </c>
      <c r="D1657" s="10" cm="1">
        <f t="array" ref="D1657">IFERROR(_xlfn.XLOOKUP(1,('env Parameter'!$A:$A=$A1657)*('env Parameter'!$B:$B=$K1657)*('env Parameter'!$C:$C=$L1657),'env Parameter'!F:F,""),"")</f>
        <v>478</v>
      </c>
      <c r="E1657" s="10" cm="1">
        <f t="array" ref="E1657">IFERROR(_xlfn.XLOOKUP(1,('env Parameter'!$A:$A=$A1657)*('env Parameter'!$B:$B=$K1657)*('env Parameter'!$C:$C=$L1657),'env Parameter'!G:G,""),"")</f>
        <v>7.6</v>
      </c>
      <c r="F1657" t="str">
        <f>eDNA!F1657</f>
        <v>MiFish</v>
      </c>
      <c r="G1657" t="str">
        <f>eDNA!D1657</f>
        <v>Carassius sp.</v>
      </c>
      <c r="H1657" t="str">
        <f>_xlfn.XLOOKUP(G1657,'Common name (master file)'!$B:$B,'Common name (master file)'!$A:$A,"-------------")</f>
        <v>붕어 속</v>
      </c>
      <c r="I1657">
        <f>eDNA!E1657</f>
        <v>1655</v>
      </c>
      <c r="J1657" t="str">
        <f>_xlfn.XLOOKUP(G1657,'Common name (master file)'!$B:$B,'Common name (master file)'!$C:$C,"")</f>
        <v>어류</v>
      </c>
      <c r="K1657">
        <f>eDNA!B1657</f>
        <v>126.8343934</v>
      </c>
      <c r="L1657">
        <f>eDNA!C1657</f>
        <v>37.4648574</v>
      </c>
      <c r="M1657" s="10" t="str" cm="1">
        <f t="array" ref="M1657">IFERROR(_xlfn.XLOOKUP(1,('env Parameter'!$A:$A=$A1657)*('env Parameter'!$B:$B=$K1657)*('env Parameter'!$C:$C=$L1657),'env Parameter'!D:D,""),"")</f>
        <v>옥길천-2</v>
      </c>
      <c r="N1657" s="10" t="str" cm="1">
        <f t="array" ref="N1657">IFERROR(_xlfn.XLOOKUP(1,('env Parameter'!$A:$A=$A1657)*('env Parameter'!$B:$B=$K1657)*('env Parameter'!$C:$C=$L1657),'env Parameter'!I:I,""),"")</f>
        <v>YR</v>
      </c>
    </row>
    <row r="1658" spans="1:14">
      <c r="A1658">
        <f>eDNA!A1658</f>
        <v>20201024</v>
      </c>
      <c r="B1658" s="10" t="str" cm="1">
        <f t="array" ref="B1658">IFERROR(_xlfn.XLOOKUP(1,('env Parameter'!$A:$A=$A1658)*('env Parameter'!$B:$B=$K1658)*('env Parameter'!$C:$C=$L1658),'env Parameter'!H:H,""),"")</f>
        <v>생물상 조사</v>
      </c>
      <c r="C1658" s="10" cm="1">
        <f t="array" ref="C1658">IFERROR(_xlfn.XLOOKUP(1,('env Parameter'!$A:$A=$A1658)*('env Parameter'!$B:$B=$K1658)*('env Parameter'!$C:$C=$L1658),'env Parameter'!E:E,""),"")</f>
        <v>2.14</v>
      </c>
      <c r="D1658" s="10" cm="1">
        <f t="array" ref="D1658">IFERROR(_xlfn.XLOOKUP(1,('env Parameter'!$A:$A=$A1658)*('env Parameter'!$B:$B=$K1658)*('env Parameter'!$C:$C=$L1658),'env Parameter'!F:F,""),"")</f>
        <v>478</v>
      </c>
      <c r="E1658" s="10" cm="1">
        <f t="array" ref="E1658">IFERROR(_xlfn.XLOOKUP(1,('env Parameter'!$A:$A=$A1658)*('env Parameter'!$B:$B=$K1658)*('env Parameter'!$C:$C=$L1658),'env Parameter'!G:G,""),"")</f>
        <v>7.6</v>
      </c>
      <c r="F1658" t="str">
        <f>eDNA!F1658</f>
        <v>MiFish</v>
      </c>
      <c r="G1658" t="str">
        <f>eDNA!D1658</f>
        <v>Zacco platypus</v>
      </c>
      <c r="H1658" t="str">
        <f>_xlfn.XLOOKUP(G1658,'Common name (master file)'!$B:$B,'Common name (master file)'!$A:$A,"-------------")</f>
        <v>피라미</v>
      </c>
      <c r="I1658">
        <f>eDNA!E1658</f>
        <v>7162</v>
      </c>
      <c r="J1658" t="str">
        <f>_xlfn.XLOOKUP(G1658,'Common name (master file)'!$B:$B,'Common name (master file)'!$C:$C,"")</f>
        <v>어류</v>
      </c>
      <c r="K1658">
        <f>eDNA!B1658</f>
        <v>126.8343934</v>
      </c>
      <c r="L1658">
        <f>eDNA!C1658</f>
        <v>37.4648574</v>
      </c>
      <c r="M1658" s="10" t="str" cm="1">
        <f t="array" ref="M1658">IFERROR(_xlfn.XLOOKUP(1,('env Parameter'!$A:$A=$A1658)*('env Parameter'!$B:$B=$K1658)*('env Parameter'!$C:$C=$L1658),'env Parameter'!D:D,""),"")</f>
        <v>옥길천-2</v>
      </c>
      <c r="N1658" s="10" t="str" cm="1">
        <f t="array" ref="N1658">IFERROR(_xlfn.XLOOKUP(1,('env Parameter'!$A:$A=$A1658)*('env Parameter'!$B:$B=$K1658)*('env Parameter'!$C:$C=$L1658),'env Parameter'!I:I,""),"")</f>
        <v>YR</v>
      </c>
    </row>
    <row r="1659" spans="1:14">
      <c r="A1659">
        <f>eDNA!A1659</f>
        <v>20201024</v>
      </c>
      <c r="B1659" s="10" t="str" cm="1">
        <f t="array" ref="B1659">IFERROR(_xlfn.XLOOKUP(1,('env Parameter'!$A:$A=$A1659)*('env Parameter'!$B:$B=$K1659)*('env Parameter'!$C:$C=$L1659),'env Parameter'!H:H,""),"")</f>
        <v>생물상 조사</v>
      </c>
      <c r="C1659" s="10" cm="1">
        <f t="array" ref="C1659">IFERROR(_xlfn.XLOOKUP(1,('env Parameter'!$A:$A=$A1659)*('env Parameter'!$B:$B=$K1659)*('env Parameter'!$C:$C=$L1659),'env Parameter'!E:E,""),"")</f>
        <v>2.14</v>
      </c>
      <c r="D1659" s="10" cm="1">
        <f t="array" ref="D1659">IFERROR(_xlfn.XLOOKUP(1,('env Parameter'!$A:$A=$A1659)*('env Parameter'!$B:$B=$K1659)*('env Parameter'!$C:$C=$L1659),'env Parameter'!F:F,""),"")</f>
        <v>478</v>
      </c>
      <c r="E1659" s="10" cm="1">
        <f t="array" ref="E1659">IFERROR(_xlfn.XLOOKUP(1,('env Parameter'!$A:$A=$A1659)*('env Parameter'!$B:$B=$K1659)*('env Parameter'!$C:$C=$L1659),'env Parameter'!G:G,""),"")</f>
        <v>7.6</v>
      </c>
      <c r="F1659" t="str">
        <f>eDNA!F1659</f>
        <v>MiFish</v>
      </c>
      <c r="G1659" t="str">
        <f>eDNA!D1659</f>
        <v>Silurus soldatovi</v>
      </c>
      <c r="H1659" t="str">
        <f>_xlfn.XLOOKUP(G1659,'Common name (master file)'!$B:$B,'Common name (master file)'!$A:$A,"-------------")</f>
        <v>솔다토비 메기</v>
      </c>
      <c r="I1659">
        <f>eDNA!E1659</f>
        <v>11746</v>
      </c>
      <c r="J1659" t="str">
        <f>_xlfn.XLOOKUP(G1659,'Common name (master file)'!$B:$B,'Common name (master file)'!$C:$C,"")</f>
        <v>어류</v>
      </c>
      <c r="K1659">
        <f>eDNA!B1659</f>
        <v>126.8343934</v>
      </c>
      <c r="L1659">
        <f>eDNA!C1659</f>
        <v>37.4648574</v>
      </c>
      <c r="M1659" s="10" t="str" cm="1">
        <f t="array" ref="M1659">IFERROR(_xlfn.XLOOKUP(1,('env Parameter'!$A:$A=$A1659)*('env Parameter'!$B:$B=$K1659)*('env Parameter'!$C:$C=$L1659),'env Parameter'!D:D,""),"")</f>
        <v>옥길천-2</v>
      </c>
      <c r="N1659" s="10" t="str" cm="1">
        <f t="array" ref="N1659">IFERROR(_xlfn.XLOOKUP(1,('env Parameter'!$A:$A=$A1659)*('env Parameter'!$B:$B=$K1659)*('env Parameter'!$C:$C=$L1659),'env Parameter'!I:I,""),"")</f>
        <v>YR</v>
      </c>
    </row>
    <row r="1660" spans="1:14">
      <c r="A1660">
        <f>eDNA!A1660</f>
        <v>20201024</v>
      </c>
      <c r="B1660" s="10" t="str" cm="1">
        <f t="array" ref="B1660">IFERROR(_xlfn.XLOOKUP(1,('env Parameter'!$A:$A=$A1660)*('env Parameter'!$B:$B=$K1660)*('env Parameter'!$C:$C=$L1660),'env Parameter'!H:H,""),"")</f>
        <v>생물상 조사</v>
      </c>
      <c r="C1660" s="10" cm="1">
        <f t="array" ref="C1660">IFERROR(_xlfn.XLOOKUP(1,('env Parameter'!$A:$A=$A1660)*('env Parameter'!$B:$B=$K1660)*('env Parameter'!$C:$C=$L1660),'env Parameter'!E:E,""),"")</f>
        <v>2.14</v>
      </c>
      <c r="D1660" s="10" cm="1">
        <f t="array" ref="D1660">IFERROR(_xlfn.XLOOKUP(1,('env Parameter'!$A:$A=$A1660)*('env Parameter'!$B:$B=$K1660)*('env Parameter'!$C:$C=$L1660),'env Parameter'!F:F,""),"")</f>
        <v>478</v>
      </c>
      <c r="E1660" s="10" cm="1">
        <f t="array" ref="E1660">IFERROR(_xlfn.XLOOKUP(1,('env Parameter'!$A:$A=$A1660)*('env Parameter'!$B:$B=$K1660)*('env Parameter'!$C:$C=$L1660),'env Parameter'!G:G,""),"")</f>
        <v>7.6</v>
      </c>
      <c r="F1660" t="str">
        <f>eDNA!F1660</f>
        <v>MiFish</v>
      </c>
      <c r="G1660" t="str">
        <f>eDNA!D1660</f>
        <v>Odontobutis interrupta</v>
      </c>
      <c r="H1660" t="str">
        <f>_xlfn.XLOOKUP(G1660,'Common name (master file)'!$B:$B,'Common name (master file)'!$A:$A,"-------------")</f>
        <v>얼록동사리</v>
      </c>
      <c r="I1660">
        <f>eDNA!E1660</f>
        <v>14499</v>
      </c>
      <c r="J1660" t="str">
        <f>_xlfn.XLOOKUP(G1660,'Common name (master file)'!$B:$B,'Common name (master file)'!$C:$C,"")</f>
        <v>어류</v>
      </c>
      <c r="K1660">
        <f>eDNA!B1660</f>
        <v>126.8343934</v>
      </c>
      <c r="L1660">
        <f>eDNA!C1660</f>
        <v>37.4648574</v>
      </c>
      <c r="M1660" s="10" t="str" cm="1">
        <f t="array" ref="M1660">IFERROR(_xlfn.XLOOKUP(1,('env Parameter'!$A:$A=$A1660)*('env Parameter'!$B:$B=$K1660)*('env Parameter'!$C:$C=$L1660),'env Parameter'!D:D,""),"")</f>
        <v>옥길천-2</v>
      </c>
      <c r="N1660" s="10" t="str" cm="1">
        <f t="array" ref="N1660">IFERROR(_xlfn.XLOOKUP(1,('env Parameter'!$A:$A=$A1660)*('env Parameter'!$B:$B=$K1660)*('env Parameter'!$C:$C=$L1660),'env Parameter'!I:I,""),"")</f>
        <v>YR</v>
      </c>
    </row>
    <row r="1661" spans="1:14">
      <c r="A1661">
        <f>eDNA!A1661</f>
        <v>20201024</v>
      </c>
      <c r="B1661" s="10" t="str" cm="1">
        <f t="array" ref="B1661">IFERROR(_xlfn.XLOOKUP(1,('env Parameter'!$A:$A=$A1661)*('env Parameter'!$B:$B=$K1661)*('env Parameter'!$C:$C=$L1661),'env Parameter'!H:H,""),"")</f>
        <v>생물상 조사</v>
      </c>
      <c r="C1661" s="10" cm="1">
        <f t="array" ref="C1661">IFERROR(_xlfn.XLOOKUP(1,('env Parameter'!$A:$A=$A1661)*('env Parameter'!$B:$B=$K1661)*('env Parameter'!$C:$C=$L1661),'env Parameter'!E:E,""),"")</f>
        <v>2.14</v>
      </c>
      <c r="D1661" s="10" cm="1">
        <f t="array" ref="D1661">IFERROR(_xlfn.XLOOKUP(1,('env Parameter'!$A:$A=$A1661)*('env Parameter'!$B:$B=$K1661)*('env Parameter'!$C:$C=$L1661),'env Parameter'!F:F,""),"")</f>
        <v>478</v>
      </c>
      <c r="E1661" s="10" cm="1">
        <f t="array" ref="E1661">IFERROR(_xlfn.XLOOKUP(1,('env Parameter'!$A:$A=$A1661)*('env Parameter'!$B:$B=$K1661)*('env Parameter'!$C:$C=$L1661),'env Parameter'!G:G,""),"")</f>
        <v>7.6</v>
      </c>
      <c r="F1661" t="str">
        <f>eDNA!F1661</f>
        <v>MiFish</v>
      </c>
      <c r="G1661" t="str">
        <f>eDNA!D1661</f>
        <v>Carassius gibelio</v>
      </c>
      <c r="H1661" t="str">
        <f>_xlfn.XLOOKUP(G1661,'Common name (master file)'!$B:$B,'Common name (master file)'!$A:$A,"-------------")</f>
        <v>기벨리오 붕어</v>
      </c>
      <c r="I1661">
        <f>eDNA!E1661</f>
        <v>48077</v>
      </c>
      <c r="J1661" t="str">
        <f>_xlfn.XLOOKUP(G1661,'Common name (master file)'!$B:$B,'Common name (master file)'!$C:$C,"")</f>
        <v>어류</v>
      </c>
      <c r="K1661">
        <f>eDNA!B1661</f>
        <v>126.8343934</v>
      </c>
      <c r="L1661">
        <f>eDNA!C1661</f>
        <v>37.4648574</v>
      </c>
      <c r="M1661" s="10" t="str" cm="1">
        <f t="array" ref="M1661">IFERROR(_xlfn.XLOOKUP(1,('env Parameter'!$A:$A=$A1661)*('env Parameter'!$B:$B=$K1661)*('env Parameter'!$C:$C=$L1661),'env Parameter'!D:D,""),"")</f>
        <v>옥길천-2</v>
      </c>
      <c r="N1661" s="10" t="str" cm="1">
        <f t="array" ref="N1661">IFERROR(_xlfn.XLOOKUP(1,('env Parameter'!$A:$A=$A1661)*('env Parameter'!$B:$B=$K1661)*('env Parameter'!$C:$C=$L1661),'env Parameter'!I:I,""),"")</f>
        <v>YR</v>
      </c>
    </row>
    <row r="1662" spans="1:14">
      <c r="A1662">
        <f>eDNA!A1662</f>
        <v>20201024</v>
      </c>
      <c r="B1662" s="10" t="str" cm="1">
        <f t="array" ref="B1662">IFERROR(_xlfn.XLOOKUP(1,('env Parameter'!$A:$A=$A1662)*('env Parameter'!$B:$B=$K1662)*('env Parameter'!$C:$C=$L1662),'env Parameter'!H:H,""),"")</f>
        <v>생물상 조사</v>
      </c>
      <c r="C1662" s="10" cm="1">
        <f t="array" ref="C1662">IFERROR(_xlfn.XLOOKUP(1,('env Parameter'!$A:$A=$A1662)*('env Parameter'!$B:$B=$K1662)*('env Parameter'!$C:$C=$L1662),'env Parameter'!E:E,""),"")</f>
        <v>2.14</v>
      </c>
      <c r="D1662" s="10" cm="1">
        <f t="array" ref="D1662">IFERROR(_xlfn.XLOOKUP(1,('env Parameter'!$A:$A=$A1662)*('env Parameter'!$B:$B=$K1662)*('env Parameter'!$C:$C=$L1662),'env Parameter'!F:F,""),"")</f>
        <v>478</v>
      </c>
      <c r="E1662" s="10" cm="1">
        <f t="array" ref="E1662">IFERROR(_xlfn.XLOOKUP(1,('env Parameter'!$A:$A=$A1662)*('env Parameter'!$B:$B=$K1662)*('env Parameter'!$C:$C=$L1662),'env Parameter'!G:G,""),"")</f>
        <v>7.6</v>
      </c>
      <c r="F1662" t="str">
        <f>eDNA!F1662</f>
        <v>MiFish</v>
      </c>
      <c r="G1662" t="str">
        <f>eDNA!D1662</f>
        <v>Pseudorasbora parva</v>
      </c>
      <c r="H1662" t="str">
        <f>_xlfn.XLOOKUP(G1662,'Common name (master file)'!$B:$B,'Common name (master file)'!$A:$A,"-------------")</f>
        <v>참붕어</v>
      </c>
      <c r="I1662">
        <f>eDNA!E1662</f>
        <v>50579</v>
      </c>
      <c r="J1662" t="str">
        <f>_xlfn.XLOOKUP(G1662,'Common name (master file)'!$B:$B,'Common name (master file)'!$C:$C,"")</f>
        <v>어류</v>
      </c>
      <c r="K1662">
        <f>eDNA!B1662</f>
        <v>126.8343934</v>
      </c>
      <c r="L1662">
        <f>eDNA!C1662</f>
        <v>37.4648574</v>
      </c>
      <c r="M1662" s="10" t="str" cm="1">
        <f t="array" ref="M1662">IFERROR(_xlfn.XLOOKUP(1,('env Parameter'!$A:$A=$A1662)*('env Parameter'!$B:$B=$K1662)*('env Parameter'!$C:$C=$L1662),'env Parameter'!D:D,""),"")</f>
        <v>옥길천-2</v>
      </c>
      <c r="N1662" s="10" t="str" cm="1">
        <f t="array" ref="N1662">IFERROR(_xlfn.XLOOKUP(1,('env Parameter'!$A:$A=$A1662)*('env Parameter'!$B:$B=$K1662)*('env Parameter'!$C:$C=$L1662),'env Parameter'!I:I,""),"")</f>
        <v>YR</v>
      </c>
    </row>
    <row r="1663" spans="1:14">
      <c r="A1663">
        <f>eDNA!A1663</f>
        <v>20201024</v>
      </c>
      <c r="B1663" s="10" t="str" cm="1">
        <f t="array" ref="B1663">IFERROR(_xlfn.XLOOKUP(1,('env Parameter'!$A:$A=$A1663)*('env Parameter'!$B:$B=$K1663)*('env Parameter'!$C:$C=$L1663),'env Parameter'!H:H,""),"")</f>
        <v>생물상 조사</v>
      </c>
      <c r="C1663" s="10" cm="1">
        <f t="array" ref="C1663">IFERROR(_xlfn.XLOOKUP(1,('env Parameter'!$A:$A=$A1663)*('env Parameter'!$B:$B=$K1663)*('env Parameter'!$C:$C=$L1663),'env Parameter'!E:E,""),"")</f>
        <v>2.14</v>
      </c>
      <c r="D1663" s="10" cm="1">
        <f t="array" ref="D1663">IFERROR(_xlfn.XLOOKUP(1,('env Parameter'!$A:$A=$A1663)*('env Parameter'!$B:$B=$K1663)*('env Parameter'!$C:$C=$L1663),'env Parameter'!F:F,""),"")</f>
        <v>478</v>
      </c>
      <c r="E1663" s="10" cm="1">
        <f t="array" ref="E1663">IFERROR(_xlfn.XLOOKUP(1,('env Parameter'!$A:$A=$A1663)*('env Parameter'!$B:$B=$K1663)*('env Parameter'!$C:$C=$L1663),'env Parameter'!G:G,""),"")</f>
        <v>7.6</v>
      </c>
      <c r="F1663" t="str">
        <f>eDNA!F1663</f>
        <v>MiFish</v>
      </c>
      <c r="G1663" t="str">
        <f>eDNA!D1663</f>
        <v>Tribolodon hakonensis</v>
      </c>
      <c r="H1663" t="str">
        <f>_xlfn.XLOOKUP(G1663,'Common name (master file)'!$B:$B,'Common name (master file)'!$A:$A,"-------------")</f>
        <v>황어</v>
      </c>
      <c r="I1663">
        <f>eDNA!E1663</f>
        <v>394</v>
      </c>
      <c r="J1663" t="str">
        <f>_xlfn.XLOOKUP(G1663,'Common name (master file)'!$B:$B,'Common name (master file)'!$C:$C,"")</f>
        <v>어류</v>
      </c>
      <c r="K1663">
        <f>eDNA!B1663</f>
        <v>126.9506027</v>
      </c>
      <c r="L1663">
        <f>eDNA!C1663</f>
        <v>37.400644700000001</v>
      </c>
      <c r="M1663" s="10" t="str" cm="1">
        <f t="array" ref="M1663">IFERROR(_xlfn.XLOOKUP(1,('env Parameter'!$A:$A=$A1663)*('env Parameter'!$B:$B=$K1663)*('env Parameter'!$C:$C=$L1663),'env Parameter'!D:D,""),"")</f>
        <v>안양천-31</v>
      </c>
      <c r="N1663" s="10" t="str" cm="1">
        <f t="array" ref="N1663">IFERROR(_xlfn.XLOOKUP(1,('env Parameter'!$A:$A=$A1663)*('env Parameter'!$B:$B=$K1663)*('env Parameter'!$C:$C=$L1663),'env Parameter'!I:I,""),"")</f>
        <v>YR</v>
      </c>
    </row>
    <row r="1664" spans="1:14">
      <c r="A1664">
        <f>eDNA!A1664</f>
        <v>20201024</v>
      </c>
      <c r="B1664" s="10" t="str" cm="1">
        <f t="array" ref="B1664">IFERROR(_xlfn.XLOOKUP(1,('env Parameter'!$A:$A=$A1664)*('env Parameter'!$B:$B=$K1664)*('env Parameter'!$C:$C=$L1664),'env Parameter'!H:H,""),"")</f>
        <v>생물상 조사</v>
      </c>
      <c r="C1664" s="10" cm="1">
        <f t="array" ref="C1664">IFERROR(_xlfn.XLOOKUP(1,('env Parameter'!$A:$A=$A1664)*('env Parameter'!$B:$B=$K1664)*('env Parameter'!$C:$C=$L1664),'env Parameter'!E:E,""),"")</f>
        <v>2.14</v>
      </c>
      <c r="D1664" s="10" cm="1">
        <f t="array" ref="D1664">IFERROR(_xlfn.XLOOKUP(1,('env Parameter'!$A:$A=$A1664)*('env Parameter'!$B:$B=$K1664)*('env Parameter'!$C:$C=$L1664),'env Parameter'!F:F,""),"")</f>
        <v>478</v>
      </c>
      <c r="E1664" s="10" cm="1">
        <f t="array" ref="E1664">IFERROR(_xlfn.XLOOKUP(1,('env Parameter'!$A:$A=$A1664)*('env Parameter'!$B:$B=$K1664)*('env Parameter'!$C:$C=$L1664),'env Parameter'!G:G,""),"")</f>
        <v>7.6</v>
      </c>
      <c r="F1664" t="str">
        <f>eDNA!F1664</f>
        <v>MiFish</v>
      </c>
      <c r="G1664" t="str">
        <f>eDNA!D1664</f>
        <v>Hemibarbus maculatus</v>
      </c>
      <c r="H1664" t="str">
        <f>_xlfn.XLOOKUP(G1664,'Common name (master file)'!$B:$B,'Common name (master file)'!$A:$A,"-------------")</f>
        <v>알락누치</v>
      </c>
      <c r="I1664">
        <f>eDNA!E1664</f>
        <v>11</v>
      </c>
      <c r="J1664" t="str">
        <f>_xlfn.XLOOKUP(G1664,'Common name (master file)'!$B:$B,'Common name (master file)'!$C:$C,"")</f>
        <v>어류</v>
      </c>
      <c r="K1664">
        <f>eDNA!B1664</f>
        <v>126.970473</v>
      </c>
      <c r="L1664">
        <f>eDNA!C1664</f>
        <v>37.401905599999999</v>
      </c>
      <c r="M1664" s="10" t="str" cm="1">
        <f t="array" ref="M1664">IFERROR(_xlfn.XLOOKUP(1,('env Parameter'!$A:$A=$A1664)*('env Parameter'!$B:$B=$K1664)*('env Parameter'!$C:$C=$L1664),'env Parameter'!D:D,""),"")</f>
        <v>안양천-29</v>
      </c>
      <c r="N1664" s="10" t="str" cm="1">
        <f t="array" ref="N1664">IFERROR(_xlfn.XLOOKUP(1,('env Parameter'!$A:$A=$A1664)*('env Parameter'!$B:$B=$K1664)*('env Parameter'!$C:$C=$L1664),'env Parameter'!I:I,""),"")</f>
        <v>YR</v>
      </c>
    </row>
    <row r="1665" spans="1:14">
      <c r="A1665">
        <f>eDNA!A1665</f>
        <v>20201024</v>
      </c>
      <c r="B1665" s="10" t="str" cm="1">
        <f t="array" ref="B1665">IFERROR(_xlfn.XLOOKUP(1,('env Parameter'!$A:$A=$A1665)*('env Parameter'!$B:$B=$K1665)*('env Parameter'!$C:$C=$L1665),'env Parameter'!H:H,""),"")</f>
        <v>생물상 조사</v>
      </c>
      <c r="C1665" s="10" cm="1">
        <f t="array" ref="C1665">IFERROR(_xlfn.XLOOKUP(1,('env Parameter'!$A:$A=$A1665)*('env Parameter'!$B:$B=$K1665)*('env Parameter'!$C:$C=$L1665),'env Parameter'!E:E,""),"")</f>
        <v>2.14</v>
      </c>
      <c r="D1665" s="10" cm="1">
        <f t="array" ref="D1665">IFERROR(_xlfn.XLOOKUP(1,('env Parameter'!$A:$A=$A1665)*('env Parameter'!$B:$B=$K1665)*('env Parameter'!$C:$C=$L1665),'env Parameter'!F:F,""),"")</f>
        <v>478</v>
      </c>
      <c r="E1665" s="10" cm="1">
        <f t="array" ref="E1665">IFERROR(_xlfn.XLOOKUP(1,('env Parameter'!$A:$A=$A1665)*('env Parameter'!$B:$B=$K1665)*('env Parameter'!$C:$C=$L1665),'env Parameter'!G:G,""),"")</f>
        <v>7.6</v>
      </c>
      <c r="F1665" t="str">
        <f>eDNA!F1665</f>
        <v>MiFish</v>
      </c>
      <c r="G1665" t="str">
        <f>eDNA!D1665</f>
        <v>Pelodiscus sinensis</v>
      </c>
      <c r="H1665" t="str">
        <f>_xlfn.XLOOKUP(G1665,'Common name (master file)'!$B:$B,'Common name (master file)'!$A:$A,"-------------")</f>
        <v>중국자라</v>
      </c>
      <c r="I1665">
        <f>eDNA!E1665</f>
        <v>14</v>
      </c>
      <c r="J1665" t="str">
        <f>_xlfn.XLOOKUP(G1665,'Common name (master file)'!$B:$B,'Common name (master file)'!$C:$C,"")</f>
        <v>양서파충류</v>
      </c>
      <c r="K1665">
        <f>eDNA!B1665</f>
        <v>126.970473</v>
      </c>
      <c r="L1665">
        <f>eDNA!C1665</f>
        <v>37.401905599999999</v>
      </c>
      <c r="M1665" s="10" t="str" cm="1">
        <f t="array" ref="M1665">IFERROR(_xlfn.XLOOKUP(1,('env Parameter'!$A:$A=$A1665)*('env Parameter'!$B:$B=$K1665)*('env Parameter'!$C:$C=$L1665),'env Parameter'!D:D,""),"")</f>
        <v>안양천-29</v>
      </c>
      <c r="N1665" s="10" t="str" cm="1">
        <f t="array" ref="N1665">IFERROR(_xlfn.XLOOKUP(1,('env Parameter'!$A:$A=$A1665)*('env Parameter'!$B:$B=$K1665)*('env Parameter'!$C:$C=$L1665),'env Parameter'!I:I,""),"")</f>
        <v>YR</v>
      </c>
    </row>
    <row r="1666" spans="1:14">
      <c r="A1666">
        <f>eDNA!A1666</f>
        <v>20201024</v>
      </c>
      <c r="B1666" s="10" t="str" cm="1">
        <f t="array" ref="B1666">IFERROR(_xlfn.XLOOKUP(1,('env Parameter'!$A:$A=$A1666)*('env Parameter'!$B:$B=$K1666)*('env Parameter'!$C:$C=$L1666),'env Parameter'!H:H,""),"")</f>
        <v>생물상 조사</v>
      </c>
      <c r="C1666" s="10" cm="1">
        <f t="array" ref="C1666">IFERROR(_xlfn.XLOOKUP(1,('env Parameter'!$A:$A=$A1666)*('env Parameter'!$B:$B=$K1666)*('env Parameter'!$C:$C=$L1666),'env Parameter'!E:E,""),"")</f>
        <v>2.14</v>
      </c>
      <c r="D1666" s="10" cm="1">
        <f t="array" ref="D1666">IFERROR(_xlfn.XLOOKUP(1,('env Parameter'!$A:$A=$A1666)*('env Parameter'!$B:$B=$K1666)*('env Parameter'!$C:$C=$L1666),'env Parameter'!F:F,""),"")</f>
        <v>478</v>
      </c>
      <c r="E1666" s="10" cm="1">
        <f t="array" ref="E1666">IFERROR(_xlfn.XLOOKUP(1,('env Parameter'!$A:$A=$A1666)*('env Parameter'!$B:$B=$K1666)*('env Parameter'!$C:$C=$L1666),'env Parameter'!G:G,""),"")</f>
        <v>7.6</v>
      </c>
      <c r="F1666" t="str">
        <f>eDNA!F1666</f>
        <v>MiFish</v>
      </c>
      <c r="G1666" t="str">
        <f>eDNA!D1666</f>
        <v>Gnathopogon polytaenia</v>
      </c>
      <c r="H1666" t="str">
        <f>_xlfn.XLOOKUP(G1666,'Common name (master file)'!$B:$B,'Common name (master file)'!$A:$A,"-------------")</f>
        <v>폴리테니아 줄몰개</v>
      </c>
      <c r="I1666">
        <f>eDNA!E1666</f>
        <v>33</v>
      </c>
      <c r="J1666" t="str">
        <f>_xlfn.XLOOKUP(G1666,'Common name (master file)'!$B:$B,'Common name (master file)'!$C:$C,"")</f>
        <v>어류</v>
      </c>
      <c r="K1666">
        <f>eDNA!B1666</f>
        <v>126.970473</v>
      </c>
      <c r="L1666">
        <f>eDNA!C1666</f>
        <v>37.401905599999999</v>
      </c>
      <c r="M1666" s="10" t="str" cm="1">
        <f t="array" ref="M1666">IFERROR(_xlfn.XLOOKUP(1,('env Parameter'!$A:$A=$A1666)*('env Parameter'!$B:$B=$K1666)*('env Parameter'!$C:$C=$L1666),'env Parameter'!D:D,""),"")</f>
        <v>안양천-29</v>
      </c>
      <c r="N1666" s="10" t="str" cm="1">
        <f t="array" ref="N1666">IFERROR(_xlfn.XLOOKUP(1,('env Parameter'!$A:$A=$A1666)*('env Parameter'!$B:$B=$K1666)*('env Parameter'!$C:$C=$L1666),'env Parameter'!I:I,""),"")</f>
        <v>YR</v>
      </c>
    </row>
    <row r="1667" spans="1:14">
      <c r="A1667">
        <f>eDNA!A1667</f>
        <v>20200916</v>
      </c>
      <c r="B1667" s="10" t="str" cm="1">
        <f t="array" ref="B1667">IFERROR(_xlfn.XLOOKUP(1,('env Parameter'!$A:$A=$A1667)*('env Parameter'!$B:$B=$K1667)*('env Parameter'!$C:$C=$L1667),'env Parameter'!H:H,""),"")</f>
        <v>생물상 조사</v>
      </c>
      <c r="C1667" s="10" cm="1">
        <f t="array" ref="C1667">IFERROR(_xlfn.XLOOKUP(1,('env Parameter'!$A:$A=$A1667)*('env Parameter'!$B:$B=$K1667)*('env Parameter'!$C:$C=$L1667),'env Parameter'!E:E,""),"")</f>
        <v>2.14</v>
      </c>
      <c r="D1667" s="10" cm="1">
        <f t="array" ref="D1667">IFERROR(_xlfn.XLOOKUP(1,('env Parameter'!$A:$A=$A1667)*('env Parameter'!$B:$B=$K1667)*('env Parameter'!$C:$C=$L1667),'env Parameter'!F:F,""),"")</f>
        <v>478</v>
      </c>
      <c r="E1667" s="10" cm="1">
        <f t="array" ref="E1667">IFERROR(_xlfn.XLOOKUP(1,('env Parameter'!$A:$A=$A1667)*('env Parameter'!$B:$B=$K1667)*('env Parameter'!$C:$C=$L1667),'env Parameter'!G:G,""),"")</f>
        <v>7.6</v>
      </c>
      <c r="F1667" t="str">
        <f>eDNA!F1667</f>
        <v>MiFish</v>
      </c>
      <c r="G1667" t="str">
        <f>eDNA!D1667</f>
        <v>Tribolodon hakonensis</v>
      </c>
      <c r="H1667" t="str">
        <f>_xlfn.XLOOKUP(G1667,'Common name (master file)'!$B:$B,'Common name (master file)'!$A:$A,"-------------")</f>
        <v>황어</v>
      </c>
      <c r="I1667">
        <f>eDNA!E1667</f>
        <v>91</v>
      </c>
      <c r="J1667" t="str">
        <f>_xlfn.XLOOKUP(G1667,'Common name (master file)'!$B:$B,'Common name (master file)'!$C:$C,"")</f>
        <v>어류</v>
      </c>
      <c r="K1667">
        <f>eDNA!B1667</f>
        <v>126.9866722</v>
      </c>
      <c r="L1667">
        <f>eDNA!C1667</f>
        <v>37.398721700000003</v>
      </c>
      <c r="M1667" s="10" t="str" cm="1">
        <f t="array" ref="M1667">IFERROR(_xlfn.XLOOKUP(1,('env Parameter'!$A:$A=$A1667)*('env Parameter'!$B:$B=$K1667)*('env Parameter'!$C:$C=$L1667),'env Parameter'!D:D,""),"")</f>
        <v>안양천-30</v>
      </c>
      <c r="N1667" s="10" t="str" cm="1">
        <f t="array" ref="N1667">IFERROR(_xlfn.XLOOKUP(1,('env Parameter'!$A:$A=$A1667)*('env Parameter'!$B:$B=$K1667)*('env Parameter'!$C:$C=$L1667),'env Parameter'!I:I,""),"")</f>
        <v>YR</v>
      </c>
    </row>
    <row r="1668" spans="1:14">
      <c r="A1668">
        <f>eDNA!A1668</f>
        <v>20201024</v>
      </c>
      <c r="B1668" s="10" t="str" cm="1">
        <f t="array" ref="B1668">IFERROR(_xlfn.XLOOKUP(1,('env Parameter'!$A:$A=$A1668)*('env Parameter'!$B:$B=$K1668)*('env Parameter'!$C:$C=$L1668),'env Parameter'!H:H,""),"")</f>
        <v>생물상 조사</v>
      </c>
      <c r="C1668" s="10" cm="1">
        <f t="array" ref="C1668">IFERROR(_xlfn.XLOOKUP(1,('env Parameter'!$A:$A=$A1668)*('env Parameter'!$B:$B=$K1668)*('env Parameter'!$C:$C=$L1668),'env Parameter'!E:E,""),"")</f>
        <v>2.14</v>
      </c>
      <c r="D1668" s="10" cm="1">
        <f t="array" ref="D1668">IFERROR(_xlfn.XLOOKUP(1,('env Parameter'!$A:$A=$A1668)*('env Parameter'!$B:$B=$K1668)*('env Parameter'!$C:$C=$L1668),'env Parameter'!F:F,""),"")</f>
        <v>478</v>
      </c>
      <c r="E1668" s="10" cm="1">
        <f t="array" ref="E1668">IFERROR(_xlfn.XLOOKUP(1,('env Parameter'!$A:$A=$A1668)*('env Parameter'!$B:$B=$K1668)*('env Parameter'!$C:$C=$L1668),'env Parameter'!G:G,""),"")</f>
        <v>7.6</v>
      </c>
      <c r="F1668" t="str">
        <f>eDNA!F1668</f>
        <v>MiFish</v>
      </c>
      <c r="G1668" t="str">
        <f>eDNA!D1668</f>
        <v>Homo sapiens</v>
      </c>
      <c r="H1668" t="str">
        <f>_xlfn.XLOOKUP(G1668,'Common name (master file)'!$B:$B,'Common name (master file)'!$A:$A,"-------------")</f>
        <v>사람</v>
      </c>
      <c r="I1668">
        <f>eDNA!E1668</f>
        <v>54</v>
      </c>
      <c r="J1668" t="str">
        <f>_xlfn.XLOOKUP(G1668,'Common name (master file)'!$B:$B,'Common name (master file)'!$C:$C,"")</f>
        <v>포유류</v>
      </c>
      <c r="K1668">
        <f>eDNA!B1668</f>
        <v>126.970473</v>
      </c>
      <c r="L1668">
        <f>eDNA!C1668</f>
        <v>37.401905599999999</v>
      </c>
      <c r="M1668" s="10" t="str" cm="1">
        <f t="array" ref="M1668">IFERROR(_xlfn.XLOOKUP(1,('env Parameter'!$A:$A=$A1668)*('env Parameter'!$B:$B=$K1668)*('env Parameter'!$C:$C=$L1668),'env Parameter'!D:D,""),"")</f>
        <v>안양천-29</v>
      </c>
      <c r="N1668" s="10" t="str" cm="1">
        <f t="array" ref="N1668">IFERROR(_xlfn.XLOOKUP(1,('env Parameter'!$A:$A=$A1668)*('env Parameter'!$B:$B=$K1668)*('env Parameter'!$C:$C=$L1668),'env Parameter'!I:I,""),"")</f>
        <v>YR</v>
      </c>
    </row>
    <row r="1669" spans="1:14">
      <c r="A1669">
        <f>eDNA!A1669</f>
        <v>20201024</v>
      </c>
      <c r="B1669" s="10" t="str" cm="1">
        <f t="array" ref="B1669">IFERROR(_xlfn.XLOOKUP(1,('env Parameter'!$A:$A=$A1669)*('env Parameter'!$B:$B=$K1669)*('env Parameter'!$C:$C=$L1669),'env Parameter'!H:H,""),"")</f>
        <v>생물상 조사</v>
      </c>
      <c r="C1669" s="10" cm="1">
        <f t="array" ref="C1669">IFERROR(_xlfn.XLOOKUP(1,('env Parameter'!$A:$A=$A1669)*('env Parameter'!$B:$B=$K1669)*('env Parameter'!$C:$C=$L1669),'env Parameter'!E:E,""),"")</f>
        <v>2.14</v>
      </c>
      <c r="D1669" s="10" cm="1">
        <f t="array" ref="D1669">IFERROR(_xlfn.XLOOKUP(1,('env Parameter'!$A:$A=$A1669)*('env Parameter'!$B:$B=$K1669)*('env Parameter'!$C:$C=$L1669),'env Parameter'!F:F,""),"")</f>
        <v>478</v>
      </c>
      <c r="E1669" s="10" cm="1">
        <f t="array" ref="E1669">IFERROR(_xlfn.XLOOKUP(1,('env Parameter'!$A:$A=$A1669)*('env Parameter'!$B:$B=$K1669)*('env Parameter'!$C:$C=$L1669),'env Parameter'!G:G,""),"")</f>
        <v>7.6</v>
      </c>
      <c r="F1669" t="str">
        <f>eDNA!F1669</f>
        <v>MiFish</v>
      </c>
      <c r="G1669" t="str">
        <f>eDNA!D1669</f>
        <v>Sus scrofa</v>
      </c>
      <c r="H1669" t="str">
        <f>_xlfn.XLOOKUP(G1669,'Common name (master file)'!$B:$B,'Common name (master file)'!$A:$A,"-------------")</f>
        <v>멧돼지</v>
      </c>
      <c r="I1669">
        <f>eDNA!E1669</f>
        <v>263</v>
      </c>
      <c r="J1669" t="str">
        <f>_xlfn.XLOOKUP(G1669,'Common name (master file)'!$B:$B,'Common name (master file)'!$C:$C,"")</f>
        <v>포유류</v>
      </c>
      <c r="K1669">
        <f>eDNA!B1669</f>
        <v>126.970473</v>
      </c>
      <c r="L1669">
        <f>eDNA!C1669</f>
        <v>37.401905599999999</v>
      </c>
      <c r="M1669" s="10" t="str" cm="1">
        <f t="array" ref="M1669">IFERROR(_xlfn.XLOOKUP(1,('env Parameter'!$A:$A=$A1669)*('env Parameter'!$B:$B=$K1669)*('env Parameter'!$C:$C=$L1669),'env Parameter'!D:D,""),"")</f>
        <v>안양천-29</v>
      </c>
      <c r="N1669" s="10" t="str" cm="1">
        <f t="array" ref="N1669">IFERROR(_xlfn.XLOOKUP(1,('env Parameter'!$A:$A=$A1669)*('env Parameter'!$B:$B=$K1669)*('env Parameter'!$C:$C=$L1669),'env Parameter'!I:I,""),"")</f>
        <v>YR</v>
      </c>
    </row>
    <row r="1670" spans="1:14">
      <c r="A1670">
        <f>eDNA!A1670</f>
        <v>20201024</v>
      </c>
      <c r="B1670" s="10" t="str" cm="1">
        <f t="array" ref="B1670">IFERROR(_xlfn.XLOOKUP(1,('env Parameter'!$A:$A=$A1670)*('env Parameter'!$B:$B=$K1670)*('env Parameter'!$C:$C=$L1670),'env Parameter'!H:H,""),"")</f>
        <v>생물상 조사</v>
      </c>
      <c r="C1670" s="10" cm="1">
        <f t="array" ref="C1670">IFERROR(_xlfn.XLOOKUP(1,('env Parameter'!$A:$A=$A1670)*('env Parameter'!$B:$B=$K1670)*('env Parameter'!$C:$C=$L1670),'env Parameter'!E:E,""),"")</f>
        <v>2.14</v>
      </c>
      <c r="D1670" s="10" cm="1">
        <f t="array" ref="D1670">IFERROR(_xlfn.XLOOKUP(1,('env Parameter'!$A:$A=$A1670)*('env Parameter'!$B:$B=$K1670)*('env Parameter'!$C:$C=$L1670),'env Parameter'!F:F,""),"")</f>
        <v>478</v>
      </c>
      <c r="E1670" s="10" cm="1">
        <f t="array" ref="E1670">IFERROR(_xlfn.XLOOKUP(1,('env Parameter'!$A:$A=$A1670)*('env Parameter'!$B:$B=$K1670)*('env Parameter'!$C:$C=$L1670),'env Parameter'!G:G,""),"")</f>
        <v>7.6</v>
      </c>
      <c r="F1670" t="str">
        <f>eDNA!F1670</f>
        <v>MiFish</v>
      </c>
      <c r="G1670" t="str">
        <f>eDNA!D1670</f>
        <v>Culter dabryi</v>
      </c>
      <c r="H1670" t="str">
        <f>_xlfn.XLOOKUP(G1670,'Common name (master file)'!$B:$B,'Common name (master file)'!$A:$A,"-------------")</f>
        <v>다브리날카로운입치</v>
      </c>
      <c r="I1670">
        <f>eDNA!E1670</f>
        <v>159</v>
      </c>
      <c r="J1670" t="str">
        <f>_xlfn.XLOOKUP(G1670,'Common name (master file)'!$B:$B,'Common name (master file)'!$C:$C,"")</f>
        <v>어류</v>
      </c>
      <c r="K1670">
        <f>eDNA!B1670</f>
        <v>126.970473</v>
      </c>
      <c r="L1670">
        <f>eDNA!C1670</f>
        <v>37.401905599999999</v>
      </c>
      <c r="M1670" s="10" t="str" cm="1">
        <f t="array" ref="M1670">IFERROR(_xlfn.XLOOKUP(1,('env Parameter'!$A:$A=$A1670)*('env Parameter'!$B:$B=$K1670)*('env Parameter'!$C:$C=$L1670),'env Parameter'!D:D,""),"")</f>
        <v>안양천-29</v>
      </c>
      <c r="N1670" s="10" t="str" cm="1">
        <f t="array" ref="N1670">IFERROR(_xlfn.XLOOKUP(1,('env Parameter'!$A:$A=$A1670)*('env Parameter'!$B:$B=$K1670)*('env Parameter'!$C:$C=$L1670),'env Parameter'!I:I,""),"")</f>
        <v>YR</v>
      </c>
    </row>
    <row r="1671" spans="1:14">
      <c r="A1671">
        <f>eDNA!A1671</f>
        <v>20201024</v>
      </c>
      <c r="B1671" s="10" t="str" cm="1">
        <f t="array" ref="B1671">IFERROR(_xlfn.XLOOKUP(1,('env Parameter'!$A:$A=$A1671)*('env Parameter'!$B:$B=$K1671)*('env Parameter'!$C:$C=$L1671),'env Parameter'!H:H,""),"")</f>
        <v>생물상 조사</v>
      </c>
      <c r="C1671" s="10" cm="1">
        <f t="array" ref="C1671">IFERROR(_xlfn.XLOOKUP(1,('env Parameter'!$A:$A=$A1671)*('env Parameter'!$B:$B=$K1671)*('env Parameter'!$C:$C=$L1671),'env Parameter'!E:E,""),"")</f>
        <v>2.14</v>
      </c>
      <c r="D1671" s="10" cm="1">
        <f t="array" ref="D1671">IFERROR(_xlfn.XLOOKUP(1,('env Parameter'!$A:$A=$A1671)*('env Parameter'!$B:$B=$K1671)*('env Parameter'!$C:$C=$L1671),'env Parameter'!F:F,""),"")</f>
        <v>478</v>
      </c>
      <c r="E1671" s="10" cm="1">
        <f t="array" ref="E1671">IFERROR(_xlfn.XLOOKUP(1,('env Parameter'!$A:$A=$A1671)*('env Parameter'!$B:$B=$K1671)*('env Parameter'!$C:$C=$L1671),'env Parameter'!G:G,""),"")</f>
        <v>7.6</v>
      </c>
      <c r="F1671" t="str">
        <f>eDNA!F1671</f>
        <v>MiFish</v>
      </c>
      <c r="G1671" t="str">
        <f>eDNA!D1671</f>
        <v>Paramisgurnus dabryanus</v>
      </c>
      <c r="H1671" t="str">
        <f>_xlfn.XLOOKUP(G1671,'Common name (master file)'!$B:$B,'Common name (master file)'!$A:$A,"-------------")</f>
        <v>중국미꾸라지</v>
      </c>
      <c r="I1671">
        <f>eDNA!E1671</f>
        <v>210</v>
      </c>
      <c r="J1671" t="str">
        <f>_xlfn.XLOOKUP(G1671,'Common name (master file)'!$B:$B,'Common name (master file)'!$C:$C,"")</f>
        <v>어류</v>
      </c>
      <c r="K1671">
        <f>eDNA!B1671</f>
        <v>126.970473</v>
      </c>
      <c r="L1671">
        <f>eDNA!C1671</f>
        <v>37.401905599999999</v>
      </c>
      <c r="M1671" s="10" t="str" cm="1">
        <f t="array" ref="M1671">IFERROR(_xlfn.XLOOKUP(1,('env Parameter'!$A:$A=$A1671)*('env Parameter'!$B:$B=$K1671)*('env Parameter'!$C:$C=$L1671),'env Parameter'!D:D,""),"")</f>
        <v>안양천-29</v>
      </c>
      <c r="N1671" s="10" t="str" cm="1">
        <f t="array" ref="N1671">IFERROR(_xlfn.XLOOKUP(1,('env Parameter'!$A:$A=$A1671)*('env Parameter'!$B:$B=$K1671)*('env Parameter'!$C:$C=$L1671),'env Parameter'!I:I,""),"")</f>
        <v>YR</v>
      </c>
    </row>
    <row r="1672" spans="1:14">
      <c r="A1672">
        <f>eDNA!A1672</f>
        <v>20201024</v>
      </c>
      <c r="B1672" s="10" t="str" cm="1">
        <f t="array" ref="B1672">IFERROR(_xlfn.XLOOKUP(1,('env Parameter'!$A:$A=$A1672)*('env Parameter'!$B:$B=$K1672)*('env Parameter'!$C:$C=$L1672),'env Parameter'!H:H,""),"")</f>
        <v>생물상 조사</v>
      </c>
      <c r="C1672" s="10" cm="1">
        <f t="array" ref="C1672">IFERROR(_xlfn.XLOOKUP(1,('env Parameter'!$A:$A=$A1672)*('env Parameter'!$B:$B=$K1672)*('env Parameter'!$C:$C=$L1672),'env Parameter'!E:E,""),"")</f>
        <v>2.14</v>
      </c>
      <c r="D1672" s="10" cm="1">
        <f t="array" ref="D1672">IFERROR(_xlfn.XLOOKUP(1,('env Parameter'!$A:$A=$A1672)*('env Parameter'!$B:$B=$K1672)*('env Parameter'!$C:$C=$L1672),'env Parameter'!F:F,""),"")</f>
        <v>478</v>
      </c>
      <c r="E1672" s="10" cm="1">
        <f t="array" ref="E1672">IFERROR(_xlfn.XLOOKUP(1,('env Parameter'!$A:$A=$A1672)*('env Parameter'!$B:$B=$K1672)*('env Parameter'!$C:$C=$L1672),'env Parameter'!G:G,""),"")</f>
        <v>7.6</v>
      </c>
      <c r="F1672" t="str">
        <f>eDNA!F1672</f>
        <v>MiFish</v>
      </c>
      <c r="G1672" t="str">
        <f>eDNA!D1672</f>
        <v>Carassius sp.</v>
      </c>
      <c r="H1672" t="str">
        <f>_xlfn.XLOOKUP(G1672,'Common name (master file)'!$B:$B,'Common name (master file)'!$A:$A,"-------------")</f>
        <v>붕어 속</v>
      </c>
      <c r="I1672">
        <f>eDNA!E1672</f>
        <v>257</v>
      </c>
      <c r="J1672" t="str">
        <f>_xlfn.XLOOKUP(G1672,'Common name (master file)'!$B:$B,'Common name (master file)'!$C:$C,"")</f>
        <v>어류</v>
      </c>
      <c r="K1672">
        <f>eDNA!B1672</f>
        <v>126.970473</v>
      </c>
      <c r="L1672">
        <f>eDNA!C1672</f>
        <v>37.401905599999999</v>
      </c>
      <c r="M1672" s="10" t="str" cm="1">
        <f t="array" ref="M1672">IFERROR(_xlfn.XLOOKUP(1,('env Parameter'!$A:$A=$A1672)*('env Parameter'!$B:$B=$K1672)*('env Parameter'!$C:$C=$L1672),'env Parameter'!D:D,""),"")</f>
        <v>안양천-29</v>
      </c>
      <c r="N1672" s="10" t="str" cm="1">
        <f t="array" ref="N1672">IFERROR(_xlfn.XLOOKUP(1,('env Parameter'!$A:$A=$A1672)*('env Parameter'!$B:$B=$K1672)*('env Parameter'!$C:$C=$L1672),'env Parameter'!I:I,""),"")</f>
        <v>YR</v>
      </c>
    </row>
    <row r="1673" spans="1:14">
      <c r="A1673">
        <f>eDNA!A1673</f>
        <v>20201024</v>
      </c>
      <c r="B1673" s="10" t="str" cm="1">
        <f t="array" ref="B1673">IFERROR(_xlfn.XLOOKUP(1,('env Parameter'!$A:$A=$A1673)*('env Parameter'!$B:$B=$K1673)*('env Parameter'!$C:$C=$L1673),'env Parameter'!H:H,""),"")</f>
        <v>생물상 조사</v>
      </c>
      <c r="C1673" s="10" cm="1">
        <f t="array" ref="C1673">IFERROR(_xlfn.XLOOKUP(1,('env Parameter'!$A:$A=$A1673)*('env Parameter'!$B:$B=$K1673)*('env Parameter'!$C:$C=$L1673),'env Parameter'!E:E,""),"")</f>
        <v>2.14</v>
      </c>
      <c r="D1673" s="10" cm="1">
        <f t="array" ref="D1673">IFERROR(_xlfn.XLOOKUP(1,('env Parameter'!$A:$A=$A1673)*('env Parameter'!$B:$B=$K1673)*('env Parameter'!$C:$C=$L1673),'env Parameter'!F:F,""),"")</f>
        <v>478</v>
      </c>
      <c r="E1673" s="10" cm="1">
        <f t="array" ref="E1673">IFERROR(_xlfn.XLOOKUP(1,('env Parameter'!$A:$A=$A1673)*('env Parameter'!$B:$B=$K1673)*('env Parameter'!$C:$C=$L1673),'env Parameter'!G:G,""),"")</f>
        <v>7.6</v>
      </c>
      <c r="F1673" t="str">
        <f>eDNA!F1673</f>
        <v>MiFish</v>
      </c>
      <c r="G1673" t="str">
        <f>eDNA!D1673</f>
        <v>Mugil cephalus</v>
      </c>
      <c r="H1673" t="str">
        <f>_xlfn.XLOOKUP(G1673,'Common name (master file)'!$B:$B,'Common name (master file)'!$A:$A,"-------------")</f>
        <v>숭어</v>
      </c>
      <c r="I1673">
        <f>eDNA!E1673</f>
        <v>386</v>
      </c>
      <c r="J1673" t="str">
        <f>_xlfn.XLOOKUP(G1673,'Common name (master file)'!$B:$B,'Common name (master file)'!$C:$C,"")</f>
        <v>어류</v>
      </c>
      <c r="K1673">
        <f>eDNA!B1673</f>
        <v>126.970473</v>
      </c>
      <c r="L1673">
        <f>eDNA!C1673</f>
        <v>37.401905599999999</v>
      </c>
      <c r="M1673" s="10" t="str" cm="1">
        <f t="array" ref="M1673">IFERROR(_xlfn.XLOOKUP(1,('env Parameter'!$A:$A=$A1673)*('env Parameter'!$B:$B=$K1673)*('env Parameter'!$C:$C=$L1673),'env Parameter'!D:D,""),"")</f>
        <v>안양천-29</v>
      </c>
      <c r="N1673" s="10" t="str" cm="1">
        <f t="array" ref="N1673">IFERROR(_xlfn.XLOOKUP(1,('env Parameter'!$A:$A=$A1673)*('env Parameter'!$B:$B=$K1673)*('env Parameter'!$C:$C=$L1673),'env Parameter'!I:I,""),"")</f>
        <v>YR</v>
      </c>
    </row>
    <row r="1674" spans="1:14">
      <c r="A1674">
        <f>eDNA!A1674</f>
        <v>20201024</v>
      </c>
      <c r="B1674" s="10" t="str" cm="1">
        <f t="array" ref="B1674">IFERROR(_xlfn.XLOOKUP(1,('env Parameter'!$A:$A=$A1674)*('env Parameter'!$B:$B=$K1674)*('env Parameter'!$C:$C=$L1674),'env Parameter'!H:H,""),"")</f>
        <v>생물상 조사</v>
      </c>
      <c r="C1674" s="10" cm="1">
        <f t="array" ref="C1674">IFERROR(_xlfn.XLOOKUP(1,('env Parameter'!$A:$A=$A1674)*('env Parameter'!$B:$B=$K1674)*('env Parameter'!$C:$C=$L1674),'env Parameter'!E:E,""),"")</f>
        <v>2.14</v>
      </c>
      <c r="D1674" s="10" cm="1">
        <f t="array" ref="D1674">IFERROR(_xlfn.XLOOKUP(1,('env Parameter'!$A:$A=$A1674)*('env Parameter'!$B:$B=$K1674)*('env Parameter'!$C:$C=$L1674),'env Parameter'!F:F,""),"")</f>
        <v>478</v>
      </c>
      <c r="E1674" s="10" cm="1">
        <f t="array" ref="E1674">IFERROR(_xlfn.XLOOKUP(1,('env Parameter'!$A:$A=$A1674)*('env Parameter'!$B:$B=$K1674)*('env Parameter'!$C:$C=$L1674),'env Parameter'!G:G,""),"")</f>
        <v>7.6</v>
      </c>
      <c r="F1674" t="str">
        <f>eDNA!F1674</f>
        <v>MiFish</v>
      </c>
      <c r="G1674" t="str">
        <f>eDNA!D1674</f>
        <v>Gnathopogon strigatus</v>
      </c>
      <c r="H1674" t="str">
        <f>_xlfn.XLOOKUP(G1674,'Common name (master file)'!$B:$B,'Common name (master file)'!$A:$A,"-------------")</f>
        <v>줄몰개</v>
      </c>
      <c r="I1674">
        <f>eDNA!E1674</f>
        <v>1253</v>
      </c>
      <c r="J1674" t="str">
        <f>_xlfn.XLOOKUP(G1674,'Common name (master file)'!$B:$B,'Common name (master file)'!$C:$C,"")</f>
        <v>어류</v>
      </c>
      <c r="K1674">
        <f>eDNA!B1674</f>
        <v>126.970473</v>
      </c>
      <c r="L1674">
        <f>eDNA!C1674</f>
        <v>37.401905599999999</v>
      </c>
      <c r="M1674" s="10" t="str" cm="1">
        <f t="array" ref="M1674">IFERROR(_xlfn.XLOOKUP(1,('env Parameter'!$A:$A=$A1674)*('env Parameter'!$B:$B=$K1674)*('env Parameter'!$C:$C=$L1674),'env Parameter'!D:D,""),"")</f>
        <v>안양천-29</v>
      </c>
      <c r="N1674" s="10" t="str" cm="1">
        <f t="array" ref="N1674">IFERROR(_xlfn.XLOOKUP(1,('env Parameter'!$A:$A=$A1674)*('env Parameter'!$B:$B=$K1674)*('env Parameter'!$C:$C=$L1674),'env Parameter'!I:I,""),"")</f>
        <v>YR</v>
      </c>
    </row>
    <row r="1675" spans="1:14">
      <c r="A1675">
        <f>eDNA!A1675</f>
        <v>20201024</v>
      </c>
      <c r="B1675" s="10" t="str" cm="1">
        <f t="array" ref="B1675">IFERROR(_xlfn.XLOOKUP(1,('env Parameter'!$A:$A=$A1675)*('env Parameter'!$B:$B=$K1675)*('env Parameter'!$C:$C=$L1675),'env Parameter'!H:H,""),"")</f>
        <v>생물상 조사</v>
      </c>
      <c r="C1675" s="10" cm="1">
        <f t="array" ref="C1675">IFERROR(_xlfn.XLOOKUP(1,('env Parameter'!$A:$A=$A1675)*('env Parameter'!$B:$B=$K1675)*('env Parameter'!$C:$C=$L1675),'env Parameter'!E:E,""),"")</f>
        <v>2.14</v>
      </c>
      <c r="D1675" s="10" cm="1">
        <f t="array" ref="D1675">IFERROR(_xlfn.XLOOKUP(1,('env Parameter'!$A:$A=$A1675)*('env Parameter'!$B:$B=$K1675)*('env Parameter'!$C:$C=$L1675),'env Parameter'!F:F,""),"")</f>
        <v>478</v>
      </c>
      <c r="E1675" s="10" cm="1">
        <f t="array" ref="E1675">IFERROR(_xlfn.XLOOKUP(1,('env Parameter'!$A:$A=$A1675)*('env Parameter'!$B:$B=$K1675)*('env Parameter'!$C:$C=$L1675),'env Parameter'!G:G,""),"")</f>
        <v>7.6</v>
      </c>
      <c r="F1675" t="str">
        <f>eDNA!F1675</f>
        <v>MiFish</v>
      </c>
      <c r="G1675" t="str">
        <f>eDNA!D1675</f>
        <v>Channa argus</v>
      </c>
      <c r="H1675" t="str">
        <f>_xlfn.XLOOKUP(G1675,'Common name (master file)'!$B:$B,'Common name (master file)'!$A:$A,"-------------")</f>
        <v>가물치</v>
      </c>
      <c r="I1675">
        <f>eDNA!E1675</f>
        <v>844</v>
      </c>
      <c r="J1675" t="str">
        <f>_xlfn.XLOOKUP(G1675,'Common name (master file)'!$B:$B,'Common name (master file)'!$C:$C,"")</f>
        <v>어류</v>
      </c>
      <c r="K1675">
        <f>eDNA!B1675</f>
        <v>126.970473</v>
      </c>
      <c r="L1675">
        <f>eDNA!C1675</f>
        <v>37.401905599999999</v>
      </c>
      <c r="M1675" s="10" t="str" cm="1">
        <f t="array" ref="M1675">IFERROR(_xlfn.XLOOKUP(1,('env Parameter'!$A:$A=$A1675)*('env Parameter'!$B:$B=$K1675)*('env Parameter'!$C:$C=$L1675),'env Parameter'!D:D,""),"")</f>
        <v>안양천-29</v>
      </c>
      <c r="N1675" s="10" t="str" cm="1">
        <f t="array" ref="N1675">IFERROR(_xlfn.XLOOKUP(1,('env Parameter'!$A:$A=$A1675)*('env Parameter'!$B:$B=$K1675)*('env Parameter'!$C:$C=$L1675),'env Parameter'!I:I,""),"")</f>
        <v>YR</v>
      </c>
    </row>
    <row r="1676" spans="1:14">
      <c r="A1676">
        <f>eDNA!A1676</f>
        <v>20201024</v>
      </c>
      <c r="B1676" s="10" t="str" cm="1">
        <f t="array" ref="B1676">IFERROR(_xlfn.XLOOKUP(1,('env Parameter'!$A:$A=$A1676)*('env Parameter'!$B:$B=$K1676)*('env Parameter'!$C:$C=$L1676),'env Parameter'!H:H,""),"")</f>
        <v>생물상 조사</v>
      </c>
      <c r="C1676" s="10" cm="1">
        <f t="array" ref="C1676">IFERROR(_xlfn.XLOOKUP(1,('env Parameter'!$A:$A=$A1676)*('env Parameter'!$B:$B=$K1676)*('env Parameter'!$C:$C=$L1676),'env Parameter'!E:E,""),"")</f>
        <v>2.14</v>
      </c>
      <c r="D1676" s="10" cm="1">
        <f t="array" ref="D1676">IFERROR(_xlfn.XLOOKUP(1,('env Parameter'!$A:$A=$A1676)*('env Parameter'!$B:$B=$K1676)*('env Parameter'!$C:$C=$L1676),'env Parameter'!F:F,""),"")</f>
        <v>478</v>
      </c>
      <c r="E1676" s="10" cm="1">
        <f t="array" ref="E1676">IFERROR(_xlfn.XLOOKUP(1,('env Parameter'!$A:$A=$A1676)*('env Parameter'!$B:$B=$K1676)*('env Parameter'!$C:$C=$L1676),'env Parameter'!G:G,""),"")</f>
        <v>7.6</v>
      </c>
      <c r="F1676" t="str">
        <f>eDNA!F1676</f>
        <v>MiFish</v>
      </c>
      <c r="G1676" t="str">
        <f>eDNA!D1676</f>
        <v>Hemibarbus sp.</v>
      </c>
      <c r="H1676" t="str">
        <f>_xlfn.XLOOKUP(G1676,'Common name (master file)'!$B:$B,'Common name (master file)'!$A:$A,"-------------")</f>
        <v>누치 속</v>
      </c>
      <c r="I1676">
        <f>eDNA!E1676</f>
        <v>899</v>
      </c>
      <c r="J1676" t="str">
        <f>_xlfn.XLOOKUP(G1676,'Common name (master file)'!$B:$B,'Common name (master file)'!$C:$C,"")</f>
        <v>어류</v>
      </c>
      <c r="K1676">
        <f>eDNA!B1676</f>
        <v>126.970473</v>
      </c>
      <c r="L1676">
        <f>eDNA!C1676</f>
        <v>37.401905599999999</v>
      </c>
      <c r="M1676" s="10" t="str" cm="1">
        <f t="array" ref="M1676">IFERROR(_xlfn.XLOOKUP(1,('env Parameter'!$A:$A=$A1676)*('env Parameter'!$B:$B=$K1676)*('env Parameter'!$C:$C=$L1676),'env Parameter'!D:D,""),"")</f>
        <v>안양천-29</v>
      </c>
      <c r="N1676" s="10" t="str" cm="1">
        <f t="array" ref="N1676">IFERROR(_xlfn.XLOOKUP(1,('env Parameter'!$A:$A=$A1676)*('env Parameter'!$B:$B=$K1676)*('env Parameter'!$C:$C=$L1676),'env Parameter'!I:I,""),"")</f>
        <v>YR</v>
      </c>
    </row>
    <row r="1677" spans="1:14">
      <c r="A1677">
        <f>eDNA!A1677</f>
        <v>20201024</v>
      </c>
      <c r="B1677" s="10" t="str" cm="1">
        <f t="array" ref="B1677">IFERROR(_xlfn.XLOOKUP(1,('env Parameter'!$A:$A=$A1677)*('env Parameter'!$B:$B=$K1677)*('env Parameter'!$C:$C=$L1677),'env Parameter'!H:H,""),"")</f>
        <v>생물상 조사</v>
      </c>
      <c r="C1677" s="10" cm="1">
        <f t="array" ref="C1677">IFERROR(_xlfn.XLOOKUP(1,('env Parameter'!$A:$A=$A1677)*('env Parameter'!$B:$B=$K1677)*('env Parameter'!$C:$C=$L1677),'env Parameter'!E:E,""),"")</f>
        <v>2.14</v>
      </c>
      <c r="D1677" s="10" cm="1">
        <f t="array" ref="D1677">IFERROR(_xlfn.XLOOKUP(1,('env Parameter'!$A:$A=$A1677)*('env Parameter'!$B:$B=$K1677)*('env Parameter'!$C:$C=$L1677),'env Parameter'!F:F,""),"")</f>
        <v>478</v>
      </c>
      <c r="E1677" s="10" cm="1">
        <f t="array" ref="E1677">IFERROR(_xlfn.XLOOKUP(1,('env Parameter'!$A:$A=$A1677)*('env Parameter'!$B:$B=$K1677)*('env Parameter'!$C:$C=$L1677),'env Parameter'!G:G,""),"")</f>
        <v>7.6</v>
      </c>
      <c r="F1677" t="str">
        <f>eDNA!F1677</f>
        <v>MiFish</v>
      </c>
      <c r="G1677" t="str">
        <f>eDNA!D1677</f>
        <v>Misgurnus mizolepis</v>
      </c>
      <c r="H1677" t="str">
        <f>_xlfn.XLOOKUP(G1677,'Common name (master file)'!$B:$B,'Common name (master file)'!$A:$A,"-------------")</f>
        <v>미꾸라지</v>
      </c>
      <c r="I1677">
        <f>eDNA!E1677</f>
        <v>1208</v>
      </c>
      <c r="J1677" t="str">
        <f>_xlfn.XLOOKUP(G1677,'Common name (master file)'!$B:$B,'Common name (master file)'!$C:$C,"")</f>
        <v>어류</v>
      </c>
      <c r="K1677">
        <f>eDNA!B1677</f>
        <v>126.970473</v>
      </c>
      <c r="L1677">
        <f>eDNA!C1677</f>
        <v>37.401905599999999</v>
      </c>
      <c r="M1677" s="10" t="str" cm="1">
        <f t="array" ref="M1677">IFERROR(_xlfn.XLOOKUP(1,('env Parameter'!$A:$A=$A1677)*('env Parameter'!$B:$B=$K1677)*('env Parameter'!$C:$C=$L1677),'env Parameter'!D:D,""),"")</f>
        <v>안양천-29</v>
      </c>
      <c r="N1677" s="10" t="str" cm="1">
        <f t="array" ref="N1677">IFERROR(_xlfn.XLOOKUP(1,('env Parameter'!$A:$A=$A1677)*('env Parameter'!$B:$B=$K1677)*('env Parameter'!$C:$C=$L1677),'env Parameter'!I:I,""),"")</f>
        <v>YR</v>
      </c>
    </row>
    <row r="1678" spans="1:14">
      <c r="A1678">
        <f>eDNA!A1678</f>
        <v>20201024</v>
      </c>
      <c r="B1678" s="10" t="str" cm="1">
        <f t="array" ref="B1678">IFERROR(_xlfn.XLOOKUP(1,('env Parameter'!$A:$A=$A1678)*('env Parameter'!$B:$B=$K1678)*('env Parameter'!$C:$C=$L1678),'env Parameter'!H:H,""),"")</f>
        <v>생물상 조사</v>
      </c>
      <c r="C1678" s="10" cm="1">
        <f t="array" ref="C1678">IFERROR(_xlfn.XLOOKUP(1,('env Parameter'!$A:$A=$A1678)*('env Parameter'!$B:$B=$K1678)*('env Parameter'!$C:$C=$L1678),'env Parameter'!E:E,""),"")</f>
        <v>2.14</v>
      </c>
      <c r="D1678" s="10" cm="1">
        <f t="array" ref="D1678">IFERROR(_xlfn.XLOOKUP(1,('env Parameter'!$A:$A=$A1678)*('env Parameter'!$B:$B=$K1678)*('env Parameter'!$C:$C=$L1678),'env Parameter'!F:F,""),"")</f>
        <v>478</v>
      </c>
      <c r="E1678" s="10" cm="1">
        <f t="array" ref="E1678">IFERROR(_xlfn.XLOOKUP(1,('env Parameter'!$A:$A=$A1678)*('env Parameter'!$B:$B=$K1678)*('env Parameter'!$C:$C=$L1678),'env Parameter'!G:G,""),"")</f>
        <v>7.6</v>
      </c>
      <c r="F1678" t="str">
        <f>eDNA!F1678</f>
        <v>MiFish</v>
      </c>
      <c r="G1678" t="str">
        <f>eDNA!D1678</f>
        <v>Lepomis macrochirus</v>
      </c>
      <c r="H1678" t="str">
        <f>_xlfn.XLOOKUP(G1678,'Common name (master file)'!$B:$B,'Common name (master file)'!$A:$A,"-------------")</f>
        <v>블루길</v>
      </c>
      <c r="I1678">
        <f>eDNA!E1678</f>
        <v>1279</v>
      </c>
      <c r="J1678" t="str">
        <f>_xlfn.XLOOKUP(G1678,'Common name (master file)'!$B:$B,'Common name (master file)'!$C:$C,"")</f>
        <v>어류</v>
      </c>
      <c r="K1678">
        <f>eDNA!B1678</f>
        <v>126.970473</v>
      </c>
      <c r="L1678">
        <f>eDNA!C1678</f>
        <v>37.401905599999999</v>
      </c>
      <c r="M1678" s="10" t="str" cm="1">
        <f t="array" ref="M1678">IFERROR(_xlfn.XLOOKUP(1,('env Parameter'!$A:$A=$A1678)*('env Parameter'!$B:$B=$K1678)*('env Parameter'!$C:$C=$L1678),'env Parameter'!D:D,""),"")</f>
        <v>안양천-29</v>
      </c>
      <c r="N1678" s="10" t="str" cm="1">
        <f t="array" ref="N1678">IFERROR(_xlfn.XLOOKUP(1,('env Parameter'!$A:$A=$A1678)*('env Parameter'!$B:$B=$K1678)*('env Parameter'!$C:$C=$L1678),'env Parameter'!I:I,""),"")</f>
        <v>YR</v>
      </c>
    </row>
    <row r="1679" spans="1:14">
      <c r="A1679">
        <f>eDNA!A1679</f>
        <v>20201024</v>
      </c>
      <c r="B1679" s="10" t="str" cm="1">
        <f t="array" ref="B1679">IFERROR(_xlfn.XLOOKUP(1,('env Parameter'!$A:$A=$A1679)*('env Parameter'!$B:$B=$K1679)*('env Parameter'!$C:$C=$L1679),'env Parameter'!H:H,""),"")</f>
        <v>생물상 조사</v>
      </c>
      <c r="C1679" s="10" cm="1">
        <f t="array" ref="C1679">IFERROR(_xlfn.XLOOKUP(1,('env Parameter'!$A:$A=$A1679)*('env Parameter'!$B:$B=$K1679)*('env Parameter'!$C:$C=$L1679),'env Parameter'!E:E,""),"")</f>
        <v>2.14</v>
      </c>
      <c r="D1679" s="10" cm="1">
        <f t="array" ref="D1679">IFERROR(_xlfn.XLOOKUP(1,('env Parameter'!$A:$A=$A1679)*('env Parameter'!$B:$B=$K1679)*('env Parameter'!$C:$C=$L1679),'env Parameter'!F:F,""),"")</f>
        <v>478</v>
      </c>
      <c r="E1679" s="10" cm="1">
        <f t="array" ref="E1679">IFERROR(_xlfn.XLOOKUP(1,('env Parameter'!$A:$A=$A1679)*('env Parameter'!$B:$B=$K1679)*('env Parameter'!$C:$C=$L1679),'env Parameter'!G:G,""),"")</f>
        <v>7.6</v>
      </c>
      <c r="F1679" t="str">
        <f>eDNA!F1679</f>
        <v>MiFish</v>
      </c>
      <c r="G1679" t="str">
        <f>eDNA!D1679</f>
        <v>Cyprinus carpio</v>
      </c>
      <c r="H1679" t="str">
        <f>_xlfn.XLOOKUP(G1679,'Common name (master file)'!$B:$B,'Common name (master file)'!$A:$A,"-------------")</f>
        <v>잉어</v>
      </c>
      <c r="I1679">
        <f>eDNA!E1679</f>
        <v>1339</v>
      </c>
      <c r="J1679" t="str">
        <f>_xlfn.XLOOKUP(G1679,'Common name (master file)'!$B:$B,'Common name (master file)'!$C:$C,"")</f>
        <v>어류</v>
      </c>
      <c r="K1679">
        <f>eDNA!B1679</f>
        <v>126.970473</v>
      </c>
      <c r="L1679">
        <f>eDNA!C1679</f>
        <v>37.401905599999999</v>
      </c>
      <c r="M1679" s="10" t="str" cm="1">
        <f t="array" ref="M1679">IFERROR(_xlfn.XLOOKUP(1,('env Parameter'!$A:$A=$A1679)*('env Parameter'!$B:$B=$K1679)*('env Parameter'!$C:$C=$L1679),'env Parameter'!D:D,""),"")</f>
        <v>안양천-29</v>
      </c>
      <c r="N1679" s="10" t="str" cm="1">
        <f t="array" ref="N1679">IFERROR(_xlfn.XLOOKUP(1,('env Parameter'!$A:$A=$A1679)*('env Parameter'!$B:$B=$K1679)*('env Parameter'!$C:$C=$L1679),'env Parameter'!I:I,""),"")</f>
        <v>YR</v>
      </c>
    </row>
    <row r="1680" spans="1:14">
      <c r="A1680">
        <f>eDNA!A1680</f>
        <v>20201024</v>
      </c>
      <c r="B1680" s="10" t="str" cm="1">
        <f t="array" ref="B1680">IFERROR(_xlfn.XLOOKUP(1,('env Parameter'!$A:$A=$A1680)*('env Parameter'!$B:$B=$K1680)*('env Parameter'!$C:$C=$L1680),'env Parameter'!H:H,""),"")</f>
        <v>생물상 조사</v>
      </c>
      <c r="C1680" s="10" cm="1">
        <f t="array" ref="C1680">IFERROR(_xlfn.XLOOKUP(1,('env Parameter'!$A:$A=$A1680)*('env Parameter'!$B:$B=$K1680)*('env Parameter'!$C:$C=$L1680),'env Parameter'!E:E,""),"")</f>
        <v>2.14</v>
      </c>
      <c r="D1680" s="10" cm="1">
        <f t="array" ref="D1680">IFERROR(_xlfn.XLOOKUP(1,('env Parameter'!$A:$A=$A1680)*('env Parameter'!$B:$B=$K1680)*('env Parameter'!$C:$C=$L1680),'env Parameter'!F:F,""),"")</f>
        <v>478</v>
      </c>
      <c r="E1680" s="10" cm="1">
        <f t="array" ref="E1680">IFERROR(_xlfn.XLOOKUP(1,('env Parameter'!$A:$A=$A1680)*('env Parameter'!$B:$B=$K1680)*('env Parameter'!$C:$C=$L1680),'env Parameter'!G:G,""),"")</f>
        <v>7.6</v>
      </c>
      <c r="F1680" t="str">
        <f>eDNA!F1680</f>
        <v>MiFish</v>
      </c>
      <c r="G1680" t="str">
        <f>eDNA!D1680</f>
        <v>Rhinogobius giurinus</v>
      </c>
      <c r="H1680" t="str">
        <f>_xlfn.XLOOKUP(G1680,'Common name (master file)'!$B:$B,'Common name (master file)'!$A:$A,"-------------")</f>
        <v>갈문망둑</v>
      </c>
      <c r="I1680">
        <f>eDNA!E1680</f>
        <v>1726</v>
      </c>
      <c r="J1680" t="str">
        <f>_xlfn.XLOOKUP(G1680,'Common name (master file)'!$B:$B,'Common name (master file)'!$C:$C,"")</f>
        <v>어류</v>
      </c>
      <c r="K1680">
        <f>eDNA!B1680</f>
        <v>126.970473</v>
      </c>
      <c r="L1680">
        <f>eDNA!C1680</f>
        <v>37.401905599999999</v>
      </c>
      <c r="M1680" s="10" t="str" cm="1">
        <f t="array" ref="M1680">IFERROR(_xlfn.XLOOKUP(1,('env Parameter'!$A:$A=$A1680)*('env Parameter'!$B:$B=$K1680)*('env Parameter'!$C:$C=$L1680),'env Parameter'!D:D,""),"")</f>
        <v>안양천-29</v>
      </c>
      <c r="N1680" s="10" t="str" cm="1">
        <f t="array" ref="N1680">IFERROR(_xlfn.XLOOKUP(1,('env Parameter'!$A:$A=$A1680)*('env Parameter'!$B:$B=$K1680)*('env Parameter'!$C:$C=$L1680),'env Parameter'!I:I,""),"")</f>
        <v>YR</v>
      </c>
    </row>
    <row r="1681" spans="1:14">
      <c r="A1681">
        <f>eDNA!A1681</f>
        <v>20201024</v>
      </c>
      <c r="B1681" s="10" t="str" cm="1">
        <f t="array" ref="B1681">IFERROR(_xlfn.XLOOKUP(1,('env Parameter'!$A:$A=$A1681)*('env Parameter'!$B:$B=$K1681)*('env Parameter'!$C:$C=$L1681),'env Parameter'!H:H,""),"")</f>
        <v>생물상 조사</v>
      </c>
      <c r="C1681" s="10" cm="1">
        <f t="array" ref="C1681">IFERROR(_xlfn.XLOOKUP(1,('env Parameter'!$A:$A=$A1681)*('env Parameter'!$B:$B=$K1681)*('env Parameter'!$C:$C=$L1681),'env Parameter'!E:E,""),"")</f>
        <v>2.14</v>
      </c>
      <c r="D1681" s="10" cm="1">
        <f t="array" ref="D1681">IFERROR(_xlfn.XLOOKUP(1,('env Parameter'!$A:$A=$A1681)*('env Parameter'!$B:$B=$K1681)*('env Parameter'!$C:$C=$L1681),'env Parameter'!F:F,""),"")</f>
        <v>478</v>
      </c>
      <c r="E1681" s="10" cm="1">
        <f t="array" ref="E1681">IFERROR(_xlfn.XLOOKUP(1,('env Parameter'!$A:$A=$A1681)*('env Parameter'!$B:$B=$K1681)*('env Parameter'!$C:$C=$L1681),'env Parameter'!G:G,""),"")</f>
        <v>7.6</v>
      </c>
      <c r="F1681" t="str">
        <f>eDNA!F1681</f>
        <v>MiFish</v>
      </c>
      <c r="G1681" t="str">
        <f>eDNA!D1681</f>
        <v>Micropterus salmoides</v>
      </c>
      <c r="H1681" t="str">
        <f>_xlfn.XLOOKUP(G1681,'Common name (master file)'!$B:$B,'Common name (master file)'!$A:$A,"-------------")</f>
        <v>큰입배스</v>
      </c>
      <c r="I1681">
        <f>eDNA!E1681</f>
        <v>2341</v>
      </c>
      <c r="J1681" t="str">
        <f>_xlfn.XLOOKUP(G1681,'Common name (master file)'!$B:$B,'Common name (master file)'!$C:$C,"")</f>
        <v>어류</v>
      </c>
      <c r="K1681">
        <f>eDNA!B1681</f>
        <v>126.970473</v>
      </c>
      <c r="L1681">
        <f>eDNA!C1681</f>
        <v>37.401905599999999</v>
      </c>
      <c r="M1681" s="10" t="str" cm="1">
        <f t="array" ref="M1681">IFERROR(_xlfn.XLOOKUP(1,('env Parameter'!$A:$A=$A1681)*('env Parameter'!$B:$B=$K1681)*('env Parameter'!$C:$C=$L1681),'env Parameter'!D:D,""),"")</f>
        <v>안양천-29</v>
      </c>
      <c r="N1681" s="10" t="str" cm="1">
        <f t="array" ref="N1681">IFERROR(_xlfn.XLOOKUP(1,('env Parameter'!$A:$A=$A1681)*('env Parameter'!$B:$B=$K1681)*('env Parameter'!$C:$C=$L1681),'env Parameter'!I:I,""),"")</f>
        <v>YR</v>
      </c>
    </row>
    <row r="1682" spans="1:14">
      <c r="A1682">
        <f>eDNA!A1682</f>
        <v>20201024</v>
      </c>
      <c r="B1682" s="10" t="str" cm="1">
        <f t="array" ref="B1682">IFERROR(_xlfn.XLOOKUP(1,('env Parameter'!$A:$A=$A1682)*('env Parameter'!$B:$B=$K1682)*('env Parameter'!$C:$C=$L1682),'env Parameter'!H:H,""),"")</f>
        <v>생물상 조사</v>
      </c>
      <c r="C1682" s="10" cm="1">
        <f t="array" ref="C1682">IFERROR(_xlfn.XLOOKUP(1,('env Parameter'!$A:$A=$A1682)*('env Parameter'!$B:$B=$K1682)*('env Parameter'!$C:$C=$L1682),'env Parameter'!E:E,""),"")</f>
        <v>2.14</v>
      </c>
      <c r="D1682" s="10" cm="1">
        <f t="array" ref="D1682">IFERROR(_xlfn.XLOOKUP(1,('env Parameter'!$A:$A=$A1682)*('env Parameter'!$B:$B=$K1682)*('env Parameter'!$C:$C=$L1682),'env Parameter'!F:F,""),"")</f>
        <v>478</v>
      </c>
      <c r="E1682" s="10" cm="1">
        <f t="array" ref="E1682">IFERROR(_xlfn.XLOOKUP(1,('env Parameter'!$A:$A=$A1682)*('env Parameter'!$B:$B=$K1682)*('env Parameter'!$C:$C=$L1682),'env Parameter'!G:G,""),"")</f>
        <v>7.6</v>
      </c>
      <c r="F1682" t="str">
        <f>eDNA!F1682</f>
        <v>MiFish</v>
      </c>
      <c r="G1682" t="str">
        <f>eDNA!D1682</f>
        <v>Silurus soldatovi</v>
      </c>
      <c r="H1682" t="str">
        <f>_xlfn.XLOOKUP(G1682,'Common name (master file)'!$B:$B,'Common name (master file)'!$A:$A,"-------------")</f>
        <v>솔다토비 메기</v>
      </c>
      <c r="I1682">
        <f>eDNA!E1682</f>
        <v>2575</v>
      </c>
      <c r="J1682" t="str">
        <f>_xlfn.XLOOKUP(G1682,'Common name (master file)'!$B:$B,'Common name (master file)'!$C:$C,"")</f>
        <v>어류</v>
      </c>
      <c r="K1682">
        <f>eDNA!B1682</f>
        <v>126.970473</v>
      </c>
      <c r="L1682">
        <f>eDNA!C1682</f>
        <v>37.401905599999999</v>
      </c>
      <c r="M1682" s="10" t="str" cm="1">
        <f t="array" ref="M1682">IFERROR(_xlfn.XLOOKUP(1,('env Parameter'!$A:$A=$A1682)*('env Parameter'!$B:$B=$K1682)*('env Parameter'!$C:$C=$L1682),'env Parameter'!D:D,""),"")</f>
        <v>안양천-29</v>
      </c>
      <c r="N1682" s="10" t="str" cm="1">
        <f t="array" ref="N1682">IFERROR(_xlfn.XLOOKUP(1,('env Parameter'!$A:$A=$A1682)*('env Parameter'!$B:$B=$K1682)*('env Parameter'!$C:$C=$L1682),'env Parameter'!I:I,""),"")</f>
        <v>YR</v>
      </c>
    </row>
    <row r="1683" spans="1:14">
      <c r="A1683">
        <f>eDNA!A1683</f>
        <v>20201024</v>
      </c>
      <c r="B1683" s="10" t="str" cm="1">
        <f t="array" ref="B1683">IFERROR(_xlfn.XLOOKUP(1,('env Parameter'!$A:$A=$A1683)*('env Parameter'!$B:$B=$K1683)*('env Parameter'!$C:$C=$L1683),'env Parameter'!H:H,""),"")</f>
        <v>생물상 조사</v>
      </c>
      <c r="C1683" s="10" cm="1">
        <f t="array" ref="C1683">IFERROR(_xlfn.XLOOKUP(1,('env Parameter'!$A:$A=$A1683)*('env Parameter'!$B:$B=$K1683)*('env Parameter'!$C:$C=$L1683),'env Parameter'!E:E,""),"")</f>
        <v>2.14</v>
      </c>
      <c r="D1683" s="10" cm="1">
        <f t="array" ref="D1683">IFERROR(_xlfn.XLOOKUP(1,('env Parameter'!$A:$A=$A1683)*('env Parameter'!$B:$B=$K1683)*('env Parameter'!$C:$C=$L1683),'env Parameter'!F:F,""),"")</f>
        <v>478</v>
      </c>
      <c r="E1683" s="10" cm="1">
        <f t="array" ref="E1683">IFERROR(_xlfn.XLOOKUP(1,('env Parameter'!$A:$A=$A1683)*('env Parameter'!$B:$B=$K1683)*('env Parameter'!$C:$C=$L1683),'env Parameter'!G:G,""),"")</f>
        <v>7.6</v>
      </c>
      <c r="F1683" t="str">
        <f>eDNA!F1683</f>
        <v>MiFish</v>
      </c>
      <c r="G1683" t="str">
        <f>eDNA!D1683</f>
        <v>Pseudogobio esocinus</v>
      </c>
      <c r="H1683" t="str">
        <f>_xlfn.XLOOKUP(G1683,'Common name (master file)'!$B:$B,'Common name (master file)'!$A:$A,"-------------")</f>
        <v>모래무지</v>
      </c>
      <c r="I1683">
        <f>eDNA!E1683</f>
        <v>7443</v>
      </c>
      <c r="J1683" t="str">
        <f>_xlfn.XLOOKUP(G1683,'Common name (master file)'!$B:$B,'Common name (master file)'!$C:$C,"")</f>
        <v>어류</v>
      </c>
      <c r="K1683">
        <f>eDNA!B1683</f>
        <v>126.970473</v>
      </c>
      <c r="L1683">
        <f>eDNA!C1683</f>
        <v>37.401905599999999</v>
      </c>
      <c r="M1683" s="10" t="str" cm="1">
        <f t="array" ref="M1683">IFERROR(_xlfn.XLOOKUP(1,('env Parameter'!$A:$A=$A1683)*('env Parameter'!$B:$B=$K1683)*('env Parameter'!$C:$C=$L1683),'env Parameter'!D:D,""),"")</f>
        <v>안양천-29</v>
      </c>
      <c r="N1683" s="10" t="str" cm="1">
        <f t="array" ref="N1683">IFERROR(_xlfn.XLOOKUP(1,('env Parameter'!$A:$A=$A1683)*('env Parameter'!$B:$B=$K1683)*('env Parameter'!$C:$C=$L1683),'env Parameter'!I:I,""),"")</f>
        <v>YR</v>
      </c>
    </row>
    <row r="1684" spans="1:14">
      <c r="A1684">
        <f>eDNA!A1684</f>
        <v>20201024</v>
      </c>
      <c r="B1684" s="10" t="str" cm="1">
        <f t="array" ref="B1684">IFERROR(_xlfn.XLOOKUP(1,('env Parameter'!$A:$A=$A1684)*('env Parameter'!$B:$B=$K1684)*('env Parameter'!$C:$C=$L1684),'env Parameter'!H:H,""),"")</f>
        <v>생물상 조사</v>
      </c>
      <c r="C1684" s="10" cm="1">
        <f t="array" ref="C1684">IFERROR(_xlfn.XLOOKUP(1,('env Parameter'!$A:$A=$A1684)*('env Parameter'!$B:$B=$K1684)*('env Parameter'!$C:$C=$L1684),'env Parameter'!E:E,""),"")</f>
        <v>2.14</v>
      </c>
      <c r="D1684" s="10" cm="1">
        <f t="array" ref="D1684">IFERROR(_xlfn.XLOOKUP(1,('env Parameter'!$A:$A=$A1684)*('env Parameter'!$B:$B=$K1684)*('env Parameter'!$C:$C=$L1684),'env Parameter'!F:F,""),"")</f>
        <v>478</v>
      </c>
      <c r="E1684" s="10" cm="1">
        <f t="array" ref="E1684">IFERROR(_xlfn.XLOOKUP(1,('env Parameter'!$A:$A=$A1684)*('env Parameter'!$B:$B=$K1684)*('env Parameter'!$C:$C=$L1684),'env Parameter'!G:G,""),"")</f>
        <v>7.6</v>
      </c>
      <c r="F1684" t="str">
        <f>eDNA!F1684</f>
        <v>MiFish</v>
      </c>
      <c r="G1684" t="str">
        <f>eDNA!D1684</f>
        <v>Rhinogobius sp.</v>
      </c>
      <c r="H1684" t="str">
        <f>_xlfn.XLOOKUP(G1684,'Common name (master file)'!$B:$B,'Common name (master file)'!$A:$A,"-------------")</f>
        <v>밀어</v>
      </c>
      <c r="I1684">
        <f>eDNA!E1684</f>
        <v>6546</v>
      </c>
      <c r="J1684" t="str">
        <f>_xlfn.XLOOKUP(G1684,'Common name (master file)'!$B:$B,'Common name (master file)'!$C:$C,"")</f>
        <v>어류</v>
      </c>
      <c r="K1684">
        <f>eDNA!B1684</f>
        <v>126.970473</v>
      </c>
      <c r="L1684">
        <f>eDNA!C1684</f>
        <v>37.401905599999999</v>
      </c>
      <c r="M1684" s="10" t="str" cm="1">
        <f t="array" ref="M1684">IFERROR(_xlfn.XLOOKUP(1,('env Parameter'!$A:$A=$A1684)*('env Parameter'!$B:$B=$K1684)*('env Parameter'!$C:$C=$L1684),'env Parameter'!D:D,""),"")</f>
        <v>안양천-29</v>
      </c>
      <c r="N1684" s="10" t="str" cm="1">
        <f t="array" ref="N1684">IFERROR(_xlfn.XLOOKUP(1,('env Parameter'!$A:$A=$A1684)*('env Parameter'!$B:$B=$K1684)*('env Parameter'!$C:$C=$L1684),'env Parameter'!I:I,""),"")</f>
        <v>YR</v>
      </c>
    </row>
    <row r="1685" spans="1:14">
      <c r="A1685">
        <f>eDNA!A1685</f>
        <v>20201024</v>
      </c>
      <c r="B1685" s="10" t="str" cm="1">
        <f t="array" ref="B1685">IFERROR(_xlfn.XLOOKUP(1,('env Parameter'!$A:$A=$A1685)*('env Parameter'!$B:$B=$K1685)*('env Parameter'!$C:$C=$L1685),'env Parameter'!H:H,""),"")</f>
        <v>생물상 조사</v>
      </c>
      <c r="C1685" s="10" cm="1">
        <f t="array" ref="C1685">IFERROR(_xlfn.XLOOKUP(1,('env Parameter'!$A:$A=$A1685)*('env Parameter'!$B:$B=$K1685)*('env Parameter'!$C:$C=$L1685),'env Parameter'!E:E,""),"")</f>
        <v>2.14</v>
      </c>
      <c r="D1685" s="10" cm="1">
        <f t="array" ref="D1685">IFERROR(_xlfn.XLOOKUP(1,('env Parameter'!$A:$A=$A1685)*('env Parameter'!$B:$B=$K1685)*('env Parameter'!$C:$C=$L1685),'env Parameter'!F:F,""),"")</f>
        <v>478</v>
      </c>
      <c r="E1685" s="10" cm="1">
        <f t="array" ref="E1685">IFERROR(_xlfn.XLOOKUP(1,('env Parameter'!$A:$A=$A1685)*('env Parameter'!$B:$B=$K1685)*('env Parameter'!$C:$C=$L1685),'env Parameter'!G:G,""),"")</f>
        <v>7.6</v>
      </c>
      <c r="F1685" t="str">
        <f>eDNA!F1685</f>
        <v>MiFish</v>
      </c>
      <c r="G1685" t="str">
        <f>eDNA!D1685</f>
        <v>Carassius gibelio</v>
      </c>
      <c r="H1685" t="str">
        <f>_xlfn.XLOOKUP(G1685,'Common name (master file)'!$B:$B,'Common name (master file)'!$A:$A,"-------------")</f>
        <v>기벨리오 붕어</v>
      </c>
      <c r="I1685">
        <f>eDNA!E1685</f>
        <v>7378</v>
      </c>
      <c r="J1685" t="str">
        <f>_xlfn.XLOOKUP(G1685,'Common name (master file)'!$B:$B,'Common name (master file)'!$C:$C,"")</f>
        <v>어류</v>
      </c>
      <c r="K1685">
        <f>eDNA!B1685</f>
        <v>126.970473</v>
      </c>
      <c r="L1685">
        <f>eDNA!C1685</f>
        <v>37.401905599999999</v>
      </c>
      <c r="M1685" s="10" t="str" cm="1">
        <f t="array" ref="M1685">IFERROR(_xlfn.XLOOKUP(1,('env Parameter'!$A:$A=$A1685)*('env Parameter'!$B:$B=$K1685)*('env Parameter'!$C:$C=$L1685),'env Parameter'!D:D,""),"")</f>
        <v>안양천-29</v>
      </c>
      <c r="N1685" s="10" t="str" cm="1">
        <f t="array" ref="N1685">IFERROR(_xlfn.XLOOKUP(1,('env Parameter'!$A:$A=$A1685)*('env Parameter'!$B:$B=$K1685)*('env Parameter'!$C:$C=$L1685),'env Parameter'!I:I,""),"")</f>
        <v>YR</v>
      </c>
    </row>
    <row r="1686" spans="1:14">
      <c r="A1686">
        <f>eDNA!A1686</f>
        <v>20201024</v>
      </c>
      <c r="B1686" s="10" t="str" cm="1">
        <f t="array" ref="B1686">IFERROR(_xlfn.XLOOKUP(1,('env Parameter'!$A:$A=$A1686)*('env Parameter'!$B:$B=$K1686)*('env Parameter'!$C:$C=$L1686),'env Parameter'!H:H,""),"")</f>
        <v>생물상 조사</v>
      </c>
      <c r="C1686" s="10" cm="1">
        <f t="array" ref="C1686">IFERROR(_xlfn.XLOOKUP(1,('env Parameter'!$A:$A=$A1686)*('env Parameter'!$B:$B=$K1686)*('env Parameter'!$C:$C=$L1686),'env Parameter'!E:E,""),"")</f>
        <v>2.14</v>
      </c>
      <c r="D1686" s="10" cm="1">
        <f t="array" ref="D1686">IFERROR(_xlfn.XLOOKUP(1,('env Parameter'!$A:$A=$A1686)*('env Parameter'!$B:$B=$K1686)*('env Parameter'!$C:$C=$L1686),'env Parameter'!F:F,""),"")</f>
        <v>478</v>
      </c>
      <c r="E1686" s="10" cm="1">
        <f t="array" ref="E1686">IFERROR(_xlfn.XLOOKUP(1,('env Parameter'!$A:$A=$A1686)*('env Parameter'!$B:$B=$K1686)*('env Parameter'!$C:$C=$L1686),'env Parameter'!G:G,""),"")</f>
        <v>7.6</v>
      </c>
      <c r="F1686" t="str">
        <f>eDNA!F1686</f>
        <v>MiFish</v>
      </c>
      <c r="G1686" t="str">
        <f>eDNA!D1686</f>
        <v>Odontobutis interrupta</v>
      </c>
      <c r="H1686" t="str">
        <f>_xlfn.XLOOKUP(G1686,'Common name (master file)'!$B:$B,'Common name (master file)'!$A:$A,"-------------")</f>
        <v>얼록동사리</v>
      </c>
      <c r="I1686">
        <f>eDNA!E1686</f>
        <v>15881</v>
      </c>
      <c r="J1686" t="str">
        <f>_xlfn.XLOOKUP(G1686,'Common name (master file)'!$B:$B,'Common name (master file)'!$C:$C,"")</f>
        <v>어류</v>
      </c>
      <c r="K1686">
        <f>eDNA!B1686</f>
        <v>126.970473</v>
      </c>
      <c r="L1686">
        <f>eDNA!C1686</f>
        <v>37.401905599999999</v>
      </c>
      <c r="M1686" s="10" t="str" cm="1">
        <f t="array" ref="M1686">IFERROR(_xlfn.XLOOKUP(1,('env Parameter'!$A:$A=$A1686)*('env Parameter'!$B:$B=$K1686)*('env Parameter'!$C:$C=$L1686),'env Parameter'!D:D,""),"")</f>
        <v>안양천-29</v>
      </c>
      <c r="N1686" s="10" t="str" cm="1">
        <f t="array" ref="N1686">IFERROR(_xlfn.XLOOKUP(1,('env Parameter'!$A:$A=$A1686)*('env Parameter'!$B:$B=$K1686)*('env Parameter'!$C:$C=$L1686),'env Parameter'!I:I,""),"")</f>
        <v>YR</v>
      </c>
    </row>
    <row r="1687" spans="1:14">
      <c r="A1687">
        <f>eDNA!A1687</f>
        <v>20201024</v>
      </c>
      <c r="B1687" s="10" t="str" cm="1">
        <f t="array" ref="B1687">IFERROR(_xlfn.XLOOKUP(1,('env Parameter'!$A:$A=$A1687)*('env Parameter'!$B:$B=$K1687)*('env Parameter'!$C:$C=$L1687),'env Parameter'!H:H,""),"")</f>
        <v>생물상 조사</v>
      </c>
      <c r="C1687" s="10" cm="1">
        <f t="array" ref="C1687">IFERROR(_xlfn.XLOOKUP(1,('env Parameter'!$A:$A=$A1687)*('env Parameter'!$B:$B=$K1687)*('env Parameter'!$C:$C=$L1687),'env Parameter'!E:E,""),"")</f>
        <v>2.14</v>
      </c>
      <c r="D1687" s="10" cm="1">
        <f t="array" ref="D1687">IFERROR(_xlfn.XLOOKUP(1,('env Parameter'!$A:$A=$A1687)*('env Parameter'!$B:$B=$K1687)*('env Parameter'!$C:$C=$L1687),'env Parameter'!F:F,""),"")</f>
        <v>478</v>
      </c>
      <c r="E1687" s="10" cm="1">
        <f t="array" ref="E1687">IFERROR(_xlfn.XLOOKUP(1,('env Parameter'!$A:$A=$A1687)*('env Parameter'!$B:$B=$K1687)*('env Parameter'!$C:$C=$L1687),'env Parameter'!G:G,""),"")</f>
        <v>7.6</v>
      </c>
      <c r="F1687" t="str">
        <f>eDNA!F1687</f>
        <v>MiFish</v>
      </c>
      <c r="G1687" t="str">
        <f>eDNA!D1687</f>
        <v>Zacco platypus</v>
      </c>
      <c r="H1687" t="str">
        <f>_xlfn.XLOOKUP(G1687,'Common name (master file)'!$B:$B,'Common name (master file)'!$A:$A,"-------------")</f>
        <v>피라미</v>
      </c>
      <c r="I1687">
        <f>eDNA!E1687</f>
        <v>50288</v>
      </c>
      <c r="J1687" t="str">
        <f>_xlfn.XLOOKUP(G1687,'Common name (master file)'!$B:$B,'Common name (master file)'!$C:$C,"")</f>
        <v>어류</v>
      </c>
      <c r="K1687">
        <f>eDNA!B1687</f>
        <v>126.970473</v>
      </c>
      <c r="L1687">
        <f>eDNA!C1687</f>
        <v>37.401905599999999</v>
      </c>
      <c r="M1687" s="10" t="str" cm="1">
        <f t="array" ref="M1687">IFERROR(_xlfn.XLOOKUP(1,('env Parameter'!$A:$A=$A1687)*('env Parameter'!$B:$B=$K1687)*('env Parameter'!$C:$C=$L1687),'env Parameter'!D:D,""),"")</f>
        <v>안양천-29</v>
      </c>
      <c r="N1687" s="10" t="str" cm="1">
        <f t="array" ref="N1687">IFERROR(_xlfn.XLOOKUP(1,('env Parameter'!$A:$A=$A1687)*('env Parameter'!$B:$B=$K1687)*('env Parameter'!$C:$C=$L1687),'env Parameter'!I:I,""),"")</f>
        <v>YR</v>
      </c>
    </row>
    <row r="1688" spans="1:14">
      <c r="A1688">
        <f>eDNA!A1688</f>
        <v>20201024</v>
      </c>
      <c r="B1688" s="10" t="str" cm="1">
        <f t="array" ref="B1688">IFERROR(_xlfn.XLOOKUP(1,('env Parameter'!$A:$A=$A1688)*('env Parameter'!$B:$B=$K1688)*('env Parameter'!$C:$C=$L1688),'env Parameter'!H:H,""),"")</f>
        <v>생물상 조사</v>
      </c>
      <c r="C1688" s="10" cm="1">
        <f t="array" ref="C1688">IFERROR(_xlfn.XLOOKUP(1,('env Parameter'!$A:$A=$A1688)*('env Parameter'!$B:$B=$K1688)*('env Parameter'!$C:$C=$L1688),'env Parameter'!E:E,""),"")</f>
        <v>2.14</v>
      </c>
      <c r="D1688" s="10" cm="1">
        <f t="array" ref="D1688">IFERROR(_xlfn.XLOOKUP(1,('env Parameter'!$A:$A=$A1688)*('env Parameter'!$B:$B=$K1688)*('env Parameter'!$C:$C=$L1688),'env Parameter'!F:F,""),"")</f>
        <v>478</v>
      </c>
      <c r="E1688" s="10" cm="1">
        <f t="array" ref="E1688">IFERROR(_xlfn.XLOOKUP(1,('env Parameter'!$A:$A=$A1688)*('env Parameter'!$B:$B=$K1688)*('env Parameter'!$C:$C=$L1688),'env Parameter'!G:G,""),"")</f>
        <v>7.6</v>
      </c>
      <c r="F1688" t="str">
        <f>eDNA!F1688</f>
        <v>MiFish</v>
      </c>
      <c r="G1688" t="str">
        <f>eDNA!D1688</f>
        <v>Pseudorasbora parva</v>
      </c>
      <c r="H1688" t="str">
        <f>_xlfn.XLOOKUP(G1688,'Common name (master file)'!$B:$B,'Common name (master file)'!$A:$A,"-------------")</f>
        <v>참붕어</v>
      </c>
      <c r="I1688">
        <f>eDNA!E1688</f>
        <v>39938</v>
      </c>
      <c r="J1688" t="str">
        <f>_xlfn.XLOOKUP(G1688,'Common name (master file)'!$B:$B,'Common name (master file)'!$C:$C,"")</f>
        <v>어류</v>
      </c>
      <c r="K1688">
        <f>eDNA!B1688</f>
        <v>126.970473</v>
      </c>
      <c r="L1688">
        <f>eDNA!C1688</f>
        <v>37.401905599999999</v>
      </c>
      <c r="M1688" s="10" t="str" cm="1">
        <f t="array" ref="M1688">IFERROR(_xlfn.XLOOKUP(1,('env Parameter'!$A:$A=$A1688)*('env Parameter'!$B:$B=$K1688)*('env Parameter'!$C:$C=$L1688),'env Parameter'!D:D,""),"")</f>
        <v>안양천-29</v>
      </c>
      <c r="N1688" s="10" t="str" cm="1">
        <f t="array" ref="N1688">IFERROR(_xlfn.XLOOKUP(1,('env Parameter'!$A:$A=$A1688)*('env Parameter'!$B:$B=$K1688)*('env Parameter'!$C:$C=$L1688),'env Parameter'!I:I,""),"")</f>
        <v>YR</v>
      </c>
    </row>
    <row r="1689" spans="1:14">
      <c r="A1689">
        <f>eDNA!A1689</f>
        <v>20201024</v>
      </c>
      <c r="B1689" s="10" t="str" cm="1">
        <f t="array" ref="B1689">IFERROR(_xlfn.XLOOKUP(1,('env Parameter'!$A:$A=$A1689)*('env Parameter'!$B:$B=$K1689)*('env Parameter'!$C:$C=$L1689),'env Parameter'!H:H,""),"")</f>
        <v>생물상 조사</v>
      </c>
      <c r="C1689" s="10" cm="1">
        <f t="array" ref="C1689">IFERROR(_xlfn.XLOOKUP(1,('env Parameter'!$A:$A=$A1689)*('env Parameter'!$B:$B=$K1689)*('env Parameter'!$C:$C=$L1689),'env Parameter'!E:E,""),"")</f>
        <v>2.14</v>
      </c>
      <c r="D1689" s="10" cm="1">
        <f t="array" ref="D1689">IFERROR(_xlfn.XLOOKUP(1,('env Parameter'!$A:$A=$A1689)*('env Parameter'!$B:$B=$K1689)*('env Parameter'!$C:$C=$L1689),'env Parameter'!F:F,""),"")</f>
        <v>478</v>
      </c>
      <c r="E1689" s="10" cm="1">
        <f t="array" ref="E1689">IFERROR(_xlfn.XLOOKUP(1,('env Parameter'!$A:$A=$A1689)*('env Parameter'!$B:$B=$K1689)*('env Parameter'!$C:$C=$L1689),'env Parameter'!G:G,""),"")</f>
        <v>7.6</v>
      </c>
      <c r="F1689" t="str">
        <f>eDNA!F1689</f>
        <v>MiFish</v>
      </c>
      <c r="G1689" t="str">
        <f>eDNA!D1689</f>
        <v>Tadorna tadorna</v>
      </c>
      <c r="H1689" t="str">
        <f>_xlfn.XLOOKUP(G1689,'Common name (master file)'!$B:$B,'Common name (master file)'!$A:$A,"-------------")</f>
        <v>혹부리오리</v>
      </c>
      <c r="I1689">
        <f>eDNA!E1689</f>
        <v>15</v>
      </c>
      <c r="J1689" t="str">
        <f>_xlfn.XLOOKUP(G1689,'Common name (master file)'!$B:$B,'Common name (master file)'!$C:$C,"")</f>
        <v>조류</v>
      </c>
      <c r="K1689">
        <f>eDNA!B1689</f>
        <v>126.9866722</v>
      </c>
      <c r="L1689">
        <f>eDNA!C1689</f>
        <v>37.398721700000003</v>
      </c>
      <c r="M1689" s="10" t="str" cm="1">
        <f t="array" ref="M1689">IFERROR(_xlfn.XLOOKUP(1,('env Parameter'!$A:$A=$A1689)*('env Parameter'!$B:$B=$K1689)*('env Parameter'!$C:$C=$L1689),'env Parameter'!D:D,""),"")</f>
        <v>안양천-30</v>
      </c>
      <c r="N1689" s="10" t="str" cm="1">
        <f t="array" ref="N1689">IFERROR(_xlfn.XLOOKUP(1,('env Parameter'!$A:$A=$A1689)*('env Parameter'!$B:$B=$K1689)*('env Parameter'!$C:$C=$L1689),'env Parameter'!I:I,""),"")</f>
        <v>YR</v>
      </c>
    </row>
    <row r="1690" spans="1:14">
      <c r="A1690">
        <f>eDNA!A1690</f>
        <v>20201024</v>
      </c>
      <c r="B1690" s="10" t="str" cm="1">
        <f t="array" ref="B1690">IFERROR(_xlfn.XLOOKUP(1,('env Parameter'!$A:$A=$A1690)*('env Parameter'!$B:$B=$K1690)*('env Parameter'!$C:$C=$L1690),'env Parameter'!H:H,""),"")</f>
        <v>생물상 조사</v>
      </c>
      <c r="C1690" s="10" cm="1">
        <f t="array" ref="C1690">IFERROR(_xlfn.XLOOKUP(1,('env Parameter'!$A:$A=$A1690)*('env Parameter'!$B:$B=$K1690)*('env Parameter'!$C:$C=$L1690),'env Parameter'!E:E,""),"")</f>
        <v>2.14</v>
      </c>
      <c r="D1690" s="10" cm="1">
        <f t="array" ref="D1690">IFERROR(_xlfn.XLOOKUP(1,('env Parameter'!$A:$A=$A1690)*('env Parameter'!$B:$B=$K1690)*('env Parameter'!$C:$C=$L1690),'env Parameter'!F:F,""),"")</f>
        <v>478</v>
      </c>
      <c r="E1690" s="10" cm="1">
        <f t="array" ref="E1690">IFERROR(_xlfn.XLOOKUP(1,('env Parameter'!$A:$A=$A1690)*('env Parameter'!$B:$B=$K1690)*('env Parameter'!$C:$C=$L1690),'env Parameter'!G:G,""),"")</f>
        <v>7.6</v>
      </c>
      <c r="F1690" t="str">
        <f>eDNA!F1690</f>
        <v>MiFish</v>
      </c>
      <c r="G1690" t="str">
        <f>eDNA!D1690</f>
        <v>Tribolodon hakonensis</v>
      </c>
      <c r="H1690" t="str">
        <f>_xlfn.XLOOKUP(G1690,'Common name (master file)'!$B:$B,'Common name (master file)'!$A:$A,"-------------")</f>
        <v>황어</v>
      </c>
      <c r="I1690">
        <f>eDNA!E1690</f>
        <v>123</v>
      </c>
      <c r="J1690" t="str">
        <f>_xlfn.XLOOKUP(G1690,'Common name (master file)'!$B:$B,'Common name (master file)'!$C:$C,"")</f>
        <v>어류</v>
      </c>
      <c r="K1690">
        <f>eDNA!B1690</f>
        <v>126.9070155</v>
      </c>
      <c r="L1690">
        <f>eDNA!C1690</f>
        <v>37.385953200000003</v>
      </c>
      <c r="M1690" s="10" t="str" cm="1">
        <f t="array" ref="M1690">IFERROR(_xlfn.XLOOKUP(1,('env Parameter'!$A:$A=$A1690)*('env Parameter'!$B:$B=$K1690)*('env Parameter'!$C:$C=$L1690),'env Parameter'!D:D,""),"")</f>
        <v>수암천</v>
      </c>
      <c r="N1690" s="10" t="str" cm="1">
        <f t="array" ref="N1690">IFERROR(_xlfn.XLOOKUP(1,('env Parameter'!$A:$A=$A1690)*('env Parameter'!$B:$B=$K1690)*('env Parameter'!$C:$C=$L1690),'env Parameter'!I:I,""),"")</f>
        <v>YR</v>
      </c>
    </row>
    <row r="1691" spans="1:14">
      <c r="A1691">
        <f>eDNA!A1691</f>
        <v>20201024</v>
      </c>
      <c r="B1691" s="10" t="str" cm="1">
        <f t="array" ref="B1691">IFERROR(_xlfn.XLOOKUP(1,('env Parameter'!$A:$A=$A1691)*('env Parameter'!$B:$B=$K1691)*('env Parameter'!$C:$C=$L1691),'env Parameter'!H:H,""),"")</f>
        <v>생물상 조사</v>
      </c>
      <c r="C1691" s="10" cm="1">
        <f t="array" ref="C1691">IFERROR(_xlfn.XLOOKUP(1,('env Parameter'!$A:$A=$A1691)*('env Parameter'!$B:$B=$K1691)*('env Parameter'!$C:$C=$L1691),'env Parameter'!E:E,""),"")</f>
        <v>2.14</v>
      </c>
      <c r="D1691" s="10" cm="1">
        <f t="array" ref="D1691">IFERROR(_xlfn.XLOOKUP(1,('env Parameter'!$A:$A=$A1691)*('env Parameter'!$B:$B=$K1691)*('env Parameter'!$C:$C=$L1691),'env Parameter'!F:F,""),"")</f>
        <v>478</v>
      </c>
      <c r="E1691" s="10" cm="1">
        <f t="array" ref="E1691">IFERROR(_xlfn.XLOOKUP(1,('env Parameter'!$A:$A=$A1691)*('env Parameter'!$B:$B=$K1691)*('env Parameter'!$C:$C=$L1691),'env Parameter'!G:G,""),"")</f>
        <v>7.6</v>
      </c>
      <c r="F1691" t="str">
        <f>eDNA!F1691</f>
        <v>MiFish</v>
      </c>
      <c r="G1691" t="str">
        <f>eDNA!D1691</f>
        <v>Carassius auratus</v>
      </c>
      <c r="H1691" t="str">
        <f>_xlfn.XLOOKUP(G1691,'Common name (master file)'!$B:$B,'Common name (master file)'!$A:$A,"-------------")</f>
        <v>붕어</v>
      </c>
      <c r="I1691">
        <f>eDNA!E1691</f>
        <v>19</v>
      </c>
      <c r="J1691" t="str">
        <f>_xlfn.XLOOKUP(G1691,'Common name (master file)'!$B:$B,'Common name (master file)'!$C:$C,"")</f>
        <v>어류</v>
      </c>
      <c r="K1691">
        <f>eDNA!B1691</f>
        <v>126.9866722</v>
      </c>
      <c r="L1691">
        <f>eDNA!C1691</f>
        <v>37.398721700000003</v>
      </c>
      <c r="M1691" s="10" t="str" cm="1">
        <f t="array" ref="M1691">IFERROR(_xlfn.XLOOKUP(1,('env Parameter'!$A:$A=$A1691)*('env Parameter'!$B:$B=$K1691)*('env Parameter'!$C:$C=$L1691),'env Parameter'!D:D,""),"")</f>
        <v>안양천-30</v>
      </c>
      <c r="N1691" s="10" t="str" cm="1">
        <f t="array" ref="N1691">IFERROR(_xlfn.XLOOKUP(1,('env Parameter'!$A:$A=$A1691)*('env Parameter'!$B:$B=$K1691)*('env Parameter'!$C:$C=$L1691),'env Parameter'!I:I,""),"")</f>
        <v>YR</v>
      </c>
    </row>
    <row r="1692" spans="1:14">
      <c r="A1692">
        <f>eDNA!A1692</f>
        <v>20201024</v>
      </c>
      <c r="B1692" s="10" t="str" cm="1">
        <f t="array" ref="B1692">IFERROR(_xlfn.XLOOKUP(1,('env Parameter'!$A:$A=$A1692)*('env Parameter'!$B:$B=$K1692)*('env Parameter'!$C:$C=$L1692),'env Parameter'!H:H,""),"")</f>
        <v>생물상 조사</v>
      </c>
      <c r="C1692" s="10" cm="1">
        <f t="array" ref="C1692">IFERROR(_xlfn.XLOOKUP(1,('env Parameter'!$A:$A=$A1692)*('env Parameter'!$B:$B=$K1692)*('env Parameter'!$C:$C=$L1692),'env Parameter'!E:E,""),"")</f>
        <v>2.14</v>
      </c>
      <c r="D1692" s="10" cm="1">
        <f t="array" ref="D1692">IFERROR(_xlfn.XLOOKUP(1,('env Parameter'!$A:$A=$A1692)*('env Parameter'!$B:$B=$K1692)*('env Parameter'!$C:$C=$L1692),'env Parameter'!F:F,""),"")</f>
        <v>478</v>
      </c>
      <c r="E1692" s="10" cm="1">
        <f t="array" ref="E1692">IFERROR(_xlfn.XLOOKUP(1,('env Parameter'!$A:$A=$A1692)*('env Parameter'!$B:$B=$K1692)*('env Parameter'!$C:$C=$L1692),'env Parameter'!G:G,""),"")</f>
        <v>7.6</v>
      </c>
      <c r="F1692" t="str">
        <f>eDNA!F1692</f>
        <v>MiFish</v>
      </c>
      <c r="G1692" t="str">
        <f>eDNA!D1692</f>
        <v>Hemibarbus maculatus</v>
      </c>
      <c r="H1692" t="str">
        <f>_xlfn.XLOOKUP(G1692,'Common name (master file)'!$B:$B,'Common name (master file)'!$A:$A,"-------------")</f>
        <v>알락누치</v>
      </c>
      <c r="I1692">
        <f>eDNA!E1692</f>
        <v>35</v>
      </c>
      <c r="J1692" t="str">
        <f>_xlfn.XLOOKUP(G1692,'Common name (master file)'!$B:$B,'Common name (master file)'!$C:$C,"")</f>
        <v>어류</v>
      </c>
      <c r="K1692">
        <f>eDNA!B1692</f>
        <v>126.9866722</v>
      </c>
      <c r="L1692">
        <f>eDNA!C1692</f>
        <v>37.398721700000003</v>
      </c>
      <c r="M1692" s="10" t="str" cm="1">
        <f t="array" ref="M1692">IFERROR(_xlfn.XLOOKUP(1,('env Parameter'!$A:$A=$A1692)*('env Parameter'!$B:$B=$K1692)*('env Parameter'!$C:$C=$L1692),'env Parameter'!D:D,""),"")</f>
        <v>안양천-30</v>
      </c>
      <c r="N1692" s="10" t="str" cm="1">
        <f t="array" ref="N1692">IFERROR(_xlfn.XLOOKUP(1,('env Parameter'!$A:$A=$A1692)*('env Parameter'!$B:$B=$K1692)*('env Parameter'!$C:$C=$L1692),'env Parameter'!I:I,""),"")</f>
        <v>YR</v>
      </c>
    </row>
    <row r="1693" spans="1:14">
      <c r="A1693">
        <f>eDNA!A1693</f>
        <v>20201024</v>
      </c>
      <c r="B1693" s="10" t="str" cm="1">
        <f t="array" ref="B1693">IFERROR(_xlfn.XLOOKUP(1,('env Parameter'!$A:$A=$A1693)*('env Parameter'!$B:$B=$K1693)*('env Parameter'!$C:$C=$L1693),'env Parameter'!H:H,""),"")</f>
        <v>생물상 조사</v>
      </c>
      <c r="C1693" s="10" cm="1">
        <f t="array" ref="C1693">IFERROR(_xlfn.XLOOKUP(1,('env Parameter'!$A:$A=$A1693)*('env Parameter'!$B:$B=$K1693)*('env Parameter'!$C:$C=$L1693),'env Parameter'!E:E,""),"")</f>
        <v>2.14</v>
      </c>
      <c r="D1693" s="10" cm="1">
        <f t="array" ref="D1693">IFERROR(_xlfn.XLOOKUP(1,('env Parameter'!$A:$A=$A1693)*('env Parameter'!$B:$B=$K1693)*('env Parameter'!$C:$C=$L1693),'env Parameter'!F:F,""),"")</f>
        <v>478</v>
      </c>
      <c r="E1693" s="10" cm="1">
        <f t="array" ref="E1693">IFERROR(_xlfn.XLOOKUP(1,('env Parameter'!$A:$A=$A1693)*('env Parameter'!$B:$B=$K1693)*('env Parameter'!$C:$C=$L1693),'env Parameter'!G:G,""),"")</f>
        <v>7.6</v>
      </c>
      <c r="F1693" t="str">
        <f>eDNA!F1693</f>
        <v>MiFish</v>
      </c>
      <c r="G1693" t="str">
        <f>eDNA!D1693</f>
        <v>Cyprinus megalophthalmus</v>
      </c>
      <c r="H1693" t="str">
        <f>_xlfn.XLOOKUP(G1693,'Common name (master file)'!$B:$B,'Common name (master file)'!$A:$A,"-------------")</f>
        <v>큰눈잉어</v>
      </c>
      <c r="I1693">
        <f>eDNA!E1693</f>
        <v>55</v>
      </c>
      <c r="J1693" t="str">
        <f>_xlfn.XLOOKUP(G1693,'Common name (master file)'!$B:$B,'Common name (master file)'!$C:$C,"")</f>
        <v>어류</v>
      </c>
      <c r="K1693">
        <f>eDNA!B1693</f>
        <v>126.9866722</v>
      </c>
      <c r="L1693">
        <f>eDNA!C1693</f>
        <v>37.398721700000003</v>
      </c>
      <c r="M1693" s="10" t="str" cm="1">
        <f t="array" ref="M1693">IFERROR(_xlfn.XLOOKUP(1,('env Parameter'!$A:$A=$A1693)*('env Parameter'!$B:$B=$K1693)*('env Parameter'!$C:$C=$L1693),'env Parameter'!D:D,""),"")</f>
        <v>안양천-30</v>
      </c>
      <c r="N1693" s="10" t="str" cm="1">
        <f t="array" ref="N1693">IFERROR(_xlfn.XLOOKUP(1,('env Parameter'!$A:$A=$A1693)*('env Parameter'!$B:$B=$K1693)*('env Parameter'!$C:$C=$L1693),'env Parameter'!I:I,""),"")</f>
        <v>YR</v>
      </c>
    </row>
    <row r="1694" spans="1:14">
      <c r="A1694">
        <f>eDNA!A1694</f>
        <v>20201024</v>
      </c>
      <c r="B1694" s="10" t="str" cm="1">
        <f t="array" ref="B1694">IFERROR(_xlfn.XLOOKUP(1,('env Parameter'!$A:$A=$A1694)*('env Parameter'!$B:$B=$K1694)*('env Parameter'!$C:$C=$L1694),'env Parameter'!H:H,""),"")</f>
        <v>생물상 조사</v>
      </c>
      <c r="C1694" s="10" cm="1">
        <f t="array" ref="C1694">IFERROR(_xlfn.XLOOKUP(1,('env Parameter'!$A:$A=$A1694)*('env Parameter'!$B:$B=$K1694)*('env Parameter'!$C:$C=$L1694),'env Parameter'!E:E,""),"")</f>
        <v>2.14</v>
      </c>
      <c r="D1694" s="10" cm="1">
        <f t="array" ref="D1694">IFERROR(_xlfn.XLOOKUP(1,('env Parameter'!$A:$A=$A1694)*('env Parameter'!$B:$B=$K1694)*('env Parameter'!$C:$C=$L1694),'env Parameter'!F:F,""),"")</f>
        <v>478</v>
      </c>
      <c r="E1694" s="10" cm="1">
        <f t="array" ref="E1694">IFERROR(_xlfn.XLOOKUP(1,('env Parameter'!$A:$A=$A1694)*('env Parameter'!$B:$B=$K1694)*('env Parameter'!$C:$C=$L1694),'env Parameter'!G:G,""),"")</f>
        <v>7.6</v>
      </c>
      <c r="F1694" t="str">
        <f>eDNA!F1694</f>
        <v>MiFish</v>
      </c>
      <c r="G1694" t="str">
        <f>eDNA!D1694</f>
        <v>Paramisgurnus dabryanus</v>
      </c>
      <c r="H1694" t="str">
        <f>_xlfn.XLOOKUP(G1694,'Common name (master file)'!$B:$B,'Common name (master file)'!$A:$A,"-------------")</f>
        <v>중국미꾸라지</v>
      </c>
      <c r="I1694">
        <f>eDNA!E1694</f>
        <v>61</v>
      </c>
      <c r="J1694" t="str">
        <f>_xlfn.XLOOKUP(G1694,'Common name (master file)'!$B:$B,'Common name (master file)'!$C:$C,"")</f>
        <v>어류</v>
      </c>
      <c r="K1694">
        <f>eDNA!B1694</f>
        <v>126.9866722</v>
      </c>
      <c r="L1694">
        <f>eDNA!C1694</f>
        <v>37.398721700000003</v>
      </c>
      <c r="M1694" s="10" t="str" cm="1">
        <f t="array" ref="M1694">IFERROR(_xlfn.XLOOKUP(1,('env Parameter'!$A:$A=$A1694)*('env Parameter'!$B:$B=$K1694)*('env Parameter'!$C:$C=$L1694),'env Parameter'!D:D,""),"")</f>
        <v>안양천-30</v>
      </c>
      <c r="N1694" s="10" t="str" cm="1">
        <f t="array" ref="N1694">IFERROR(_xlfn.XLOOKUP(1,('env Parameter'!$A:$A=$A1694)*('env Parameter'!$B:$B=$K1694)*('env Parameter'!$C:$C=$L1694),'env Parameter'!I:I,""),"")</f>
        <v>YR</v>
      </c>
    </row>
    <row r="1695" spans="1:14">
      <c r="A1695">
        <f>eDNA!A1695</f>
        <v>20201024</v>
      </c>
      <c r="B1695" s="10" t="str" cm="1">
        <f t="array" ref="B1695">IFERROR(_xlfn.XLOOKUP(1,('env Parameter'!$A:$A=$A1695)*('env Parameter'!$B:$B=$K1695)*('env Parameter'!$C:$C=$L1695),'env Parameter'!H:H,""),"")</f>
        <v>생물상 조사</v>
      </c>
      <c r="C1695" s="10" cm="1">
        <f t="array" ref="C1695">IFERROR(_xlfn.XLOOKUP(1,('env Parameter'!$A:$A=$A1695)*('env Parameter'!$B:$B=$K1695)*('env Parameter'!$C:$C=$L1695),'env Parameter'!E:E,""),"")</f>
        <v>2.14</v>
      </c>
      <c r="D1695" s="10" cm="1">
        <f t="array" ref="D1695">IFERROR(_xlfn.XLOOKUP(1,('env Parameter'!$A:$A=$A1695)*('env Parameter'!$B:$B=$K1695)*('env Parameter'!$C:$C=$L1695),'env Parameter'!F:F,""),"")</f>
        <v>478</v>
      </c>
      <c r="E1695" s="10" cm="1">
        <f t="array" ref="E1695">IFERROR(_xlfn.XLOOKUP(1,('env Parameter'!$A:$A=$A1695)*('env Parameter'!$B:$B=$K1695)*('env Parameter'!$C:$C=$L1695),'env Parameter'!G:G,""),"")</f>
        <v>7.6</v>
      </c>
      <c r="F1695" t="str">
        <f>eDNA!F1695</f>
        <v>MiFish</v>
      </c>
      <c r="G1695" t="str">
        <f>eDNA!D1695</f>
        <v>Homo sapiens</v>
      </c>
      <c r="H1695" t="str">
        <f>_xlfn.XLOOKUP(G1695,'Common name (master file)'!$B:$B,'Common name (master file)'!$A:$A,"-------------")</f>
        <v>사람</v>
      </c>
      <c r="I1695">
        <f>eDNA!E1695</f>
        <v>64</v>
      </c>
      <c r="J1695" t="str">
        <f>_xlfn.XLOOKUP(G1695,'Common name (master file)'!$B:$B,'Common name (master file)'!$C:$C,"")</f>
        <v>포유류</v>
      </c>
      <c r="K1695">
        <f>eDNA!B1695</f>
        <v>126.9866722</v>
      </c>
      <c r="L1695">
        <f>eDNA!C1695</f>
        <v>37.398721700000003</v>
      </c>
      <c r="M1695" s="10" t="str" cm="1">
        <f t="array" ref="M1695">IFERROR(_xlfn.XLOOKUP(1,('env Parameter'!$A:$A=$A1695)*('env Parameter'!$B:$B=$K1695)*('env Parameter'!$C:$C=$L1695),'env Parameter'!D:D,""),"")</f>
        <v>안양천-30</v>
      </c>
      <c r="N1695" s="10" t="str" cm="1">
        <f t="array" ref="N1695">IFERROR(_xlfn.XLOOKUP(1,('env Parameter'!$A:$A=$A1695)*('env Parameter'!$B:$B=$K1695)*('env Parameter'!$C:$C=$L1695),'env Parameter'!I:I,""),"")</f>
        <v>YR</v>
      </c>
    </row>
    <row r="1696" spans="1:14">
      <c r="A1696">
        <f>eDNA!A1696</f>
        <v>20201024</v>
      </c>
      <c r="B1696" s="10" t="str" cm="1">
        <f t="array" ref="B1696">IFERROR(_xlfn.XLOOKUP(1,('env Parameter'!$A:$A=$A1696)*('env Parameter'!$B:$B=$K1696)*('env Parameter'!$C:$C=$L1696),'env Parameter'!H:H,""),"")</f>
        <v>생물상 조사</v>
      </c>
      <c r="C1696" s="10" cm="1">
        <f t="array" ref="C1696">IFERROR(_xlfn.XLOOKUP(1,('env Parameter'!$A:$A=$A1696)*('env Parameter'!$B:$B=$K1696)*('env Parameter'!$C:$C=$L1696),'env Parameter'!E:E,""),"")</f>
        <v>2.14</v>
      </c>
      <c r="D1696" s="10" cm="1">
        <f t="array" ref="D1696">IFERROR(_xlfn.XLOOKUP(1,('env Parameter'!$A:$A=$A1696)*('env Parameter'!$B:$B=$K1696)*('env Parameter'!$C:$C=$L1696),'env Parameter'!F:F,""),"")</f>
        <v>478</v>
      </c>
      <c r="E1696" s="10" cm="1">
        <f t="array" ref="E1696">IFERROR(_xlfn.XLOOKUP(1,('env Parameter'!$A:$A=$A1696)*('env Parameter'!$B:$B=$K1696)*('env Parameter'!$C:$C=$L1696),'env Parameter'!G:G,""),"")</f>
        <v>7.6</v>
      </c>
      <c r="F1696" t="str">
        <f>eDNA!F1696</f>
        <v>MiFish</v>
      </c>
      <c r="G1696" t="str">
        <f>eDNA!D1696</f>
        <v>Culter dabryi</v>
      </c>
      <c r="H1696" t="str">
        <f>_xlfn.XLOOKUP(G1696,'Common name (master file)'!$B:$B,'Common name (master file)'!$A:$A,"-------------")</f>
        <v>다브리날카로운입치</v>
      </c>
      <c r="I1696">
        <f>eDNA!E1696</f>
        <v>193</v>
      </c>
      <c r="J1696" t="str">
        <f>_xlfn.XLOOKUP(G1696,'Common name (master file)'!$B:$B,'Common name (master file)'!$C:$C,"")</f>
        <v>어류</v>
      </c>
      <c r="K1696">
        <f>eDNA!B1696</f>
        <v>126.9866722</v>
      </c>
      <c r="L1696">
        <f>eDNA!C1696</f>
        <v>37.398721700000003</v>
      </c>
      <c r="M1696" s="10" t="str" cm="1">
        <f t="array" ref="M1696">IFERROR(_xlfn.XLOOKUP(1,('env Parameter'!$A:$A=$A1696)*('env Parameter'!$B:$B=$K1696)*('env Parameter'!$C:$C=$L1696),'env Parameter'!D:D,""),"")</f>
        <v>안양천-30</v>
      </c>
      <c r="N1696" s="10" t="str" cm="1">
        <f t="array" ref="N1696">IFERROR(_xlfn.XLOOKUP(1,('env Parameter'!$A:$A=$A1696)*('env Parameter'!$B:$B=$K1696)*('env Parameter'!$C:$C=$L1696),'env Parameter'!I:I,""),"")</f>
        <v>YR</v>
      </c>
    </row>
    <row r="1697" spans="1:14">
      <c r="A1697">
        <f>eDNA!A1697</f>
        <v>20201024</v>
      </c>
      <c r="B1697" s="10" t="str" cm="1">
        <f t="array" ref="B1697">IFERROR(_xlfn.XLOOKUP(1,('env Parameter'!$A:$A=$A1697)*('env Parameter'!$B:$B=$K1697)*('env Parameter'!$C:$C=$L1697),'env Parameter'!H:H,""),"")</f>
        <v>생물상 조사</v>
      </c>
      <c r="C1697" s="10" cm="1">
        <f t="array" ref="C1697">IFERROR(_xlfn.XLOOKUP(1,('env Parameter'!$A:$A=$A1697)*('env Parameter'!$B:$B=$K1697)*('env Parameter'!$C:$C=$L1697),'env Parameter'!E:E,""),"")</f>
        <v>2.14</v>
      </c>
      <c r="D1697" s="10" cm="1">
        <f t="array" ref="D1697">IFERROR(_xlfn.XLOOKUP(1,('env Parameter'!$A:$A=$A1697)*('env Parameter'!$B:$B=$K1697)*('env Parameter'!$C:$C=$L1697),'env Parameter'!F:F,""),"")</f>
        <v>478</v>
      </c>
      <c r="E1697" s="10" cm="1">
        <f t="array" ref="E1697">IFERROR(_xlfn.XLOOKUP(1,('env Parameter'!$A:$A=$A1697)*('env Parameter'!$B:$B=$K1697)*('env Parameter'!$C:$C=$L1697),'env Parameter'!G:G,""),"")</f>
        <v>7.6</v>
      </c>
      <c r="F1697" t="str">
        <f>eDNA!F1697</f>
        <v>MiFish</v>
      </c>
      <c r="G1697" t="str">
        <f>eDNA!D1697</f>
        <v>Rhinogobius giurinus</v>
      </c>
      <c r="H1697" t="str">
        <f>_xlfn.XLOOKUP(G1697,'Common name (master file)'!$B:$B,'Common name (master file)'!$A:$A,"-------------")</f>
        <v>갈문망둑</v>
      </c>
      <c r="I1697">
        <f>eDNA!E1697</f>
        <v>327</v>
      </c>
      <c r="J1697" t="str">
        <f>_xlfn.XLOOKUP(G1697,'Common name (master file)'!$B:$B,'Common name (master file)'!$C:$C,"")</f>
        <v>어류</v>
      </c>
      <c r="K1697">
        <f>eDNA!B1697</f>
        <v>126.9866722</v>
      </c>
      <c r="L1697">
        <f>eDNA!C1697</f>
        <v>37.398721700000003</v>
      </c>
      <c r="M1697" s="10" t="str" cm="1">
        <f t="array" ref="M1697">IFERROR(_xlfn.XLOOKUP(1,('env Parameter'!$A:$A=$A1697)*('env Parameter'!$B:$B=$K1697)*('env Parameter'!$C:$C=$L1697),'env Parameter'!D:D,""),"")</f>
        <v>안양천-30</v>
      </c>
      <c r="N1697" s="10" t="str" cm="1">
        <f t="array" ref="N1697">IFERROR(_xlfn.XLOOKUP(1,('env Parameter'!$A:$A=$A1697)*('env Parameter'!$B:$B=$K1697)*('env Parameter'!$C:$C=$L1697),'env Parameter'!I:I,""),"")</f>
        <v>YR</v>
      </c>
    </row>
    <row r="1698" spans="1:14">
      <c r="A1698">
        <f>eDNA!A1698</f>
        <v>20201024</v>
      </c>
      <c r="B1698" s="10" t="str" cm="1">
        <f t="array" ref="B1698">IFERROR(_xlfn.XLOOKUP(1,('env Parameter'!$A:$A=$A1698)*('env Parameter'!$B:$B=$K1698)*('env Parameter'!$C:$C=$L1698),'env Parameter'!H:H,""),"")</f>
        <v>생물상 조사</v>
      </c>
      <c r="C1698" s="10" cm="1">
        <f t="array" ref="C1698">IFERROR(_xlfn.XLOOKUP(1,('env Parameter'!$A:$A=$A1698)*('env Parameter'!$B:$B=$K1698)*('env Parameter'!$C:$C=$L1698),'env Parameter'!E:E,""),"")</f>
        <v>2.14</v>
      </c>
      <c r="D1698" s="10" cm="1">
        <f t="array" ref="D1698">IFERROR(_xlfn.XLOOKUP(1,('env Parameter'!$A:$A=$A1698)*('env Parameter'!$B:$B=$K1698)*('env Parameter'!$C:$C=$L1698),'env Parameter'!F:F,""),"")</f>
        <v>478</v>
      </c>
      <c r="E1698" s="10" cm="1">
        <f t="array" ref="E1698">IFERROR(_xlfn.XLOOKUP(1,('env Parameter'!$A:$A=$A1698)*('env Parameter'!$B:$B=$K1698)*('env Parameter'!$C:$C=$L1698),'env Parameter'!G:G,""),"")</f>
        <v>7.6</v>
      </c>
      <c r="F1698" t="str">
        <f>eDNA!F1698</f>
        <v>MiFish</v>
      </c>
      <c r="G1698" t="str">
        <f>eDNA!D1698</f>
        <v>Carassius sp.</v>
      </c>
      <c r="H1698" t="str">
        <f>_xlfn.XLOOKUP(G1698,'Common name (master file)'!$B:$B,'Common name (master file)'!$A:$A,"-------------")</f>
        <v>붕어 속</v>
      </c>
      <c r="I1698">
        <f>eDNA!E1698</f>
        <v>376</v>
      </c>
      <c r="J1698" t="str">
        <f>_xlfn.XLOOKUP(G1698,'Common name (master file)'!$B:$B,'Common name (master file)'!$C:$C,"")</f>
        <v>어류</v>
      </c>
      <c r="K1698">
        <f>eDNA!B1698</f>
        <v>126.9866722</v>
      </c>
      <c r="L1698">
        <f>eDNA!C1698</f>
        <v>37.398721700000003</v>
      </c>
      <c r="M1698" s="10" t="str" cm="1">
        <f t="array" ref="M1698">IFERROR(_xlfn.XLOOKUP(1,('env Parameter'!$A:$A=$A1698)*('env Parameter'!$B:$B=$K1698)*('env Parameter'!$C:$C=$L1698),'env Parameter'!D:D,""),"")</f>
        <v>안양천-30</v>
      </c>
      <c r="N1698" s="10" t="str" cm="1">
        <f t="array" ref="N1698">IFERROR(_xlfn.XLOOKUP(1,('env Parameter'!$A:$A=$A1698)*('env Parameter'!$B:$B=$K1698)*('env Parameter'!$C:$C=$L1698),'env Parameter'!I:I,""),"")</f>
        <v>YR</v>
      </c>
    </row>
    <row r="1699" spans="1:14">
      <c r="A1699">
        <f>eDNA!A1699</f>
        <v>20201024</v>
      </c>
      <c r="B1699" s="10" t="str" cm="1">
        <f t="array" ref="B1699">IFERROR(_xlfn.XLOOKUP(1,('env Parameter'!$A:$A=$A1699)*('env Parameter'!$B:$B=$K1699)*('env Parameter'!$C:$C=$L1699),'env Parameter'!H:H,""),"")</f>
        <v>생물상 조사</v>
      </c>
      <c r="C1699" s="10" cm="1">
        <f t="array" ref="C1699">IFERROR(_xlfn.XLOOKUP(1,('env Parameter'!$A:$A=$A1699)*('env Parameter'!$B:$B=$K1699)*('env Parameter'!$C:$C=$L1699),'env Parameter'!E:E,""),"")</f>
        <v>2.14</v>
      </c>
      <c r="D1699" s="10" cm="1">
        <f t="array" ref="D1699">IFERROR(_xlfn.XLOOKUP(1,('env Parameter'!$A:$A=$A1699)*('env Parameter'!$B:$B=$K1699)*('env Parameter'!$C:$C=$L1699),'env Parameter'!F:F,""),"")</f>
        <v>478</v>
      </c>
      <c r="E1699" s="10" cm="1">
        <f t="array" ref="E1699">IFERROR(_xlfn.XLOOKUP(1,('env Parameter'!$A:$A=$A1699)*('env Parameter'!$B:$B=$K1699)*('env Parameter'!$C:$C=$L1699),'env Parameter'!G:G,""),"")</f>
        <v>7.6</v>
      </c>
      <c r="F1699" t="str">
        <f>eDNA!F1699</f>
        <v>MiFish</v>
      </c>
      <c r="G1699" t="str">
        <f>eDNA!D1699</f>
        <v>Misgurnus mizolepis</v>
      </c>
      <c r="H1699" t="str">
        <f>_xlfn.XLOOKUP(G1699,'Common name (master file)'!$B:$B,'Common name (master file)'!$A:$A,"-------------")</f>
        <v>미꾸라지</v>
      </c>
      <c r="I1699">
        <f>eDNA!E1699</f>
        <v>739</v>
      </c>
      <c r="J1699" t="str">
        <f>_xlfn.XLOOKUP(G1699,'Common name (master file)'!$B:$B,'Common name (master file)'!$C:$C,"")</f>
        <v>어류</v>
      </c>
      <c r="K1699">
        <f>eDNA!B1699</f>
        <v>126.9866722</v>
      </c>
      <c r="L1699">
        <f>eDNA!C1699</f>
        <v>37.398721700000003</v>
      </c>
      <c r="M1699" s="10" t="str" cm="1">
        <f t="array" ref="M1699">IFERROR(_xlfn.XLOOKUP(1,('env Parameter'!$A:$A=$A1699)*('env Parameter'!$B:$B=$K1699)*('env Parameter'!$C:$C=$L1699),'env Parameter'!D:D,""),"")</f>
        <v>안양천-30</v>
      </c>
      <c r="N1699" s="10" t="str" cm="1">
        <f t="array" ref="N1699">IFERROR(_xlfn.XLOOKUP(1,('env Parameter'!$A:$A=$A1699)*('env Parameter'!$B:$B=$K1699)*('env Parameter'!$C:$C=$L1699),'env Parameter'!I:I,""),"")</f>
        <v>YR</v>
      </c>
    </row>
    <row r="1700" spans="1:14">
      <c r="A1700">
        <f>eDNA!A1700</f>
        <v>20201024</v>
      </c>
      <c r="B1700" s="10" t="str" cm="1">
        <f t="array" ref="B1700">IFERROR(_xlfn.XLOOKUP(1,('env Parameter'!$A:$A=$A1700)*('env Parameter'!$B:$B=$K1700)*('env Parameter'!$C:$C=$L1700),'env Parameter'!H:H,""),"")</f>
        <v>생물상 조사</v>
      </c>
      <c r="C1700" s="10" cm="1">
        <f t="array" ref="C1700">IFERROR(_xlfn.XLOOKUP(1,('env Parameter'!$A:$A=$A1700)*('env Parameter'!$B:$B=$K1700)*('env Parameter'!$C:$C=$L1700),'env Parameter'!E:E,""),"")</f>
        <v>2.14</v>
      </c>
      <c r="D1700" s="10" cm="1">
        <f t="array" ref="D1700">IFERROR(_xlfn.XLOOKUP(1,('env Parameter'!$A:$A=$A1700)*('env Parameter'!$B:$B=$K1700)*('env Parameter'!$C:$C=$L1700),'env Parameter'!F:F,""),"")</f>
        <v>478</v>
      </c>
      <c r="E1700" s="10" cm="1">
        <f t="array" ref="E1700">IFERROR(_xlfn.XLOOKUP(1,('env Parameter'!$A:$A=$A1700)*('env Parameter'!$B:$B=$K1700)*('env Parameter'!$C:$C=$L1700),'env Parameter'!G:G,""),"")</f>
        <v>7.6</v>
      </c>
      <c r="F1700" t="str">
        <f>eDNA!F1700</f>
        <v>MiFish</v>
      </c>
      <c r="G1700" t="str">
        <f>eDNA!D1700</f>
        <v>Gnathopogon strigatus</v>
      </c>
      <c r="H1700" t="str">
        <f>_xlfn.XLOOKUP(G1700,'Common name (master file)'!$B:$B,'Common name (master file)'!$A:$A,"-------------")</f>
        <v>줄몰개</v>
      </c>
      <c r="I1700">
        <f>eDNA!E1700</f>
        <v>1077</v>
      </c>
      <c r="J1700" t="str">
        <f>_xlfn.XLOOKUP(G1700,'Common name (master file)'!$B:$B,'Common name (master file)'!$C:$C,"")</f>
        <v>어류</v>
      </c>
      <c r="K1700">
        <f>eDNA!B1700</f>
        <v>126.9866722</v>
      </c>
      <c r="L1700">
        <f>eDNA!C1700</f>
        <v>37.398721700000003</v>
      </c>
      <c r="M1700" s="10" t="str" cm="1">
        <f t="array" ref="M1700">IFERROR(_xlfn.XLOOKUP(1,('env Parameter'!$A:$A=$A1700)*('env Parameter'!$B:$B=$K1700)*('env Parameter'!$C:$C=$L1700),'env Parameter'!D:D,""),"")</f>
        <v>안양천-30</v>
      </c>
      <c r="N1700" s="10" t="str" cm="1">
        <f t="array" ref="N1700">IFERROR(_xlfn.XLOOKUP(1,('env Parameter'!$A:$A=$A1700)*('env Parameter'!$B:$B=$K1700)*('env Parameter'!$C:$C=$L1700),'env Parameter'!I:I,""),"")</f>
        <v>YR</v>
      </c>
    </row>
    <row r="1701" spans="1:14">
      <c r="A1701">
        <f>eDNA!A1701</f>
        <v>20201024</v>
      </c>
      <c r="B1701" s="10" t="str" cm="1">
        <f t="array" ref="B1701">IFERROR(_xlfn.XLOOKUP(1,('env Parameter'!$A:$A=$A1701)*('env Parameter'!$B:$B=$K1701)*('env Parameter'!$C:$C=$L1701),'env Parameter'!H:H,""),"")</f>
        <v>생물상 조사</v>
      </c>
      <c r="C1701" s="10" cm="1">
        <f t="array" ref="C1701">IFERROR(_xlfn.XLOOKUP(1,('env Parameter'!$A:$A=$A1701)*('env Parameter'!$B:$B=$K1701)*('env Parameter'!$C:$C=$L1701),'env Parameter'!E:E,""),"")</f>
        <v>2.14</v>
      </c>
      <c r="D1701" s="10" cm="1">
        <f t="array" ref="D1701">IFERROR(_xlfn.XLOOKUP(1,('env Parameter'!$A:$A=$A1701)*('env Parameter'!$B:$B=$K1701)*('env Parameter'!$C:$C=$L1701),'env Parameter'!F:F,""),"")</f>
        <v>478</v>
      </c>
      <c r="E1701" s="10" cm="1">
        <f t="array" ref="E1701">IFERROR(_xlfn.XLOOKUP(1,('env Parameter'!$A:$A=$A1701)*('env Parameter'!$B:$B=$K1701)*('env Parameter'!$C:$C=$L1701),'env Parameter'!G:G,""),"")</f>
        <v>7.6</v>
      </c>
      <c r="F1701" t="str">
        <f>eDNA!F1701</f>
        <v>MiFish</v>
      </c>
      <c r="G1701" t="str">
        <f>eDNA!D1701</f>
        <v>Hemibarbus sp.</v>
      </c>
      <c r="H1701" t="str">
        <f>_xlfn.XLOOKUP(G1701,'Common name (master file)'!$B:$B,'Common name (master file)'!$A:$A,"-------------")</f>
        <v>누치 속</v>
      </c>
      <c r="I1701">
        <f>eDNA!E1701</f>
        <v>1676</v>
      </c>
      <c r="J1701" t="str">
        <f>_xlfn.XLOOKUP(G1701,'Common name (master file)'!$B:$B,'Common name (master file)'!$C:$C,"")</f>
        <v>어류</v>
      </c>
      <c r="K1701">
        <f>eDNA!B1701</f>
        <v>126.9866722</v>
      </c>
      <c r="L1701">
        <f>eDNA!C1701</f>
        <v>37.398721700000003</v>
      </c>
      <c r="M1701" s="10" t="str" cm="1">
        <f t="array" ref="M1701">IFERROR(_xlfn.XLOOKUP(1,('env Parameter'!$A:$A=$A1701)*('env Parameter'!$B:$B=$K1701)*('env Parameter'!$C:$C=$L1701),'env Parameter'!D:D,""),"")</f>
        <v>안양천-30</v>
      </c>
      <c r="N1701" s="10" t="str" cm="1">
        <f t="array" ref="N1701">IFERROR(_xlfn.XLOOKUP(1,('env Parameter'!$A:$A=$A1701)*('env Parameter'!$B:$B=$K1701)*('env Parameter'!$C:$C=$L1701),'env Parameter'!I:I,""),"")</f>
        <v>YR</v>
      </c>
    </row>
    <row r="1702" spans="1:14">
      <c r="A1702">
        <f>eDNA!A1702</f>
        <v>20201024</v>
      </c>
      <c r="B1702" s="10" t="str" cm="1">
        <f t="array" ref="B1702">IFERROR(_xlfn.XLOOKUP(1,('env Parameter'!$A:$A=$A1702)*('env Parameter'!$B:$B=$K1702)*('env Parameter'!$C:$C=$L1702),'env Parameter'!H:H,""),"")</f>
        <v>생물상 조사</v>
      </c>
      <c r="C1702" s="10" cm="1">
        <f t="array" ref="C1702">IFERROR(_xlfn.XLOOKUP(1,('env Parameter'!$A:$A=$A1702)*('env Parameter'!$B:$B=$K1702)*('env Parameter'!$C:$C=$L1702),'env Parameter'!E:E,""),"")</f>
        <v>2.14</v>
      </c>
      <c r="D1702" s="10" cm="1">
        <f t="array" ref="D1702">IFERROR(_xlfn.XLOOKUP(1,('env Parameter'!$A:$A=$A1702)*('env Parameter'!$B:$B=$K1702)*('env Parameter'!$C:$C=$L1702),'env Parameter'!F:F,""),"")</f>
        <v>478</v>
      </c>
      <c r="E1702" s="10" cm="1">
        <f t="array" ref="E1702">IFERROR(_xlfn.XLOOKUP(1,('env Parameter'!$A:$A=$A1702)*('env Parameter'!$B:$B=$K1702)*('env Parameter'!$C:$C=$L1702),'env Parameter'!G:G,""),"")</f>
        <v>7.6</v>
      </c>
      <c r="F1702" t="str">
        <f>eDNA!F1702</f>
        <v>MiFish</v>
      </c>
      <c r="G1702" t="str">
        <f>eDNA!D1702</f>
        <v>Micropterus salmoides</v>
      </c>
      <c r="H1702" t="str">
        <f>_xlfn.XLOOKUP(G1702,'Common name (master file)'!$B:$B,'Common name (master file)'!$A:$A,"-------------")</f>
        <v>큰입배스</v>
      </c>
      <c r="I1702">
        <f>eDNA!E1702</f>
        <v>2540</v>
      </c>
      <c r="J1702" t="str">
        <f>_xlfn.XLOOKUP(G1702,'Common name (master file)'!$B:$B,'Common name (master file)'!$C:$C,"")</f>
        <v>어류</v>
      </c>
      <c r="K1702">
        <f>eDNA!B1702</f>
        <v>126.9866722</v>
      </c>
      <c r="L1702">
        <f>eDNA!C1702</f>
        <v>37.398721700000003</v>
      </c>
      <c r="M1702" s="10" t="str" cm="1">
        <f t="array" ref="M1702">IFERROR(_xlfn.XLOOKUP(1,('env Parameter'!$A:$A=$A1702)*('env Parameter'!$B:$B=$K1702)*('env Parameter'!$C:$C=$L1702),'env Parameter'!D:D,""),"")</f>
        <v>안양천-30</v>
      </c>
      <c r="N1702" s="10" t="str" cm="1">
        <f t="array" ref="N1702">IFERROR(_xlfn.XLOOKUP(1,('env Parameter'!$A:$A=$A1702)*('env Parameter'!$B:$B=$K1702)*('env Parameter'!$C:$C=$L1702),'env Parameter'!I:I,""),"")</f>
        <v>YR</v>
      </c>
    </row>
    <row r="1703" spans="1:14">
      <c r="A1703">
        <f>eDNA!A1703</f>
        <v>20201024</v>
      </c>
      <c r="B1703" s="10" t="str" cm="1">
        <f t="array" ref="B1703">IFERROR(_xlfn.XLOOKUP(1,('env Parameter'!$A:$A=$A1703)*('env Parameter'!$B:$B=$K1703)*('env Parameter'!$C:$C=$L1703),'env Parameter'!H:H,""),"")</f>
        <v>생물상 조사</v>
      </c>
      <c r="C1703" s="10" cm="1">
        <f t="array" ref="C1703">IFERROR(_xlfn.XLOOKUP(1,('env Parameter'!$A:$A=$A1703)*('env Parameter'!$B:$B=$K1703)*('env Parameter'!$C:$C=$L1703),'env Parameter'!E:E,""),"")</f>
        <v>2.14</v>
      </c>
      <c r="D1703" s="10" cm="1">
        <f t="array" ref="D1703">IFERROR(_xlfn.XLOOKUP(1,('env Parameter'!$A:$A=$A1703)*('env Parameter'!$B:$B=$K1703)*('env Parameter'!$C:$C=$L1703),'env Parameter'!F:F,""),"")</f>
        <v>478</v>
      </c>
      <c r="E1703" s="10" cm="1">
        <f t="array" ref="E1703">IFERROR(_xlfn.XLOOKUP(1,('env Parameter'!$A:$A=$A1703)*('env Parameter'!$B:$B=$K1703)*('env Parameter'!$C:$C=$L1703),'env Parameter'!G:G,""),"")</f>
        <v>7.6</v>
      </c>
      <c r="F1703" t="str">
        <f>eDNA!F1703</f>
        <v>MiFish</v>
      </c>
      <c r="G1703" t="str">
        <f>eDNA!D1703</f>
        <v>Silurus soldatovi</v>
      </c>
      <c r="H1703" t="str">
        <f>_xlfn.XLOOKUP(G1703,'Common name (master file)'!$B:$B,'Common name (master file)'!$A:$A,"-------------")</f>
        <v>솔다토비 메기</v>
      </c>
      <c r="I1703">
        <f>eDNA!E1703</f>
        <v>2273</v>
      </c>
      <c r="J1703" t="str">
        <f>_xlfn.XLOOKUP(G1703,'Common name (master file)'!$B:$B,'Common name (master file)'!$C:$C,"")</f>
        <v>어류</v>
      </c>
      <c r="K1703">
        <f>eDNA!B1703</f>
        <v>126.9866722</v>
      </c>
      <c r="L1703">
        <f>eDNA!C1703</f>
        <v>37.398721700000003</v>
      </c>
      <c r="M1703" s="10" t="str" cm="1">
        <f t="array" ref="M1703">IFERROR(_xlfn.XLOOKUP(1,('env Parameter'!$A:$A=$A1703)*('env Parameter'!$B:$B=$K1703)*('env Parameter'!$C:$C=$L1703),'env Parameter'!D:D,""),"")</f>
        <v>안양천-30</v>
      </c>
      <c r="N1703" s="10" t="str" cm="1">
        <f t="array" ref="N1703">IFERROR(_xlfn.XLOOKUP(1,('env Parameter'!$A:$A=$A1703)*('env Parameter'!$B:$B=$K1703)*('env Parameter'!$C:$C=$L1703),'env Parameter'!I:I,""),"")</f>
        <v>YR</v>
      </c>
    </row>
    <row r="1704" spans="1:14">
      <c r="A1704">
        <f>eDNA!A1704</f>
        <v>20201024</v>
      </c>
      <c r="B1704" s="10" t="str" cm="1">
        <f t="array" ref="B1704">IFERROR(_xlfn.XLOOKUP(1,('env Parameter'!$A:$A=$A1704)*('env Parameter'!$B:$B=$K1704)*('env Parameter'!$C:$C=$L1704),'env Parameter'!H:H,""),"")</f>
        <v>생물상 조사</v>
      </c>
      <c r="C1704" s="10" cm="1">
        <f t="array" ref="C1704">IFERROR(_xlfn.XLOOKUP(1,('env Parameter'!$A:$A=$A1704)*('env Parameter'!$B:$B=$K1704)*('env Parameter'!$C:$C=$L1704),'env Parameter'!E:E,""),"")</f>
        <v>2.14</v>
      </c>
      <c r="D1704" s="10" cm="1">
        <f t="array" ref="D1704">IFERROR(_xlfn.XLOOKUP(1,('env Parameter'!$A:$A=$A1704)*('env Parameter'!$B:$B=$K1704)*('env Parameter'!$C:$C=$L1704),'env Parameter'!F:F,""),"")</f>
        <v>478</v>
      </c>
      <c r="E1704" s="10" cm="1">
        <f t="array" ref="E1704">IFERROR(_xlfn.XLOOKUP(1,('env Parameter'!$A:$A=$A1704)*('env Parameter'!$B:$B=$K1704)*('env Parameter'!$C:$C=$L1704),'env Parameter'!G:G,""),"")</f>
        <v>7.6</v>
      </c>
      <c r="F1704" t="str">
        <f>eDNA!F1704</f>
        <v>MiFish</v>
      </c>
      <c r="G1704" t="str">
        <f>eDNA!D1704</f>
        <v>Rhinogobius sp.</v>
      </c>
      <c r="H1704" t="str">
        <f>_xlfn.XLOOKUP(G1704,'Common name (master file)'!$B:$B,'Common name (master file)'!$A:$A,"-------------")</f>
        <v>밀어</v>
      </c>
      <c r="I1704">
        <f>eDNA!E1704</f>
        <v>1984</v>
      </c>
      <c r="J1704" t="str">
        <f>_xlfn.XLOOKUP(G1704,'Common name (master file)'!$B:$B,'Common name (master file)'!$C:$C,"")</f>
        <v>어류</v>
      </c>
      <c r="K1704">
        <f>eDNA!B1704</f>
        <v>126.9866722</v>
      </c>
      <c r="L1704">
        <f>eDNA!C1704</f>
        <v>37.398721700000003</v>
      </c>
      <c r="M1704" s="10" t="str" cm="1">
        <f t="array" ref="M1704">IFERROR(_xlfn.XLOOKUP(1,('env Parameter'!$A:$A=$A1704)*('env Parameter'!$B:$B=$K1704)*('env Parameter'!$C:$C=$L1704),'env Parameter'!D:D,""),"")</f>
        <v>안양천-30</v>
      </c>
      <c r="N1704" s="10" t="str" cm="1">
        <f t="array" ref="N1704">IFERROR(_xlfn.XLOOKUP(1,('env Parameter'!$A:$A=$A1704)*('env Parameter'!$B:$B=$K1704)*('env Parameter'!$C:$C=$L1704),'env Parameter'!I:I,""),"")</f>
        <v>YR</v>
      </c>
    </row>
    <row r="1705" spans="1:14">
      <c r="A1705">
        <f>eDNA!A1705</f>
        <v>20201024</v>
      </c>
      <c r="B1705" s="10" t="str" cm="1">
        <f t="array" ref="B1705">IFERROR(_xlfn.XLOOKUP(1,('env Parameter'!$A:$A=$A1705)*('env Parameter'!$B:$B=$K1705)*('env Parameter'!$C:$C=$L1705),'env Parameter'!H:H,""),"")</f>
        <v>생물상 조사</v>
      </c>
      <c r="C1705" s="10" cm="1">
        <f t="array" ref="C1705">IFERROR(_xlfn.XLOOKUP(1,('env Parameter'!$A:$A=$A1705)*('env Parameter'!$B:$B=$K1705)*('env Parameter'!$C:$C=$L1705),'env Parameter'!E:E,""),"")</f>
        <v>2.14</v>
      </c>
      <c r="D1705" s="10" cm="1">
        <f t="array" ref="D1705">IFERROR(_xlfn.XLOOKUP(1,('env Parameter'!$A:$A=$A1705)*('env Parameter'!$B:$B=$K1705)*('env Parameter'!$C:$C=$L1705),'env Parameter'!F:F,""),"")</f>
        <v>478</v>
      </c>
      <c r="E1705" s="10" cm="1">
        <f t="array" ref="E1705">IFERROR(_xlfn.XLOOKUP(1,('env Parameter'!$A:$A=$A1705)*('env Parameter'!$B:$B=$K1705)*('env Parameter'!$C:$C=$L1705),'env Parameter'!G:G,""),"")</f>
        <v>7.6</v>
      </c>
      <c r="F1705" t="str">
        <f>eDNA!F1705</f>
        <v>MiFish</v>
      </c>
      <c r="G1705" t="str">
        <f>eDNA!D1705</f>
        <v>Channa argus</v>
      </c>
      <c r="H1705" t="str">
        <f>_xlfn.XLOOKUP(G1705,'Common name (master file)'!$B:$B,'Common name (master file)'!$A:$A,"-------------")</f>
        <v>가물치</v>
      </c>
      <c r="I1705">
        <f>eDNA!E1705</f>
        <v>3113</v>
      </c>
      <c r="J1705" t="str">
        <f>_xlfn.XLOOKUP(G1705,'Common name (master file)'!$B:$B,'Common name (master file)'!$C:$C,"")</f>
        <v>어류</v>
      </c>
      <c r="K1705">
        <f>eDNA!B1705</f>
        <v>126.9866722</v>
      </c>
      <c r="L1705">
        <f>eDNA!C1705</f>
        <v>37.398721700000003</v>
      </c>
      <c r="M1705" s="10" t="str" cm="1">
        <f t="array" ref="M1705">IFERROR(_xlfn.XLOOKUP(1,('env Parameter'!$A:$A=$A1705)*('env Parameter'!$B:$B=$K1705)*('env Parameter'!$C:$C=$L1705),'env Parameter'!D:D,""),"")</f>
        <v>안양천-30</v>
      </c>
      <c r="N1705" s="10" t="str" cm="1">
        <f t="array" ref="N1705">IFERROR(_xlfn.XLOOKUP(1,('env Parameter'!$A:$A=$A1705)*('env Parameter'!$B:$B=$K1705)*('env Parameter'!$C:$C=$L1705),'env Parameter'!I:I,""),"")</f>
        <v>YR</v>
      </c>
    </row>
    <row r="1706" spans="1:14">
      <c r="A1706">
        <f>eDNA!A1706</f>
        <v>20201024</v>
      </c>
      <c r="B1706" s="10" t="str" cm="1">
        <f t="array" ref="B1706">IFERROR(_xlfn.XLOOKUP(1,('env Parameter'!$A:$A=$A1706)*('env Parameter'!$B:$B=$K1706)*('env Parameter'!$C:$C=$L1706),'env Parameter'!H:H,""),"")</f>
        <v>생물상 조사</v>
      </c>
      <c r="C1706" s="10" cm="1">
        <f t="array" ref="C1706">IFERROR(_xlfn.XLOOKUP(1,('env Parameter'!$A:$A=$A1706)*('env Parameter'!$B:$B=$K1706)*('env Parameter'!$C:$C=$L1706),'env Parameter'!E:E,""),"")</f>
        <v>2.14</v>
      </c>
      <c r="D1706" s="10" cm="1">
        <f t="array" ref="D1706">IFERROR(_xlfn.XLOOKUP(1,('env Parameter'!$A:$A=$A1706)*('env Parameter'!$B:$B=$K1706)*('env Parameter'!$C:$C=$L1706),'env Parameter'!F:F,""),"")</f>
        <v>478</v>
      </c>
      <c r="E1706" s="10" cm="1">
        <f t="array" ref="E1706">IFERROR(_xlfn.XLOOKUP(1,('env Parameter'!$A:$A=$A1706)*('env Parameter'!$B:$B=$K1706)*('env Parameter'!$C:$C=$L1706),'env Parameter'!G:G,""),"")</f>
        <v>7.6</v>
      </c>
      <c r="F1706" t="str">
        <f>eDNA!F1706</f>
        <v>MiFish</v>
      </c>
      <c r="G1706" t="str">
        <f>eDNA!D1706</f>
        <v>Cyprinus carpio</v>
      </c>
      <c r="H1706" t="str">
        <f>_xlfn.XLOOKUP(G1706,'Common name (master file)'!$B:$B,'Common name (master file)'!$A:$A,"-------------")</f>
        <v>잉어</v>
      </c>
      <c r="I1706">
        <f>eDNA!E1706</f>
        <v>4938</v>
      </c>
      <c r="J1706" t="str">
        <f>_xlfn.XLOOKUP(G1706,'Common name (master file)'!$B:$B,'Common name (master file)'!$C:$C,"")</f>
        <v>어류</v>
      </c>
      <c r="K1706">
        <f>eDNA!B1706</f>
        <v>126.9866722</v>
      </c>
      <c r="L1706">
        <f>eDNA!C1706</f>
        <v>37.398721700000003</v>
      </c>
      <c r="M1706" s="10" t="str" cm="1">
        <f t="array" ref="M1706">IFERROR(_xlfn.XLOOKUP(1,('env Parameter'!$A:$A=$A1706)*('env Parameter'!$B:$B=$K1706)*('env Parameter'!$C:$C=$L1706),'env Parameter'!D:D,""),"")</f>
        <v>안양천-30</v>
      </c>
      <c r="N1706" s="10" t="str" cm="1">
        <f t="array" ref="N1706">IFERROR(_xlfn.XLOOKUP(1,('env Parameter'!$A:$A=$A1706)*('env Parameter'!$B:$B=$K1706)*('env Parameter'!$C:$C=$L1706),'env Parameter'!I:I,""),"")</f>
        <v>YR</v>
      </c>
    </row>
    <row r="1707" spans="1:14">
      <c r="A1707">
        <f>eDNA!A1707</f>
        <v>20201024</v>
      </c>
      <c r="B1707" s="10" t="str" cm="1">
        <f t="array" ref="B1707">IFERROR(_xlfn.XLOOKUP(1,('env Parameter'!$A:$A=$A1707)*('env Parameter'!$B:$B=$K1707)*('env Parameter'!$C:$C=$L1707),'env Parameter'!H:H,""),"")</f>
        <v>생물상 조사</v>
      </c>
      <c r="C1707" s="10" cm="1">
        <f t="array" ref="C1707">IFERROR(_xlfn.XLOOKUP(1,('env Parameter'!$A:$A=$A1707)*('env Parameter'!$B:$B=$K1707)*('env Parameter'!$C:$C=$L1707),'env Parameter'!E:E,""),"")</f>
        <v>2.14</v>
      </c>
      <c r="D1707" s="10" cm="1">
        <f t="array" ref="D1707">IFERROR(_xlfn.XLOOKUP(1,('env Parameter'!$A:$A=$A1707)*('env Parameter'!$B:$B=$K1707)*('env Parameter'!$C:$C=$L1707),'env Parameter'!F:F,""),"")</f>
        <v>478</v>
      </c>
      <c r="E1707" s="10" cm="1">
        <f t="array" ref="E1707">IFERROR(_xlfn.XLOOKUP(1,('env Parameter'!$A:$A=$A1707)*('env Parameter'!$B:$B=$K1707)*('env Parameter'!$C:$C=$L1707),'env Parameter'!G:G,""),"")</f>
        <v>7.6</v>
      </c>
      <c r="F1707" t="str">
        <f>eDNA!F1707</f>
        <v>MiFish</v>
      </c>
      <c r="G1707" t="str">
        <f>eDNA!D1707</f>
        <v>Carassius gibelio</v>
      </c>
      <c r="H1707" t="str">
        <f>_xlfn.XLOOKUP(G1707,'Common name (master file)'!$B:$B,'Common name (master file)'!$A:$A,"-------------")</f>
        <v>기벨리오 붕어</v>
      </c>
      <c r="I1707">
        <f>eDNA!E1707</f>
        <v>9912</v>
      </c>
      <c r="J1707" t="str">
        <f>_xlfn.XLOOKUP(G1707,'Common name (master file)'!$B:$B,'Common name (master file)'!$C:$C,"")</f>
        <v>어류</v>
      </c>
      <c r="K1707">
        <f>eDNA!B1707</f>
        <v>126.9866722</v>
      </c>
      <c r="L1707">
        <f>eDNA!C1707</f>
        <v>37.398721700000003</v>
      </c>
      <c r="M1707" s="10" t="str" cm="1">
        <f t="array" ref="M1707">IFERROR(_xlfn.XLOOKUP(1,('env Parameter'!$A:$A=$A1707)*('env Parameter'!$B:$B=$K1707)*('env Parameter'!$C:$C=$L1707),'env Parameter'!D:D,""),"")</f>
        <v>안양천-30</v>
      </c>
      <c r="N1707" s="10" t="str" cm="1">
        <f t="array" ref="N1707">IFERROR(_xlfn.XLOOKUP(1,('env Parameter'!$A:$A=$A1707)*('env Parameter'!$B:$B=$K1707)*('env Parameter'!$C:$C=$L1707),'env Parameter'!I:I,""),"")</f>
        <v>YR</v>
      </c>
    </row>
    <row r="1708" spans="1:14">
      <c r="A1708">
        <f>eDNA!A1708</f>
        <v>20201024</v>
      </c>
      <c r="B1708" s="10" t="str" cm="1">
        <f t="array" ref="B1708">IFERROR(_xlfn.XLOOKUP(1,('env Parameter'!$A:$A=$A1708)*('env Parameter'!$B:$B=$K1708)*('env Parameter'!$C:$C=$L1708),'env Parameter'!H:H,""),"")</f>
        <v>생물상 조사</v>
      </c>
      <c r="C1708" s="10" cm="1">
        <f t="array" ref="C1708">IFERROR(_xlfn.XLOOKUP(1,('env Parameter'!$A:$A=$A1708)*('env Parameter'!$B:$B=$K1708)*('env Parameter'!$C:$C=$L1708),'env Parameter'!E:E,""),"")</f>
        <v>2.14</v>
      </c>
      <c r="D1708" s="10" cm="1">
        <f t="array" ref="D1708">IFERROR(_xlfn.XLOOKUP(1,('env Parameter'!$A:$A=$A1708)*('env Parameter'!$B:$B=$K1708)*('env Parameter'!$C:$C=$L1708),'env Parameter'!F:F,""),"")</f>
        <v>478</v>
      </c>
      <c r="E1708" s="10" cm="1">
        <f t="array" ref="E1708">IFERROR(_xlfn.XLOOKUP(1,('env Parameter'!$A:$A=$A1708)*('env Parameter'!$B:$B=$K1708)*('env Parameter'!$C:$C=$L1708),'env Parameter'!G:G,""),"")</f>
        <v>7.6</v>
      </c>
      <c r="F1708" t="str">
        <f>eDNA!F1708</f>
        <v>MiFish</v>
      </c>
      <c r="G1708" t="str">
        <f>eDNA!D1708</f>
        <v>Pseudogobio esocinus</v>
      </c>
      <c r="H1708" t="str">
        <f>_xlfn.XLOOKUP(G1708,'Common name (master file)'!$B:$B,'Common name (master file)'!$A:$A,"-------------")</f>
        <v>모래무지</v>
      </c>
      <c r="I1708">
        <f>eDNA!E1708</f>
        <v>13032</v>
      </c>
      <c r="J1708" t="str">
        <f>_xlfn.XLOOKUP(G1708,'Common name (master file)'!$B:$B,'Common name (master file)'!$C:$C,"")</f>
        <v>어류</v>
      </c>
      <c r="K1708">
        <f>eDNA!B1708</f>
        <v>126.9866722</v>
      </c>
      <c r="L1708">
        <f>eDNA!C1708</f>
        <v>37.398721700000003</v>
      </c>
      <c r="M1708" s="10" t="str" cm="1">
        <f t="array" ref="M1708">IFERROR(_xlfn.XLOOKUP(1,('env Parameter'!$A:$A=$A1708)*('env Parameter'!$B:$B=$K1708)*('env Parameter'!$C:$C=$L1708),'env Parameter'!D:D,""),"")</f>
        <v>안양천-30</v>
      </c>
      <c r="N1708" s="10" t="str" cm="1">
        <f t="array" ref="N1708">IFERROR(_xlfn.XLOOKUP(1,('env Parameter'!$A:$A=$A1708)*('env Parameter'!$B:$B=$K1708)*('env Parameter'!$C:$C=$L1708),'env Parameter'!I:I,""),"")</f>
        <v>YR</v>
      </c>
    </row>
    <row r="1709" spans="1:14">
      <c r="A1709">
        <f>eDNA!A1709</f>
        <v>20201024</v>
      </c>
      <c r="B1709" s="10" t="str" cm="1">
        <f t="array" ref="B1709">IFERROR(_xlfn.XLOOKUP(1,('env Parameter'!$A:$A=$A1709)*('env Parameter'!$B:$B=$K1709)*('env Parameter'!$C:$C=$L1709),'env Parameter'!H:H,""),"")</f>
        <v>생물상 조사</v>
      </c>
      <c r="C1709" s="10" cm="1">
        <f t="array" ref="C1709">IFERROR(_xlfn.XLOOKUP(1,('env Parameter'!$A:$A=$A1709)*('env Parameter'!$B:$B=$K1709)*('env Parameter'!$C:$C=$L1709),'env Parameter'!E:E,""),"")</f>
        <v>2.14</v>
      </c>
      <c r="D1709" s="10" cm="1">
        <f t="array" ref="D1709">IFERROR(_xlfn.XLOOKUP(1,('env Parameter'!$A:$A=$A1709)*('env Parameter'!$B:$B=$K1709)*('env Parameter'!$C:$C=$L1709),'env Parameter'!F:F,""),"")</f>
        <v>478</v>
      </c>
      <c r="E1709" s="10" cm="1">
        <f t="array" ref="E1709">IFERROR(_xlfn.XLOOKUP(1,('env Parameter'!$A:$A=$A1709)*('env Parameter'!$B:$B=$K1709)*('env Parameter'!$C:$C=$L1709),'env Parameter'!G:G,""),"")</f>
        <v>7.6</v>
      </c>
      <c r="F1709" t="str">
        <f>eDNA!F1709</f>
        <v>MiFish</v>
      </c>
      <c r="G1709" t="str">
        <f>eDNA!D1709</f>
        <v>Odontobutis interrupta</v>
      </c>
      <c r="H1709" t="str">
        <f>_xlfn.XLOOKUP(G1709,'Common name (master file)'!$B:$B,'Common name (master file)'!$A:$A,"-------------")</f>
        <v>얼록동사리</v>
      </c>
      <c r="I1709">
        <f>eDNA!E1709</f>
        <v>22019</v>
      </c>
      <c r="J1709" t="str">
        <f>_xlfn.XLOOKUP(G1709,'Common name (master file)'!$B:$B,'Common name (master file)'!$C:$C,"")</f>
        <v>어류</v>
      </c>
      <c r="K1709">
        <f>eDNA!B1709</f>
        <v>126.9866722</v>
      </c>
      <c r="L1709">
        <f>eDNA!C1709</f>
        <v>37.398721700000003</v>
      </c>
      <c r="M1709" s="10" t="str" cm="1">
        <f t="array" ref="M1709">IFERROR(_xlfn.XLOOKUP(1,('env Parameter'!$A:$A=$A1709)*('env Parameter'!$B:$B=$K1709)*('env Parameter'!$C:$C=$L1709),'env Parameter'!D:D,""),"")</f>
        <v>안양천-30</v>
      </c>
      <c r="N1709" s="10" t="str" cm="1">
        <f t="array" ref="N1709">IFERROR(_xlfn.XLOOKUP(1,('env Parameter'!$A:$A=$A1709)*('env Parameter'!$B:$B=$K1709)*('env Parameter'!$C:$C=$L1709),'env Parameter'!I:I,""),"")</f>
        <v>YR</v>
      </c>
    </row>
    <row r="1710" spans="1:14">
      <c r="A1710">
        <f>eDNA!A1710</f>
        <v>20201024</v>
      </c>
      <c r="B1710" s="10" t="str" cm="1">
        <f t="array" ref="B1710">IFERROR(_xlfn.XLOOKUP(1,('env Parameter'!$A:$A=$A1710)*('env Parameter'!$B:$B=$K1710)*('env Parameter'!$C:$C=$L1710),'env Parameter'!H:H,""),"")</f>
        <v>생물상 조사</v>
      </c>
      <c r="C1710" s="10" cm="1">
        <f t="array" ref="C1710">IFERROR(_xlfn.XLOOKUP(1,('env Parameter'!$A:$A=$A1710)*('env Parameter'!$B:$B=$K1710)*('env Parameter'!$C:$C=$L1710),'env Parameter'!E:E,""),"")</f>
        <v>2.14</v>
      </c>
      <c r="D1710" s="10" cm="1">
        <f t="array" ref="D1710">IFERROR(_xlfn.XLOOKUP(1,('env Parameter'!$A:$A=$A1710)*('env Parameter'!$B:$B=$K1710)*('env Parameter'!$C:$C=$L1710),'env Parameter'!F:F,""),"")</f>
        <v>478</v>
      </c>
      <c r="E1710" s="10" cm="1">
        <f t="array" ref="E1710">IFERROR(_xlfn.XLOOKUP(1,('env Parameter'!$A:$A=$A1710)*('env Parameter'!$B:$B=$K1710)*('env Parameter'!$C:$C=$L1710),'env Parameter'!G:G,""),"")</f>
        <v>7.6</v>
      </c>
      <c r="F1710" t="str">
        <f>eDNA!F1710</f>
        <v>MiFish</v>
      </c>
      <c r="G1710" t="str">
        <f>eDNA!D1710</f>
        <v>Zacco platypus</v>
      </c>
      <c r="H1710" t="str">
        <f>_xlfn.XLOOKUP(G1710,'Common name (master file)'!$B:$B,'Common name (master file)'!$A:$A,"-------------")</f>
        <v>피라미</v>
      </c>
      <c r="I1710">
        <f>eDNA!E1710</f>
        <v>45485</v>
      </c>
      <c r="J1710" t="str">
        <f>_xlfn.XLOOKUP(G1710,'Common name (master file)'!$B:$B,'Common name (master file)'!$C:$C,"")</f>
        <v>어류</v>
      </c>
      <c r="K1710">
        <f>eDNA!B1710</f>
        <v>126.9866722</v>
      </c>
      <c r="L1710">
        <f>eDNA!C1710</f>
        <v>37.398721700000003</v>
      </c>
      <c r="M1710" s="10" t="str" cm="1">
        <f t="array" ref="M1710">IFERROR(_xlfn.XLOOKUP(1,('env Parameter'!$A:$A=$A1710)*('env Parameter'!$B:$B=$K1710)*('env Parameter'!$C:$C=$L1710),'env Parameter'!D:D,""),"")</f>
        <v>안양천-30</v>
      </c>
      <c r="N1710" s="10" t="str" cm="1">
        <f t="array" ref="N1710">IFERROR(_xlfn.XLOOKUP(1,('env Parameter'!$A:$A=$A1710)*('env Parameter'!$B:$B=$K1710)*('env Parameter'!$C:$C=$L1710),'env Parameter'!I:I,""),"")</f>
        <v>YR</v>
      </c>
    </row>
    <row r="1711" spans="1:14">
      <c r="A1711">
        <f>eDNA!A1711</f>
        <v>20201024</v>
      </c>
      <c r="B1711" s="10" t="str" cm="1">
        <f t="array" ref="B1711">IFERROR(_xlfn.XLOOKUP(1,('env Parameter'!$A:$A=$A1711)*('env Parameter'!$B:$B=$K1711)*('env Parameter'!$C:$C=$L1711),'env Parameter'!H:H,""),"")</f>
        <v>생물상 조사</v>
      </c>
      <c r="C1711" s="10" cm="1">
        <f t="array" ref="C1711">IFERROR(_xlfn.XLOOKUP(1,('env Parameter'!$A:$A=$A1711)*('env Parameter'!$B:$B=$K1711)*('env Parameter'!$C:$C=$L1711),'env Parameter'!E:E,""),"")</f>
        <v>2.14</v>
      </c>
      <c r="D1711" s="10" cm="1">
        <f t="array" ref="D1711">IFERROR(_xlfn.XLOOKUP(1,('env Parameter'!$A:$A=$A1711)*('env Parameter'!$B:$B=$K1711)*('env Parameter'!$C:$C=$L1711),'env Parameter'!F:F,""),"")</f>
        <v>478</v>
      </c>
      <c r="E1711" s="10" cm="1">
        <f t="array" ref="E1711">IFERROR(_xlfn.XLOOKUP(1,('env Parameter'!$A:$A=$A1711)*('env Parameter'!$B:$B=$K1711)*('env Parameter'!$C:$C=$L1711),'env Parameter'!G:G,""),"")</f>
        <v>7.6</v>
      </c>
      <c r="F1711" t="str">
        <f>eDNA!F1711</f>
        <v>MiFish</v>
      </c>
      <c r="G1711" t="str">
        <f>eDNA!D1711</f>
        <v>Pseudorasbora parva</v>
      </c>
      <c r="H1711" t="str">
        <f>_xlfn.XLOOKUP(G1711,'Common name (master file)'!$B:$B,'Common name (master file)'!$A:$A,"-------------")</f>
        <v>참붕어</v>
      </c>
      <c r="I1711">
        <f>eDNA!E1711</f>
        <v>50594</v>
      </c>
      <c r="J1711" t="str">
        <f>_xlfn.XLOOKUP(G1711,'Common name (master file)'!$B:$B,'Common name (master file)'!$C:$C,"")</f>
        <v>어류</v>
      </c>
      <c r="K1711">
        <f>eDNA!B1711</f>
        <v>126.9866722</v>
      </c>
      <c r="L1711">
        <f>eDNA!C1711</f>
        <v>37.398721700000003</v>
      </c>
      <c r="M1711" s="10" t="str" cm="1">
        <f t="array" ref="M1711">IFERROR(_xlfn.XLOOKUP(1,('env Parameter'!$A:$A=$A1711)*('env Parameter'!$B:$B=$K1711)*('env Parameter'!$C:$C=$L1711),'env Parameter'!D:D,""),"")</f>
        <v>안양천-30</v>
      </c>
      <c r="N1711" s="10" t="str" cm="1">
        <f t="array" ref="N1711">IFERROR(_xlfn.XLOOKUP(1,('env Parameter'!$A:$A=$A1711)*('env Parameter'!$B:$B=$K1711)*('env Parameter'!$C:$C=$L1711),'env Parameter'!I:I,""),"")</f>
        <v>YR</v>
      </c>
    </row>
    <row r="1712" spans="1:14">
      <c r="A1712">
        <f>eDNA!A1712</f>
        <v>20201024</v>
      </c>
      <c r="B1712" s="10" t="str" cm="1">
        <f t="array" ref="B1712">IFERROR(_xlfn.XLOOKUP(1,('env Parameter'!$A:$A=$A1712)*('env Parameter'!$B:$B=$K1712)*('env Parameter'!$C:$C=$L1712),'env Parameter'!H:H,""),"")</f>
        <v>생물상 조사</v>
      </c>
      <c r="C1712" s="10" cm="1">
        <f t="array" ref="C1712">IFERROR(_xlfn.XLOOKUP(1,('env Parameter'!$A:$A=$A1712)*('env Parameter'!$B:$B=$K1712)*('env Parameter'!$C:$C=$L1712),'env Parameter'!E:E,""),"")</f>
        <v>2.14</v>
      </c>
      <c r="D1712" s="10" cm="1">
        <f t="array" ref="D1712">IFERROR(_xlfn.XLOOKUP(1,('env Parameter'!$A:$A=$A1712)*('env Parameter'!$B:$B=$K1712)*('env Parameter'!$C:$C=$L1712),'env Parameter'!F:F,""),"")</f>
        <v>478</v>
      </c>
      <c r="E1712" s="10" cm="1">
        <f t="array" ref="E1712">IFERROR(_xlfn.XLOOKUP(1,('env Parameter'!$A:$A=$A1712)*('env Parameter'!$B:$B=$K1712)*('env Parameter'!$C:$C=$L1712),'env Parameter'!G:G,""),"")</f>
        <v>7.6</v>
      </c>
      <c r="F1712" t="str">
        <f>eDNA!F1712</f>
        <v>MiFish</v>
      </c>
      <c r="G1712" t="str">
        <f>eDNA!D1712</f>
        <v>Paramisgurnus dabryanus</v>
      </c>
      <c r="H1712" t="str">
        <f>_xlfn.XLOOKUP(G1712,'Common name (master file)'!$B:$B,'Common name (master file)'!$A:$A,"-------------")</f>
        <v>중국미꾸라지</v>
      </c>
      <c r="I1712">
        <f>eDNA!E1712</f>
        <v>14</v>
      </c>
      <c r="J1712" t="str">
        <f>_xlfn.XLOOKUP(G1712,'Common name (master file)'!$B:$B,'Common name (master file)'!$C:$C,"")</f>
        <v>어류</v>
      </c>
      <c r="K1712">
        <f>eDNA!B1712</f>
        <v>126.9506027</v>
      </c>
      <c r="L1712">
        <f>eDNA!C1712</f>
        <v>37.400644700000001</v>
      </c>
      <c r="M1712" s="10" t="str" cm="1">
        <f t="array" ref="M1712">IFERROR(_xlfn.XLOOKUP(1,('env Parameter'!$A:$A=$A1712)*('env Parameter'!$B:$B=$K1712)*('env Parameter'!$C:$C=$L1712),'env Parameter'!D:D,""),"")</f>
        <v>안양천-31</v>
      </c>
      <c r="N1712" s="10" t="str" cm="1">
        <f t="array" ref="N1712">IFERROR(_xlfn.XLOOKUP(1,('env Parameter'!$A:$A=$A1712)*('env Parameter'!$B:$B=$K1712)*('env Parameter'!$C:$C=$L1712),'env Parameter'!I:I,""),"")</f>
        <v>YR</v>
      </c>
    </row>
    <row r="1713" spans="1:14">
      <c r="A1713">
        <f>eDNA!A1713</f>
        <v>20201024</v>
      </c>
      <c r="B1713" s="10" t="str" cm="1">
        <f t="array" ref="B1713">IFERROR(_xlfn.XLOOKUP(1,('env Parameter'!$A:$A=$A1713)*('env Parameter'!$B:$B=$K1713)*('env Parameter'!$C:$C=$L1713),'env Parameter'!H:H,""),"")</f>
        <v>생물상 조사</v>
      </c>
      <c r="C1713" s="10" cm="1">
        <f t="array" ref="C1713">IFERROR(_xlfn.XLOOKUP(1,('env Parameter'!$A:$A=$A1713)*('env Parameter'!$B:$B=$K1713)*('env Parameter'!$C:$C=$L1713),'env Parameter'!E:E,""),"")</f>
        <v>2.14</v>
      </c>
      <c r="D1713" s="10" cm="1">
        <f t="array" ref="D1713">IFERROR(_xlfn.XLOOKUP(1,('env Parameter'!$A:$A=$A1713)*('env Parameter'!$B:$B=$K1713)*('env Parameter'!$C:$C=$L1713),'env Parameter'!F:F,""),"")</f>
        <v>478</v>
      </c>
      <c r="E1713" s="10" cm="1">
        <f t="array" ref="E1713">IFERROR(_xlfn.XLOOKUP(1,('env Parameter'!$A:$A=$A1713)*('env Parameter'!$B:$B=$K1713)*('env Parameter'!$C:$C=$L1713),'env Parameter'!G:G,""),"")</f>
        <v>7.6</v>
      </c>
      <c r="F1713" t="str">
        <f>eDNA!F1713</f>
        <v>MiFish</v>
      </c>
      <c r="G1713" t="str">
        <f>eDNA!D1713</f>
        <v>Carassius gibelio</v>
      </c>
      <c r="H1713" t="str">
        <f>_xlfn.XLOOKUP(G1713,'Common name (master file)'!$B:$B,'Common name (master file)'!$A:$A,"-------------")</f>
        <v>기벨리오 붕어</v>
      </c>
      <c r="I1713">
        <f>eDNA!E1713</f>
        <v>16</v>
      </c>
      <c r="J1713" t="str">
        <f>_xlfn.XLOOKUP(G1713,'Common name (master file)'!$B:$B,'Common name (master file)'!$C:$C,"")</f>
        <v>어류</v>
      </c>
      <c r="K1713">
        <f>eDNA!B1713</f>
        <v>126.9506027</v>
      </c>
      <c r="L1713">
        <f>eDNA!C1713</f>
        <v>37.400644700000001</v>
      </c>
      <c r="M1713" s="10" t="str" cm="1">
        <f t="array" ref="M1713">IFERROR(_xlfn.XLOOKUP(1,('env Parameter'!$A:$A=$A1713)*('env Parameter'!$B:$B=$K1713)*('env Parameter'!$C:$C=$L1713),'env Parameter'!D:D,""),"")</f>
        <v>안양천-31</v>
      </c>
      <c r="N1713" s="10" t="str" cm="1">
        <f t="array" ref="N1713">IFERROR(_xlfn.XLOOKUP(1,('env Parameter'!$A:$A=$A1713)*('env Parameter'!$B:$B=$K1713)*('env Parameter'!$C:$C=$L1713),'env Parameter'!I:I,""),"")</f>
        <v>YR</v>
      </c>
    </row>
    <row r="1714" spans="1:14">
      <c r="A1714">
        <f>eDNA!A1714</f>
        <v>20201024</v>
      </c>
      <c r="B1714" s="10" t="str" cm="1">
        <f t="array" ref="B1714">IFERROR(_xlfn.XLOOKUP(1,('env Parameter'!$A:$A=$A1714)*('env Parameter'!$B:$B=$K1714)*('env Parameter'!$C:$C=$L1714),'env Parameter'!H:H,""),"")</f>
        <v>생물상 조사</v>
      </c>
      <c r="C1714" s="10" cm="1">
        <f t="array" ref="C1714">IFERROR(_xlfn.XLOOKUP(1,('env Parameter'!$A:$A=$A1714)*('env Parameter'!$B:$B=$K1714)*('env Parameter'!$C:$C=$L1714),'env Parameter'!E:E,""),"")</f>
        <v>2.14</v>
      </c>
      <c r="D1714" s="10" cm="1">
        <f t="array" ref="D1714">IFERROR(_xlfn.XLOOKUP(1,('env Parameter'!$A:$A=$A1714)*('env Parameter'!$B:$B=$K1714)*('env Parameter'!$C:$C=$L1714),'env Parameter'!F:F,""),"")</f>
        <v>478</v>
      </c>
      <c r="E1714" s="10" cm="1">
        <f t="array" ref="E1714">IFERROR(_xlfn.XLOOKUP(1,('env Parameter'!$A:$A=$A1714)*('env Parameter'!$B:$B=$K1714)*('env Parameter'!$C:$C=$L1714),'env Parameter'!G:G,""),"")</f>
        <v>7.6</v>
      </c>
      <c r="F1714" t="str">
        <f>eDNA!F1714</f>
        <v>MiFish</v>
      </c>
      <c r="G1714" t="str">
        <f>eDNA!D1714</f>
        <v>Tadorna tadorna</v>
      </c>
      <c r="H1714" t="str">
        <f>_xlfn.XLOOKUP(G1714,'Common name (master file)'!$B:$B,'Common name (master file)'!$A:$A,"-------------")</f>
        <v>혹부리오리</v>
      </c>
      <c r="I1714">
        <f>eDNA!E1714</f>
        <v>47</v>
      </c>
      <c r="J1714" t="str">
        <f>_xlfn.XLOOKUP(G1714,'Common name (master file)'!$B:$B,'Common name (master file)'!$C:$C,"")</f>
        <v>조류</v>
      </c>
      <c r="K1714">
        <f>eDNA!B1714</f>
        <v>126.9506027</v>
      </c>
      <c r="L1714">
        <f>eDNA!C1714</f>
        <v>37.400644700000001</v>
      </c>
      <c r="M1714" s="10" t="str" cm="1">
        <f t="array" ref="M1714">IFERROR(_xlfn.XLOOKUP(1,('env Parameter'!$A:$A=$A1714)*('env Parameter'!$B:$B=$K1714)*('env Parameter'!$C:$C=$L1714),'env Parameter'!D:D,""),"")</f>
        <v>안양천-31</v>
      </c>
      <c r="N1714" s="10" t="str" cm="1">
        <f t="array" ref="N1714">IFERROR(_xlfn.XLOOKUP(1,('env Parameter'!$A:$A=$A1714)*('env Parameter'!$B:$B=$K1714)*('env Parameter'!$C:$C=$L1714),'env Parameter'!I:I,""),"")</f>
        <v>YR</v>
      </c>
    </row>
    <row r="1715" spans="1:14">
      <c r="A1715">
        <f>eDNA!A1715</f>
        <v>20201024</v>
      </c>
      <c r="B1715" s="10" t="str" cm="1">
        <f t="array" ref="B1715">IFERROR(_xlfn.XLOOKUP(1,('env Parameter'!$A:$A=$A1715)*('env Parameter'!$B:$B=$K1715)*('env Parameter'!$C:$C=$L1715),'env Parameter'!H:H,""),"")</f>
        <v>생물상 조사</v>
      </c>
      <c r="C1715" s="10" cm="1">
        <f t="array" ref="C1715">IFERROR(_xlfn.XLOOKUP(1,('env Parameter'!$A:$A=$A1715)*('env Parameter'!$B:$B=$K1715)*('env Parameter'!$C:$C=$L1715),'env Parameter'!E:E,""),"")</f>
        <v>2.14</v>
      </c>
      <c r="D1715" s="10" cm="1">
        <f t="array" ref="D1715">IFERROR(_xlfn.XLOOKUP(1,('env Parameter'!$A:$A=$A1715)*('env Parameter'!$B:$B=$K1715)*('env Parameter'!$C:$C=$L1715),'env Parameter'!F:F,""),"")</f>
        <v>478</v>
      </c>
      <c r="E1715" s="10" cm="1">
        <f t="array" ref="E1715">IFERROR(_xlfn.XLOOKUP(1,('env Parameter'!$A:$A=$A1715)*('env Parameter'!$B:$B=$K1715)*('env Parameter'!$C:$C=$L1715),'env Parameter'!G:G,""),"")</f>
        <v>7.6</v>
      </c>
      <c r="F1715" t="str">
        <f>eDNA!F1715</f>
        <v>MiFish</v>
      </c>
      <c r="G1715" t="str">
        <f>eDNA!D1715</f>
        <v>Micropterus salmoides</v>
      </c>
      <c r="H1715" t="str">
        <f>_xlfn.XLOOKUP(G1715,'Common name (master file)'!$B:$B,'Common name (master file)'!$A:$A,"-------------")</f>
        <v>큰입배스</v>
      </c>
      <c r="I1715">
        <f>eDNA!E1715</f>
        <v>678</v>
      </c>
      <c r="J1715" t="str">
        <f>_xlfn.XLOOKUP(G1715,'Common name (master file)'!$B:$B,'Common name (master file)'!$C:$C,"")</f>
        <v>어류</v>
      </c>
      <c r="K1715">
        <f>eDNA!B1715</f>
        <v>126.9506027</v>
      </c>
      <c r="L1715">
        <f>eDNA!C1715</f>
        <v>37.400644700000001</v>
      </c>
      <c r="M1715" s="10" t="str" cm="1">
        <f t="array" ref="M1715">IFERROR(_xlfn.XLOOKUP(1,('env Parameter'!$A:$A=$A1715)*('env Parameter'!$B:$B=$K1715)*('env Parameter'!$C:$C=$L1715),'env Parameter'!D:D,""),"")</f>
        <v>안양천-31</v>
      </c>
      <c r="N1715" s="10" t="str" cm="1">
        <f t="array" ref="N1715">IFERROR(_xlfn.XLOOKUP(1,('env Parameter'!$A:$A=$A1715)*('env Parameter'!$B:$B=$K1715)*('env Parameter'!$C:$C=$L1715),'env Parameter'!I:I,""),"")</f>
        <v>YR</v>
      </c>
    </row>
    <row r="1716" spans="1:14">
      <c r="A1716">
        <f>eDNA!A1716</f>
        <v>20201024</v>
      </c>
      <c r="B1716" s="10" t="str" cm="1">
        <f t="array" ref="B1716">IFERROR(_xlfn.XLOOKUP(1,('env Parameter'!$A:$A=$A1716)*('env Parameter'!$B:$B=$K1716)*('env Parameter'!$C:$C=$L1716),'env Parameter'!H:H,""),"")</f>
        <v>생물상 조사</v>
      </c>
      <c r="C1716" s="10" cm="1">
        <f t="array" ref="C1716">IFERROR(_xlfn.XLOOKUP(1,('env Parameter'!$A:$A=$A1716)*('env Parameter'!$B:$B=$K1716)*('env Parameter'!$C:$C=$L1716),'env Parameter'!E:E,""),"")</f>
        <v>2.14</v>
      </c>
      <c r="D1716" s="10" cm="1">
        <f t="array" ref="D1716">IFERROR(_xlfn.XLOOKUP(1,('env Parameter'!$A:$A=$A1716)*('env Parameter'!$B:$B=$K1716)*('env Parameter'!$C:$C=$L1716),'env Parameter'!F:F,""),"")</f>
        <v>478</v>
      </c>
      <c r="E1716" s="10" cm="1">
        <f t="array" ref="E1716">IFERROR(_xlfn.XLOOKUP(1,('env Parameter'!$A:$A=$A1716)*('env Parameter'!$B:$B=$K1716)*('env Parameter'!$C:$C=$L1716),'env Parameter'!G:G,""),"")</f>
        <v>7.6</v>
      </c>
      <c r="F1716" t="str">
        <f>eDNA!F1716</f>
        <v>MiFish</v>
      </c>
      <c r="G1716" t="str">
        <f>eDNA!D1716</f>
        <v>Misgurnus anguillicaudatus</v>
      </c>
      <c r="H1716" t="str">
        <f>_xlfn.XLOOKUP(G1716,'Common name (master file)'!$B:$B,'Common name (master file)'!$A:$A,"-------------")</f>
        <v>미꾸리</v>
      </c>
      <c r="I1716">
        <f>eDNA!E1716</f>
        <v>687</v>
      </c>
      <c r="J1716" t="str">
        <f>_xlfn.XLOOKUP(G1716,'Common name (master file)'!$B:$B,'Common name (master file)'!$C:$C,"")</f>
        <v>어류</v>
      </c>
      <c r="K1716">
        <f>eDNA!B1716</f>
        <v>126.9506027</v>
      </c>
      <c r="L1716">
        <f>eDNA!C1716</f>
        <v>37.400644700000001</v>
      </c>
      <c r="M1716" s="10" t="str" cm="1">
        <f t="array" ref="M1716">IFERROR(_xlfn.XLOOKUP(1,('env Parameter'!$A:$A=$A1716)*('env Parameter'!$B:$B=$K1716)*('env Parameter'!$C:$C=$L1716),'env Parameter'!D:D,""),"")</f>
        <v>안양천-31</v>
      </c>
      <c r="N1716" s="10" t="str" cm="1">
        <f t="array" ref="N1716">IFERROR(_xlfn.XLOOKUP(1,('env Parameter'!$A:$A=$A1716)*('env Parameter'!$B:$B=$K1716)*('env Parameter'!$C:$C=$L1716),'env Parameter'!I:I,""),"")</f>
        <v>YR</v>
      </c>
    </row>
    <row r="1717" spans="1:14">
      <c r="A1717">
        <f>eDNA!A1717</f>
        <v>20201024</v>
      </c>
      <c r="B1717" s="10" t="str" cm="1">
        <f t="array" ref="B1717">IFERROR(_xlfn.XLOOKUP(1,('env Parameter'!$A:$A=$A1717)*('env Parameter'!$B:$B=$K1717)*('env Parameter'!$C:$C=$L1717),'env Parameter'!H:H,""),"")</f>
        <v>생물상 조사</v>
      </c>
      <c r="C1717" s="10" cm="1">
        <f t="array" ref="C1717">IFERROR(_xlfn.XLOOKUP(1,('env Parameter'!$A:$A=$A1717)*('env Parameter'!$B:$B=$K1717)*('env Parameter'!$C:$C=$L1717),'env Parameter'!E:E,""),"")</f>
        <v>2.14</v>
      </c>
      <c r="D1717" s="10" cm="1">
        <f t="array" ref="D1717">IFERROR(_xlfn.XLOOKUP(1,('env Parameter'!$A:$A=$A1717)*('env Parameter'!$B:$B=$K1717)*('env Parameter'!$C:$C=$L1717),'env Parameter'!F:F,""),"")</f>
        <v>478</v>
      </c>
      <c r="E1717" s="10" cm="1">
        <f t="array" ref="E1717">IFERROR(_xlfn.XLOOKUP(1,('env Parameter'!$A:$A=$A1717)*('env Parameter'!$B:$B=$K1717)*('env Parameter'!$C:$C=$L1717),'env Parameter'!G:G,""),"")</f>
        <v>7.6</v>
      </c>
      <c r="F1717" t="str">
        <f>eDNA!F1717</f>
        <v>MiFish</v>
      </c>
      <c r="G1717" t="str">
        <f>eDNA!D1717</f>
        <v>Tribolodon hakonensis</v>
      </c>
      <c r="H1717" t="str">
        <f>_xlfn.XLOOKUP(G1717,'Common name (master file)'!$B:$B,'Common name (master file)'!$A:$A,"-------------")</f>
        <v>황어</v>
      </c>
      <c r="I1717">
        <f>eDNA!E1717</f>
        <v>4912</v>
      </c>
      <c r="J1717" t="str">
        <f>_xlfn.XLOOKUP(G1717,'Common name (master file)'!$B:$B,'Common name (master file)'!$C:$C,"")</f>
        <v>어류</v>
      </c>
      <c r="K1717">
        <f>eDNA!B1717</f>
        <v>126.9506027</v>
      </c>
      <c r="L1717">
        <f>eDNA!C1717</f>
        <v>37.400644700000001</v>
      </c>
      <c r="M1717" s="10" t="str" cm="1">
        <f t="array" ref="M1717">IFERROR(_xlfn.XLOOKUP(1,('env Parameter'!$A:$A=$A1717)*('env Parameter'!$B:$B=$K1717)*('env Parameter'!$C:$C=$L1717),'env Parameter'!D:D,""),"")</f>
        <v>안양천-31</v>
      </c>
      <c r="N1717" s="10" t="str" cm="1">
        <f t="array" ref="N1717">IFERROR(_xlfn.XLOOKUP(1,('env Parameter'!$A:$A=$A1717)*('env Parameter'!$B:$B=$K1717)*('env Parameter'!$C:$C=$L1717),'env Parameter'!I:I,""),"")</f>
        <v>YR</v>
      </c>
    </row>
    <row r="1718" spans="1:14">
      <c r="A1718">
        <f>eDNA!A1718</f>
        <v>20201024</v>
      </c>
      <c r="B1718" s="10" t="str" cm="1">
        <f t="array" ref="B1718">IFERROR(_xlfn.XLOOKUP(1,('env Parameter'!$A:$A=$A1718)*('env Parameter'!$B:$B=$K1718)*('env Parameter'!$C:$C=$L1718),'env Parameter'!H:H,""),"")</f>
        <v>생물상 조사</v>
      </c>
      <c r="C1718" s="10" cm="1">
        <f t="array" ref="C1718">IFERROR(_xlfn.XLOOKUP(1,('env Parameter'!$A:$A=$A1718)*('env Parameter'!$B:$B=$K1718)*('env Parameter'!$C:$C=$L1718),'env Parameter'!E:E,""),"")</f>
        <v>2.14</v>
      </c>
      <c r="D1718" s="10" cm="1">
        <f t="array" ref="D1718">IFERROR(_xlfn.XLOOKUP(1,('env Parameter'!$A:$A=$A1718)*('env Parameter'!$B:$B=$K1718)*('env Parameter'!$C:$C=$L1718),'env Parameter'!F:F,""),"")</f>
        <v>478</v>
      </c>
      <c r="E1718" s="10" cm="1">
        <f t="array" ref="E1718">IFERROR(_xlfn.XLOOKUP(1,('env Parameter'!$A:$A=$A1718)*('env Parameter'!$B:$B=$K1718)*('env Parameter'!$C:$C=$L1718),'env Parameter'!G:G,""),"")</f>
        <v>7.6</v>
      </c>
      <c r="F1718" t="str">
        <f>eDNA!F1718</f>
        <v>MiFish</v>
      </c>
      <c r="G1718" t="str">
        <f>eDNA!D1718</f>
        <v>Homo sapiens</v>
      </c>
      <c r="H1718" t="str">
        <f>_xlfn.XLOOKUP(G1718,'Common name (master file)'!$B:$B,'Common name (master file)'!$A:$A,"-------------")</f>
        <v>사람</v>
      </c>
      <c r="I1718">
        <f>eDNA!E1718</f>
        <v>2990</v>
      </c>
      <c r="J1718" t="str">
        <f>_xlfn.XLOOKUP(G1718,'Common name (master file)'!$B:$B,'Common name (master file)'!$C:$C,"")</f>
        <v>포유류</v>
      </c>
      <c r="K1718">
        <f>eDNA!B1718</f>
        <v>126.9506027</v>
      </c>
      <c r="L1718">
        <f>eDNA!C1718</f>
        <v>37.400644700000001</v>
      </c>
      <c r="M1718" s="10" t="str" cm="1">
        <f t="array" ref="M1718">IFERROR(_xlfn.XLOOKUP(1,('env Parameter'!$A:$A=$A1718)*('env Parameter'!$B:$B=$K1718)*('env Parameter'!$C:$C=$L1718),'env Parameter'!D:D,""),"")</f>
        <v>안양천-31</v>
      </c>
      <c r="N1718" s="10" t="str" cm="1">
        <f t="array" ref="N1718">IFERROR(_xlfn.XLOOKUP(1,('env Parameter'!$A:$A=$A1718)*('env Parameter'!$B:$B=$K1718)*('env Parameter'!$C:$C=$L1718),'env Parameter'!I:I,""),"")</f>
        <v>YR</v>
      </c>
    </row>
    <row r="1719" spans="1:14">
      <c r="A1719">
        <f>eDNA!A1719</f>
        <v>20201024</v>
      </c>
      <c r="B1719" s="10" t="str" cm="1">
        <f t="array" ref="B1719">IFERROR(_xlfn.XLOOKUP(1,('env Parameter'!$A:$A=$A1719)*('env Parameter'!$B:$B=$K1719)*('env Parameter'!$C:$C=$L1719),'env Parameter'!H:H,""),"")</f>
        <v>생물상 조사</v>
      </c>
      <c r="C1719" s="10" cm="1">
        <f t="array" ref="C1719">IFERROR(_xlfn.XLOOKUP(1,('env Parameter'!$A:$A=$A1719)*('env Parameter'!$B:$B=$K1719)*('env Parameter'!$C:$C=$L1719),'env Parameter'!E:E,""),"")</f>
        <v>2.14</v>
      </c>
      <c r="D1719" s="10" cm="1">
        <f t="array" ref="D1719">IFERROR(_xlfn.XLOOKUP(1,('env Parameter'!$A:$A=$A1719)*('env Parameter'!$B:$B=$K1719)*('env Parameter'!$C:$C=$L1719),'env Parameter'!F:F,""),"")</f>
        <v>478</v>
      </c>
      <c r="E1719" s="10" cm="1">
        <f t="array" ref="E1719">IFERROR(_xlfn.XLOOKUP(1,('env Parameter'!$A:$A=$A1719)*('env Parameter'!$B:$B=$K1719)*('env Parameter'!$C:$C=$L1719),'env Parameter'!G:G,""),"")</f>
        <v>7.6</v>
      </c>
      <c r="F1719" t="str">
        <f>eDNA!F1719</f>
        <v>MiFish</v>
      </c>
      <c r="G1719" t="str">
        <f>eDNA!D1719</f>
        <v>Sebastes koreanus</v>
      </c>
      <c r="H1719" t="str">
        <f>_xlfn.XLOOKUP(G1719,'Common name (master file)'!$B:$B,'Common name (master file)'!$A:$A,"-------------")</f>
        <v>황해볼락</v>
      </c>
      <c r="I1719">
        <f>eDNA!E1719</f>
        <v>48</v>
      </c>
      <c r="J1719" t="str">
        <f>_xlfn.XLOOKUP(G1719,'Common name (master file)'!$B:$B,'Common name (master file)'!$C:$C,"")</f>
        <v>어류</v>
      </c>
      <c r="K1719">
        <f>eDNA!B1719</f>
        <v>126.8446659</v>
      </c>
      <c r="L1719">
        <f>eDNA!C1719</f>
        <v>37.420618699999999</v>
      </c>
      <c r="M1719" s="10" t="str" cm="1">
        <f t="array" ref="M1719">IFERROR(_xlfn.XLOOKUP(1,('env Parameter'!$A:$A=$A1719)*('env Parameter'!$B:$B=$K1719)*('env Parameter'!$C:$C=$L1719),'env Parameter'!D:D,""),"")</f>
        <v>목감천-3</v>
      </c>
      <c r="N1719" s="10" t="str" cm="1">
        <f t="array" ref="N1719">IFERROR(_xlfn.XLOOKUP(1,('env Parameter'!$A:$A=$A1719)*('env Parameter'!$B:$B=$K1719)*('env Parameter'!$C:$C=$L1719),'env Parameter'!I:I,""),"")</f>
        <v>YR</v>
      </c>
    </row>
    <row r="1720" spans="1:14">
      <c r="A1720">
        <f>eDNA!A1720</f>
        <v>20201024</v>
      </c>
      <c r="B1720" s="10" t="str" cm="1">
        <f t="array" ref="B1720">IFERROR(_xlfn.XLOOKUP(1,('env Parameter'!$A:$A=$A1720)*('env Parameter'!$B:$B=$K1720)*('env Parameter'!$C:$C=$L1720),'env Parameter'!H:H,""),"")</f>
        <v>생물상 조사</v>
      </c>
      <c r="C1720" s="10" cm="1">
        <f t="array" ref="C1720">IFERROR(_xlfn.XLOOKUP(1,('env Parameter'!$A:$A=$A1720)*('env Parameter'!$B:$B=$K1720)*('env Parameter'!$C:$C=$L1720),'env Parameter'!E:E,""),"")</f>
        <v>2.14</v>
      </c>
      <c r="D1720" s="10" cm="1">
        <f t="array" ref="D1720">IFERROR(_xlfn.XLOOKUP(1,('env Parameter'!$A:$A=$A1720)*('env Parameter'!$B:$B=$K1720)*('env Parameter'!$C:$C=$L1720),'env Parameter'!F:F,""),"")</f>
        <v>478</v>
      </c>
      <c r="E1720" s="10" cm="1">
        <f t="array" ref="E1720">IFERROR(_xlfn.XLOOKUP(1,('env Parameter'!$A:$A=$A1720)*('env Parameter'!$B:$B=$K1720)*('env Parameter'!$C:$C=$L1720),'env Parameter'!G:G,""),"")</f>
        <v>7.6</v>
      </c>
      <c r="F1720" t="str">
        <f>eDNA!F1720</f>
        <v>MiFish</v>
      </c>
      <c r="G1720" t="str">
        <f>eDNA!D1720</f>
        <v>Oryzias sinensis</v>
      </c>
      <c r="H1720" t="str">
        <f>_xlfn.XLOOKUP(G1720,'Common name (master file)'!$B:$B,'Common name (master file)'!$A:$A,"-------------")</f>
        <v>대륙송사리</v>
      </c>
      <c r="I1720">
        <f>eDNA!E1720</f>
        <v>6135</v>
      </c>
      <c r="J1720" t="str">
        <f>_xlfn.XLOOKUP(G1720,'Common name (master file)'!$B:$B,'Common name (master file)'!$C:$C,"")</f>
        <v>어류</v>
      </c>
      <c r="K1720">
        <f>eDNA!B1720</f>
        <v>126.9506027</v>
      </c>
      <c r="L1720">
        <f>eDNA!C1720</f>
        <v>37.400644700000001</v>
      </c>
      <c r="M1720" s="10" t="str" cm="1">
        <f t="array" ref="M1720">IFERROR(_xlfn.XLOOKUP(1,('env Parameter'!$A:$A=$A1720)*('env Parameter'!$B:$B=$K1720)*('env Parameter'!$C:$C=$L1720),'env Parameter'!D:D,""),"")</f>
        <v>안양천-31</v>
      </c>
      <c r="N1720" s="10" t="str" cm="1">
        <f t="array" ref="N1720">IFERROR(_xlfn.XLOOKUP(1,('env Parameter'!$A:$A=$A1720)*('env Parameter'!$B:$B=$K1720)*('env Parameter'!$C:$C=$L1720),'env Parameter'!I:I,""),"")</f>
        <v>YR</v>
      </c>
    </row>
    <row r="1721" spans="1:14">
      <c r="A1721">
        <f>eDNA!A1721</f>
        <v>20201024</v>
      </c>
      <c r="B1721" s="10" t="str" cm="1">
        <f t="array" ref="B1721">IFERROR(_xlfn.XLOOKUP(1,('env Parameter'!$A:$A=$A1721)*('env Parameter'!$B:$B=$K1721)*('env Parameter'!$C:$C=$L1721),'env Parameter'!H:H,""),"")</f>
        <v>생물상 조사</v>
      </c>
      <c r="C1721" s="10" cm="1">
        <f t="array" ref="C1721">IFERROR(_xlfn.XLOOKUP(1,('env Parameter'!$A:$A=$A1721)*('env Parameter'!$B:$B=$K1721)*('env Parameter'!$C:$C=$L1721),'env Parameter'!E:E,""),"")</f>
        <v>2.14</v>
      </c>
      <c r="D1721" s="10" cm="1">
        <f t="array" ref="D1721">IFERROR(_xlfn.XLOOKUP(1,('env Parameter'!$A:$A=$A1721)*('env Parameter'!$B:$B=$K1721)*('env Parameter'!$C:$C=$L1721),'env Parameter'!F:F,""),"")</f>
        <v>478</v>
      </c>
      <c r="E1721" s="10" cm="1">
        <f t="array" ref="E1721">IFERROR(_xlfn.XLOOKUP(1,('env Parameter'!$A:$A=$A1721)*('env Parameter'!$B:$B=$K1721)*('env Parameter'!$C:$C=$L1721),'env Parameter'!G:G,""),"")</f>
        <v>7.6</v>
      </c>
      <c r="F1721" t="str">
        <f>eDNA!F1721</f>
        <v>MiFish</v>
      </c>
      <c r="G1721" t="str">
        <f>eDNA!D1721</f>
        <v>Misgurnus mizolepis</v>
      </c>
      <c r="H1721" t="str">
        <f>_xlfn.XLOOKUP(G1721,'Common name (master file)'!$B:$B,'Common name (master file)'!$A:$A,"-------------")</f>
        <v>미꾸라지</v>
      </c>
      <c r="I1721">
        <f>eDNA!E1721</f>
        <v>28473</v>
      </c>
      <c r="J1721" t="str">
        <f>_xlfn.XLOOKUP(G1721,'Common name (master file)'!$B:$B,'Common name (master file)'!$C:$C,"")</f>
        <v>어류</v>
      </c>
      <c r="K1721">
        <f>eDNA!B1721</f>
        <v>126.9506027</v>
      </c>
      <c r="L1721">
        <f>eDNA!C1721</f>
        <v>37.400644700000001</v>
      </c>
      <c r="M1721" s="10" t="str" cm="1">
        <f t="array" ref="M1721">IFERROR(_xlfn.XLOOKUP(1,('env Parameter'!$A:$A=$A1721)*('env Parameter'!$B:$B=$K1721)*('env Parameter'!$C:$C=$L1721),'env Parameter'!D:D,""),"")</f>
        <v>안양천-31</v>
      </c>
      <c r="N1721" s="10" t="str" cm="1">
        <f t="array" ref="N1721">IFERROR(_xlfn.XLOOKUP(1,('env Parameter'!$A:$A=$A1721)*('env Parameter'!$B:$B=$K1721)*('env Parameter'!$C:$C=$L1721),'env Parameter'!I:I,""),"")</f>
        <v>YR</v>
      </c>
    </row>
    <row r="1722" spans="1:14">
      <c r="A1722">
        <f>eDNA!A1722</f>
        <v>20201024</v>
      </c>
      <c r="B1722" s="10" t="str" cm="1">
        <f t="array" ref="B1722">IFERROR(_xlfn.XLOOKUP(1,('env Parameter'!$A:$A=$A1722)*('env Parameter'!$B:$B=$K1722)*('env Parameter'!$C:$C=$L1722),'env Parameter'!H:H,""),"")</f>
        <v>생물상 조사</v>
      </c>
      <c r="C1722" s="10" cm="1">
        <f t="array" ref="C1722">IFERROR(_xlfn.XLOOKUP(1,('env Parameter'!$A:$A=$A1722)*('env Parameter'!$B:$B=$K1722)*('env Parameter'!$C:$C=$L1722),'env Parameter'!E:E,""),"")</f>
        <v>2.14</v>
      </c>
      <c r="D1722" s="10" cm="1">
        <f t="array" ref="D1722">IFERROR(_xlfn.XLOOKUP(1,('env Parameter'!$A:$A=$A1722)*('env Parameter'!$B:$B=$K1722)*('env Parameter'!$C:$C=$L1722),'env Parameter'!F:F,""),"")</f>
        <v>478</v>
      </c>
      <c r="E1722" s="10" cm="1">
        <f t="array" ref="E1722">IFERROR(_xlfn.XLOOKUP(1,('env Parameter'!$A:$A=$A1722)*('env Parameter'!$B:$B=$K1722)*('env Parameter'!$C:$C=$L1722),'env Parameter'!G:G,""),"")</f>
        <v>7.6</v>
      </c>
      <c r="F1722" t="str">
        <f>eDNA!F1722</f>
        <v>MiFish</v>
      </c>
      <c r="G1722" t="str">
        <f>eDNA!D1722</f>
        <v>Rhynchocypris oxycephalus</v>
      </c>
      <c r="H1722" t="str">
        <f>_xlfn.XLOOKUP(G1722,'Common name (master file)'!$B:$B,'Common name (master file)'!$A:$A,"-------------")</f>
        <v>버들치</v>
      </c>
      <c r="I1722">
        <f>eDNA!E1722</f>
        <v>202827</v>
      </c>
      <c r="J1722" t="str">
        <f>_xlfn.XLOOKUP(G1722,'Common name (master file)'!$B:$B,'Common name (master file)'!$C:$C,"")</f>
        <v>어류</v>
      </c>
      <c r="K1722">
        <f>eDNA!B1722</f>
        <v>126.9506027</v>
      </c>
      <c r="L1722">
        <f>eDNA!C1722</f>
        <v>37.400644700000001</v>
      </c>
      <c r="M1722" s="10" t="str" cm="1">
        <f t="array" ref="M1722">IFERROR(_xlfn.XLOOKUP(1,('env Parameter'!$A:$A=$A1722)*('env Parameter'!$B:$B=$K1722)*('env Parameter'!$C:$C=$L1722),'env Parameter'!D:D,""),"")</f>
        <v>안양천-31</v>
      </c>
      <c r="N1722" s="10" t="str" cm="1">
        <f t="array" ref="N1722">IFERROR(_xlfn.XLOOKUP(1,('env Parameter'!$A:$A=$A1722)*('env Parameter'!$B:$B=$K1722)*('env Parameter'!$C:$C=$L1722),'env Parameter'!I:I,""),"")</f>
        <v>YR</v>
      </c>
    </row>
    <row r="1723" spans="1:14">
      <c r="A1723">
        <f>eDNA!A1723</f>
        <v>20201024</v>
      </c>
      <c r="B1723" s="10" t="str" cm="1">
        <f t="array" ref="B1723">IFERROR(_xlfn.XLOOKUP(1,('env Parameter'!$A:$A=$A1723)*('env Parameter'!$B:$B=$K1723)*('env Parameter'!$C:$C=$L1723),'env Parameter'!H:H,""),"")</f>
        <v>Dummy</v>
      </c>
      <c r="C1723" s="10" cm="1">
        <f t="array" ref="C1723">IFERROR(_xlfn.XLOOKUP(1,('env Parameter'!$A:$A=$A1723)*('env Parameter'!$B:$B=$K1723)*('env Parameter'!$C:$C=$L1723),'env Parameter'!E:E,""),"")</f>
        <v>2.14</v>
      </c>
      <c r="D1723" s="10" cm="1">
        <f t="array" ref="D1723">IFERROR(_xlfn.XLOOKUP(1,('env Parameter'!$A:$A=$A1723)*('env Parameter'!$B:$B=$K1723)*('env Parameter'!$C:$C=$L1723),'env Parameter'!F:F,""),"")</f>
        <v>478</v>
      </c>
      <c r="E1723" s="10" cm="1">
        <f t="array" ref="E1723">IFERROR(_xlfn.XLOOKUP(1,('env Parameter'!$A:$A=$A1723)*('env Parameter'!$B:$B=$K1723)*('env Parameter'!$C:$C=$L1723),'env Parameter'!G:G,""),"")</f>
        <v>7.6</v>
      </c>
      <c r="F1723" t="str">
        <f>eDNA!F1723</f>
        <v>Dummy</v>
      </c>
      <c r="G1723" t="str">
        <f>eDNA!D1723</f>
        <v>Homo sapiens</v>
      </c>
      <c r="H1723" t="str">
        <f>_xlfn.XLOOKUP(G1723,'Common name (master file)'!$B:$B,'Common name (master file)'!$A:$A,"-------------")</f>
        <v>사람</v>
      </c>
      <c r="I1723">
        <f>eDNA!E1723</f>
        <v>100</v>
      </c>
      <c r="J1723" t="str">
        <f>_xlfn.XLOOKUP(G1723,'Common name (master file)'!$B:$B,'Common name (master file)'!$C:$C,"")</f>
        <v>포유류</v>
      </c>
      <c r="K1723">
        <f>eDNA!B1723</f>
        <v>126.81713569999999</v>
      </c>
      <c r="L1723">
        <f>eDNA!C1723</f>
        <v>37.593306900000002</v>
      </c>
      <c r="M1723" s="10" t="str" cm="1">
        <f t="array" ref="M1723">IFERROR(_xlfn.XLOOKUP(1,('env Parameter'!$A:$A=$A1723)*('env Parameter'!$B:$B=$K1723)*('env Parameter'!$C:$C=$L1723),'env Parameter'!D:D,""),"")</f>
        <v>test-mammal</v>
      </c>
      <c r="N1723" s="10" t="str" cm="1">
        <f t="array" ref="N1723">IFERROR(_xlfn.XLOOKUP(1,('env Parameter'!$A:$A=$A1723)*('env Parameter'!$B:$B=$K1723)*('env Parameter'!$C:$C=$L1723),'env Parameter'!I:I,""),"")</f>
        <v>YR</v>
      </c>
    </row>
    <row r="1724" spans="1:14">
      <c r="A1724">
        <f>eDNA!A1724</f>
        <v>20201024</v>
      </c>
      <c r="B1724" s="10" t="str" cm="1">
        <f t="array" ref="B1724">IFERROR(_xlfn.XLOOKUP(1,('env Parameter'!$A:$A=$A1724)*('env Parameter'!$B:$B=$K1724)*('env Parameter'!$C:$C=$L1724),'env Parameter'!H:H,""),"")</f>
        <v>Dummy</v>
      </c>
      <c r="C1724" s="10" cm="1">
        <f t="array" ref="C1724">IFERROR(_xlfn.XLOOKUP(1,('env Parameter'!$A:$A=$A1724)*('env Parameter'!$B:$B=$K1724)*('env Parameter'!$C:$C=$L1724),'env Parameter'!E:E,""),"")</f>
        <v>2.14</v>
      </c>
      <c r="D1724" s="10" cm="1">
        <f t="array" ref="D1724">IFERROR(_xlfn.XLOOKUP(1,('env Parameter'!$A:$A=$A1724)*('env Parameter'!$B:$B=$K1724)*('env Parameter'!$C:$C=$L1724),'env Parameter'!F:F,""),"")</f>
        <v>478</v>
      </c>
      <c r="E1724" s="10" cm="1">
        <f t="array" ref="E1724">IFERROR(_xlfn.XLOOKUP(1,('env Parameter'!$A:$A=$A1724)*('env Parameter'!$B:$B=$K1724)*('env Parameter'!$C:$C=$L1724),'env Parameter'!G:G,""),"")</f>
        <v>7.6</v>
      </c>
      <c r="F1724" t="str">
        <f>eDNA!F1724</f>
        <v>Dummy</v>
      </c>
      <c r="G1724" t="str">
        <f>eDNA!D1724</f>
        <v>Trachemys scripta</v>
      </c>
      <c r="H1724" t="str">
        <f>_xlfn.XLOOKUP(G1724,'Common name (master file)'!$B:$B,'Common name (master file)'!$A:$A,"-------------")</f>
        <v>연못거북</v>
      </c>
      <c r="I1724">
        <f>eDNA!E1724</f>
        <v>100</v>
      </c>
      <c r="J1724" t="str">
        <f>_xlfn.XLOOKUP(G1724,'Common name (master file)'!$B:$B,'Common name (master file)'!$C:$C,"")</f>
        <v>양서파충류</v>
      </c>
      <c r="K1724">
        <f>eDNA!B1724</f>
        <v>126.7771357</v>
      </c>
      <c r="L1724">
        <f>eDNA!C1724</f>
        <v>37.593306900000002</v>
      </c>
      <c r="M1724" s="10" t="str" cm="1">
        <f t="array" ref="M1724">IFERROR(_xlfn.XLOOKUP(1,('env Parameter'!$A:$A=$A1724)*('env Parameter'!$B:$B=$K1724)*('env Parameter'!$C:$C=$L1724),'env Parameter'!D:D,""),"")</f>
        <v>test-reptile</v>
      </c>
      <c r="N1724" s="10" t="str" cm="1">
        <f t="array" ref="N1724">IFERROR(_xlfn.XLOOKUP(1,('env Parameter'!$A:$A=$A1724)*('env Parameter'!$B:$B=$K1724)*('env Parameter'!$C:$C=$L1724),'env Parameter'!I:I,""),"")</f>
        <v>YR</v>
      </c>
    </row>
    <row r="1725" spans="1:14">
      <c r="A1725">
        <f>eDNA!A1725</f>
        <v>20201024</v>
      </c>
      <c r="B1725" s="10" t="str" cm="1">
        <f t="array" ref="B1725">IFERROR(_xlfn.XLOOKUP(1,('env Parameter'!$A:$A=$A1725)*('env Parameter'!$B:$B=$K1725)*('env Parameter'!$C:$C=$L1725),'env Parameter'!H:H,""),"")</f>
        <v>Dummy</v>
      </c>
      <c r="C1725" s="10" cm="1">
        <f t="array" ref="C1725">IFERROR(_xlfn.XLOOKUP(1,('env Parameter'!$A:$A=$A1725)*('env Parameter'!$B:$B=$K1725)*('env Parameter'!$C:$C=$L1725),'env Parameter'!E:E,""),"")</f>
        <v>2.14</v>
      </c>
      <c r="D1725" s="10" cm="1">
        <f t="array" ref="D1725">IFERROR(_xlfn.XLOOKUP(1,('env Parameter'!$A:$A=$A1725)*('env Parameter'!$B:$B=$K1725)*('env Parameter'!$C:$C=$L1725),'env Parameter'!F:F,""),"")</f>
        <v>478</v>
      </c>
      <c r="E1725" s="10" cm="1">
        <f t="array" ref="E1725">IFERROR(_xlfn.XLOOKUP(1,('env Parameter'!$A:$A=$A1725)*('env Parameter'!$B:$B=$K1725)*('env Parameter'!$C:$C=$L1725),'env Parameter'!G:G,""),"")</f>
        <v>7.6</v>
      </c>
      <c r="F1725" t="str">
        <f>eDNA!F1725</f>
        <v>Dummy</v>
      </c>
      <c r="G1725" t="str">
        <f>eDNA!D1725</f>
        <v>Columba livia</v>
      </c>
      <c r="H1725" t="str">
        <f>_xlfn.XLOOKUP(G1725,'Common name (master file)'!$B:$B,'Common name (master file)'!$A:$A,"-------------")</f>
        <v>비둘기</v>
      </c>
      <c r="I1725">
        <f>eDNA!E1725</f>
        <v>100</v>
      </c>
      <c r="J1725" t="str">
        <f>_xlfn.XLOOKUP(G1725,'Common name (master file)'!$B:$B,'Common name (master file)'!$C:$C,"")</f>
        <v>조류</v>
      </c>
      <c r="K1725">
        <f>eDNA!B1725</f>
        <v>126.7471357</v>
      </c>
      <c r="L1725">
        <f>eDNA!C1725</f>
        <v>37.593306900000002</v>
      </c>
      <c r="M1725" s="10" t="str" cm="1">
        <f t="array" ref="M1725">IFERROR(_xlfn.XLOOKUP(1,('env Parameter'!$A:$A=$A1725)*('env Parameter'!$B:$B=$K1725)*('env Parameter'!$C:$C=$L1725),'env Parameter'!D:D,""),"")</f>
        <v>test-bird</v>
      </c>
      <c r="N1725" s="10" t="str" cm="1">
        <f t="array" ref="N1725">IFERROR(_xlfn.XLOOKUP(1,('env Parameter'!$A:$A=$A1725)*('env Parameter'!$B:$B=$K1725)*('env Parameter'!$C:$C=$L1725),'env Parameter'!I:I,""),"")</f>
        <v>YR</v>
      </c>
    </row>
    <row r="1726" spans="1:14">
      <c r="B1726" s="10"/>
      <c r="C1726" s="10"/>
      <c r="D1726" s="10"/>
      <c r="E1726" s="10"/>
      <c r="M1726" s="10"/>
      <c r="N1726" s="10"/>
    </row>
    <row r="1727" spans="1:14">
      <c r="B1727" s="10"/>
      <c r="C1727" s="10"/>
      <c r="D1727" s="10"/>
      <c r="E1727" s="10"/>
      <c r="M1727" s="10"/>
      <c r="N1727" s="10"/>
    </row>
    <row r="1728" spans="1:14">
      <c r="B1728" s="10"/>
      <c r="C1728" s="10"/>
      <c r="D1728" s="10"/>
      <c r="E1728" s="10"/>
      <c r="M1728" s="10"/>
      <c r="N1728" s="10"/>
    </row>
    <row r="1729" spans="2:14">
      <c r="B1729" s="10"/>
      <c r="C1729" s="10"/>
      <c r="D1729" s="10"/>
      <c r="E1729" s="10"/>
      <c r="M1729" s="10"/>
      <c r="N1729" s="10"/>
    </row>
    <row r="1730" spans="2:14">
      <c r="B1730" s="10"/>
      <c r="C1730" s="10"/>
      <c r="D1730" s="10"/>
      <c r="E1730" s="10"/>
      <c r="M1730" s="10"/>
      <c r="N1730" s="10"/>
    </row>
    <row r="1731" spans="2:14">
      <c r="B1731" s="10"/>
      <c r="C1731" s="10"/>
      <c r="D1731" s="10"/>
      <c r="E1731" s="10"/>
      <c r="M1731" s="10"/>
      <c r="N1731" s="10"/>
    </row>
    <row r="1732" spans="2:14">
      <c r="B1732" s="10"/>
      <c r="C1732" s="10"/>
      <c r="D1732" s="10"/>
      <c r="E1732" s="10"/>
      <c r="M1732" s="10"/>
      <c r="N1732" s="10"/>
    </row>
    <row r="1733" spans="2:14">
      <c r="B1733" s="10"/>
      <c r="C1733" s="10"/>
      <c r="D1733" s="10"/>
      <c r="E1733" s="10"/>
      <c r="M1733" s="10"/>
      <c r="N1733" s="10"/>
    </row>
    <row r="1734" spans="2:14">
      <c r="B1734" s="10"/>
      <c r="C1734" s="10"/>
      <c r="D1734" s="10"/>
      <c r="E1734" s="10"/>
      <c r="M1734" s="10"/>
      <c r="N1734" s="10"/>
    </row>
    <row r="1735" spans="2:14">
      <c r="B1735" s="10"/>
      <c r="C1735" s="10"/>
      <c r="D1735" s="10"/>
      <c r="E1735" s="10"/>
      <c r="M1735" s="10"/>
      <c r="N1735" s="10"/>
    </row>
    <row r="1736" spans="2:14">
      <c r="B1736" s="10"/>
      <c r="C1736" s="10"/>
      <c r="D1736" s="10"/>
      <c r="E1736" s="10"/>
      <c r="M1736" s="10"/>
      <c r="N1736" s="10"/>
    </row>
    <row r="1737" spans="2:14">
      <c r="B1737" s="10"/>
      <c r="C1737" s="10"/>
      <c r="D1737" s="10"/>
      <c r="E1737" s="10"/>
      <c r="M1737" s="10"/>
      <c r="N1737" s="10"/>
    </row>
    <row r="1738" spans="2:14">
      <c r="B1738" s="10"/>
      <c r="C1738" s="10"/>
      <c r="D1738" s="10"/>
      <c r="E1738" s="10"/>
      <c r="M1738" s="10"/>
      <c r="N1738" s="10"/>
    </row>
    <row r="1739" spans="2:14">
      <c r="B1739" s="10"/>
      <c r="C1739" s="10"/>
      <c r="D1739" s="10"/>
      <c r="E1739" s="10"/>
      <c r="M1739" s="10"/>
      <c r="N1739" s="10"/>
    </row>
    <row r="1740" spans="2:14">
      <c r="B1740" s="10"/>
      <c r="C1740" s="10"/>
      <c r="D1740" s="10"/>
      <c r="E1740" s="10"/>
      <c r="M1740" s="10"/>
      <c r="N1740" s="10"/>
    </row>
    <row r="1741" spans="2:14">
      <c r="B1741" s="10"/>
      <c r="C1741" s="10"/>
      <c r="D1741" s="10"/>
      <c r="E1741" s="10"/>
      <c r="M1741" s="10"/>
      <c r="N1741" s="10"/>
    </row>
    <row r="1742" spans="2:14">
      <c r="B1742" s="10"/>
      <c r="C1742" s="10"/>
      <c r="D1742" s="10"/>
      <c r="E1742" s="10"/>
      <c r="M1742" s="10"/>
      <c r="N1742" s="10"/>
    </row>
    <row r="1743" spans="2:14">
      <c r="B1743" s="10"/>
      <c r="C1743" s="10"/>
      <c r="D1743" s="10"/>
      <c r="E1743" s="10"/>
      <c r="M1743" s="10"/>
      <c r="N1743" s="10"/>
    </row>
    <row r="1744" spans="2:14">
      <c r="B1744" s="10"/>
      <c r="C1744" s="10"/>
      <c r="D1744" s="10"/>
      <c r="E1744" s="10"/>
      <c r="M1744" s="10"/>
      <c r="N1744" s="10"/>
    </row>
    <row r="1745" spans="2:14">
      <c r="B1745" s="10"/>
      <c r="C1745" s="10"/>
      <c r="D1745" s="10"/>
      <c r="E1745" s="10"/>
      <c r="M1745" s="10"/>
      <c r="N1745" s="10"/>
    </row>
    <row r="1746" spans="2:14">
      <c r="B1746" s="10"/>
      <c r="C1746" s="10"/>
      <c r="D1746" s="10"/>
      <c r="E1746" s="10"/>
      <c r="M1746" s="10"/>
      <c r="N1746" s="10"/>
    </row>
    <row r="1747" spans="2:14">
      <c r="B1747" s="10"/>
      <c r="C1747" s="10"/>
      <c r="D1747" s="10"/>
      <c r="E1747" s="10"/>
      <c r="M1747" s="10"/>
      <c r="N1747" s="10"/>
    </row>
    <row r="1748" spans="2:14">
      <c r="B1748" s="10"/>
      <c r="C1748" s="10"/>
      <c r="D1748" s="10"/>
      <c r="E1748" s="10"/>
      <c r="M1748" s="10"/>
      <c r="N1748" s="10"/>
    </row>
    <row r="1749" spans="2:14">
      <c r="B1749" s="10"/>
      <c r="C1749" s="10"/>
      <c r="D1749" s="10"/>
      <c r="E1749" s="10"/>
      <c r="M1749" s="10"/>
      <c r="N1749" s="10"/>
    </row>
    <row r="1750" spans="2:14">
      <c r="B1750" s="10"/>
      <c r="C1750" s="10"/>
      <c r="D1750" s="10"/>
      <c r="E1750" s="10"/>
      <c r="M1750" s="10"/>
      <c r="N1750" s="10"/>
    </row>
    <row r="1751" spans="2:14">
      <c r="B1751" s="10"/>
      <c r="C1751" s="10"/>
      <c r="D1751" s="10"/>
      <c r="E1751" s="10"/>
      <c r="M1751" s="10"/>
      <c r="N1751" s="10"/>
    </row>
    <row r="1752" spans="2:14">
      <c r="B1752" s="10"/>
      <c r="C1752" s="10"/>
      <c r="D1752" s="10"/>
      <c r="E1752" s="10"/>
      <c r="M1752" s="10"/>
      <c r="N1752" s="10"/>
    </row>
    <row r="1753" spans="2:14">
      <c r="B1753" s="10"/>
      <c r="C1753" s="10"/>
      <c r="D1753" s="10"/>
      <c r="E1753" s="10"/>
      <c r="M1753" s="10"/>
      <c r="N1753" s="10"/>
    </row>
    <row r="1754" spans="2:14">
      <c r="B1754" s="10"/>
      <c r="C1754" s="10"/>
      <c r="D1754" s="10"/>
      <c r="E1754" s="10"/>
      <c r="M1754" s="10"/>
      <c r="N1754" s="10"/>
    </row>
    <row r="1755" spans="2:14">
      <c r="B1755" s="10"/>
      <c r="C1755" s="10"/>
      <c r="D1755" s="10"/>
      <c r="E1755" s="10"/>
      <c r="M1755" s="10"/>
      <c r="N1755" s="10"/>
    </row>
    <row r="1756" spans="2:14">
      <c r="B1756" s="10"/>
      <c r="C1756" s="10"/>
      <c r="D1756" s="10"/>
      <c r="E1756" s="10"/>
      <c r="M1756" s="10"/>
      <c r="N1756" s="10"/>
    </row>
    <row r="1757" spans="2:14">
      <c r="B1757" s="10"/>
      <c r="C1757" s="10"/>
      <c r="D1757" s="10"/>
      <c r="E1757" s="10"/>
      <c r="M1757" s="10"/>
      <c r="N1757" s="10"/>
    </row>
    <row r="1758" spans="2:14">
      <c r="B1758" s="10"/>
      <c r="C1758" s="10"/>
      <c r="D1758" s="10"/>
      <c r="E1758" s="10"/>
      <c r="M1758" s="10"/>
      <c r="N1758" s="10"/>
    </row>
    <row r="1759" spans="2:14">
      <c r="B1759" s="10"/>
      <c r="C1759" s="10"/>
      <c r="D1759" s="10"/>
      <c r="E1759" s="10"/>
      <c r="M1759" s="10"/>
      <c r="N1759" s="10"/>
    </row>
    <row r="1760" spans="2:14">
      <c r="B1760" s="10"/>
      <c r="C1760" s="10"/>
      <c r="D1760" s="10"/>
      <c r="E1760" s="10"/>
      <c r="M1760" s="10"/>
      <c r="N1760" s="10"/>
    </row>
    <row r="1761" spans="2:14">
      <c r="B1761" s="10"/>
      <c r="C1761" s="10"/>
      <c r="D1761" s="10"/>
      <c r="E1761" s="10"/>
      <c r="M1761" s="10"/>
      <c r="N1761" s="10"/>
    </row>
    <row r="1762" spans="2:14">
      <c r="B1762" s="10"/>
      <c r="C1762" s="10"/>
      <c r="D1762" s="10"/>
      <c r="E1762" s="10"/>
      <c r="M1762" s="10"/>
      <c r="N1762" s="10"/>
    </row>
    <row r="1763" spans="2:14">
      <c r="B1763" s="10"/>
      <c r="C1763" s="10"/>
      <c r="D1763" s="10"/>
      <c r="E1763" s="10"/>
      <c r="M1763" s="10"/>
      <c r="N1763" s="10"/>
    </row>
    <row r="1764" spans="2:14">
      <c r="B1764" s="10"/>
      <c r="C1764" s="10"/>
      <c r="D1764" s="10"/>
      <c r="E1764" s="10"/>
      <c r="M1764" s="10"/>
      <c r="N1764" s="10"/>
    </row>
    <row r="1765" spans="2:14">
      <c r="B1765" s="10"/>
      <c r="C1765" s="10"/>
      <c r="D1765" s="10"/>
      <c r="E1765" s="10"/>
      <c r="M1765" s="10"/>
      <c r="N1765" s="10"/>
    </row>
    <row r="1766" spans="2:14">
      <c r="B1766" s="10"/>
      <c r="C1766" s="10"/>
      <c r="D1766" s="10"/>
      <c r="E1766" s="10"/>
      <c r="M1766" s="10"/>
      <c r="N1766" s="10"/>
    </row>
    <row r="1767" spans="2:14">
      <c r="B1767" s="10"/>
      <c r="C1767" s="10"/>
      <c r="D1767" s="10"/>
      <c r="E1767" s="10"/>
      <c r="M1767" s="10"/>
      <c r="N1767" s="10"/>
    </row>
    <row r="1768" spans="2:14">
      <c r="B1768" s="10"/>
      <c r="C1768" s="10"/>
      <c r="D1768" s="10"/>
      <c r="E1768" s="10"/>
      <c r="M1768" s="10"/>
      <c r="N1768" s="10"/>
    </row>
    <row r="1769" spans="2:14">
      <c r="B1769" s="10"/>
      <c r="C1769" s="10"/>
      <c r="D1769" s="10"/>
      <c r="E1769" s="10"/>
      <c r="M1769" s="10"/>
      <c r="N1769" s="10"/>
    </row>
    <row r="1770" spans="2:14">
      <c r="B1770" s="10"/>
      <c r="C1770" s="10"/>
      <c r="D1770" s="10"/>
      <c r="E1770" s="10"/>
      <c r="M1770" s="10"/>
      <c r="N1770" s="10"/>
    </row>
    <row r="1771" spans="2:14">
      <c r="B1771" s="10"/>
      <c r="C1771" s="10"/>
      <c r="D1771" s="10"/>
      <c r="E1771" s="10"/>
      <c r="M1771" s="10"/>
      <c r="N1771" s="10"/>
    </row>
    <row r="1772" spans="2:14">
      <c r="B1772" s="10"/>
      <c r="C1772" s="10"/>
      <c r="D1772" s="10"/>
      <c r="E1772" s="10"/>
      <c r="M1772" s="10"/>
      <c r="N1772" s="10"/>
    </row>
    <row r="1773" spans="2:14">
      <c r="B1773" s="10"/>
      <c r="C1773" s="10"/>
      <c r="D1773" s="10"/>
      <c r="E1773" s="10"/>
      <c r="M1773" s="10"/>
      <c r="N1773" s="10"/>
    </row>
    <row r="1774" spans="2:14">
      <c r="B1774" s="10"/>
      <c r="C1774" s="10"/>
      <c r="D1774" s="10"/>
      <c r="E1774" s="10"/>
      <c r="M1774" s="10"/>
      <c r="N1774" s="10"/>
    </row>
    <row r="1775" spans="2:14">
      <c r="B1775" s="10"/>
      <c r="C1775" s="10"/>
      <c r="D1775" s="10"/>
      <c r="E1775" s="10"/>
      <c r="M1775" s="10"/>
      <c r="N1775" s="10"/>
    </row>
    <row r="1776" spans="2:14">
      <c r="B1776" s="10"/>
      <c r="C1776" s="10"/>
      <c r="D1776" s="10"/>
      <c r="E1776" s="10"/>
      <c r="M1776" s="10"/>
      <c r="N1776" s="10"/>
    </row>
    <row r="1777" spans="2:14">
      <c r="B1777" s="10"/>
      <c r="C1777" s="10"/>
      <c r="D1777" s="10"/>
      <c r="E1777" s="10"/>
      <c r="M1777" s="10"/>
      <c r="N1777" s="10"/>
    </row>
    <row r="1778" spans="2:14">
      <c r="B1778" s="10"/>
      <c r="C1778" s="10"/>
      <c r="D1778" s="10"/>
      <c r="E1778" s="10"/>
      <c r="M1778" s="10"/>
      <c r="N1778" s="10"/>
    </row>
    <row r="1779" spans="2:14">
      <c r="B1779" s="10"/>
      <c r="C1779" s="10"/>
      <c r="D1779" s="10"/>
      <c r="E1779" s="10"/>
      <c r="M1779" s="10"/>
      <c r="N1779" s="10"/>
    </row>
    <row r="1780" spans="2:14">
      <c r="B1780" s="10"/>
      <c r="C1780" s="10"/>
      <c r="D1780" s="10"/>
      <c r="E1780" s="10"/>
      <c r="M1780" s="10"/>
      <c r="N1780" s="10"/>
    </row>
    <row r="1781" spans="2:14">
      <c r="B1781" s="10"/>
      <c r="C1781" s="10"/>
      <c r="D1781" s="10"/>
      <c r="E1781" s="10"/>
      <c r="M1781" s="10"/>
      <c r="N1781" s="10"/>
    </row>
    <row r="1782" spans="2:14">
      <c r="B1782" s="10"/>
      <c r="C1782" s="10"/>
      <c r="D1782" s="10"/>
      <c r="E1782" s="10"/>
      <c r="M1782" s="10"/>
      <c r="N1782" s="10"/>
    </row>
    <row r="1783" spans="2:14">
      <c r="B1783" s="10"/>
      <c r="C1783" s="10"/>
      <c r="D1783" s="10"/>
      <c r="E1783" s="10"/>
      <c r="M1783" s="10"/>
      <c r="N1783" s="10"/>
    </row>
    <row r="1784" spans="2:14">
      <c r="B1784" s="10"/>
      <c r="C1784" s="10"/>
      <c r="D1784" s="10"/>
      <c r="E1784" s="10"/>
      <c r="M1784" s="10"/>
      <c r="N1784" s="10"/>
    </row>
    <row r="1785" spans="2:14">
      <c r="B1785" s="10"/>
      <c r="C1785" s="10"/>
      <c r="D1785" s="10"/>
      <c r="E1785" s="10"/>
      <c r="M1785" s="10"/>
      <c r="N1785" s="10"/>
    </row>
    <row r="1786" spans="2:14">
      <c r="B1786" s="10"/>
      <c r="C1786" s="10"/>
      <c r="D1786" s="10"/>
      <c r="E1786" s="10"/>
      <c r="M1786" s="10"/>
      <c r="N1786" s="10"/>
    </row>
    <row r="1787" spans="2:14">
      <c r="B1787" s="10"/>
      <c r="C1787" s="10"/>
      <c r="D1787" s="10"/>
      <c r="E1787" s="10"/>
      <c r="M1787" s="10"/>
      <c r="N1787" s="10"/>
    </row>
    <row r="1788" spans="2:14">
      <c r="B1788" s="10"/>
      <c r="C1788" s="10"/>
      <c r="D1788" s="10"/>
      <c r="E1788" s="10"/>
      <c r="M1788" s="10"/>
      <c r="N1788" s="10"/>
    </row>
    <row r="1789" spans="2:14">
      <c r="B1789" s="10"/>
      <c r="C1789" s="10"/>
      <c r="D1789" s="10"/>
      <c r="E1789" s="10"/>
      <c r="M1789" s="10"/>
      <c r="N1789" s="10"/>
    </row>
    <row r="1790" spans="2:14">
      <c r="B1790" s="10"/>
      <c r="C1790" s="10"/>
      <c r="D1790" s="10"/>
      <c r="E1790" s="10"/>
      <c r="M1790" s="10"/>
      <c r="N1790" s="10"/>
    </row>
    <row r="1791" spans="2:14">
      <c r="B1791" s="10"/>
      <c r="C1791" s="10"/>
      <c r="D1791" s="10"/>
      <c r="E1791" s="10"/>
      <c r="M1791" s="10"/>
      <c r="N1791" s="10"/>
    </row>
    <row r="1792" spans="2:14">
      <c r="B1792" s="10"/>
      <c r="C1792" s="10"/>
      <c r="D1792" s="10"/>
      <c r="E1792" s="10"/>
      <c r="M1792" s="10"/>
      <c r="N1792" s="10"/>
    </row>
    <row r="1793" spans="2:14">
      <c r="B1793" s="10"/>
      <c r="C1793" s="10"/>
      <c r="D1793" s="10"/>
      <c r="E1793" s="10"/>
      <c r="M1793" s="10"/>
      <c r="N1793" s="10"/>
    </row>
    <row r="1794" spans="2:14">
      <c r="B1794" s="10"/>
      <c r="C1794" s="10"/>
      <c r="D1794" s="10"/>
      <c r="E1794" s="10"/>
      <c r="M1794" s="10"/>
      <c r="N1794" s="10"/>
    </row>
    <row r="1795" spans="2:14">
      <c r="B1795" s="10"/>
      <c r="C1795" s="10"/>
      <c r="D1795" s="10"/>
      <c r="E1795" s="10"/>
      <c r="M1795" s="10"/>
      <c r="N1795" s="10"/>
    </row>
    <row r="1796" spans="2:14">
      <c r="B1796" s="10"/>
      <c r="C1796" s="10"/>
      <c r="D1796" s="10"/>
      <c r="E1796" s="10"/>
      <c r="M1796" s="10"/>
      <c r="N1796" s="10"/>
    </row>
    <row r="1797" spans="2:14">
      <c r="B1797" s="10"/>
      <c r="C1797" s="10"/>
      <c r="D1797" s="10"/>
      <c r="E1797" s="10"/>
      <c r="M1797" s="10"/>
      <c r="N1797" s="10"/>
    </row>
    <row r="1798" spans="2:14">
      <c r="B1798" s="10"/>
      <c r="C1798" s="10"/>
      <c r="D1798" s="10"/>
      <c r="E1798" s="10"/>
      <c r="M1798" s="10"/>
      <c r="N1798" s="10"/>
    </row>
    <row r="1799" spans="2:14">
      <c r="B1799" s="10"/>
      <c r="C1799" s="10"/>
      <c r="D1799" s="10"/>
      <c r="E1799" s="10"/>
      <c r="M1799" s="10"/>
      <c r="N1799" s="10"/>
    </row>
    <row r="1800" spans="2:14">
      <c r="B1800" s="10"/>
      <c r="C1800" s="10"/>
      <c r="D1800" s="10"/>
      <c r="E1800" s="10"/>
      <c r="M1800" s="10"/>
      <c r="N1800" s="10"/>
    </row>
    <row r="1801" spans="2:14">
      <c r="B1801" s="10"/>
      <c r="C1801" s="10"/>
      <c r="D1801" s="10"/>
      <c r="E1801" s="10"/>
      <c r="M1801" s="10"/>
      <c r="N1801" s="10"/>
    </row>
    <row r="1802" spans="2:14">
      <c r="B1802" s="10"/>
      <c r="C1802" s="10"/>
      <c r="D1802" s="10"/>
      <c r="E1802" s="10"/>
      <c r="M1802" s="10"/>
      <c r="N1802" s="10"/>
    </row>
    <row r="1803" spans="2:14">
      <c r="B1803" s="10"/>
      <c r="C1803" s="10"/>
      <c r="D1803" s="10"/>
      <c r="E1803" s="10"/>
      <c r="M1803" s="10"/>
      <c r="N1803" s="10"/>
    </row>
    <row r="1804" spans="2:14">
      <c r="B1804" s="10"/>
      <c r="C1804" s="10"/>
      <c r="D1804" s="10"/>
      <c r="E1804" s="10"/>
      <c r="M1804" s="10"/>
      <c r="N1804" s="10"/>
    </row>
    <row r="1805" spans="2:14">
      <c r="B1805" s="10"/>
      <c r="C1805" s="10"/>
      <c r="D1805" s="10"/>
      <c r="E1805" s="10"/>
      <c r="M1805" s="10"/>
      <c r="N1805" s="10"/>
    </row>
    <row r="1806" spans="2:14">
      <c r="B1806" s="10"/>
      <c r="C1806" s="10"/>
      <c r="D1806" s="10"/>
      <c r="E1806" s="10"/>
      <c r="M1806" s="10"/>
      <c r="N1806" s="10"/>
    </row>
    <row r="1807" spans="2:14">
      <c r="B1807" s="10"/>
      <c r="C1807" s="10"/>
      <c r="D1807" s="10"/>
      <c r="E1807" s="10"/>
      <c r="M1807" s="10"/>
      <c r="N1807" s="10"/>
    </row>
    <row r="1808" spans="2:14">
      <c r="B1808" s="10"/>
      <c r="C1808" s="10"/>
      <c r="D1808" s="10"/>
      <c r="E1808" s="10"/>
      <c r="M1808" s="10"/>
      <c r="N1808" s="10"/>
    </row>
    <row r="1809" spans="2:14">
      <c r="B1809" s="10"/>
      <c r="C1809" s="10"/>
      <c r="D1809" s="10"/>
      <c r="E1809" s="10"/>
      <c r="M1809" s="10"/>
      <c r="N1809" s="10"/>
    </row>
    <row r="1810" spans="2:14">
      <c r="B1810" s="10"/>
      <c r="C1810" s="10"/>
      <c r="D1810" s="10"/>
      <c r="E1810" s="10"/>
      <c r="M1810" s="10"/>
      <c r="N1810" s="10"/>
    </row>
    <row r="1811" spans="2:14">
      <c r="B1811" s="10"/>
      <c r="C1811" s="10"/>
      <c r="D1811" s="10"/>
      <c r="E1811" s="10"/>
      <c r="M1811" s="10"/>
      <c r="N1811" s="10"/>
    </row>
    <row r="1812" spans="2:14">
      <c r="B1812" s="10"/>
      <c r="C1812" s="10"/>
      <c r="D1812" s="10"/>
      <c r="E1812" s="10"/>
      <c r="M1812" s="10"/>
      <c r="N1812" s="10"/>
    </row>
    <row r="1813" spans="2:14">
      <c r="B1813" s="10"/>
      <c r="C1813" s="10"/>
      <c r="D1813" s="10"/>
      <c r="E1813" s="10"/>
      <c r="M1813" s="10"/>
      <c r="N1813" s="10"/>
    </row>
    <row r="1814" spans="2:14">
      <c r="B1814" s="10"/>
      <c r="C1814" s="10"/>
      <c r="D1814" s="10"/>
      <c r="E1814" s="10"/>
      <c r="M1814" s="10"/>
      <c r="N1814" s="10"/>
    </row>
    <row r="1815" spans="2:14">
      <c r="B1815" s="10"/>
      <c r="C1815" s="10"/>
      <c r="D1815" s="10"/>
      <c r="E1815" s="10"/>
      <c r="M1815" s="10"/>
      <c r="N1815" s="10"/>
    </row>
    <row r="1816" spans="2:14">
      <c r="B1816" s="10"/>
      <c r="C1816" s="10"/>
      <c r="D1816" s="10"/>
      <c r="E1816" s="10"/>
      <c r="M1816" s="10"/>
      <c r="N1816" s="10"/>
    </row>
    <row r="1817" spans="2:14">
      <c r="B1817" s="10"/>
      <c r="C1817" s="10"/>
      <c r="D1817" s="10"/>
      <c r="E1817" s="10"/>
      <c r="M1817" s="10"/>
      <c r="N1817" s="10"/>
    </row>
    <row r="1818" spans="2:14">
      <c r="B1818" s="10"/>
      <c r="C1818" s="10"/>
      <c r="D1818" s="10"/>
      <c r="E1818" s="10"/>
      <c r="M1818" s="10"/>
      <c r="N1818" s="10"/>
    </row>
    <row r="1819" spans="2:14">
      <c r="B1819" s="10"/>
      <c r="C1819" s="10"/>
      <c r="D1819" s="10"/>
      <c r="E1819" s="10"/>
      <c r="M1819" s="10"/>
      <c r="N1819" s="10"/>
    </row>
    <row r="1820" spans="2:14">
      <c r="B1820" s="10"/>
      <c r="C1820" s="10"/>
      <c r="D1820" s="10"/>
      <c r="E1820" s="10"/>
      <c r="M1820" s="10"/>
      <c r="N1820" s="10"/>
    </row>
    <row r="1821" spans="2:14">
      <c r="B1821" s="10"/>
      <c r="C1821" s="10"/>
      <c r="D1821" s="10"/>
      <c r="E1821" s="10"/>
      <c r="M1821" s="10"/>
      <c r="N1821" s="10"/>
    </row>
    <row r="1822" spans="2:14">
      <c r="B1822" s="10"/>
      <c r="C1822" s="10"/>
      <c r="D1822" s="10"/>
      <c r="E1822" s="10"/>
      <c r="M1822" s="10"/>
      <c r="N1822" s="10"/>
    </row>
    <row r="1823" spans="2:14">
      <c r="B1823" s="10"/>
      <c r="C1823" s="10"/>
      <c r="D1823" s="10"/>
      <c r="E1823" s="10"/>
      <c r="M1823" s="10"/>
      <c r="N1823" s="10"/>
    </row>
    <row r="1824" spans="2:14">
      <c r="B1824" s="10"/>
      <c r="C1824" s="10"/>
      <c r="D1824" s="10"/>
      <c r="E1824" s="10"/>
      <c r="M1824" s="10"/>
      <c r="N1824" s="10"/>
    </row>
    <row r="1825" spans="2:14">
      <c r="B1825" s="10"/>
      <c r="C1825" s="10"/>
      <c r="D1825" s="10"/>
      <c r="E1825" s="10"/>
      <c r="M1825" s="10"/>
      <c r="N1825" s="10"/>
    </row>
    <row r="1826" spans="2:14">
      <c r="B1826" s="10"/>
      <c r="C1826" s="10"/>
      <c r="D1826" s="10"/>
      <c r="E1826" s="10"/>
      <c r="M1826" s="10"/>
      <c r="N1826" s="10"/>
    </row>
    <row r="1827" spans="2:14">
      <c r="B1827" s="10"/>
      <c r="C1827" s="10"/>
      <c r="D1827" s="10"/>
      <c r="E1827" s="10"/>
      <c r="M1827" s="10"/>
      <c r="N1827" s="10"/>
    </row>
    <row r="1828" spans="2:14">
      <c r="B1828" s="10"/>
      <c r="C1828" s="10"/>
      <c r="D1828" s="10"/>
      <c r="E1828" s="10"/>
      <c r="M1828" s="10"/>
      <c r="N1828" s="10"/>
    </row>
    <row r="1829" spans="2:14">
      <c r="B1829" s="10"/>
      <c r="C1829" s="10"/>
      <c r="D1829" s="10"/>
      <c r="E1829" s="10"/>
      <c r="M1829" s="10"/>
      <c r="N1829" s="10"/>
    </row>
    <row r="1830" spans="2:14">
      <c r="B1830" s="10"/>
      <c r="C1830" s="10"/>
      <c r="D1830" s="10"/>
      <c r="E1830" s="10"/>
      <c r="M1830" s="10"/>
      <c r="N1830" s="10"/>
    </row>
    <row r="1831" spans="2:14">
      <c r="B1831" s="10"/>
      <c r="C1831" s="10"/>
      <c r="D1831" s="10"/>
      <c r="E1831" s="10"/>
      <c r="M1831" s="10"/>
      <c r="N1831" s="10"/>
    </row>
    <row r="1832" spans="2:14">
      <c r="B1832" s="10"/>
      <c r="C1832" s="10"/>
      <c r="D1832" s="10"/>
      <c r="E1832" s="10"/>
      <c r="M1832" s="10"/>
      <c r="N1832" s="10"/>
    </row>
    <row r="1833" spans="2:14">
      <c r="B1833" s="10"/>
      <c r="C1833" s="10"/>
      <c r="D1833" s="10"/>
      <c r="E1833" s="10"/>
      <c r="M1833" s="10"/>
      <c r="N1833" s="10"/>
    </row>
    <row r="1834" spans="2:14">
      <c r="B1834" s="10"/>
      <c r="C1834" s="10"/>
      <c r="D1834" s="10"/>
      <c r="E1834" s="10"/>
      <c r="M1834" s="10"/>
      <c r="N1834" s="10"/>
    </row>
    <row r="1835" spans="2:14">
      <c r="B1835" s="10"/>
      <c r="C1835" s="10"/>
      <c r="D1835" s="10"/>
      <c r="E1835" s="10"/>
      <c r="M1835" s="10"/>
      <c r="N1835" s="10"/>
    </row>
    <row r="1836" spans="2:14">
      <c r="B1836" s="10"/>
      <c r="C1836" s="10"/>
      <c r="D1836" s="10"/>
      <c r="E1836" s="10"/>
      <c r="M1836" s="10"/>
      <c r="N1836" s="10"/>
    </row>
    <row r="1837" spans="2:14">
      <c r="B1837" s="10"/>
      <c r="C1837" s="10"/>
      <c r="D1837" s="10"/>
      <c r="E1837" s="10"/>
      <c r="M1837" s="10"/>
      <c r="N1837" s="10"/>
    </row>
    <row r="1838" spans="2:14">
      <c r="B1838" s="10"/>
      <c r="C1838" s="10"/>
      <c r="D1838" s="10"/>
      <c r="E1838" s="10"/>
      <c r="M1838" s="10"/>
      <c r="N1838" s="10"/>
    </row>
    <row r="1839" spans="2:14">
      <c r="B1839" s="10"/>
      <c r="C1839" s="10"/>
      <c r="D1839" s="10"/>
      <c r="E1839" s="10"/>
      <c r="M1839" s="10"/>
      <c r="N1839" s="10"/>
    </row>
    <row r="1840" spans="2:14">
      <c r="B1840" s="10"/>
      <c r="C1840" s="10"/>
      <c r="D1840" s="10"/>
      <c r="E1840" s="10"/>
      <c r="M1840" s="10"/>
      <c r="N1840" s="10"/>
    </row>
    <row r="1841" spans="2:14">
      <c r="B1841" s="10"/>
      <c r="C1841" s="10"/>
      <c r="D1841" s="10"/>
      <c r="E1841" s="10"/>
      <c r="M1841" s="10"/>
      <c r="N1841" s="10"/>
    </row>
    <row r="1842" spans="2:14">
      <c r="B1842" s="10"/>
      <c r="C1842" s="10"/>
      <c r="D1842" s="10"/>
      <c r="E1842" s="10"/>
      <c r="M1842" s="10"/>
      <c r="N1842" s="10"/>
    </row>
    <row r="1843" spans="2:14">
      <c r="B1843" s="10"/>
      <c r="C1843" s="10"/>
      <c r="D1843" s="10"/>
      <c r="E1843" s="10"/>
      <c r="M1843" s="10"/>
      <c r="N1843" s="10"/>
    </row>
    <row r="1844" spans="2:14">
      <c r="B1844" s="10"/>
      <c r="C1844" s="10"/>
      <c r="D1844" s="10"/>
      <c r="E1844" s="10"/>
      <c r="M1844" s="10"/>
      <c r="N1844" s="10"/>
    </row>
    <row r="1845" spans="2:14">
      <c r="B1845" s="10"/>
      <c r="C1845" s="10"/>
      <c r="D1845" s="10"/>
      <c r="E1845" s="10"/>
      <c r="M1845" s="10"/>
      <c r="N1845" s="10"/>
    </row>
    <row r="1846" spans="2:14">
      <c r="B1846" s="10"/>
      <c r="C1846" s="10"/>
      <c r="D1846" s="10"/>
      <c r="E1846" s="10"/>
      <c r="M1846" s="10"/>
      <c r="N1846" s="10"/>
    </row>
    <row r="1847" spans="2:14">
      <c r="B1847" s="10"/>
      <c r="C1847" s="10"/>
      <c r="D1847" s="10"/>
      <c r="E1847" s="10"/>
      <c r="M1847" s="10"/>
      <c r="N1847" s="10"/>
    </row>
    <row r="1848" spans="2:14">
      <c r="B1848" s="10"/>
      <c r="C1848" s="10"/>
      <c r="D1848" s="10"/>
      <c r="E1848" s="10"/>
      <c r="M1848" s="10"/>
      <c r="N1848" s="10"/>
    </row>
    <row r="1849" spans="2:14">
      <c r="B1849" s="10"/>
      <c r="C1849" s="10"/>
      <c r="D1849" s="10"/>
      <c r="E1849" s="10"/>
      <c r="M1849" s="10"/>
      <c r="N1849" s="10"/>
    </row>
    <row r="1850" spans="2:14">
      <c r="B1850" s="10"/>
      <c r="C1850" s="10"/>
      <c r="D1850" s="10"/>
      <c r="E1850" s="10"/>
      <c r="M1850" s="10"/>
      <c r="N1850" s="10"/>
    </row>
    <row r="1851" spans="2:14">
      <c r="B1851" s="10"/>
      <c r="C1851" s="10"/>
      <c r="D1851" s="10"/>
      <c r="E1851" s="10"/>
      <c r="M1851" s="10"/>
      <c r="N1851" s="10"/>
    </row>
    <row r="1852" spans="2:14">
      <c r="B1852" s="10"/>
      <c r="C1852" s="10"/>
      <c r="D1852" s="10"/>
      <c r="E1852" s="10"/>
      <c r="M1852" s="10"/>
      <c r="N1852" s="10"/>
    </row>
    <row r="1853" spans="2:14">
      <c r="B1853" s="10"/>
      <c r="C1853" s="10"/>
      <c r="D1853" s="10"/>
      <c r="E1853" s="10"/>
      <c r="M1853" s="10"/>
      <c r="N1853" s="10"/>
    </row>
    <row r="1854" spans="2:14">
      <c r="B1854" s="10"/>
      <c r="C1854" s="10"/>
      <c r="D1854" s="10"/>
      <c r="E1854" s="10"/>
      <c r="M1854" s="10"/>
      <c r="N1854" s="10"/>
    </row>
    <row r="1855" spans="2:14">
      <c r="B1855" s="10"/>
      <c r="C1855" s="10"/>
      <c r="D1855" s="10"/>
      <c r="E1855" s="10"/>
      <c r="M1855" s="10"/>
      <c r="N1855" s="10"/>
    </row>
    <row r="1856" spans="2:14">
      <c r="B1856" s="10"/>
      <c r="C1856" s="10"/>
      <c r="D1856" s="10"/>
      <c r="E1856" s="10"/>
      <c r="M1856" s="10"/>
      <c r="N1856" s="10"/>
    </row>
    <row r="1857" spans="2:14">
      <c r="B1857" s="10"/>
      <c r="C1857" s="10"/>
      <c r="D1857" s="10"/>
      <c r="E1857" s="10"/>
      <c r="M1857" s="10"/>
      <c r="N1857" s="10"/>
    </row>
    <row r="1858" spans="2:14">
      <c r="B1858" s="10"/>
      <c r="C1858" s="10"/>
      <c r="D1858" s="10"/>
      <c r="E1858" s="10"/>
      <c r="M1858" s="10"/>
      <c r="N1858" s="10"/>
    </row>
    <row r="1859" spans="2:14">
      <c r="B1859" s="10"/>
      <c r="C1859" s="10"/>
      <c r="D1859" s="10"/>
      <c r="E1859" s="10"/>
      <c r="M1859" s="10"/>
      <c r="N1859" s="10"/>
    </row>
    <row r="1860" spans="2:14">
      <c r="B1860" s="10"/>
      <c r="C1860" s="10"/>
      <c r="D1860" s="10"/>
      <c r="E1860" s="10"/>
      <c r="M1860" s="10"/>
      <c r="N1860" s="10"/>
    </row>
    <row r="1861" spans="2:14">
      <c r="B1861" s="10"/>
      <c r="C1861" s="10"/>
      <c r="D1861" s="10"/>
      <c r="E1861" s="10"/>
      <c r="M1861" s="10"/>
      <c r="N1861" s="10"/>
    </row>
    <row r="1862" spans="2:14">
      <c r="B1862" s="10"/>
      <c r="C1862" s="10"/>
      <c r="D1862" s="10"/>
      <c r="E1862" s="10"/>
      <c r="M1862" s="10"/>
      <c r="N1862" s="10"/>
    </row>
    <row r="1863" spans="2:14">
      <c r="B1863" s="10"/>
      <c r="C1863" s="10"/>
      <c r="D1863" s="10"/>
      <c r="E1863" s="10"/>
      <c r="M1863" s="10"/>
      <c r="N1863" s="10"/>
    </row>
    <row r="1864" spans="2:14">
      <c r="B1864" s="10"/>
      <c r="C1864" s="10"/>
      <c r="D1864" s="10"/>
      <c r="E1864" s="10"/>
      <c r="M1864" s="10"/>
      <c r="N1864" s="10"/>
    </row>
    <row r="1865" spans="2:14">
      <c r="B1865" s="10"/>
      <c r="C1865" s="10"/>
      <c r="D1865" s="10"/>
      <c r="E1865" s="10"/>
      <c r="M1865" s="10"/>
      <c r="N1865" s="10"/>
    </row>
    <row r="1866" spans="2:14">
      <c r="B1866" s="10"/>
      <c r="C1866" s="10"/>
      <c r="D1866" s="10"/>
      <c r="E1866" s="10"/>
      <c r="M1866" s="10"/>
      <c r="N1866" s="10"/>
    </row>
    <row r="1867" spans="2:14">
      <c r="B1867" s="10"/>
      <c r="C1867" s="10"/>
      <c r="D1867" s="10"/>
      <c r="E1867" s="10"/>
      <c r="M1867" s="10"/>
      <c r="N1867" s="10"/>
    </row>
    <row r="1868" spans="2:14">
      <c r="B1868" s="10"/>
      <c r="C1868" s="10"/>
      <c r="D1868" s="10"/>
      <c r="E1868" s="10"/>
      <c r="M1868" s="10"/>
      <c r="N1868" s="10"/>
    </row>
    <row r="1869" spans="2:14">
      <c r="B1869" s="10"/>
      <c r="C1869" s="10"/>
      <c r="D1869" s="10"/>
      <c r="E1869" s="10"/>
      <c r="M1869" s="10"/>
      <c r="N1869" s="10"/>
    </row>
    <row r="1870" spans="2:14">
      <c r="B1870" s="10"/>
      <c r="C1870" s="10"/>
      <c r="D1870" s="10"/>
      <c r="E1870" s="10"/>
      <c r="M1870" s="10"/>
      <c r="N1870" s="10"/>
    </row>
    <row r="1871" spans="2:14">
      <c r="B1871" s="10"/>
      <c r="C1871" s="10"/>
      <c r="D1871" s="10"/>
      <c r="E1871" s="10"/>
      <c r="M1871" s="10"/>
      <c r="N1871" s="10"/>
    </row>
    <row r="1872" spans="2:14">
      <c r="B1872" s="10"/>
      <c r="C1872" s="10"/>
      <c r="D1872" s="10"/>
      <c r="E1872" s="10"/>
      <c r="M1872" s="10"/>
      <c r="N1872" s="10"/>
    </row>
    <row r="1873" spans="2:14">
      <c r="B1873" s="10"/>
      <c r="C1873" s="10"/>
      <c r="D1873" s="10"/>
      <c r="E1873" s="10"/>
      <c r="M1873" s="10"/>
      <c r="N1873" s="10"/>
    </row>
    <row r="1874" spans="2:14">
      <c r="B1874" s="10"/>
      <c r="C1874" s="10"/>
      <c r="D1874" s="10"/>
      <c r="E1874" s="10"/>
      <c r="M1874" s="10"/>
      <c r="N1874" s="10"/>
    </row>
    <row r="1875" spans="2:14">
      <c r="B1875" s="10"/>
      <c r="C1875" s="10"/>
      <c r="D1875" s="10"/>
      <c r="E1875" s="10"/>
      <c r="M1875" s="10"/>
      <c r="N1875" s="10"/>
    </row>
    <row r="1876" spans="2:14">
      <c r="B1876" s="10"/>
      <c r="C1876" s="10"/>
      <c r="D1876" s="10"/>
      <c r="E1876" s="10"/>
      <c r="M1876" s="10"/>
      <c r="N1876" s="10"/>
    </row>
    <row r="1877" spans="2:14">
      <c r="B1877" s="10"/>
      <c r="C1877" s="10"/>
      <c r="D1877" s="10"/>
      <c r="E1877" s="10"/>
      <c r="M1877" s="10"/>
      <c r="N1877" s="10"/>
    </row>
    <row r="1878" spans="2:14">
      <c r="B1878" s="10"/>
      <c r="C1878" s="10"/>
      <c r="D1878" s="10"/>
      <c r="E1878" s="10"/>
      <c r="M1878" s="10"/>
      <c r="N1878" s="10"/>
    </row>
    <row r="1879" spans="2:14">
      <c r="B1879" s="10"/>
      <c r="C1879" s="10"/>
      <c r="D1879" s="10"/>
      <c r="E1879" s="10"/>
      <c r="M1879" s="10"/>
      <c r="N1879" s="10"/>
    </row>
    <row r="1880" spans="2:14">
      <c r="B1880" s="10"/>
      <c r="C1880" s="10"/>
      <c r="D1880" s="10"/>
      <c r="E1880" s="10"/>
      <c r="M1880" s="10"/>
      <c r="N1880" s="10"/>
    </row>
    <row r="1881" spans="2:14">
      <c r="B1881" s="10"/>
      <c r="C1881" s="10"/>
      <c r="D1881" s="10"/>
      <c r="E1881" s="10"/>
      <c r="M1881" s="10"/>
      <c r="N1881" s="10"/>
    </row>
    <row r="1882" spans="2:14">
      <c r="B1882" s="10"/>
      <c r="C1882" s="10"/>
      <c r="D1882" s="10"/>
      <c r="E1882" s="10"/>
      <c r="M1882" s="10"/>
      <c r="N1882" s="10"/>
    </row>
    <row r="1883" spans="2:14">
      <c r="B1883" s="10"/>
      <c r="C1883" s="10"/>
      <c r="D1883" s="10"/>
      <c r="E1883" s="10"/>
      <c r="M1883" s="10"/>
      <c r="N1883" s="10"/>
    </row>
    <row r="1884" spans="2:14">
      <c r="B1884" s="10"/>
      <c r="C1884" s="10"/>
      <c r="D1884" s="10"/>
      <c r="E1884" s="10"/>
      <c r="M1884" s="10"/>
      <c r="N1884" s="10"/>
    </row>
    <row r="1885" spans="2:14">
      <c r="B1885" s="10"/>
      <c r="C1885" s="10"/>
      <c r="D1885" s="10"/>
      <c r="E1885" s="10"/>
      <c r="M1885" s="10"/>
      <c r="N1885" s="10"/>
    </row>
    <row r="1886" spans="2:14">
      <c r="B1886" s="10"/>
      <c r="C1886" s="10"/>
      <c r="D1886" s="10"/>
      <c r="E1886" s="10"/>
      <c r="M1886" s="10"/>
      <c r="N1886" s="10"/>
    </row>
    <row r="1887" spans="2:14">
      <c r="B1887" s="10"/>
      <c r="C1887" s="10"/>
      <c r="D1887" s="10"/>
      <c r="E1887" s="10"/>
      <c r="M1887" s="10"/>
      <c r="N1887" s="10"/>
    </row>
    <row r="1888" spans="2:14">
      <c r="B1888" s="10"/>
      <c r="C1888" s="10"/>
      <c r="D1888" s="10"/>
      <c r="E1888" s="10"/>
      <c r="M1888" s="10"/>
      <c r="N1888" s="10"/>
    </row>
    <row r="1889" spans="2:14">
      <c r="B1889" s="10"/>
      <c r="C1889" s="10"/>
      <c r="D1889" s="10"/>
      <c r="E1889" s="10"/>
      <c r="M1889" s="10"/>
      <c r="N1889" s="10"/>
    </row>
    <row r="1890" spans="2:14">
      <c r="B1890" s="10"/>
      <c r="C1890" s="10"/>
      <c r="D1890" s="10"/>
      <c r="E1890" s="10"/>
      <c r="M1890" s="10"/>
      <c r="N1890" s="10"/>
    </row>
    <row r="1891" spans="2:14">
      <c r="B1891" s="10"/>
      <c r="C1891" s="10"/>
      <c r="D1891" s="10"/>
      <c r="E1891" s="10"/>
      <c r="M1891" s="10"/>
      <c r="N1891" s="10"/>
    </row>
    <row r="1892" spans="2:14">
      <c r="B1892" s="10"/>
      <c r="C1892" s="10"/>
      <c r="D1892" s="10"/>
      <c r="E1892" s="10"/>
      <c r="M1892" s="10"/>
      <c r="N1892" s="10"/>
    </row>
    <row r="1893" spans="2:14">
      <c r="B1893" s="10"/>
      <c r="C1893" s="10"/>
      <c r="D1893" s="10"/>
      <c r="E1893" s="10"/>
      <c r="M1893" s="10"/>
      <c r="N1893" s="10"/>
    </row>
    <row r="1894" spans="2:14">
      <c r="B1894" s="10"/>
      <c r="C1894" s="10"/>
      <c r="D1894" s="10"/>
      <c r="E1894" s="10"/>
      <c r="M1894" s="10"/>
      <c r="N1894" s="10"/>
    </row>
    <row r="1895" spans="2:14">
      <c r="B1895" s="10"/>
      <c r="C1895" s="10"/>
      <c r="D1895" s="10"/>
      <c r="E1895" s="10"/>
      <c r="M1895" s="10"/>
      <c r="N1895" s="10"/>
    </row>
    <row r="1896" spans="2:14">
      <c r="B1896" s="10"/>
      <c r="C1896" s="10"/>
      <c r="D1896" s="10"/>
      <c r="E1896" s="10"/>
      <c r="M1896" s="10"/>
      <c r="N1896" s="10"/>
    </row>
    <row r="1897" spans="2:14">
      <c r="B1897" s="10"/>
      <c r="C1897" s="10"/>
      <c r="D1897" s="10"/>
      <c r="E1897" s="10"/>
      <c r="M1897" s="10"/>
      <c r="N1897" s="10"/>
    </row>
    <row r="1898" spans="2:14">
      <c r="B1898" s="10"/>
      <c r="C1898" s="10"/>
      <c r="D1898" s="10"/>
      <c r="E1898" s="10"/>
      <c r="M1898" s="10"/>
      <c r="N1898" s="10"/>
    </row>
    <row r="1899" spans="2:14">
      <c r="B1899" s="10"/>
      <c r="C1899" s="10"/>
      <c r="D1899" s="10"/>
      <c r="E1899" s="10"/>
      <c r="M1899" s="10"/>
      <c r="N1899" s="10"/>
    </row>
    <row r="1900" spans="2:14">
      <c r="B1900" s="10"/>
      <c r="C1900" s="10"/>
      <c r="D1900" s="10"/>
      <c r="E1900" s="10"/>
      <c r="M1900" s="10"/>
      <c r="N1900" s="10"/>
    </row>
    <row r="1901" spans="2:14">
      <c r="B1901" s="10"/>
      <c r="C1901" s="10"/>
      <c r="D1901" s="10"/>
      <c r="E1901" s="10"/>
      <c r="M1901" s="10"/>
      <c r="N1901" s="10"/>
    </row>
    <row r="1902" spans="2:14">
      <c r="B1902" s="10"/>
      <c r="C1902" s="10"/>
      <c r="D1902" s="10"/>
      <c r="E1902" s="10"/>
      <c r="M1902" s="10"/>
      <c r="N1902" s="10"/>
    </row>
    <row r="1903" spans="2:14">
      <c r="B1903" s="10"/>
      <c r="C1903" s="10"/>
      <c r="D1903" s="10"/>
      <c r="E1903" s="10"/>
      <c r="M1903" s="10"/>
      <c r="N1903" s="10"/>
    </row>
    <row r="1904" spans="2:14">
      <c r="B1904" s="10"/>
      <c r="C1904" s="10"/>
      <c r="D1904" s="10"/>
      <c r="E1904" s="10"/>
      <c r="M1904" s="10"/>
      <c r="N1904" s="10"/>
    </row>
    <row r="1905" spans="2:14">
      <c r="B1905" s="10"/>
      <c r="C1905" s="10"/>
      <c r="D1905" s="10"/>
      <c r="E1905" s="10"/>
      <c r="M1905" s="10"/>
      <c r="N1905" s="10"/>
    </row>
    <row r="1906" spans="2:14">
      <c r="B1906" s="10"/>
      <c r="C1906" s="10"/>
      <c r="D1906" s="10"/>
      <c r="E1906" s="10"/>
      <c r="M1906" s="10"/>
      <c r="N1906" s="10"/>
    </row>
    <row r="1907" spans="2:14">
      <c r="B1907" s="10"/>
      <c r="C1907" s="10"/>
      <c r="D1907" s="10"/>
      <c r="E1907" s="10"/>
      <c r="M1907" s="10"/>
      <c r="N1907" s="10"/>
    </row>
    <row r="1908" spans="2:14">
      <c r="B1908" s="10"/>
      <c r="C1908" s="10"/>
      <c r="D1908" s="10"/>
      <c r="E1908" s="10"/>
      <c r="M1908" s="10"/>
      <c r="N1908" s="10"/>
    </row>
    <row r="1909" spans="2:14">
      <c r="B1909" s="10"/>
      <c r="C1909" s="10"/>
      <c r="D1909" s="10"/>
      <c r="E1909" s="10"/>
      <c r="M1909" s="10"/>
      <c r="N1909" s="10"/>
    </row>
    <row r="1910" spans="2:14">
      <c r="B1910" s="10"/>
      <c r="C1910" s="10"/>
      <c r="D1910" s="10"/>
      <c r="E1910" s="10"/>
      <c r="M1910" s="10"/>
      <c r="N1910" s="10"/>
    </row>
    <row r="1911" spans="2:14">
      <c r="B1911" s="10"/>
      <c r="C1911" s="10"/>
      <c r="D1911" s="10"/>
      <c r="E1911" s="10"/>
      <c r="M1911" s="10"/>
      <c r="N1911" s="10"/>
    </row>
    <row r="1912" spans="2:14">
      <c r="B1912" s="10"/>
      <c r="C1912" s="10"/>
      <c r="D1912" s="10"/>
      <c r="E1912" s="10"/>
      <c r="M1912" s="10"/>
      <c r="N1912" s="10"/>
    </row>
    <row r="1913" spans="2:14">
      <c r="B1913" s="10"/>
      <c r="C1913" s="10"/>
      <c r="D1913" s="10"/>
      <c r="E1913" s="10"/>
      <c r="M1913" s="10"/>
      <c r="N1913" s="10"/>
    </row>
    <row r="1914" spans="2:14">
      <c r="B1914" s="10"/>
      <c r="C1914" s="10"/>
      <c r="D1914" s="10"/>
      <c r="E1914" s="10"/>
      <c r="M1914" s="10"/>
      <c r="N1914" s="10"/>
    </row>
    <row r="1915" spans="2:14">
      <c r="B1915" s="10"/>
      <c r="C1915" s="10"/>
      <c r="D1915" s="10"/>
      <c r="E1915" s="10"/>
      <c r="M1915" s="10"/>
      <c r="N1915" s="10"/>
    </row>
    <row r="1916" spans="2:14">
      <c r="B1916" s="10"/>
      <c r="C1916" s="10"/>
      <c r="D1916" s="10"/>
      <c r="E1916" s="10"/>
      <c r="M1916" s="10"/>
      <c r="N1916" s="10"/>
    </row>
    <row r="1917" spans="2:14">
      <c r="B1917" s="10"/>
      <c r="C1917" s="10"/>
      <c r="D1917" s="10"/>
      <c r="E1917" s="10"/>
      <c r="M1917" s="10"/>
      <c r="N1917" s="10"/>
    </row>
    <row r="1918" spans="2:14">
      <c r="B1918" s="10"/>
      <c r="C1918" s="10"/>
      <c r="D1918" s="10"/>
      <c r="E1918" s="10"/>
      <c r="M1918" s="10"/>
      <c r="N1918" s="10"/>
    </row>
    <row r="1919" spans="2:14">
      <c r="B1919" s="10"/>
      <c r="C1919" s="10"/>
      <c r="D1919" s="10"/>
      <c r="E1919" s="10"/>
      <c r="M1919" s="10"/>
      <c r="N1919" s="10"/>
    </row>
    <row r="1920" spans="2:14">
      <c r="B1920" s="10"/>
      <c r="C1920" s="10"/>
      <c r="D1920" s="10"/>
      <c r="E1920" s="10"/>
      <c r="M1920" s="10"/>
      <c r="N1920" s="10"/>
    </row>
    <row r="1921" spans="2:14">
      <c r="B1921" s="10"/>
      <c r="C1921" s="10"/>
      <c r="D1921" s="10"/>
      <c r="E1921" s="10"/>
      <c r="M1921" s="10"/>
      <c r="N1921" s="10"/>
    </row>
    <row r="1922" spans="2:14">
      <c r="B1922" s="10"/>
      <c r="C1922" s="10"/>
      <c r="D1922" s="10"/>
      <c r="E1922" s="10"/>
      <c r="M1922" s="10"/>
      <c r="N1922" s="10"/>
    </row>
    <row r="1923" spans="2:14">
      <c r="B1923" s="10"/>
      <c r="C1923" s="10"/>
      <c r="D1923" s="10"/>
      <c r="E1923" s="10"/>
      <c r="M1923" s="10"/>
      <c r="N1923" s="10"/>
    </row>
    <row r="1924" spans="2:14">
      <c r="B1924" s="10"/>
      <c r="C1924" s="10"/>
      <c r="D1924" s="10"/>
      <c r="E1924" s="10"/>
      <c r="M1924" s="10"/>
      <c r="N1924" s="10"/>
    </row>
    <row r="1925" spans="2:14">
      <c r="B1925" s="10"/>
      <c r="C1925" s="10"/>
      <c r="D1925" s="10"/>
      <c r="E1925" s="10"/>
      <c r="M1925" s="10"/>
      <c r="N1925" s="10"/>
    </row>
    <row r="1926" spans="2:14">
      <c r="B1926" s="10"/>
      <c r="C1926" s="10"/>
      <c r="D1926" s="10"/>
      <c r="E1926" s="10"/>
      <c r="M1926" s="10"/>
      <c r="N1926" s="10"/>
    </row>
    <row r="1927" spans="2:14">
      <c r="B1927" s="10"/>
      <c r="C1927" s="10"/>
      <c r="D1927" s="10"/>
      <c r="E1927" s="10"/>
      <c r="M1927" s="10"/>
      <c r="N1927" s="10"/>
    </row>
    <row r="1928" spans="2:14">
      <c r="B1928" s="10"/>
      <c r="C1928" s="10"/>
      <c r="D1928" s="10"/>
      <c r="E1928" s="10"/>
      <c r="M1928" s="10"/>
      <c r="N1928" s="10"/>
    </row>
    <row r="1929" spans="2:14">
      <c r="B1929" s="10"/>
      <c r="C1929" s="10"/>
      <c r="D1929" s="10"/>
      <c r="E1929" s="10"/>
      <c r="M1929" s="10"/>
      <c r="N1929" s="10"/>
    </row>
    <row r="1930" spans="2:14">
      <c r="B1930" s="10"/>
      <c r="C1930" s="10"/>
      <c r="D1930" s="10"/>
      <c r="E1930" s="10"/>
      <c r="M1930" s="10"/>
      <c r="N1930" s="10"/>
    </row>
    <row r="1931" spans="2:14">
      <c r="B1931" s="10"/>
      <c r="C1931" s="10"/>
      <c r="D1931" s="10"/>
      <c r="E1931" s="10"/>
      <c r="M1931" s="10"/>
      <c r="N1931" s="10"/>
    </row>
    <row r="1932" spans="2:14">
      <c r="B1932" s="10"/>
      <c r="C1932" s="10"/>
      <c r="D1932" s="10"/>
      <c r="E1932" s="10"/>
      <c r="M1932" s="10"/>
      <c r="N1932" s="10"/>
    </row>
    <row r="1933" spans="2:14">
      <c r="B1933" s="10"/>
      <c r="C1933" s="10"/>
      <c r="D1933" s="10"/>
      <c r="E1933" s="10"/>
      <c r="M1933" s="10"/>
      <c r="N1933" s="10"/>
    </row>
    <row r="1934" spans="2:14">
      <c r="B1934" s="10"/>
      <c r="C1934" s="10"/>
      <c r="D1934" s="10"/>
      <c r="E1934" s="10"/>
      <c r="M1934" s="10"/>
      <c r="N1934" s="10"/>
    </row>
    <row r="1935" spans="2:14">
      <c r="B1935" s="10"/>
      <c r="C1935" s="10"/>
      <c r="D1935" s="10"/>
      <c r="E1935" s="10"/>
      <c r="M1935" s="10"/>
      <c r="N1935" s="10"/>
    </row>
    <row r="1936" spans="2:14">
      <c r="B1936" s="10"/>
      <c r="C1936" s="10"/>
      <c r="D1936" s="10"/>
      <c r="E1936" s="10"/>
      <c r="M1936" s="10"/>
      <c r="N1936" s="10"/>
    </row>
    <row r="1937" spans="2:14">
      <c r="B1937" s="10"/>
      <c r="C1937" s="10"/>
      <c r="D1937" s="10"/>
      <c r="E1937" s="10"/>
      <c r="M1937" s="10"/>
      <c r="N1937" s="10"/>
    </row>
    <row r="1938" spans="2:14">
      <c r="B1938" s="10"/>
      <c r="C1938" s="10"/>
      <c r="D1938" s="10"/>
      <c r="E1938" s="10"/>
      <c r="M1938" s="10"/>
      <c r="N1938" s="10"/>
    </row>
    <row r="1939" spans="2:14">
      <c r="B1939" s="10"/>
      <c r="C1939" s="10"/>
      <c r="D1939" s="10"/>
      <c r="E1939" s="10"/>
      <c r="M1939" s="10"/>
      <c r="N1939" s="10"/>
    </row>
    <row r="1940" spans="2:14">
      <c r="B1940" s="10"/>
      <c r="C1940" s="10"/>
      <c r="D1940" s="10"/>
      <c r="E1940" s="10"/>
      <c r="M1940" s="10"/>
      <c r="N1940" s="10"/>
    </row>
    <row r="1941" spans="2:14">
      <c r="B1941" s="10"/>
      <c r="C1941" s="10"/>
      <c r="D1941" s="10"/>
      <c r="E1941" s="10"/>
      <c r="M1941" s="10"/>
      <c r="N1941" s="10"/>
    </row>
    <row r="1942" spans="2:14">
      <c r="B1942" s="10"/>
      <c r="C1942" s="10"/>
      <c r="D1942" s="10"/>
      <c r="E1942" s="10"/>
      <c r="M1942" s="10"/>
      <c r="N1942" s="10"/>
    </row>
    <row r="1943" spans="2:14">
      <c r="B1943" s="10"/>
      <c r="C1943" s="10"/>
      <c r="D1943" s="10"/>
      <c r="E1943" s="10"/>
      <c r="M1943" s="10"/>
      <c r="N1943" s="10"/>
    </row>
    <row r="1944" spans="2:14">
      <c r="B1944" s="10"/>
      <c r="C1944" s="10"/>
      <c r="D1944" s="10"/>
      <c r="E1944" s="10"/>
      <c r="M1944" s="10"/>
      <c r="N1944" s="10"/>
    </row>
    <row r="1945" spans="2:14">
      <c r="B1945" s="10"/>
      <c r="C1945" s="10"/>
      <c r="D1945" s="10"/>
      <c r="E1945" s="10"/>
      <c r="M1945" s="10"/>
      <c r="N1945" s="10"/>
    </row>
    <row r="1946" spans="2:14">
      <c r="B1946" s="10"/>
      <c r="C1946" s="10"/>
      <c r="D1946" s="10"/>
      <c r="E1946" s="10"/>
      <c r="M1946" s="10"/>
      <c r="N1946" s="10"/>
    </row>
    <row r="1947" spans="2:14">
      <c r="B1947" s="10"/>
      <c r="C1947" s="10"/>
      <c r="D1947" s="10"/>
      <c r="E1947" s="10"/>
      <c r="M1947" s="10"/>
      <c r="N1947" s="10"/>
    </row>
    <row r="1948" spans="2:14">
      <c r="B1948" s="10"/>
      <c r="C1948" s="10"/>
      <c r="D1948" s="10"/>
      <c r="E1948" s="10"/>
      <c r="M1948" s="10"/>
      <c r="N1948" s="10"/>
    </row>
    <row r="1949" spans="2:14">
      <c r="B1949" s="10"/>
      <c r="C1949" s="10"/>
      <c r="D1949" s="10"/>
      <c r="E1949" s="10"/>
      <c r="M1949" s="10"/>
      <c r="N1949" s="10"/>
    </row>
    <row r="1950" spans="2:14">
      <c r="B1950" s="10"/>
      <c r="C1950" s="10"/>
      <c r="D1950" s="10"/>
      <c r="E1950" s="10"/>
      <c r="M1950" s="10"/>
      <c r="N1950" s="10"/>
    </row>
    <row r="1951" spans="2:14">
      <c r="B1951" s="10"/>
      <c r="C1951" s="10"/>
      <c r="D1951" s="10"/>
      <c r="E1951" s="10"/>
      <c r="M1951" s="10"/>
      <c r="N1951" s="10"/>
    </row>
    <row r="1952" spans="2:14">
      <c r="B1952" s="10"/>
      <c r="C1952" s="10"/>
      <c r="D1952" s="10"/>
      <c r="E1952" s="10"/>
      <c r="M1952" s="10"/>
      <c r="N1952" s="10"/>
    </row>
    <row r="1953" spans="2:14">
      <c r="B1953" s="10"/>
      <c r="C1953" s="10"/>
      <c r="D1953" s="10"/>
      <c r="E1953" s="10"/>
      <c r="M1953" s="10"/>
      <c r="N1953" s="10"/>
    </row>
    <row r="1954" spans="2:14">
      <c r="B1954" s="10"/>
      <c r="C1954" s="10"/>
      <c r="D1954" s="10"/>
      <c r="E1954" s="10"/>
      <c r="M1954" s="10"/>
      <c r="N1954" s="10"/>
    </row>
    <row r="1955" spans="2:14">
      <c r="B1955" s="10"/>
      <c r="C1955" s="10"/>
      <c r="D1955" s="10"/>
      <c r="E1955" s="10"/>
      <c r="M1955" s="10"/>
      <c r="N1955" s="10"/>
    </row>
    <row r="1956" spans="2:14">
      <c r="B1956" s="10"/>
      <c r="C1956" s="10"/>
      <c r="D1956" s="10"/>
      <c r="E1956" s="10"/>
      <c r="M1956" s="10"/>
      <c r="N1956" s="10"/>
    </row>
    <row r="1957" spans="2:14">
      <c r="B1957" s="10"/>
      <c r="C1957" s="10"/>
      <c r="D1957" s="10"/>
      <c r="E1957" s="10"/>
      <c r="M1957" s="10"/>
      <c r="N1957" s="10"/>
    </row>
    <row r="1958" spans="2:14">
      <c r="B1958" s="10"/>
      <c r="C1958" s="10"/>
      <c r="D1958" s="10"/>
      <c r="E1958" s="10"/>
      <c r="M1958" s="10"/>
      <c r="N1958" s="10"/>
    </row>
    <row r="1959" spans="2:14">
      <c r="B1959" s="10"/>
      <c r="C1959" s="10"/>
      <c r="D1959" s="10"/>
      <c r="E1959" s="10"/>
      <c r="M1959" s="10"/>
      <c r="N1959" s="10"/>
    </row>
    <row r="1960" spans="2:14">
      <c r="B1960" s="10"/>
      <c r="C1960" s="10"/>
      <c r="D1960" s="10"/>
      <c r="E1960" s="10"/>
      <c r="M1960" s="10"/>
      <c r="N1960" s="10"/>
    </row>
    <row r="1961" spans="2:14">
      <c r="B1961" s="10"/>
      <c r="C1961" s="10"/>
      <c r="D1961" s="10"/>
      <c r="E1961" s="10"/>
      <c r="M1961" s="10"/>
      <c r="N1961" s="10"/>
    </row>
    <row r="1962" spans="2:14">
      <c r="B1962" s="10"/>
      <c r="C1962" s="10"/>
      <c r="D1962" s="10"/>
      <c r="E1962" s="10"/>
      <c r="M1962" s="10"/>
      <c r="N1962" s="10"/>
    </row>
    <row r="1963" spans="2:14">
      <c r="B1963" s="10"/>
      <c r="C1963" s="10"/>
      <c r="D1963" s="10"/>
      <c r="E1963" s="10"/>
      <c r="M1963" s="10"/>
      <c r="N1963" s="10"/>
    </row>
    <row r="1964" spans="2:14">
      <c r="B1964" s="10"/>
      <c r="C1964" s="10"/>
      <c r="D1964" s="10"/>
      <c r="E1964" s="10"/>
      <c r="M1964" s="10"/>
      <c r="N1964" s="10"/>
    </row>
    <row r="1965" spans="2:14">
      <c r="B1965" s="10"/>
      <c r="C1965" s="10"/>
      <c r="D1965" s="10"/>
      <c r="E1965" s="10"/>
      <c r="M1965" s="10"/>
      <c r="N1965" s="10"/>
    </row>
    <row r="1966" spans="2:14">
      <c r="B1966" s="10"/>
      <c r="C1966" s="10"/>
      <c r="D1966" s="10"/>
      <c r="E1966" s="10"/>
      <c r="M1966" s="10"/>
      <c r="N1966" s="10"/>
    </row>
    <row r="1967" spans="2:14">
      <c r="B1967" s="10"/>
      <c r="C1967" s="10"/>
      <c r="D1967" s="10"/>
      <c r="E1967" s="10"/>
      <c r="M1967" s="10"/>
      <c r="N1967" s="10"/>
    </row>
    <row r="1968" spans="2:14">
      <c r="B1968" s="10"/>
      <c r="C1968" s="10"/>
      <c r="D1968" s="10"/>
      <c r="E1968" s="10"/>
      <c r="M1968" s="10"/>
      <c r="N1968" s="10"/>
    </row>
    <row r="1969" spans="2:14">
      <c r="B1969" s="10"/>
      <c r="C1969" s="10"/>
      <c r="D1969" s="10"/>
      <c r="E1969" s="10"/>
      <c r="M1969" s="10"/>
      <c r="N1969" s="10"/>
    </row>
    <row r="1970" spans="2:14">
      <c r="B1970" s="10"/>
      <c r="C1970" s="10"/>
      <c r="D1970" s="10"/>
      <c r="E1970" s="10"/>
      <c r="M1970" s="10"/>
      <c r="N1970" s="10"/>
    </row>
    <row r="1971" spans="2:14">
      <c r="B1971" s="10"/>
      <c r="C1971" s="10"/>
      <c r="D1971" s="10"/>
      <c r="E1971" s="10"/>
      <c r="M1971" s="10"/>
      <c r="N1971" s="10"/>
    </row>
    <row r="1972" spans="2:14">
      <c r="B1972" s="10"/>
      <c r="C1972" s="10"/>
      <c r="D1972" s="10"/>
      <c r="E1972" s="10"/>
      <c r="M1972" s="10"/>
      <c r="N1972" s="10"/>
    </row>
    <row r="1973" spans="2:14">
      <c r="B1973" s="10"/>
      <c r="C1973" s="10"/>
      <c r="D1973" s="10"/>
      <c r="E1973" s="10"/>
      <c r="M1973" s="10"/>
      <c r="N1973" s="10"/>
    </row>
    <row r="1974" spans="2:14">
      <c r="B1974" s="10"/>
      <c r="C1974" s="10"/>
      <c r="D1974" s="10"/>
      <c r="E1974" s="10"/>
      <c r="M1974" s="10"/>
      <c r="N1974" s="10"/>
    </row>
    <row r="1975" spans="2:14">
      <c r="B1975" s="10"/>
      <c r="C1975" s="10"/>
      <c r="D1975" s="10"/>
      <c r="E1975" s="10"/>
      <c r="M1975" s="10"/>
      <c r="N1975" s="10"/>
    </row>
    <row r="1976" spans="2:14">
      <c r="B1976" s="10"/>
      <c r="C1976" s="10"/>
      <c r="D1976" s="10"/>
      <c r="E1976" s="10"/>
      <c r="M1976" s="10"/>
      <c r="N1976" s="10"/>
    </row>
    <row r="1977" spans="2:14">
      <c r="B1977" s="10"/>
      <c r="C1977" s="10"/>
      <c r="D1977" s="10"/>
      <c r="E1977" s="10"/>
      <c r="M1977" s="10"/>
      <c r="N1977" s="10"/>
    </row>
    <row r="1978" spans="2:14">
      <c r="B1978" s="10"/>
      <c r="C1978" s="10"/>
      <c r="D1978" s="10"/>
      <c r="E1978" s="10"/>
      <c r="M1978" s="10"/>
      <c r="N1978" s="10"/>
    </row>
    <row r="1979" spans="2:14">
      <c r="B1979" s="10"/>
      <c r="C1979" s="10"/>
      <c r="D1979" s="10"/>
      <c r="E1979" s="10"/>
      <c r="M1979" s="10"/>
      <c r="N1979" s="10"/>
    </row>
    <row r="1980" spans="2:14">
      <c r="B1980" s="10"/>
      <c r="C1980" s="10"/>
      <c r="D1980" s="10"/>
      <c r="E1980" s="10"/>
      <c r="M1980" s="10"/>
      <c r="N1980" s="10"/>
    </row>
    <row r="1981" spans="2:14">
      <c r="B1981" s="10"/>
      <c r="C1981" s="10"/>
      <c r="D1981" s="10"/>
      <c r="E1981" s="10"/>
      <c r="M1981" s="10"/>
      <c r="N1981" s="10"/>
    </row>
    <row r="1982" spans="2:14">
      <c r="B1982" s="10"/>
      <c r="C1982" s="10"/>
      <c r="D1982" s="10"/>
      <c r="E1982" s="10"/>
      <c r="M1982" s="10"/>
      <c r="N1982" s="10"/>
    </row>
    <row r="1983" spans="2:14">
      <c r="B1983" s="10"/>
      <c r="C1983" s="10"/>
      <c r="D1983" s="10"/>
      <c r="E1983" s="10"/>
      <c r="M1983" s="10"/>
      <c r="N1983" s="10"/>
    </row>
    <row r="1984" spans="2:14">
      <c r="B1984" s="10"/>
      <c r="C1984" s="10"/>
      <c r="D1984" s="10"/>
      <c r="E1984" s="10"/>
      <c r="M1984" s="10"/>
      <c r="N1984" s="10"/>
    </row>
    <row r="1985" spans="2:14">
      <c r="B1985" s="10"/>
      <c r="C1985" s="10"/>
      <c r="D1985" s="10"/>
      <c r="E1985" s="10"/>
      <c r="M1985" s="10"/>
      <c r="N1985" s="10"/>
    </row>
    <row r="1986" spans="2:14">
      <c r="B1986" s="10"/>
      <c r="C1986" s="10"/>
      <c r="D1986" s="10"/>
      <c r="E1986" s="10"/>
      <c r="M1986" s="10"/>
      <c r="N1986" s="10"/>
    </row>
    <row r="1987" spans="2:14">
      <c r="B1987" s="10"/>
      <c r="C1987" s="10"/>
      <c r="D1987" s="10"/>
      <c r="E1987" s="10"/>
      <c r="M1987" s="10"/>
      <c r="N1987" s="10"/>
    </row>
    <row r="1988" spans="2:14">
      <c r="B1988" s="10"/>
      <c r="C1988" s="10"/>
      <c r="D1988" s="10"/>
      <c r="E1988" s="10"/>
      <c r="M1988" s="10"/>
      <c r="N1988" s="10"/>
    </row>
    <row r="1989" spans="2:14">
      <c r="B1989" s="10"/>
      <c r="C1989" s="10"/>
      <c r="D1989" s="10"/>
      <c r="E1989" s="10"/>
      <c r="M1989" s="10"/>
      <c r="N1989" s="10"/>
    </row>
    <row r="1990" spans="2:14">
      <c r="B1990" s="10"/>
      <c r="C1990" s="10"/>
      <c r="D1990" s="10"/>
      <c r="E1990" s="10"/>
      <c r="M1990" s="10"/>
      <c r="N1990" s="10"/>
    </row>
    <row r="1991" spans="2:14">
      <c r="B1991" s="10"/>
      <c r="C1991" s="10"/>
      <c r="D1991" s="10"/>
      <c r="E1991" s="10"/>
      <c r="M1991" s="10"/>
      <c r="N1991" s="10"/>
    </row>
    <row r="1992" spans="2:14">
      <c r="B1992" s="10"/>
      <c r="C1992" s="10"/>
      <c r="D1992" s="10"/>
      <c r="E1992" s="10"/>
      <c r="M1992" s="10"/>
      <c r="N1992" s="10"/>
    </row>
    <row r="1993" spans="2:14">
      <c r="B1993" s="10"/>
      <c r="C1993" s="10"/>
      <c r="D1993" s="10"/>
      <c r="E1993" s="10"/>
      <c r="M1993" s="10"/>
      <c r="N1993" s="10"/>
    </row>
    <row r="1994" spans="2:14">
      <c r="B1994" s="10"/>
      <c r="C1994" s="10"/>
      <c r="D1994" s="10"/>
      <c r="E1994" s="10"/>
      <c r="M1994" s="10"/>
      <c r="N1994" s="10"/>
    </row>
    <row r="1995" spans="2:14">
      <c r="B1995" s="10"/>
      <c r="C1995" s="10"/>
      <c r="D1995" s="10"/>
      <c r="E1995" s="10"/>
      <c r="M1995" s="10"/>
      <c r="N1995" s="10"/>
    </row>
    <row r="1996" spans="2:14">
      <c r="B1996" s="10"/>
      <c r="C1996" s="10"/>
      <c r="D1996" s="10"/>
      <c r="E1996" s="10"/>
      <c r="M1996" s="10"/>
      <c r="N1996" s="10"/>
    </row>
    <row r="1997" spans="2:14">
      <c r="B1997" s="10"/>
      <c r="C1997" s="10"/>
      <c r="D1997" s="10"/>
      <c r="E1997" s="10"/>
      <c r="M1997" s="10"/>
      <c r="N1997" s="10"/>
    </row>
    <row r="1998" spans="2:14">
      <c r="B1998" s="10"/>
      <c r="C1998" s="10"/>
      <c r="D1998" s="10"/>
      <c r="E1998" s="10"/>
      <c r="M1998" s="10"/>
      <c r="N1998" s="10"/>
    </row>
    <row r="1999" spans="2:14">
      <c r="B1999" s="10"/>
      <c r="C1999" s="10"/>
      <c r="D1999" s="10"/>
      <c r="E1999" s="10"/>
      <c r="M1999" s="10"/>
      <c r="N1999" s="10"/>
    </row>
    <row r="2000" spans="2:14">
      <c r="B2000" s="10"/>
      <c r="C2000" s="10"/>
      <c r="D2000" s="10"/>
      <c r="E2000" s="10"/>
      <c r="M2000" s="10"/>
      <c r="N2000" s="10"/>
    </row>
    <row r="2001" spans="2:14">
      <c r="B2001" s="10"/>
      <c r="C2001" s="10"/>
      <c r="D2001" s="10"/>
      <c r="E2001" s="10"/>
      <c r="M2001" s="10"/>
      <c r="N2001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eDNA</vt:lpstr>
      <vt:lpstr>env Parameter</vt:lpstr>
      <vt:lpstr>Common name (master file)</vt:lpstr>
      <vt:lpstr>전체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Jinwoo7park_m</dc:creator>
  <cp:lastModifiedBy>Jinwoo7park_m</cp:lastModifiedBy>
  <dcterms:created xsi:type="dcterms:W3CDTF">2026-01-19T03:24:40Z</dcterms:created>
  <dcterms:modified xsi:type="dcterms:W3CDTF">2026-01-19T12:37:11Z</dcterms:modified>
</cp:coreProperties>
</file>